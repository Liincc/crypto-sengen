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1C021371-42D6-4028-A581-2A59A33FB6BD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22" i="5" s="1"/>
  <c r="C133" i="5" s="1"/>
  <c r="D136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116" i="5"/>
  <c r="C2" i="1" l="1"/>
  <c r="D2" i="1"/>
  <c r="C118" i="5"/>
  <c r="C118" i="4"/>
  <c r="C122" i="4"/>
  <c r="C133" i="4" s="1"/>
  <c r="C136" i="4" s="1"/>
  <c r="C136" i="5"/>
  <c r="C138" i="5" s="1"/>
  <c r="C116" i="3"/>
  <c r="C122" i="3"/>
  <c r="C133" i="3" s="1"/>
  <c r="C136" i="3" s="1"/>
  <c r="R765" i="1"/>
  <c r="D136" i="4" l="1"/>
  <c r="C138" i="4" s="1"/>
  <c r="D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S227" i="1" l="1"/>
  <c r="T227" i="1" s="1"/>
  <c r="R226" i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S215" i="1" l="1"/>
  <c r="T215" i="1" s="1"/>
  <c r="R214" i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S203" i="1" l="1"/>
  <c r="T203" i="1" s="1"/>
  <c r="R202" i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S191" i="1" l="1"/>
  <c r="T191" i="1" s="1"/>
  <c r="R190" i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S167" i="1" l="1"/>
  <c r="T167" i="1" s="1"/>
  <c r="R166" i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S155" i="1" l="1"/>
  <c r="T155" i="1" s="1"/>
  <c r="R154" i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S143" i="1" l="1"/>
  <c r="T143" i="1" s="1"/>
  <c r="R142" i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S119" i="1" l="1"/>
  <c r="T119" i="1" s="1"/>
  <c r="R118" i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S103" i="1" l="1"/>
  <c r="T103" i="1" s="1"/>
  <c r="R102" i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S95" i="1" l="1"/>
  <c r="T95" i="1" s="1"/>
  <c r="R94" i="1"/>
  <c r="S94" i="1" l="1"/>
  <c r="T94" i="1" s="1"/>
  <c r="R93" i="1"/>
  <c r="R92" i="1" l="1"/>
  <c r="S93" i="1"/>
  <c r="T93" i="1" s="1"/>
  <c r="S92" i="1" l="1"/>
  <c r="T92" i="1" s="1"/>
  <c r="R91" i="1"/>
  <c r="S91" i="1" l="1"/>
  <c r="T91" i="1" s="1"/>
  <c r="R90" i="1"/>
  <c r="R89" i="1" l="1"/>
  <c r="S90" i="1"/>
  <c r="T90" i="1" s="1"/>
  <c r="S89" i="1" l="1"/>
  <c r="T89" i="1" s="1"/>
  <c r="R88" i="1"/>
  <c r="S88" i="1" l="1"/>
  <c r="T88" i="1" s="1"/>
  <c r="R87" i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S83" i="1" l="1"/>
  <c r="T83" i="1" s="1"/>
  <c r="R82" i="1"/>
  <c r="S82" i="1" l="1"/>
  <c r="T82" i="1" s="1"/>
  <c r="R81" i="1"/>
  <c r="S81" i="1" l="1"/>
  <c r="T81" i="1" s="1"/>
  <c r="R80" i="1"/>
  <c r="S80" i="1" l="1"/>
  <c r="T80" i="1" s="1"/>
  <c r="R79" i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S71" i="1" l="1"/>
  <c r="T71" i="1" s="1"/>
  <c r="R70" i="1"/>
  <c r="S70" i="1" l="1"/>
  <c r="T70" i="1" s="1"/>
  <c r="R69" i="1"/>
  <c r="S69" i="1" l="1"/>
  <c r="T69" i="1" s="1"/>
  <c r="R68" i="1"/>
  <c r="S68" i="1" l="1"/>
  <c r="T68" i="1" s="1"/>
  <c r="R67" i="1"/>
  <c r="S67" i="1" l="1"/>
  <c r="T67" i="1" s="1"/>
  <c r="R66" i="1"/>
  <c r="S66" i="1" l="1"/>
  <c r="T66" i="1" s="1"/>
  <c r="R65" i="1"/>
  <c r="S65" i="1" l="1"/>
  <c r="T65" i="1" s="1"/>
  <c r="R64" i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S59" i="1" l="1"/>
  <c r="T59" i="1" s="1"/>
  <c r="R58" i="1"/>
  <c r="S58" i="1" l="1"/>
  <c r="T58" i="1" s="1"/>
  <c r="R57" i="1"/>
  <c r="S57" i="1" l="1"/>
  <c r="T57" i="1" s="1"/>
  <c r="R56" i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S47" i="1" l="1"/>
  <c r="T47" i="1" s="1"/>
  <c r="R46" i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S42" i="1" l="1"/>
  <c r="T42" i="1" s="1"/>
  <c r="R41" i="1"/>
  <c r="S41" i="1" l="1"/>
  <c r="T41" i="1" s="1"/>
  <c r="R40" i="1"/>
  <c r="S40" i="1" l="1"/>
  <c r="T40" i="1" s="1"/>
  <c r="R39" i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S25" i="1" l="1"/>
  <c r="T25" i="1" s="1"/>
  <c r="R24" i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<sst xmlns="http://schemas.openxmlformats.org/spreadsheetml/2006/main" count="4375" uniqueCount="34">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</sst>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0.68359999999999999</c:v>
                </c:pt>
                <c:pt idx="1">
                  <c:v>0.70179999999999998</c:v>
                </c:pt>
                <c:pt idx="2">
                  <c:v>0.68300000000000005</c:v>
                </c:pt>
                <c:pt idx="3">
                  <c:v>0.7147</c:v>
                </c:pt>
                <c:pt idx="4">
                  <c:v>0.71579999999999999</c:v>
                </c:pt>
                <c:pt idx="5">
                  <c:v>0.67500000000000004</c:v>
                </c:pt>
                <c:pt idx="6">
                  <c:v>0.73409999999999997</c:v>
                </c:pt>
                <c:pt idx="7">
                  <c:v>0.91269999999999996</c:v>
                </c:pt>
                <c:pt idx="8">
                  <c:v>0.93820000000000003</c:v>
                </c:pt>
                <c:pt idx="9">
                  <c:v>0.98250000000000004</c:v>
                </c:pt>
                <c:pt idx="10">
                  <c:v>0.98899999999999999</c:v>
                </c:pt>
                <c:pt idx="11">
                  <c:v>1.0377000000000001</c:v>
                </c:pt>
                <c:pt idx="12">
                  <c:v>1.0394000000000001</c:v>
                </c:pt>
                <c:pt idx="13">
                  <c:v>1.034</c:v>
                </c:pt>
                <c:pt idx="14">
                  <c:v>0.99390000000000001</c:v>
                </c:pt>
                <c:pt idx="15">
                  <c:v>1.0499000000000001</c:v>
                </c:pt>
                <c:pt idx="16">
                  <c:v>1.0101</c:v>
                </c:pt>
                <c:pt idx="17">
                  <c:v>0.98150000000000004</c:v>
                </c:pt>
                <c:pt idx="18">
                  <c:v>1.0115000000000001</c:v>
                </c:pt>
                <c:pt idx="19">
                  <c:v>1.0031000000000001</c:v>
                </c:pt>
                <c:pt idx="20">
                  <c:v>1.0364</c:v>
                </c:pt>
                <c:pt idx="21">
                  <c:v>1.0852999999999999</c:v>
                </c:pt>
                <c:pt idx="22">
                  <c:v>1.1071</c:v>
                </c:pt>
                <c:pt idx="23">
                  <c:v>1.1791</c:v>
                </c:pt>
                <c:pt idx="24">
                  <c:v>1.1800999999999999</c:v>
                </c:pt>
                <c:pt idx="25">
                  <c:v>1.1916</c:v>
                </c:pt>
                <c:pt idx="26">
                  <c:v>1.1783999999999999</c:v>
                </c:pt>
                <c:pt idx="27">
                  <c:v>1.1486000000000001</c:v>
                </c:pt>
                <c:pt idx="28">
                  <c:v>1.1515</c:v>
                </c:pt>
                <c:pt idx="29">
                  <c:v>1.1323000000000001</c:v>
                </c:pt>
                <c:pt idx="30">
                  <c:v>1.2</c:v>
                </c:pt>
                <c:pt idx="31">
                  <c:v>1.2866</c:v>
                </c:pt>
                <c:pt idx="32">
                  <c:v>1.2745</c:v>
                </c:pt>
                <c:pt idx="33">
                  <c:v>1.2713000000000001</c:v>
                </c:pt>
                <c:pt idx="34">
                  <c:v>1.2211000000000001</c:v>
                </c:pt>
                <c:pt idx="35">
                  <c:v>1.2334000000000001</c:v>
                </c:pt>
                <c:pt idx="36">
                  <c:v>1.1951000000000001</c:v>
                </c:pt>
                <c:pt idx="37">
                  <c:v>1.2270000000000001</c:v>
                </c:pt>
                <c:pt idx="38">
                  <c:v>1.1579999999999999</c:v>
                </c:pt>
                <c:pt idx="39">
                  <c:v>1.1685000000000001</c:v>
                </c:pt>
                <c:pt idx="40">
                  <c:v>1.2321</c:v>
                </c:pt>
                <c:pt idx="41">
                  <c:v>1.0895999999999999</c:v>
                </c:pt>
                <c:pt idx="42">
                  <c:v>1.1285000000000001</c:v>
                </c:pt>
                <c:pt idx="43">
                  <c:v>1.1471</c:v>
                </c:pt>
                <c:pt idx="44">
                  <c:v>1.115</c:v>
                </c:pt>
                <c:pt idx="45">
                  <c:v>1.111</c:v>
                </c:pt>
                <c:pt idx="46">
                  <c:v>1.2537</c:v>
                </c:pt>
                <c:pt idx="47">
                  <c:v>1.1816</c:v>
                </c:pt>
                <c:pt idx="48">
                  <c:v>1.1564000000000001</c:v>
                </c:pt>
                <c:pt idx="49">
                  <c:v>1.2218</c:v>
                </c:pt>
                <c:pt idx="50">
                  <c:v>1.3606</c:v>
                </c:pt>
                <c:pt idx="51">
                  <c:v>1.2706</c:v>
                </c:pt>
                <c:pt idx="52">
                  <c:v>1.3023</c:v>
                </c:pt>
                <c:pt idx="53">
                  <c:v>1.2111000000000001</c:v>
                </c:pt>
                <c:pt idx="54">
                  <c:v>1.3649</c:v>
                </c:pt>
                <c:pt idx="55">
                  <c:v>1.6812</c:v>
                </c:pt>
                <c:pt idx="56">
                  <c:v>1.6480999999999999</c:v>
                </c:pt>
                <c:pt idx="57">
                  <c:v>1.6724000000000001</c:v>
                </c:pt>
                <c:pt idx="58">
                  <c:v>1.6545000000000001</c:v>
                </c:pt>
                <c:pt idx="59">
                  <c:v>1.7016</c:v>
                </c:pt>
                <c:pt idx="60">
                  <c:v>1.7626999999999999</c:v>
                </c:pt>
                <c:pt idx="61">
                  <c:v>1.8176000000000001</c:v>
                </c:pt>
                <c:pt idx="62">
                  <c:v>1.5955999999999999</c:v>
                </c:pt>
                <c:pt idx="63">
                  <c:v>1.7905</c:v>
                </c:pt>
                <c:pt idx="64">
                  <c:v>1.6862999999999999</c:v>
                </c:pt>
                <c:pt idx="65">
                  <c:v>1.7727999999999999</c:v>
                </c:pt>
                <c:pt idx="66">
                  <c:v>1.8971</c:v>
                </c:pt>
                <c:pt idx="67">
                  <c:v>1.7649999999999999</c:v>
                </c:pt>
                <c:pt idx="68">
                  <c:v>1.6043000000000001</c:v>
                </c:pt>
                <c:pt idx="69">
                  <c:v>1.5069999999999999</c:v>
                </c:pt>
                <c:pt idx="70">
                  <c:v>1.4642999999999999</c:v>
                </c:pt>
                <c:pt idx="71">
                  <c:v>1.5464</c:v>
                </c:pt>
                <c:pt idx="72">
                  <c:v>1.5219</c:v>
                </c:pt>
                <c:pt idx="73">
                  <c:v>1.708</c:v>
                </c:pt>
                <c:pt idx="74">
                  <c:v>1.6990000000000001</c:v>
                </c:pt>
                <c:pt idx="75">
                  <c:v>1.7143999999999999</c:v>
                </c:pt>
                <c:pt idx="76">
                  <c:v>1.7107000000000001</c:v>
                </c:pt>
                <c:pt idx="77">
                  <c:v>1.7486999999999999</c:v>
                </c:pt>
                <c:pt idx="78">
                  <c:v>1.7142999999999999</c:v>
                </c:pt>
                <c:pt idx="79">
                  <c:v>1.8176000000000001</c:v>
                </c:pt>
                <c:pt idx="80">
                  <c:v>1.8016000000000001</c:v>
                </c:pt>
                <c:pt idx="81">
                  <c:v>1.7645999999999999</c:v>
                </c:pt>
                <c:pt idx="82">
                  <c:v>1.7338</c:v>
                </c:pt>
                <c:pt idx="83">
                  <c:v>1.7321</c:v>
                </c:pt>
                <c:pt idx="84">
                  <c:v>1.7613000000000001</c:v>
                </c:pt>
                <c:pt idx="85">
                  <c:v>1.7898000000000001</c:v>
                </c:pt>
                <c:pt idx="86">
                  <c:v>1.7494000000000001</c:v>
                </c:pt>
                <c:pt idx="87">
                  <c:v>1.65</c:v>
                </c:pt>
                <c:pt idx="88">
                  <c:v>1.6831</c:v>
                </c:pt>
                <c:pt idx="89">
                  <c:v>1.6172</c:v>
                </c:pt>
                <c:pt idx="90">
                  <c:v>1.6454</c:v>
                </c:pt>
                <c:pt idx="91">
                  <c:v>1.5705</c:v>
                </c:pt>
                <c:pt idx="92">
                  <c:v>1.5182</c:v>
                </c:pt>
                <c:pt idx="93">
                  <c:v>1.7887999999999999</c:v>
                </c:pt>
                <c:pt idx="94">
                  <c:v>1.8399000000000001</c:v>
                </c:pt>
                <c:pt idx="95">
                  <c:v>1.806</c:v>
                </c:pt>
                <c:pt idx="96">
                  <c:v>1.8091999999999999</c:v>
                </c:pt>
                <c:pt idx="97">
                  <c:v>1.8048999999999999</c:v>
                </c:pt>
                <c:pt idx="98">
                  <c:v>1.8138000000000001</c:v>
                </c:pt>
                <c:pt idx="99">
                  <c:v>1.806</c:v>
                </c:pt>
                <c:pt idx="100">
                  <c:v>1.7060999999999999</c:v>
                </c:pt>
                <c:pt idx="101">
                  <c:v>1.7343</c:v>
                </c:pt>
                <c:pt idx="102">
                  <c:v>1.7040999999999999</c:v>
                </c:pt>
                <c:pt idx="103">
                  <c:v>1.7706</c:v>
                </c:pt>
                <c:pt idx="104">
                  <c:v>1.7649999999999999</c:v>
                </c:pt>
                <c:pt idx="105">
                  <c:v>1.6698</c:v>
                </c:pt>
                <c:pt idx="106">
                  <c:v>1.6</c:v>
                </c:pt>
                <c:pt idx="107">
                  <c:v>1.6042000000000001</c:v>
                </c:pt>
                <c:pt idx="108">
                  <c:v>1.6695</c:v>
                </c:pt>
                <c:pt idx="109">
                  <c:v>1.7496</c:v>
                </c:pt>
                <c:pt idx="110">
                  <c:v>1.7101</c:v>
                </c:pt>
                <c:pt idx="111">
                  <c:v>1.6867000000000001</c:v>
                </c:pt>
                <c:pt idx="112">
                  <c:v>1.5580000000000001</c:v>
                </c:pt>
                <c:pt idx="113">
                  <c:v>1.5096000000000001</c:v>
                </c:pt>
                <c:pt idx="114">
                  <c:v>1.5629999999999999</c:v>
                </c:pt>
                <c:pt idx="115">
                  <c:v>1.516</c:v>
                </c:pt>
                <c:pt idx="116">
                  <c:v>1.5509999999999999</c:v>
                </c:pt>
                <c:pt idx="117">
                  <c:v>1.5324</c:v>
                </c:pt>
                <c:pt idx="118">
                  <c:v>1.5137</c:v>
                </c:pt>
                <c:pt idx="119">
                  <c:v>1.4191</c:v>
                </c:pt>
                <c:pt idx="120">
                  <c:v>1.3886000000000001</c:v>
                </c:pt>
                <c:pt idx="121">
                  <c:v>1.4</c:v>
                </c:pt>
                <c:pt idx="122">
                  <c:v>1.3882000000000001</c:v>
                </c:pt>
                <c:pt idx="123">
                  <c:v>1.3685</c:v>
                </c:pt>
                <c:pt idx="124">
                  <c:v>1.3647</c:v>
                </c:pt>
                <c:pt idx="125">
                  <c:v>1.4202999999999999</c:v>
                </c:pt>
                <c:pt idx="126">
                  <c:v>1.5525</c:v>
                </c:pt>
                <c:pt idx="127">
                  <c:v>1.544</c:v>
                </c:pt>
                <c:pt idx="128">
                  <c:v>1.3532</c:v>
                </c:pt>
                <c:pt idx="129">
                  <c:v>1.61</c:v>
                </c:pt>
                <c:pt idx="130">
                  <c:v>1.7689999999999999</c:v>
                </c:pt>
                <c:pt idx="131">
                  <c:v>1.7303999999999999</c:v>
                </c:pt>
                <c:pt idx="132">
                  <c:v>1.5992999999999999</c:v>
                </c:pt>
                <c:pt idx="133">
                  <c:v>1.6858</c:v>
                </c:pt>
                <c:pt idx="134">
                  <c:v>1.7411000000000001</c:v>
                </c:pt>
                <c:pt idx="135">
                  <c:v>1.6088</c:v>
                </c:pt>
                <c:pt idx="136">
                  <c:v>1.538</c:v>
                </c:pt>
                <c:pt idx="137">
                  <c:v>1.6870000000000001</c:v>
                </c:pt>
                <c:pt idx="138">
                  <c:v>1.5859000000000001</c:v>
                </c:pt>
                <c:pt idx="139">
                  <c:v>1.5549999999999999</c:v>
                </c:pt>
                <c:pt idx="140">
                  <c:v>1.7785</c:v>
                </c:pt>
                <c:pt idx="141">
                  <c:v>1.7529999999999999</c:v>
                </c:pt>
                <c:pt idx="142">
                  <c:v>1.8096000000000001</c:v>
                </c:pt>
                <c:pt idx="143">
                  <c:v>2.3492999999999999</c:v>
                </c:pt>
                <c:pt idx="144">
                  <c:v>2.4064999999999999</c:v>
                </c:pt>
                <c:pt idx="145">
                  <c:v>2.1943000000000001</c:v>
                </c:pt>
                <c:pt idx="146">
                  <c:v>2.1608000000000001</c:v>
                </c:pt>
                <c:pt idx="147">
                  <c:v>2.1555</c:v>
                </c:pt>
                <c:pt idx="148">
                  <c:v>2.1966999999999999</c:v>
                </c:pt>
                <c:pt idx="149">
                  <c:v>2.1046999999999998</c:v>
                </c:pt>
                <c:pt idx="150">
                  <c:v>2.1215000000000002</c:v>
                </c:pt>
                <c:pt idx="151">
                  <c:v>2.3860000000000001</c:v>
                </c:pt>
                <c:pt idx="152">
                  <c:v>2.37</c:v>
                </c:pt>
                <c:pt idx="153">
                  <c:v>2.2825000000000002</c:v>
                </c:pt>
                <c:pt idx="154">
                  <c:v>2.1185999999999998</c:v>
                </c:pt>
                <c:pt idx="155">
                  <c:v>2.21</c:v>
                </c:pt>
                <c:pt idx="156">
                  <c:v>2.0920000000000001</c:v>
                </c:pt>
                <c:pt idx="157">
                  <c:v>2.3620000000000001</c:v>
                </c:pt>
                <c:pt idx="158">
                  <c:v>2.2109999999999999</c:v>
                </c:pt>
                <c:pt idx="159">
                  <c:v>2.1720000000000002</c:v>
                </c:pt>
                <c:pt idx="160">
                  <c:v>2.246</c:v>
                </c:pt>
                <c:pt idx="161">
                  <c:v>2.1930000000000001</c:v>
                </c:pt>
                <c:pt idx="162">
                  <c:v>2.1859999999999999</c:v>
                </c:pt>
                <c:pt idx="163">
                  <c:v>2.0710000000000002</c:v>
                </c:pt>
                <c:pt idx="164">
                  <c:v>2.11</c:v>
                </c:pt>
                <c:pt idx="165">
                  <c:v>2.2050000000000001</c:v>
                </c:pt>
                <c:pt idx="166">
                  <c:v>2.173</c:v>
                </c:pt>
                <c:pt idx="167">
                  <c:v>2.2930000000000001</c:v>
                </c:pt>
                <c:pt idx="168">
                  <c:v>2.3610000000000002</c:v>
                </c:pt>
                <c:pt idx="169">
                  <c:v>2.2309999999999999</c:v>
                </c:pt>
                <c:pt idx="170">
                  <c:v>2.33</c:v>
                </c:pt>
                <c:pt idx="171">
                  <c:v>2.2469999999999999</c:v>
                </c:pt>
                <c:pt idx="172">
                  <c:v>2.41</c:v>
                </c:pt>
                <c:pt idx="173">
                  <c:v>2.944</c:v>
                </c:pt>
                <c:pt idx="174">
                  <c:v>2.726</c:v>
                </c:pt>
                <c:pt idx="175">
                  <c:v>1.9970000000000001</c:v>
                </c:pt>
                <c:pt idx="176">
                  <c:v>0.92400000000000004</c:v>
                </c:pt>
                <c:pt idx="177">
                  <c:v>0.89900000000000002</c:v>
                </c:pt>
                <c:pt idx="178">
                  <c:v>0.90600000000000003</c:v>
                </c:pt>
                <c:pt idx="179">
                  <c:v>0.89</c:v>
                </c:pt>
                <c:pt idx="180">
                  <c:v>0.96599999999999997</c:v>
                </c:pt>
                <c:pt idx="181">
                  <c:v>0.82</c:v>
                </c:pt>
                <c:pt idx="182">
                  <c:v>0.78300000000000003</c:v>
                </c:pt>
                <c:pt idx="183">
                  <c:v>0.80700000000000005</c:v>
                </c:pt>
                <c:pt idx="184">
                  <c:v>0.80900000000000005</c:v>
                </c:pt>
                <c:pt idx="185">
                  <c:v>0.78</c:v>
                </c:pt>
                <c:pt idx="186">
                  <c:v>0.85799999999999998</c:v>
                </c:pt>
                <c:pt idx="187">
                  <c:v>0.75700000000000001</c:v>
                </c:pt>
                <c:pt idx="188">
                  <c:v>0.72399999999999998</c:v>
                </c:pt>
                <c:pt idx="189">
                  <c:v>0.71199999999999997</c:v>
                </c:pt>
                <c:pt idx="190">
                  <c:v>0.67900000000000005</c:v>
                </c:pt>
                <c:pt idx="191">
                  <c:v>0.60799999999999998</c:v>
                </c:pt>
                <c:pt idx="192">
                  <c:v>0.66300000000000003</c:v>
                </c:pt>
                <c:pt idx="193">
                  <c:v>0.76600000000000001</c:v>
                </c:pt>
                <c:pt idx="194">
                  <c:v>0.71799999999999997</c:v>
                </c:pt>
                <c:pt idx="195">
                  <c:v>0.75</c:v>
                </c:pt>
                <c:pt idx="196">
                  <c:v>0.88</c:v>
                </c:pt>
                <c:pt idx="197">
                  <c:v>0.76500000000000001</c:v>
                </c:pt>
                <c:pt idx="198">
                  <c:v>0.70699999999999996</c:v>
                </c:pt>
                <c:pt idx="199">
                  <c:v>0.71299999999999997</c:v>
                </c:pt>
                <c:pt idx="200">
                  <c:v>0.77100000000000002</c:v>
                </c:pt>
                <c:pt idx="201">
                  <c:v>0.70099999999999996</c:v>
                </c:pt>
                <c:pt idx="202">
                  <c:v>0.71899999999999997</c:v>
                </c:pt>
                <c:pt idx="203">
                  <c:v>0.71099999999999997</c:v>
                </c:pt>
                <c:pt idx="204">
                  <c:v>0.77800000000000002</c:v>
                </c:pt>
                <c:pt idx="205">
                  <c:v>0.77400000000000002</c:v>
                </c:pt>
                <c:pt idx="206">
                  <c:v>0.72199999999999998</c:v>
                </c:pt>
                <c:pt idx="207">
                  <c:v>0.747</c:v>
                </c:pt>
                <c:pt idx="208">
                  <c:v>0.71699999999999997</c:v>
                </c:pt>
                <c:pt idx="209">
                  <c:v>0.71399999999999997</c:v>
                </c:pt>
                <c:pt idx="210">
                  <c:v>0.71799999999999997</c:v>
                </c:pt>
                <c:pt idx="211">
                  <c:v>0.72599999999999998</c:v>
                </c:pt>
                <c:pt idx="212">
                  <c:v>0.75</c:v>
                </c:pt>
                <c:pt idx="213">
                  <c:v>0.70799999999999996</c:v>
                </c:pt>
                <c:pt idx="214">
                  <c:v>0.69899999999999995</c:v>
                </c:pt>
                <c:pt idx="215">
                  <c:v>0.63</c:v>
                </c:pt>
                <c:pt idx="216">
                  <c:v>0.63900000000000001</c:v>
                </c:pt>
                <c:pt idx="217">
                  <c:v>0.73499999999999999</c:v>
                </c:pt>
                <c:pt idx="218">
                  <c:v>0.74399999999999999</c:v>
                </c:pt>
                <c:pt idx="219">
                  <c:v>0.72499999999999998</c:v>
                </c:pt>
                <c:pt idx="220">
                  <c:v>0.82099999999999995</c:v>
                </c:pt>
                <c:pt idx="221">
                  <c:v>1.1080000000000001</c:v>
                </c:pt>
                <c:pt idx="222">
                  <c:v>1.1120000000000001</c:v>
                </c:pt>
                <c:pt idx="223">
                  <c:v>1.085</c:v>
                </c:pt>
                <c:pt idx="224">
                  <c:v>1.1870000000000001</c:v>
                </c:pt>
                <c:pt idx="225">
                  <c:v>1.2110000000000001</c:v>
                </c:pt>
                <c:pt idx="226">
                  <c:v>1.2490000000000001</c:v>
                </c:pt>
                <c:pt idx="227">
                  <c:v>1.2829999999999999</c:v>
                </c:pt>
                <c:pt idx="228">
                  <c:v>1.2909999999999999</c:v>
                </c:pt>
                <c:pt idx="229">
                  <c:v>1.234</c:v>
                </c:pt>
                <c:pt idx="230">
                  <c:v>1.3129999999999999</c:v>
                </c:pt>
                <c:pt idx="231">
                  <c:v>1.18</c:v>
                </c:pt>
                <c:pt idx="232">
                  <c:v>1.32</c:v>
                </c:pt>
                <c:pt idx="233">
                  <c:v>1.159</c:v>
                </c:pt>
                <c:pt idx="234">
                  <c:v>1.2509999999999999</c:v>
                </c:pt>
                <c:pt idx="235">
                  <c:v>1.3440000000000001</c:v>
                </c:pt>
                <c:pt idx="236">
                  <c:v>1.278</c:v>
                </c:pt>
                <c:pt idx="237">
                  <c:v>1.355</c:v>
                </c:pt>
                <c:pt idx="238">
                  <c:v>1.488</c:v>
                </c:pt>
                <c:pt idx="239">
                  <c:v>1.4419999999999999</c:v>
                </c:pt>
                <c:pt idx="240">
                  <c:v>1.304</c:v>
                </c:pt>
                <c:pt idx="241">
                  <c:v>1.3440000000000001</c:v>
                </c:pt>
                <c:pt idx="242">
                  <c:v>1.2629999999999999</c:v>
                </c:pt>
                <c:pt idx="243">
                  <c:v>1.1359999999999999</c:v>
                </c:pt>
                <c:pt idx="244">
                  <c:v>1.26</c:v>
                </c:pt>
                <c:pt idx="245">
                  <c:v>1.4390000000000001</c:v>
                </c:pt>
                <c:pt idx="246">
                  <c:v>1.486</c:v>
                </c:pt>
                <c:pt idx="247">
                  <c:v>1.407</c:v>
                </c:pt>
                <c:pt idx="248">
                  <c:v>1.532</c:v>
                </c:pt>
                <c:pt idx="249">
                  <c:v>1.246</c:v>
                </c:pt>
                <c:pt idx="250">
                  <c:v>1.8</c:v>
                </c:pt>
                <c:pt idx="251">
                  <c:v>2.2930000000000001</c:v>
                </c:pt>
                <c:pt idx="252">
                  <c:v>1.49</c:v>
                </c:pt>
                <c:pt idx="253">
                  <c:v>1.36</c:v>
                </c:pt>
                <c:pt idx="254">
                  <c:v>2.0270000000000001</c:v>
                </c:pt>
                <c:pt idx="255">
                  <c:v>2.1110000000000002</c:v>
                </c:pt>
                <c:pt idx="256">
                  <c:v>2.355</c:v>
                </c:pt>
                <c:pt idx="257">
                  <c:v>2.4540000000000002</c:v>
                </c:pt>
                <c:pt idx="258">
                  <c:v>2.613</c:v>
                </c:pt>
                <c:pt idx="259">
                  <c:v>2.2829999999999999</c:v>
                </c:pt>
                <c:pt idx="260">
                  <c:v>2.2799999999999998</c:v>
                </c:pt>
                <c:pt idx="261">
                  <c:v>2.883</c:v>
                </c:pt>
                <c:pt idx="262">
                  <c:v>2.3410000000000002</c:v>
                </c:pt>
                <c:pt idx="263">
                  <c:v>2.7370000000000001</c:v>
                </c:pt>
                <c:pt idx="264">
                  <c:v>2.8119999999999998</c:v>
                </c:pt>
                <c:pt idx="265">
                  <c:v>2.8679999999999999</c:v>
                </c:pt>
                <c:pt idx="266">
                  <c:v>3.0920000000000001</c:v>
                </c:pt>
                <c:pt idx="267">
                  <c:v>2.99</c:v>
                </c:pt>
                <c:pt idx="268">
                  <c:v>2.7429999999999999</c:v>
                </c:pt>
                <c:pt idx="269">
                  <c:v>3.07</c:v>
                </c:pt>
                <c:pt idx="270">
                  <c:v>3.3090000000000002</c:v>
                </c:pt>
                <c:pt idx="271">
                  <c:v>3.6890000000000001</c:v>
                </c:pt>
                <c:pt idx="272">
                  <c:v>3.19</c:v>
                </c:pt>
                <c:pt idx="273">
                  <c:v>2.3610000000000002</c:v>
                </c:pt>
                <c:pt idx="274">
                  <c:v>2.2989999999999999</c:v>
                </c:pt>
                <c:pt idx="275">
                  <c:v>2.411</c:v>
                </c:pt>
                <c:pt idx="276">
                  <c:v>2.2229999999999999</c:v>
                </c:pt>
                <c:pt idx="277">
                  <c:v>1.7669999999999999</c:v>
                </c:pt>
                <c:pt idx="278">
                  <c:v>1.6879999999999999</c:v>
                </c:pt>
                <c:pt idx="279">
                  <c:v>1.8440000000000001</c:v>
                </c:pt>
                <c:pt idx="280">
                  <c:v>2.0619999999999998</c:v>
                </c:pt>
                <c:pt idx="281">
                  <c:v>2.278</c:v>
                </c:pt>
                <c:pt idx="282">
                  <c:v>2.4529999999999998</c:v>
                </c:pt>
                <c:pt idx="283">
                  <c:v>2.5019999999999998</c:v>
                </c:pt>
                <c:pt idx="284">
                  <c:v>2.794</c:v>
                </c:pt>
                <c:pt idx="285">
                  <c:v>3.1659999999999999</c:v>
                </c:pt>
                <c:pt idx="286">
                  <c:v>3.25</c:v>
                </c:pt>
                <c:pt idx="287">
                  <c:v>3.4910000000000001</c:v>
                </c:pt>
                <c:pt idx="288">
                  <c:v>3.2890000000000001</c:v>
                </c:pt>
                <c:pt idx="289">
                  <c:v>3.3849999999999998</c:v>
                </c:pt>
                <c:pt idx="290">
                  <c:v>3.4980000000000002</c:v>
                </c:pt>
                <c:pt idx="291">
                  <c:v>3.6309999999999998</c:v>
                </c:pt>
                <c:pt idx="292">
                  <c:v>3.6059999999999999</c:v>
                </c:pt>
                <c:pt idx="293">
                  <c:v>3.8439999999999999</c:v>
                </c:pt>
                <c:pt idx="294">
                  <c:v>3.6509999999999998</c:v>
                </c:pt>
                <c:pt idx="295">
                  <c:v>3.319</c:v>
                </c:pt>
                <c:pt idx="296">
                  <c:v>3.5169999999999999</c:v>
                </c:pt>
                <c:pt idx="297">
                  <c:v>3.7090000000000001</c:v>
                </c:pt>
                <c:pt idx="298">
                  <c:v>3.7930000000000001</c:v>
                </c:pt>
                <c:pt idx="299">
                  <c:v>3.7669999999999999</c:v>
                </c:pt>
                <c:pt idx="300">
                  <c:v>3.633</c:v>
                </c:pt>
                <c:pt idx="301">
                  <c:v>3.6859999999999999</c:v>
                </c:pt>
                <c:pt idx="302">
                  <c:v>3.8450000000000002</c:v>
                </c:pt>
                <c:pt idx="303">
                  <c:v>4.0330000000000004</c:v>
                </c:pt>
                <c:pt idx="304">
                  <c:v>4.2859999999999996</c:v>
                </c:pt>
                <c:pt idx="305">
                  <c:v>3.9740000000000002</c:v>
                </c:pt>
                <c:pt idx="306">
                  <c:v>3.9580000000000002</c:v>
                </c:pt>
                <c:pt idx="307">
                  <c:v>3.7770000000000001</c:v>
                </c:pt>
                <c:pt idx="308">
                  <c:v>3.516</c:v>
                </c:pt>
                <c:pt idx="309">
                  <c:v>3.7360000000000002</c:v>
                </c:pt>
                <c:pt idx="310">
                  <c:v>4.1070000000000002</c:v>
                </c:pt>
                <c:pt idx="311">
                  <c:v>4.1769999999999996</c:v>
                </c:pt>
                <c:pt idx="312">
                  <c:v>3.956</c:v>
                </c:pt>
                <c:pt idx="313">
                  <c:v>4.2080000000000002</c:v>
                </c:pt>
                <c:pt idx="314">
                  <c:v>4.601</c:v>
                </c:pt>
                <c:pt idx="315">
                  <c:v>3.69</c:v>
                </c:pt>
                <c:pt idx="316">
                  <c:v>3.7080000000000002</c:v>
                </c:pt>
                <c:pt idx="317">
                  <c:v>3.5129999999999999</c:v>
                </c:pt>
                <c:pt idx="318">
                  <c:v>4.0119999999999996</c:v>
                </c:pt>
                <c:pt idx="319">
                  <c:v>3.8010000000000002</c:v>
                </c:pt>
                <c:pt idx="320">
                  <c:v>3.6669999999999998</c:v>
                </c:pt>
                <c:pt idx="321">
                  <c:v>3.383</c:v>
                </c:pt>
                <c:pt idx="322">
                  <c:v>2.855</c:v>
                </c:pt>
                <c:pt idx="323">
                  <c:v>2.9169999999999998</c:v>
                </c:pt>
                <c:pt idx="324">
                  <c:v>2.972</c:v>
                </c:pt>
                <c:pt idx="325">
                  <c:v>2.778</c:v>
                </c:pt>
                <c:pt idx="326">
                  <c:v>2.8109999999999999</c:v>
                </c:pt>
                <c:pt idx="327">
                  <c:v>2.778</c:v>
                </c:pt>
                <c:pt idx="328">
                  <c:v>2.85</c:v>
                </c:pt>
                <c:pt idx="329">
                  <c:v>2.931</c:v>
                </c:pt>
                <c:pt idx="330">
                  <c:v>3.27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22-44DC-B821-29C74B3A835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-3.7753533309815586</c:v>
                </c:pt>
                <c:pt idx="1">
                  <c:v>-3.7740222309815588</c:v>
                </c:pt>
                <c:pt idx="2">
                  <c:v>-3.7402775662048335</c:v>
                </c:pt>
                <c:pt idx="3">
                  <c:v>-3.7386341269321059</c:v>
                </c:pt>
                <c:pt idx="4">
                  <c:v>-3.7529695224476542</c:v>
                </c:pt>
                <c:pt idx="5">
                  <c:v>-3.7543957679482878</c:v>
                </c:pt>
                <c:pt idx="6">
                  <c:v>-3.7484856681294647</c:v>
                </c:pt>
                <c:pt idx="7">
                  <c:v>-3.7298071884454025</c:v>
                </c:pt>
                <c:pt idx="8">
                  <c:v>-3.7251091248293311</c:v>
                </c:pt>
                <c:pt idx="9">
                  <c:v>-3.7199573288035057</c:v>
                </c:pt>
                <c:pt idx="10">
                  <c:v>-3.7224314166413439</c:v>
                </c:pt>
                <c:pt idx="11">
                  <c:v>-3.7156860660538</c:v>
                </c:pt>
                <c:pt idx="12">
                  <c:v>-3.7129331576379587</c:v>
                </c:pt>
                <c:pt idx="13">
                  <c:v>-3.6974278099975089</c:v>
                </c:pt>
                <c:pt idx="14">
                  <c:v>-3.6977970051240505</c:v>
                </c:pt>
                <c:pt idx="15">
                  <c:v>-3.6900752160986268</c:v>
                </c:pt>
                <c:pt idx="16">
                  <c:v>-3.694712887142976</c:v>
                </c:pt>
                <c:pt idx="17">
                  <c:v>-3.7015494958886208</c:v>
                </c:pt>
                <c:pt idx="18">
                  <c:v>-3.7042281377877071</c:v>
                </c:pt>
                <c:pt idx="19">
                  <c:v>-3.7056616877145001</c:v>
                </c:pt>
                <c:pt idx="20">
                  <c:v>-3.700956476488813</c:v>
                </c:pt>
                <c:pt idx="21">
                  <c:v>-3.6960040030959553</c:v>
                </c:pt>
                <c:pt idx="22">
                  <c:v>-3.6941172808000369</c:v>
                </c:pt>
                <c:pt idx="23">
                  <c:v>-3.6869730550000366</c:v>
                </c:pt>
                <c:pt idx="24">
                  <c:v>-3.6798297090000371</c:v>
                </c:pt>
                <c:pt idx="25">
                  <c:v>-3.6751352213441226</c:v>
                </c:pt>
                <c:pt idx="26">
                  <c:v>-3.6736554706415467</c:v>
                </c:pt>
                <c:pt idx="27">
                  <c:v>-3.6761416348617302</c:v>
                </c:pt>
                <c:pt idx="28">
                  <c:v>-3.6647927626176062</c:v>
                </c:pt>
                <c:pt idx="29">
                  <c:v>-3.6655560459509391</c:v>
                </c:pt>
                <c:pt idx="30">
                  <c:v>-3.6545113851373801</c:v>
                </c:pt>
                <c:pt idx="31">
                  <c:v>-3.6426218528838588</c:v>
                </c:pt>
                <c:pt idx="32">
                  <c:v>-3.6115328720823316</c:v>
                </c:pt>
                <c:pt idx="33">
                  <c:v>-3.6155191449032511</c:v>
                </c:pt>
                <c:pt idx="34">
                  <c:v>-3.6148914036162942</c:v>
                </c:pt>
                <c:pt idx="35">
                  <c:v>-3.5981643259692353</c:v>
                </c:pt>
                <c:pt idx="36">
                  <c:v>-3.6022216589340594</c:v>
                </c:pt>
                <c:pt idx="37">
                  <c:v>-3.58430182893406</c:v>
                </c:pt>
                <c:pt idx="38">
                  <c:v>-3.5979717824123205</c:v>
                </c:pt>
                <c:pt idx="39">
                  <c:v>-3.5959057108333732</c:v>
                </c:pt>
                <c:pt idx="40">
                  <c:v>-3.5643468785000398</c:v>
                </c:pt>
                <c:pt idx="41">
                  <c:v>-3.4910572705933007</c:v>
                </c:pt>
                <c:pt idx="42">
                  <c:v>-3.4838505780755344</c:v>
                </c:pt>
                <c:pt idx="43">
                  <c:v>-3.4728925526209893</c:v>
                </c:pt>
                <c:pt idx="44">
                  <c:v>-3.483290906622674</c:v>
                </c:pt>
                <c:pt idx="45">
                  <c:v>-3.4853087268403806</c:v>
                </c:pt>
                <c:pt idx="46">
                  <c:v>-3.4718376252497243</c:v>
                </c:pt>
                <c:pt idx="47">
                  <c:v>-3.4161112134876102</c:v>
                </c:pt>
                <c:pt idx="48">
                  <c:v>-3.4163597391604337</c:v>
                </c:pt>
                <c:pt idx="49">
                  <c:v>-3.4023565885252252</c:v>
                </c:pt>
                <c:pt idx="50">
                  <c:v>-3.3516823913651042</c:v>
                </c:pt>
                <c:pt idx="51">
                  <c:v>-3.3242814906313209</c:v>
                </c:pt>
                <c:pt idx="52">
                  <c:v>-3.3141532817151482</c:v>
                </c:pt>
                <c:pt idx="53">
                  <c:v>-3.3350117069727898</c:v>
                </c:pt>
                <c:pt idx="54">
                  <c:v>-3.318094017761152</c:v>
                </c:pt>
                <c:pt idx="55">
                  <c:v>-3.3163923949743968</c:v>
                </c:pt>
                <c:pt idx="56">
                  <c:v>-3.3048249349132974</c:v>
                </c:pt>
                <c:pt idx="57">
                  <c:v>-3.3062450635948615</c:v>
                </c:pt>
                <c:pt idx="58">
                  <c:v>-3.3068969999106517</c:v>
                </c:pt>
                <c:pt idx="59">
                  <c:v>-3.2957470258207637</c:v>
                </c:pt>
                <c:pt idx="60">
                  <c:v>-3.2778780242147407</c:v>
                </c:pt>
                <c:pt idx="61">
                  <c:v>-3.1665320111101258</c:v>
                </c:pt>
                <c:pt idx="62">
                  <c:v>-3.2006989046542587</c:v>
                </c:pt>
                <c:pt idx="63">
                  <c:v>-3.1708254314880753</c:v>
                </c:pt>
                <c:pt idx="64">
                  <c:v>-3.1961093399370992</c:v>
                </c:pt>
                <c:pt idx="65">
                  <c:v>-3.1832419269641266</c:v>
                </c:pt>
                <c:pt idx="66">
                  <c:v>-3.1408585342723363</c:v>
                </c:pt>
                <c:pt idx="67">
                  <c:v>-2.9005927983869642</c:v>
                </c:pt>
                <c:pt idx="68">
                  <c:v>-2.9097181860092625</c:v>
                </c:pt>
                <c:pt idx="69">
                  <c:v>-2.9101641026148792</c:v>
                </c:pt>
                <c:pt idx="70">
                  <c:v>-2.9089262389700195</c:v>
                </c:pt>
                <c:pt idx="71">
                  <c:v>-2.9020147694401595</c:v>
                </c:pt>
                <c:pt idx="72">
                  <c:v>-2.9074985911254787</c:v>
                </c:pt>
                <c:pt idx="73">
                  <c:v>-2.8873286647975953</c:v>
                </c:pt>
                <c:pt idx="74">
                  <c:v>-2.8742494578840145</c:v>
                </c:pt>
                <c:pt idx="75">
                  <c:v>-2.8683258838534029</c:v>
                </c:pt>
                <c:pt idx="76">
                  <c:v>-2.8664612144810175</c:v>
                </c:pt>
                <c:pt idx="77">
                  <c:v>-2.8691241588037268</c:v>
                </c:pt>
                <c:pt idx="78">
                  <c:v>-2.8719625402018059</c:v>
                </c:pt>
                <c:pt idx="79">
                  <c:v>-2.8642315303755033</c:v>
                </c:pt>
                <c:pt idx="80">
                  <c:v>-2.8764794838849372</c:v>
                </c:pt>
                <c:pt idx="81">
                  <c:v>-2.8816604380387831</c:v>
                </c:pt>
                <c:pt idx="82">
                  <c:v>-2.871894234499079</c:v>
                </c:pt>
                <c:pt idx="83">
                  <c:v>-2.8714343731431469</c:v>
                </c:pt>
                <c:pt idx="84">
                  <c:v>-2.8498465517026452</c:v>
                </c:pt>
                <c:pt idx="85">
                  <c:v>-2.8296680578564919</c:v>
                </c:pt>
                <c:pt idx="86">
                  <c:v>-2.6690737648343439</c:v>
                </c:pt>
                <c:pt idx="87">
                  <c:v>-2.6780031678754885</c:v>
                </c:pt>
                <c:pt idx="88">
                  <c:v>-2.6713197837191491</c:v>
                </c:pt>
                <c:pt idx="89">
                  <c:v>-2.6857996107652728</c:v>
                </c:pt>
                <c:pt idx="90">
                  <c:v>-2.6793575189477497</c:v>
                </c:pt>
                <c:pt idx="91">
                  <c:v>-2.6865191099652641</c:v>
                </c:pt>
                <c:pt idx="92">
                  <c:v>-2.6873349371652644</c:v>
                </c:pt>
                <c:pt idx="93">
                  <c:v>-2.6604771592473053</c:v>
                </c:pt>
                <c:pt idx="94">
                  <c:v>-2.6473553493665558</c:v>
                </c:pt>
                <c:pt idx="95">
                  <c:v>-2.6456628145779848</c:v>
                </c:pt>
                <c:pt idx="96">
                  <c:v>-2.6284857051537776</c:v>
                </c:pt>
                <c:pt idx="97">
                  <c:v>-2.6223338441694697</c:v>
                </c:pt>
                <c:pt idx="98">
                  <c:v>-2.6107913758901171</c:v>
                </c:pt>
                <c:pt idx="99">
                  <c:v>-2.5961909840917525</c:v>
                </c:pt>
                <c:pt idx="100">
                  <c:v>-2.5482810694310238</c:v>
                </c:pt>
                <c:pt idx="101">
                  <c:v>-2.5485312883730034</c:v>
                </c:pt>
                <c:pt idx="102">
                  <c:v>-2.5582696256653108</c:v>
                </c:pt>
                <c:pt idx="103">
                  <c:v>-2.5557648449027837</c:v>
                </c:pt>
                <c:pt idx="104">
                  <c:v>-2.5510429740807772</c:v>
                </c:pt>
                <c:pt idx="105">
                  <c:v>-2.5386938675407502</c:v>
                </c:pt>
                <c:pt idx="106">
                  <c:v>-2.5415760213688752</c:v>
                </c:pt>
                <c:pt idx="107">
                  <c:v>-2.552908597078654</c:v>
                </c:pt>
                <c:pt idx="108">
                  <c:v>-2.5544902044376836</c:v>
                </c:pt>
                <c:pt idx="109">
                  <c:v>-2.4935632486874475</c:v>
                </c:pt>
                <c:pt idx="110">
                  <c:v>-2.390484825923811</c:v>
                </c:pt>
                <c:pt idx="111">
                  <c:v>-2.4085948777419932</c:v>
                </c:pt>
                <c:pt idx="112">
                  <c:v>-2.4072726787809544</c:v>
                </c:pt>
                <c:pt idx="113">
                  <c:v>-2.3897774114623904</c:v>
                </c:pt>
                <c:pt idx="114">
                  <c:v>-2.3926085821828513</c:v>
                </c:pt>
                <c:pt idx="115">
                  <c:v>-2.3880649023863603</c:v>
                </c:pt>
                <c:pt idx="116">
                  <c:v>-2.3909659878604979</c:v>
                </c:pt>
                <c:pt idx="117">
                  <c:v>-2.3980441452217547</c:v>
                </c:pt>
                <c:pt idx="118">
                  <c:v>-2.38921837645771</c:v>
                </c:pt>
                <c:pt idx="119">
                  <c:v>-2.4062853310874588</c:v>
                </c:pt>
                <c:pt idx="120">
                  <c:v>-2.4121403661888627</c:v>
                </c:pt>
                <c:pt idx="121">
                  <c:v>-2.3971442730874131</c:v>
                </c:pt>
                <c:pt idx="122">
                  <c:v>-2.3559934860177174</c:v>
                </c:pt>
                <c:pt idx="123">
                  <c:v>-2.3369690833561791</c:v>
                </c:pt>
                <c:pt idx="124">
                  <c:v>-2.3313410983158787</c:v>
                </c:pt>
                <c:pt idx="125">
                  <c:v>-2.3206905220544107</c:v>
                </c:pt>
                <c:pt idx="126">
                  <c:v>-2.3137087796106806</c:v>
                </c:pt>
                <c:pt idx="127">
                  <c:v>-2.278191215489469</c:v>
                </c:pt>
                <c:pt idx="128">
                  <c:v>-2.3026594523089527</c:v>
                </c:pt>
                <c:pt idx="129">
                  <c:v>-2.2623381525049675</c:v>
                </c:pt>
                <c:pt idx="130">
                  <c:v>-2.2466010116761561</c:v>
                </c:pt>
                <c:pt idx="131">
                  <c:v>-2.0853087343072341</c:v>
                </c:pt>
                <c:pt idx="132">
                  <c:v>-2.0068155716682274</c:v>
                </c:pt>
                <c:pt idx="133">
                  <c:v>-2.0024522448118778</c:v>
                </c:pt>
                <c:pt idx="134">
                  <c:v>-1.9952249782938447</c:v>
                </c:pt>
                <c:pt idx="135">
                  <c:v>-2.0100067343637598</c:v>
                </c:pt>
                <c:pt idx="136">
                  <c:v>-2.0137489600568959</c:v>
                </c:pt>
                <c:pt idx="137">
                  <c:v>-2.0059277409003631</c:v>
                </c:pt>
                <c:pt idx="138">
                  <c:v>-2.0064080438672041</c:v>
                </c:pt>
                <c:pt idx="139">
                  <c:v>-1.9988403834939092</c:v>
                </c:pt>
                <c:pt idx="140">
                  <c:v>-1.9814759677345544</c:v>
                </c:pt>
                <c:pt idx="141">
                  <c:v>-1.9847554465298485</c:v>
                </c:pt>
                <c:pt idx="142">
                  <c:v>-2.0035070851724557</c:v>
                </c:pt>
                <c:pt idx="143">
                  <c:v>-1.9443178361335545</c:v>
                </c:pt>
                <c:pt idx="144">
                  <c:v>-1.9328197649335546</c:v>
                </c:pt>
                <c:pt idx="145">
                  <c:v>-1.850433503605404</c:v>
                </c:pt>
                <c:pt idx="146">
                  <c:v>-1.8386103673997056</c:v>
                </c:pt>
                <c:pt idx="147">
                  <c:v>-1.8204119917266812</c:v>
                </c:pt>
                <c:pt idx="148">
                  <c:v>-1.7975392663705556</c:v>
                </c:pt>
                <c:pt idx="149">
                  <c:v>-1.7965649177205558</c:v>
                </c:pt>
                <c:pt idx="150">
                  <c:v>-1.7702094560803436</c:v>
                </c:pt>
                <c:pt idx="151">
                  <c:v>-1.7218972088339672</c:v>
                </c:pt>
                <c:pt idx="152">
                  <c:v>-1.7042483661893391</c:v>
                </c:pt>
                <c:pt idx="153">
                  <c:v>-1.6841380783820654</c:v>
                </c:pt>
                <c:pt idx="154">
                  <c:v>-1.6412778356807836</c:v>
                </c:pt>
                <c:pt idx="155">
                  <c:v>-1.5973705127514892</c:v>
                </c:pt>
                <c:pt idx="156">
                  <c:v>-1.6246917185971628</c:v>
                </c:pt>
                <c:pt idx="157">
                  <c:v>-1.5903133187130249</c:v>
                </c:pt>
                <c:pt idx="158">
                  <c:v>-1.5438548456916747</c:v>
                </c:pt>
                <c:pt idx="159">
                  <c:v>-1.5475574256146747</c:v>
                </c:pt>
                <c:pt idx="160">
                  <c:v>-1.5063266412779737</c:v>
                </c:pt>
                <c:pt idx="161">
                  <c:v>-1.4887067913329968</c:v>
                </c:pt>
                <c:pt idx="162">
                  <c:v>-1.4896901448472135</c:v>
                </c:pt>
                <c:pt idx="163">
                  <c:v>-1.4609676574476391</c:v>
                </c:pt>
                <c:pt idx="164">
                  <c:v>-1.4363085097881894</c:v>
                </c:pt>
                <c:pt idx="165">
                  <c:v>-1.3976185944145725</c:v>
                </c:pt>
                <c:pt idx="166">
                  <c:v>-1.3874757846033603</c:v>
                </c:pt>
                <c:pt idx="167">
                  <c:v>-1.3715624284151371</c:v>
                </c:pt>
                <c:pt idx="168">
                  <c:v>-1.3103060738549677</c:v>
                </c:pt>
                <c:pt idx="169">
                  <c:v>-1.2250513793410323</c:v>
                </c:pt>
                <c:pt idx="170">
                  <c:v>-1.2139216568651348</c:v>
                </c:pt>
                <c:pt idx="171">
                  <c:v>-1.2630486399501346</c:v>
                </c:pt>
                <c:pt idx="172">
                  <c:v>-1.1683332361316441</c:v>
                </c:pt>
                <c:pt idx="173">
                  <c:v>-1.0616737410223169</c:v>
                </c:pt>
                <c:pt idx="174">
                  <c:v>-0.74719759267501351</c:v>
                </c:pt>
                <c:pt idx="175">
                  <c:v>-0.47858075201233408</c:v>
                </c:pt>
                <c:pt idx="176">
                  <c:v>-0.82727857150799389</c:v>
                </c:pt>
                <c:pt idx="177">
                  <c:v>-0.82551319118983613</c:v>
                </c:pt>
                <c:pt idx="178">
                  <c:v>-0.82496456263060547</c:v>
                </c:pt>
                <c:pt idx="179">
                  <c:v>-0.82741541553759168</c:v>
                </c:pt>
                <c:pt idx="180">
                  <c:v>-0.79519094556486447</c:v>
                </c:pt>
                <c:pt idx="181">
                  <c:v>-0.82876329966872542</c:v>
                </c:pt>
                <c:pt idx="182">
                  <c:v>-0.8473321323017412</c:v>
                </c:pt>
                <c:pt idx="183">
                  <c:v>-0.84455200931003394</c:v>
                </c:pt>
                <c:pt idx="184">
                  <c:v>-0.84437783719924742</c:v>
                </c:pt>
                <c:pt idx="185">
                  <c:v>-0.85678589918848802</c:v>
                </c:pt>
                <c:pt idx="186">
                  <c:v>-0.83209027107011579</c:v>
                </c:pt>
                <c:pt idx="187">
                  <c:v>-0.8558796418977711</c:v>
                </c:pt>
                <c:pt idx="188">
                  <c:v>-0.8490616061104026</c:v>
                </c:pt>
                <c:pt idx="189">
                  <c:v>-0.85885909254501802</c:v>
                </c:pt>
                <c:pt idx="190">
                  <c:v>-0.87034906109301802</c:v>
                </c:pt>
                <c:pt idx="191">
                  <c:v>-0.88634165403301801</c:v>
                </c:pt>
                <c:pt idx="192">
                  <c:v>-0.88086456643479016</c:v>
                </c:pt>
                <c:pt idx="193">
                  <c:v>-0.86871192123262808</c:v>
                </c:pt>
                <c:pt idx="194">
                  <c:v>-0.88798102285508096</c:v>
                </c:pt>
                <c:pt idx="195">
                  <c:v>-0.85502493818919056</c:v>
                </c:pt>
                <c:pt idx="196">
                  <c:v>-0.72987956839959289</c:v>
                </c:pt>
                <c:pt idx="197">
                  <c:v>-0.71232492069737074</c:v>
                </c:pt>
                <c:pt idx="198">
                  <c:v>-0.72201838010070407</c:v>
                </c:pt>
                <c:pt idx="199">
                  <c:v>-0.71771611911945421</c:v>
                </c:pt>
                <c:pt idx="200">
                  <c:v>-0.71208269944945424</c:v>
                </c:pt>
                <c:pt idx="201">
                  <c:v>-0.72743486892419118</c:v>
                </c:pt>
                <c:pt idx="202">
                  <c:v>-0.72399714219871947</c:v>
                </c:pt>
                <c:pt idx="203">
                  <c:v>-0.73007725331642437</c:v>
                </c:pt>
                <c:pt idx="204">
                  <c:v>-0.72041129591539876</c:v>
                </c:pt>
                <c:pt idx="205">
                  <c:v>-0.70882781399047123</c:v>
                </c:pt>
                <c:pt idx="206">
                  <c:v>-0.71805261380197127</c:v>
                </c:pt>
                <c:pt idx="207">
                  <c:v>-0.71723086660544944</c:v>
                </c:pt>
                <c:pt idx="208">
                  <c:v>-0.71321815867144933</c:v>
                </c:pt>
                <c:pt idx="209">
                  <c:v>-0.70775512156744946</c:v>
                </c:pt>
                <c:pt idx="210">
                  <c:v>-0.704928136377037</c:v>
                </c:pt>
                <c:pt idx="211">
                  <c:v>-0.6970897516880975</c:v>
                </c:pt>
                <c:pt idx="212">
                  <c:v>-0.7004239607829027</c:v>
                </c:pt>
                <c:pt idx="213">
                  <c:v>-0.68731819413715811</c:v>
                </c:pt>
                <c:pt idx="214">
                  <c:v>-0.69697206658115807</c:v>
                </c:pt>
                <c:pt idx="215">
                  <c:v>-0.68936976496782476</c:v>
                </c:pt>
                <c:pt idx="216">
                  <c:v>-0.68896101537515797</c:v>
                </c:pt>
                <c:pt idx="217">
                  <c:v>-0.67208473846455208</c:v>
                </c:pt>
                <c:pt idx="218">
                  <c:v>-0.67109345338236015</c:v>
                </c:pt>
                <c:pt idx="219">
                  <c:v>-0.66467115519430053</c:v>
                </c:pt>
                <c:pt idx="220">
                  <c:v>-0.66248305382673522</c:v>
                </c:pt>
                <c:pt idx="221">
                  <c:v>-0.62973786149693189</c:v>
                </c:pt>
                <c:pt idx="222">
                  <c:v>-0.6157001942144722</c:v>
                </c:pt>
                <c:pt idx="223">
                  <c:v>-0.60901648752788029</c:v>
                </c:pt>
                <c:pt idx="224">
                  <c:v>-0.60557009144060747</c:v>
                </c:pt>
                <c:pt idx="225">
                  <c:v>-0.60072773369438703</c:v>
                </c:pt>
                <c:pt idx="226">
                  <c:v>-0.59958287217708373</c:v>
                </c:pt>
                <c:pt idx="227">
                  <c:v>-0.5946734135883337</c:v>
                </c:pt>
                <c:pt idx="228">
                  <c:v>-0.58497447417966719</c:v>
                </c:pt>
                <c:pt idx="229">
                  <c:v>-0.5987613833634724</c:v>
                </c:pt>
                <c:pt idx="230">
                  <c:v>-0.58634550141689057</c:v>
                </c:pt>
                <c:pt idx="231">
                  <c:v>-0.58844913269766619</c:v>
                </c:pt>
                <c:pt idx="232">
                  <c:v>-0.57052629596977134</c:v>
                </c:pt>
                <c:pt idx="233">
                  <c:v>-0.57176492868751538</c:v>
                </c:pt>
                <c:pt idx="234">
                  <c:v>-0.57550660900316242</c:v>
                </c:pt>
                <c:pt idx="235">
                  <c:v>-0.55648199406007159</c:v>
                </c:pt>
                <c:pt idx="236">
                  <c:v>-0.54328821978185371</c:v>
                </c:pt>
                <c:pt idx="237">
                  <c:v>-0.53830931737805376</c:v>
                </c:pt>
                <c:pt idx="238">
                  <c:v>-0.53450929744388698</c:v>
                </c:pt>
                <c:pt idx="239">
                  <c:v>-0.51058458972960141</c:v>
                </c:pt>
                <c:pt idx="240">
                  <c:v>-0.50055902242900341</c:v>
                </c:pt>
                <c:pt idx="241">
                  <c:v>-0.49595087303217417</c:v>
                </c:pt>
                <c:pt idx="242">
                  <c:v>-0.49861526134881756</c:v>
                </c:pt>
                <c:pt idx="243">
                  <c:v>-0.50427718608316541</c:v>
                </c:pt>
                <c:pt idx="244">
                  <c:v>-0.49777882445059274</c:v>
                </c:pt>
                <c:pt idx="245">
                  <c:v>-0.48917072063672418</c:v>
                </c:pt>
                <c:pt idx="246">
                  <c:v>-0.48759984295879194</c:v>
                </c:pt>
                <c:pt idx="247">
                  <c:v>-0.48950888035879192</c:v>
                </c:pt>
                <c:pt idx="248">
                  <c:v>-0.48917384371367839</c:v>
                </c:pt>
                <c:pt idx="249">
                  <c:v>-0.51484046777045378</c:v>
                </c:pt>
                <c:pt idx="250">
                  <c:v>-0.47518915174129184</c:v>
                </c:pt>
                <c:pt idx="251">
                  <c:v>-0.29583173806912044</c:v>
                </c:pt>
                <c:pt idx="252">
                  <c:v>-0.37913522430126245</c:v>
                </c:pt>
                <c:pt idx="253">
                  <c:v>-0.38017147840224458</c:v>
                </c:pt>
                <c:pt idx="254">
                  <c:v>-0.36529578001343294</c:v>
                </c:pt>
                <c:pt idx="255">
                  <c:v>-0.35982887460265278</c:v>
                </c:pt>
                <c:pt idx="256">
                  <c:v>-0.35543330587609817</c:v>
                </c:pt>
                <c:pt idx="257">
                  <c:v>-0.3504892208090612</c:v>
                </c:pt>
                <c:pt idx="258">
                  <c:v>-0.33336857683378224</c:v>
                </c:pt>
                <c:pt idx="259">
                  <c:v>-0.34648864307548222</c:v>
                </c:pt>
                <c:pt idx="260">
                  <c:v>-0.33715145153715986</c:v>
                </c:pt>
                <c:pt idx="261">
                  <c:v>-0.30585404827733004</c:v>
                </c:pt>
                <c:pt idx="262">
                  <c:v>-0.32315001546650046</c:v>
                </c:pt>
                <c:pt idx="263">
                  <c:v>-0.30840408877686776</c:v>
                </c:pt>
                <c:pt idx="264">
                  <c:v>-0.3033809241780529</c:v>
                </c:pt>
                <c:pt idx="265">
                  <c:v>-0.29427335952854072</c:v>
                </c:pt>
                <c:pt idx="266">
                  <c:v>-0.27983785386173954</c:v>
                </c:pt>
                <c:pt idx="267">
                  <c:v>-0.28714964995899839</c:v>
                </c:pt>
                <c:pt idx="268">
                  <c:v>-0.27119234023140104</c:v>
                </c:pt>
                <c:pt idx="269">
                  <c:v>-0.24737159422056762</c:v>
                </c:pt>
                <c:pt idx="270">
                  <c:v>-0.21362722590853803</c:v>
                </c:pt>
                <c:pt idx="271">
                  <c:v>-0.17074302491873042</c:v>
                </c:pt>
                <c:pt idx="272">
                  <c:v>-0.12839495544222296</c:v>
                </c:pt>
                <c:pt idx="273">
                  <c:v>-9.6869393014622593E-2</c:v>
                </c:pt>
                <c:pt idx="274">
                  <c:v>-0.10611705655297347</c:v>
                </c:pt>
                <c:pt idx="275">
                  <c:v>-0.10243568871723339</c:v>
                </c:pt>
                <c:pt idx="276">
                  <c:v>-7.849200087199884E-2</c:v>
                </c:pt>
                <c:pt idx="277">
                  <c:v>-8.413960315285747E-2</c:v>
                </c:pt>
                <c:pt idx="278">
                  <c:v>-8.1319260587472852E-2</c:v>
                </c:pt>
                <c:pt idx="279">
                  <c:v>-7.6476964469202588E-2</c:v>
                </c:pt>
                <c:pt idx="280">
                  <c:v>-7.8627306734588731E-2</c:v>
                </c:pt>
                <c:pt idx="281">
                  <c:v>-7.2001971909731594E-2</c:v>
                </c:pt>
                <c:pt idx="282">
                  <c:v>-6.6902505665051445E-2</c:v>
                </c:pt>
                <c:pt idx="283">
                  <c:v>-7.8964174996678099E-2</c:v>
                </c:pt>
                <c:pt idx="284">
                  <c:v>-7.4977612338000418E-2</c:v>
                </c:pt>
                <c:pt idx="285">
                  <c:v>-7.4222938737048022E-2</c:v>
                </c:pt>
                <c:pt idx="286">
                  <c:v>-6.892532734223096E-2</c:v>
                </c:pt>
                <c:pt idx="287">
                  <c:v>-6.6497232883749952E-2</c:v>
                </c:pt>
                <c:pt idx="288">
                  <c:v>-6.9415855954629083E-2</c:v>
                </c:pt>
                <c:pt idx="289">
                  <c:v>-6.9596099522281268E-2</c:v>
                </c:pt>
                <c:pt idx="290">
                  <c:v>-6.6579443523883647E-2</c:v>
                </c:pt>
                <c:pt idx="291">
                  <c:v>-6.5661005346105861E-2</c:v>
                </c:pt>
                <c:pt idx="292">
                  <c:v>-6.8134382620287662E-2</c:v>
                </c:pt>
                <c:pt idx="293">
                  <c:v>-6.3409960284554326E-2</c:v>
                </c:pt>
                <c:pt idx="294">
                  <c:v>-6.3014638289364169E-2</c:v>
                </c:pt>
                <c:pt idx="295">
                  <c:v>-6.5978400910524176E-2</c:v>
                </c:pt>
                <c:pt idx="296">
                  <c:v>-6.4245489361952735E-2</c:v>
                </c:pt>
                <c:pt idx="297">
                  <c:v>-5.8762457254307163E-2</c:v>
                </c:pt>
                <c:pt idx="298">
                  <c:v>-5.5340845885386299E-2</c:v>
                </c:pt>
                <c:pt idx="299">
                  <c:v>-5.589502964456438E-2</c:v>
                </c:pt>
                <c:pt idx="300">
                  <c:v>-5.4316292780994438E-2</c:v>
                </c:pt>
                <c:pt idx="301">
                  <c:v>-4.28617994329034E-2</c:v>
                </c:pt>
                <c:pt idx="302">
                  <c:v>-4.1222718134672105E-2</c:v>
                </c:pt>
                <c:pt idx="303">
                  <c:v>-4.0796986085345689E-2</c:v>
                </c:pt>
                <c:pt idx="304">
                  <c:v>-3.6437948145004784E-2</c:v>
                </c:pt>
                <c:pt idx="305">
                  <c:v>-4.0190577254463261E-2</c:v>
                </c:pt>
                <c:pt idx="306">
                  <c:v>-4.0392991380706365E-2</c:v>
                </c:pt>
                <c:pt idx="307">
                  <c:v>-3.9533823733937136E-2</c:v>
                </c:pt>
                <c:pt idx="308">
                  <c:v>-4.2157871708393656E-2</c:v>
                </c:pt>
                <c:pt idx="309">
                  <c:v>-3.4187392609836088E-2</c:v>
                </c:pt>
                <c:pt idx="310">
                  <c:v>-2.6565561642185962E-2</c:v>
                </c:pt>
                <c:pt idx="311">
                  <c:v>-2.2218181220612927E-2</c:v>
                </c:pt>
                <c:pt idx="312">
                  <c:v>-1.9654629990111347E-2</c:v>
                </c:pt>
                <c:pt idx="313">
                  <c:v>-1.5133103458346639E-2</c:v>
                </c:pt>
                <c:pt idx="314">
                  <c:v>-8.6690314284959061E-3</c:v>
                </c:pt>
                <c:pt idx="315">
                  <c:v>-2.2557434804199611E-2</c:v>
                </c:pt>
                <c:pt idx="316">
                  <c:v>-2.3718427474363549E-2</c:v>
                </c:pt>
                <c:pt idx="317">
                  <c:v>-3.0224733816189637E-2</c:v>
                </c:pt>
                <c:pt idx="318">
                  <c:v>-1.9355615662538142E-2</c:v>
                </c:pt>
                <c:pt idx="319">
                  <c:v>-3.6855722103890785E-2</c:v>
                </c:pt>
                <c:pt idx="320">
                  <c:v>-3.7512257083028723E-2</c:v>
                </c:pt>
                <c:pt idx="321">
                  <c:v>-4.1077795180375423E-2</c:v>
                </c:pt>
                <c:pt idx="322">
                  <c:v>-6.5882010689450071E-2</c:v>
                </c:pt>
                <c:pt idx="323">
                  <c:v>-6.3350770606927259E-2</c:v>
                </c:pt>
                <c:pt idx="324">
                  <c:v>-5.4594226651893236E-2</c:v>
                </c:pt>
                <c:pt idx="325">
                  <c:v>-6.5584680864923556E-2</c:v>
                </c:pt>
                <c:pt idx="326">
                  <c:v>-7.1592380868256894E-2</c:v>
                </c:pt>
                <c:pt idx="327">
                  <c:v>-7.1773594545075065E-2</c:v>
                </c:pt>
                <c:pt idx="328">
                  <c:v>-6.8794400737646519E-2</c:v>
                </c:pt>
                <c:pt idx="329">
                  <c:v>-6.7440535565233647E-2</c:v>
                </c:pt>
                <c:pt idx="330">
                  <c:v>-4.2798080511451252E-2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22-44DC-B821-29C74B3A83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241984"/>
        <c:axId val="457242400"/>
      </c:lineChart>
      <c:dateAx>
        <c:axId val="4572419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242400"/>
        <c:crosses val="autoZero"/>
        <c:auto val="1"/>
        <c:lblOffset val="100"/>
        <c:baseTimeUnit val="days"/>
      </c:dateAx>
      <c:valAx>
        <c:axId val="457242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241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291E7DB-469D-4D18-AA95-3613507E4881}">
  <sheetPr codeName="Chart1"/>
  <sheetViews>
    <sheetView zoomScale="9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4725" cy="607087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2570D3-79ED-4C71-86C5-13C0A0FEA4D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4.88</v>
      </c>
      <c r="D2" s="4">
        <f>MIN(D3:D1912)</f>
        <v>0.58599999999999997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0.70250000000000001</v>
      </c>
      <c r="C5">
        <v>0.71860000000000002</v>
      </c>
      <c r="D5">
        <v>0.68359999999999999</v>
      </c>
      <c r="E5">
        <v>0.68359999999999999</v>
      </c>
      <c r="F5">
        <v>133110</v>
      </c>
      <c r="G5">
        <v>0.68359999999999999</v>
      </c>
      <c r="L5" t="s">
        <v>7</v>
      </c>
      <c r="M5" t="s">
        <v>8</v>
      </c>
      <c r="N5" t="s">
        <v>7</v>
      </c>
      <c r="P5">
        <f t="shared" ref="P5" si="0">IF(C5=D5,0,((E5-D5)-(C5-E5))/(C5-D5))</f>
        <v>-1</v>
      </c>
      <c r="Q5">
        <f t="shared" ref="Q5" si="1">F5*P5</f>
        <v>-133110</v>
      </c>
      <c r="R5">
        <f t="shared" ref="R5" si="2">R6+Q5</f>
        <v>-377535333.09815586</v>
      </c>
      <c r="S5">
        <f t="shared" ref="S5" si="3">R5/100000</f>
        <v>-3775.3533309815584</v>
      </c>
      <c r="T5">
        <f t="shared" ref="T5" si="4">S5/1000</f>
        <v>-3.7753533309815586</v>
      </c>
    </row>
    <row r="6" spans="1:20" x14ac:dyDescent="0.25">
      <c r="A6" s="5">
        <v>44587</v>
      </c>
      <c r="B6">
        <v>0.67979999999999996</v>
      </c>
      <c r="C6">
        <v>0.82</v>
      </c>
      <c r="D6">
        <v>0.67220000000000002</v>
      </c>
      <c r="E6">
        <v>0.70179999999999998</v>
      </c>
      <c r="F6">
        <v>5629189</v>
      </c>
      <c r="G6">
        <v>0.70179999999999998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-0.59945872801082578</v>
      </c>
      <c r="Q6">
        <f t="shared" ref="Q6" si="6">F6*P6</f>
        <v>-3374466.4776725322</v>
      </c>
      <c r="R6">
        <f t="shared" ref="R6" si="7">R7+Q6</f>
        <v>-377402223.09815586</v>
      </c>
      <c r="S6">
        <f t="shared" ref="S6" si="8">R6/100000</f>
        <v>-3774.0222309815586</v>
      </c>
      <c r="T6">
        <f t="shared" ref="T6" si="9">S6/1000</f>
        <v>-3.7740222309815588</v>
      </c>
    </row>
    <row r="7" spans="1:20" x14ac:dyDescent="0.25">
      <c r="A7" s="5">
        <v>44586</v>
      </c>
      <c r="B7">
        <v>0.71499999999999997</v>
      </c>
      <c r="C7">
        <v>0.71499999999999997</v>
      </c>
      <c r="D7">
        <v>0.66</v>
      </c>
      <c r="E7">
        <v>0.68300000000000005</v>
      </c>
      <c r="F7">
        <v>1004324</v>
      </c>
      <c r="G7">
        <v>0.68300000000000005</v>
      </c>
      <c r="L7" t="s">
        <v>8</v>
      </c>
      <c r="M7" t="s">
        <v>8</v>
      </c>
      <c r="N7" t="s">
        <v>7</v>
      </c>
      <c r="P7">
        <f t="shared" ref="P7" si="10">IF(C7=D7,0,((E7-D7)-(C7-E7))/(C7-D7))</f>
        <v>-0.16363636363636194</v>
      </c>
      <c r="Q7">
        <f t="shared" ref="Q7" si="11">F7*P7</f>
        <v>-164343.92727272556</v>
      </c>
      <c r="R7">
        <f t="shared" ref="R7" si="12">R8+Q7</f>
        <v>-374027756.62048334</v>
      </c>
      <c r="S7">
        <f t="shared" ref="S7" si="13">R7/100000</f>
        <v>-3740.2775662048334</v>
      </c>
      <c r="T7">
        <f t="shared" ref="T7" si="14">S7/1000</f>
        <v>-3.7402775662048335</v>
      </c>
    </row>
    <row r="8" spans="1:20" x14ac:dyDescent="0.25">
      <c r="A8" s="5">
        <v>44585</v>
      </c>
      <c r="B8">
        <v>0.7117</v>
      </c>
      <c r="C8">
        <v>0.73399999999999999</v>
      </c>
      <c r="D8">
        <v>0.61180000000000001</v>
      </c>
      <c r="E8">
        <v>0.7147</v>
      </c>
      <c r="F8">
        <v>2095437</v>
      </c>
      <c r="G8">
        <v>0.7147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0.68412438625204608</v>
      </c>
      <c r="Q8">
        <f t="shared" ref="Q8" si="16">F8*P8</f>
        <v>1433539.5515548286</v>
      </c>
      <c r="R8">
        <f t="shared" ref="R8" si="17">R9+Q8</f>
        <v>-373863412.6932106</v>
      </c>
      <c r="S8">
        <f t="shared" ref="S8" si="18">R8/100000</f>
        <v>-3738.634126932106</v>
      </c>
      <c r="T8">
        <f t="shared" ref="T8" si="19">S8/1000</f>
        <v>-3.7386341269321059</v>
      </c>
    </row>
    <row r="9" spans="1:20" x14ac:dyDescent="0.25">
      <c r="A9" s="5">
        <v>44584</v>
      </c>
      <c r="B9">
        <v>0.67810000000000004</v>
      </c>
      <c r="C9">
        <v>0.75249999999999995</v>
      </c>
      <c r="D9">
        <v>0.67359999999999998</v>
      </c>
      <c r="E9">
        <v>0.71579999999999999</v>
      </c>
      <c r="F9">
        <v>2046014</v>
      </c>
      <c r="G9">
        <v>0.71579999999999999</v>
      </c>
      <c r="L9" t="s">
        <v>8</v>
      </c>
      <c r="M9" t="s">
        <v>8</v>
      </c>
      <c r="N9" t="s">
        <v>7</v>
      </c>
      <c r="P9">
        <f t="shared" ref="P9" si="20">IF(C9=D9,0,((E9-D9)-(C9-E9))/(C9-D9))</f>
        <v>6.9708491761724486E-2</v>
      </c>
      <c r="Q9">
        <f t="shared" ref="Q9" si="21">F9*P9</f>
        <v>142624.55006337297</v>
      </c>
      <c r="R9">
        <f t="shared" ref="R9" si="22">R10+Q9</f>
        <v>-375296952.2447654</v>
      </c>
      <c r="S9">
        <f t="shared" ref="S9" si="23">R9/100000</f>
        <v>-3752.9695224476541</v>
      </c>
      <c r="T9">
        <f t="shared" ref="T9" si="24">S9/1000</f>
        <v>-3.7529695224476542</v>
      </c>
    </row>
    <row r="10" spans="1:20" x14ac:dyDescent="0.25">
      <c r="A10" s="5">
        <v>44583</v>
      </c>
      <c r="B10">
        <v>0.73329999999999995</v>
      </c>
      <c r="C10">
        <v>0.77</v>
      </c>
      <c r="D10">
        <v>0.6</v>
      </c>
      <c r="E10">
        <v>0.67500000000000004</v>
      </c>
      <c r="F10">
        <v>5023584.8459999999</v>
      </c>
      <c r="G10">
        <v>0.67500000000000004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-0.11764705882352884</v>
      </c>
      <c r="Q10">
        <f t="shared" ref="Q10" si="26">F10*P10</f>
        <v>-591009.98188235005</v>
      </c>
      <c r="R10">
        <f t="shared" ref="R10" si="27">R11+Q10</f>
        <v>-375439576.79482877</v>
      </c>
      <c r="S10">
        <f t="shared" ref="S10" si="28">R10/100000</f>
        <v>-3754.3957679482878</v>
      </c>
      <c r="T10">
        <f t="shared" ref="T10" si="29">S10/1000</f>
        <v>-3.7543957679482878</v>
      </c>
    </row>
    <row r="11" spans="1:20" x14ac:dyDescent="0.25">
      <c r="A11" s="5">
        <v>44582</v>
      </c>
      <c r="B11">
        <v>0.91080000000000005</v>
      </c>
      <c r="C11">
        <v>0.92230000000000001</v>
      </c>
      <c r="D11">
        <v>0.71009999999999995</v>
      </c>
      <c r="E11">
        <v>0.73409999999999997</v>
      </c>
      <c r="F11">
        <v>2413869.2990000001</v>
      </c>
      <c r="G11">
        <v>0.73409999999999997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-0.77379830348727596</v>
      </c>
      <c r="Q11">
        <f t="shared" ref="Q11" si="31">F11*P11</f>
        <v>-1867847.9684062202</v>
      </c>
      <c r="R11">
        <f t="shared" ref="R11" si="32">R12+Q11</f>
        <v>-374848566.81294644</v>
      </c>
      <c r="S11">
        <f t="shared" ref="S11" si="33">R11/100000</f>
        <v>-3748.4856681294646</v>
      </c>
      <c r="T11">
        <f t="shared" ref="T11" si="34">S11/1000</f>
        <v>-3.7484856681294647</v>
      </c>
    </row>
    <row r="12" spans="1:20" x14ac:dyDescent="0.25">
      <c r="A12" s="5">
        <v>44581</v>
      </c>
      <c r="B12">
        <v>0.93879999999999997</v>
      </c>
      <c r="C12">
        <v>0.99</v>
      </c>
      <c r="D12">
        <v>0.90039999999999998</v>
      </c>
      <c r="E12">
        <v>0.91269999999999996</v>
      </c>
      <c r="F12">
        <v>647610</v>
      </c>
      <c r="G12">
        <v>0.91269999999999996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-0.72544642857142916</v>
      </c>
      <c r="Q12">
        <f t="shared" ref="Q12" si="36">F12*P12</f>
        <v>-469806.36160714325</v>
      </c>
      <c r="R12">
        <f t="shared" ref="R12" si="37">R13+Q12</f>
        <v>-372980718.84454024</v>
      </c>
      <c r="S12">
        <f t="shared" ref="S12" si="38">R12/100000</f>
        <v>-3729.8071884454025</v>
      </c>
      <c r="T12">
        <f t="shared" ref="T12" si="39">S12/1000</f>
        <v>-3.7298071884454025</v>
      </c>
    </row>
    <row r="13" spans="1:20" x14ac:dyDescent="0.25">
      <c r="A13" s="5">
        <v>44580</v>
      </c>
      <c r="B13">
        <v>0.98260000000000003</v>
      </c>
      <c r="C13">
        <v>1</v>
      </c>
      <c r="D13">
        <v>0.93030000000000002</v>
      </c>
      <c r="E13">
        <v>0.93820000000000003</v>
      </c>
      <c r="F13">
        <v>666197</v>
      </c>
      <c r="G13">
        <v>0.93820000000000003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-0.77331420373027204</v>
      </c>
      <c r="Q13">
        <f t="shared" ref="Q13" si="41">F13*P13</f>
        <v>-515179.60258249607</v>
      </c>
      <c r="R13">
        <f t="shared" ref="R13" si="42">R14+Q13</f>
        <v>-372510912.4829331</v>
      </c>
      <c r="S13">
        <f t="shared" ref="S13" si="43">R13/100000</f>
        <v>-3725.109124829331</v>
      </c>
      <c r="T13">
        <f t="shared" ref="T13" si="44">S13/1000</f>
        <v>-3.7251091248293311</v>
      </c>
    </row>
    <row r="14" spans="1:20" x14ac:dyDescent="0.25">
      <c r="A14" s="5">
        <v>44579</v>
      </c>
      <c r="B14">
        <v>0.9889</v>
      </c>
      <c r="C14">
        <v>1.0012000000000001</v>
      </c>
      <c r="D14">
        <v>0.93830000000000002</v>
      </c>
      <c r="E14">
        <v>0.98250000000000004</v>
      </c>
      <c r="F14">
        <v>610275</v>
      </c>
      <c r="G14">
        <v>0.98250000000000004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0.40540540540540443</v>
      </c>
      <c r="Q14">
        <f t="shared" ref="Q14" si="46">F14*P14</f>
        <v>247408.78378378318</v>
      </c>
      <c r="R14">
        <f t="shared" ref="R14" si="47">R15+Q14</f>
        <v>-371995732.88035059</v>
      </c>
      <c r="S14">
        <f t="shared" ref="S14" si="48">R14/100000</f>
        <v>-3719.9573288035058</v>
      </c>
      <c r="T14">
        <f t="shared" ref="T14" si="49">S14/1000</f>
        <v>-3.7199573288035057</v>
      </c>
    </row>
    <row r="15" spans="1:20" x14ac:dyDescent="0.25">
      <c r="A15" s="5">
        <v>44578</v>
      </c>
      <c r="B15">
        <v>1.0369999999999999</v>
      </c>
      <c r="C15">
        <v>1.0559000000000001</v>
      </c>
      <c r="D15">
        <v>0.9708</v>
      </c>
      <c r="E15">
        <v>0.98899999999999999</v>
      </c>
      <c r="F15">
        <v>1178705</v>
      </c>
      <c r="G15">
        <v>0.98899999999999999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-0.57226792009400751</v>
      </c>
      <c r="Q15">
        <f t="shared" ref="Q15" si="51">F15*P15</f>
        <v>-674535.0587544071</v>
      </c>
      <c r="R15">
        <f t="shared" ref="R15" si="52">R16+Q15</f>
        <v>-372243141.66413438</v>
      </c>
      <c r="S15">
        <f t="shared" ref="S15" si="53">R15/100000</f>
        <v>-3722.4314166413437</v>
      </c>
      <c r="T15">
        <f t="shared" ref="T15" si="54">S15/1000</f>
        <v>-3.7224314166413439</v>
      </c>
    </row>
    <row r="16" spans="1:20" x14ac:dyDescent="0.25">
      <c r="A16" s="5">
        <v>44577</v>
      </c>
      <c r="B16">
        <v>1.0394000000000001</v>
      </c>
      <c r="C16">
        <v>1.0653999999999999</v>
      </c>
      <c r="D16">
        <v>1.0249999999999999</v>
      </c>
      <c r="E16">
        <v>1.0377000000000001</v>
      </c>
      <c r="F16">
        <v>741450</v>
      </c>
      <c r="G16">
        <v>1.0377000000000001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-0.37128712871286346</v>
      </c>
      <c r="Q16">
        <f t="shared" ref="Q16" si="56">F16*P16</f>
        <v>-275290.8415841526</v>
      </c>
      <c r="R16">
        <f t="shared" ref="R16" si="57">R17+Q16</f>
        <v>-371568606.60538</v>
      </c>
      <c r="S16">
        <f t="shared" ref="S16" si="58">R16/100000</f>
        <v>-3715.6860660538</v>
      </c>
      <c r="T16">
        <f t="shared" ref="T16" si="59">S16/1000</f>
        <v>-3.7156860660538</v>
      </c>
    </row>
    <row r="17" spans="1:20" x14ac:dyDescent="0.25">
      <c r="A17" s="5">
        <v>44576</v>
      </c>
      <c r="B17">
        <v>1.0351999999999999</v>
      </c>
      <c r="C17">
        <v>1.123</v>
      </c>
      <c r="D17">
        <v>1.0250999999999999</v>
      </c>
      <c r="E17">
        <v>1.0394000000000001</v>
      </c>
      <c r="F17">
        <v>2190438</v>
      </c>
      <c r="G17">
        <v>1.0394000000000001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-0.70786516853932202</v>
      </c>
      <c r="Q17">
        <f t="shared" ref="Q17" si="61">F17*P17</f>
        <v>-1550534.7640449353</v>
      </c>
      <c r="R17">
        <f t="shared" ref="R17" si="62">R18+Q17</f>
        <v>-371293315.76379585</v>
      </c>
      <c r="S17">
        <f t="shared" ref="S17" si="63">R17/100000</f>
        <v>-3712.9331576379586</v>
      </c>
      <c r="T17">
        <f t="shared" ref="T17" si="64">S17/1000</f>
        <v>-3.7129331576379587</v>
      </c>
    </row>
    <row r="18" spans="1:20" x14ac:dyDescent="0.25">
      <c r="A18" s="5">
        <v>44575</v>
      </c>
      <c r="B18">
        <v>0.99139999999999995</v>
      </c>
      <c r="C18">
        <v>1.1100000000000001</v>
      </c>
      <c r="D18">
        <v>0.95589999999999997</v>
      </c>
      <c r="E18">
        <v>1.034</v>
      </c>
      <c r="F18">
        <v>2709189</v>
      </c>
      <c r="G18">
        <v>1.034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1.3627514600908429E-2</v>
      </c>
      <c r="Q18">
        <f t="shared" ref="Q18" si="66">F18*P18</f>
        <v>36919.51265412051</v>
      </c>
      <c r="R18">
        <f t="shared" ref="R18" si="67">R19+Q18</f>
        <v>-369742780.99975091</v>
      </c>
      <c r="S18">
        <f t="shared" ref="S18" si="68">R18/100000</f>
        <v>-3697.427809997509</v>
      </c>
      <c r="T18">
        <f t="shared" ref="T18" si="69">S18/1000</f>
        <v>-3.6974278099975089</v>
      </c>
    </row>
    <row r="19" spans="1:20" x14ac:dyDescent="0.25">
      <c r="A19" s="5">
        <v>44574</v>
      </c>
      <c r="B19">
        <v>1.0499000000000001</v>
      </c>
      <c r="C19">
        <v>1.0749</v>
      </c>
      <c r="D19">
        <v>0.98050000000000004</v>
      </c>
      <c r="E19">
        <v>0.99390000000000001</v>
      </c>
      <c r="F19">
        <v>1078309</v>
      </c>
      <c r="G19">
        <v>0.99390000000000001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-0.71610169491525466</v>
      </c>
      <c r="Q19">
        <f t="shared" ref="Q19" si="71">F19*P19</f>
        <v>-772178.90254237328</v>
      </c>
      <c r="R19">
        <f t="shared" ref="R19" si="72">R20+Q19</f>
        <v>-369779700.51240504</v>
      </c>
      <c r="S19">
        <f t="shared" ref="S19" si="73">R19/100000</f>
        <v>-3697.7970051240504</v>
      </c>
      <c r="T19">
        <f t="shared" ref="T19" si="74">S19/1000</f>
        <v>-3.6977970051240505</v>
      </c>
    </row>
    <row r="20" spans="1:20" x14ac:dyDescent="0.25">
      <c r="A20" s="5">
        <v>44573</v>
      </c>
      <c r="B20">
        <v>1.0111000000000001</v>
      </c>
      <c r="C20">
        <v>1.0719000000000001</v>
      </c>
      <c r="D20">
        <v>1.002</v>
      </c>
      <c r="E20">
        <v>1.0499000000000001</v>
      </c>
      <c r="F20">
        <v>1251634</v>
      </c>
      <c r="G20">
        <v>1.0499000000000001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0.37052932761087276</v>
      </c>
      <c r="Q20">
        <f t="shared" ref="Q20" si="76">F20*P20</f>
        <v>463767.10443490715</v>
      </c>
      <c r="R20">
        <f t="shared" ref="R20" si="77">R21+Q20</f>
        <v>-369007521.60986269</v>
      </c>
      <c r="S20">
        <f t="shared" ref="S20" si="78">R20/100000</f>
        <v>-3690.0752160986267</v>
      </c>
      <c r="T20">
        <f t="shared" ref="T20" si="79">S20/1000</f>
        <v>-3.6900752160986268</v>
      </c>
    </row>
    <row r="21" spans="1:20" x14ac:dyDescent="0.25">
      <c r="A21" s="5">
        <v>44572</v>
      </c>
      <c r="B21">
        <v>0.98009999999999997</v>
      </c>
      <c r="C21">
        <v>1.0208999999999999</v>
      </c>
      <c r="D21">
        <v>0.96350000000000002</v>
      </c>
      <c r="E21">
        <v>1.0101</v>
      </c>
      <c r="F21">
        <v>1096149</v>
      </c>
      <c r="G21">
        <v>1.0101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0.62369337979094286</v>
      </c>
      <c r="Q21">
        <f t="shared" ref="Q21" si="81">F21*P21</f>
        <v>683660.87456446222</v>
      </c>
      <c r="R21">
        <f t="shared" ref="R21" si="82">R22+Q21</f>
        <v>-369471288.71429759</v>
      </c>
      <c r="S21">
        <f t="shared" ref="S21" si="83">R21/100000</f>
        <v>-3694.7128871429759</v>
      </c>
      <c r="T21">
        <f t="shared" ref="T21" si="84">S21/1000</f>
        <v>-3.694712887142976</v>
      </c>
    </row>
    <row r="22" spans="1:20" x14ac:dyDescent="0.25">
      <c r="A22" s="5">
        <v>44571</v>
      </c>
      <c r="B22">
        <v>1.0129999999999999</v>
      </c>
      <c r="C22">
        <v>1.0249999999999999</v>
      </c>
      <c r="D22">
        <v>0.90680000000000005</v>
      </c>
      <c r="E22">
        <v>0.98150000000000004</v>
      </c>
      <c r="F22">
        <v>1014793.181</v>
      </c>
      <c r="G22">
        <v>0.98150000000000004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0.26395939086294545</v>
      </c>
      <c r="Q22">
        <f t="shared" ref="Q22" si="86">F22*P22</f>
        <v>267864.18990863074</v>
      </c>
      <c r="R22">
        <f t="shared" ref="R22" si="87">R23+Q22</f>
        <v>-370154949.58886206</v>
      </c>
      <c r="S22">
        <f t="shared" ref="S22" si="88">R22/100000</f>
        <v>-3701.5494958886206</v>
      </c>
      <c r="T22">
        <f t="shared" ref="T22" si="89">S22/1000</f>
        <v>-3.7015494958886208</v>
      </c>
    </row>
    <row r="23" spans="1:20" x14ac:dyDescent="0.25">
      <c r="A23" s="5">
        <v>44570</v>
      </c>
      <c r="B23">
        <v>1.0015000000000001</v>
      </c>
      <c r="C23">
        <v>1.0399</v>
      </c>
      <c r="D23">
        <v>0.97160000000000002</v>
      </c>
      <c r="E23">
        <v>1.0115000000000001</v>
      </c>
      <c r="F23">
        <v>851404</v>
      </c>
      <c r="G23">
        <v>1.0115000000000001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0.16837481698389548</v>
      </c>
      <c r="Q23">
        <f t="shared" ref="Q23" si="91">F23*P23</f>
        <v>143354.99267935654</v>
      </c>
      <c r="R23">
        <f t="shared" ref="R23" si="92">R24+Q23</f>
        <v>-370422813.77877069</v>
      </c>
      <c r="S23">
        <f t="shared" ref="S23" si="93">R23/100000</f>
        <v>-3704.2281377877071</v>
      </c>
      <c r="T23">
        <f t="shared" ref="T23" si="94">S23/1000</f>
        <v>-3.7042281377877071</v>
      </c>
    </row>
    <row r="24" spans="1:20" x14ac:dyDescent="0.25">
      <c r="A24" s="5">
        <v>44569</v>
      </c>
      <c r="B24">
        <v>1.0363</v>
      </c>
      <c r="C24">
        <v>1.0891</v>
      </c>
      <c r="D24">
        <v>0.95830000000000004</v>
      </c>
      <c r="E24">
        <v>1.0031000000000001</v>
      </c>
      <c r="F24">
        <v>1493790.36</v>
      </c>
      <c r="G24">
        <v>1.0031000000000001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-0.31498470948012092</v>
      </c>
      <c r="Q24">
        <f t="shared" ref="Q24" si="96">F24*P24</f>
        <v>-470521.12256880529</v>
      </c>
      <c r="R24">
        <f t="shared" ref="R24" si="97">R25+Q24</f>
        <v>-370566168.77145004</v>
      </c>
      <c r="S24">
        <f t="shared" ref="S24" si="98">R24/100000</f>
        <v>-3705.6616877145002</v>
      </c>
      <c r="T24">
        <f t="shared" ref="T24" si="99">S24/1000</f>
        <v>-3.7056616877145001</v>
      </c>
    </row>
    <row r="25" spans="1:20" x14ac:dyDescent="0.25">
      <c r="A25" s="5">
        <v>44568</v>
      </c>
      <c r="B25">
        <v>1.0852999999999999</v>
      </c>
      <c r="C25">
        <v>1.0874999999999999</v>
      </c>
      <c r="D25">
        <v>1.0091000000000001</v>
      </c>
      <c r="E25">
        <v>1.0364</v>
      </c>
      <c r="F25">
        <v>1631403</v>
      </c>
      <c r="G25">
        <v>1.0364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-0.30357142857142988</v>
      </c>
      <c r="Q25">
        <f t="shared" ref="Q25" si="101">F25*P25</f>
        <v>-495247.33928571641</v>
      </c>
      <c r="R25">
        <f t="shared" ref="R25" si="102">R26+Q25</f>
        <v>-370095647.64888126</v>
      </c>
      <c r="S25">
        <f t="shared" ref="S25" si="103">R25/100000</f>
        <v>-3700.9564764888128</v>
      </c>
      <c r="T25">
        <f t="shared" ref="T25" si="104">S25/1000</f>
        <v>-3.700956476488813</v>
      </c>
    </row>
    <row r="26" spans="1:20" x14ac:dyDescent="0.25">
      <c r="A26" s="5">
        <v>44567</v>
      </c>
      <c r="B26">
        <v>1.1071</v>
      </c>
      <c r="C26">
        <v>1.1497999999999999</v>
      </c>
      <c r="D26">
        <v>1.0322</v>
      </c>
      <c r="E26">
        <v>1.0852999999999999</v>
      </c>
      <c r="F26">
        <v>1946303</v>
      </c>
      <c r="G26">
        <v>1.0852999999999999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-9.69387755102048E-2</v>
      </c>
      <c r="Q26">
        <f t="shared" ref="Q26" si="106">F26*P26</f>
        <v>-188672.22959183814</v>
      </c>
      <c r="R26">
        <f t="shared" ref="R26" si="107">R27+Q26</f>
        <v>-369600400.30959553</v>
      </c>
      <c r="S26">
        <f t="shared" ref="S26" si="108">R26/100000</f>
        <v>-3696.0040030959553</v>
      </c>
      <c r="T26">
        <f t="shared" ref="T26" si="109">S26/1000</f>
        <v>-3.6960040030959553</v>
      </c>
    </row>
    <row r="27" spans="1:20" x14ac:dyDescent="0.25">
      <c r="A27" s="5">
        <v>44566</v>
      </c>
      <c r="B27">
        <v>1.1791</v>
      </c>
      <c r="C27">
        <v>1.22</v>
      </c>
      <c r="D27">
        <v>1.07</v>
      </c>
      <c r="E27">
        <v>1.1071</v>
      </c>
      <c r="F27">
        <v>1413765</v>
      </c>
      <c r="G27">
        <v>1.1071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-0.50533333333333419</v>
      </c>
      <c r="Q27">
        <f t="shared" ref="Q27" si="111">F27*P27</f>
        <v>-714422.58000000124</v>
      </c>
      <c r="R27">
        <f t="shared" ref="R27" si="112">R28+Q27</f>
        <v>-369411728.08000368</v>
      </c>
      <c r="S27">
        <f t="shared" ref="S27" si="113">R27/100000</f>
        <v>-3694.117280800037</v>
      </c>
      <c r="T27">
        <f t="shared" ref="T27" si="114">S27/1000</f>
        <v>-3.6941172808000369</v>
      </c>
    </row>
    <row r="28" spans="1:20" x14ac:dyDescent="0.25">
      <c r="A28" s="5">
        <v>44565</v>
      </c>
      <c r="B28">
        <v>1.1777</v>
      </c>
      <c r="C28">
        <v>1.2209000000000001</v>
      </c>
      <c r="D28">
        <v>1.1638999999999999</v>
      </c>
      <c r="E28">
        <v>1.1791</v>
      </c>
      <c r="F28">
        <v>1530717</v>
      </c>
      <c r="G28">
        <v>1.1791</v>
      </c>
      <c r="L28" t="s">
        <v>8</v>
      </c>
      <c r="M28" t="s">
        <v>7</v>
      </c>
      <c r="N28" t="s">
        <v>8</v>
      </c>
      <c r="P28">
        <f t="shared" ref="P28" si="115">IF(C28=D28,0,((E28-D28)-(C28-E28))/(C28-D28))</f>
        <v>-0.46666666666666456</v>
      </c>
      <c r="Q28">
        <f t="shared" ref="Q28" si="116">F28*P28</f>
        <v>-714334.59999999683</v>
      </c>
      <c r="R28">
        <f t="shared" ref="R28" si="117">R29+Q28</f>
        <v>-368697305.5000037</v>
      </c>
      <c r="S28">
        <f t="shared" ref="S28" si="118">R28/100000</f>
        <v>-3686.9730550000368</v>
      </c>
      <c r="T28">
        <f t="shared" ref="T28" si="119">S28/1000</f>
        <v>-3.6869730550000366</v>
      </c>
    </row>
    <row r="29" spans="1:20" x14ac:dyDescent="0.25">
      <c r="A29" s="5">
        <v>44564</v>
      </c>
      <c r="B29">
        <v>1.1902999999999999</v>
      </c>
      <c r="C29">
        <v>1.2430000000000001</v>
      </c>
      <c r="D29">
        <v>1.1499999999999999</v>
      </c>
      <c r="E29">
        <v>1.1800999999999999</v>
      </c>
      <c r="F29">
        <v>1331059</v>
      </c>
      <c r="G29">
        <v>1.1800999999999999</v>
      </c>
      <c r="L29" t="s">
        <v>8</v>
      </c>
      <c r="M29" t="s">
        <v>7</v>
      </c>
      <c r="N29" t="s">
        <v>8</v>
      </c>
      <c r="P29">
        <f t="shared" ref="P29" si="120">IF(C29=D29,0,((E29-D29)-(C29-E29))/(C29-D29))</f>
        <v>-0.35268817204301178</v>
      </c>
      <c r="Q29">
        <f t="shared" ref="Q29" si="121">F29*P29</f>
        <v>-469448.76559139922</v>
      </c>
      <c r="R29">
        <f t="shared" ref="R29" si="122">R30+Q29</f>
        <v>-367982970.90000367</v>
      </c>
      <c r="S29">
        <f t="shared" ref="S29" si="123">R29/100000</f>
        <v>-3679.8297090000369</v>
      </c>
      <c r="T29">
        <f t="shared" ref="T29" si="124">S29/1000</f>
        <v>-3.6798297090000371</v>
      </c>
    </row>
    <row r="30" spans="1:20" x14ac:dyDescent="0.25">
      <c r="A30" s="5">
        <v>44563</v>
      </c>
      <c r="B30">
        <v>1.1782999999999999</v>
      </c>
      <c r="C30">
        <v>1.24</v>
      </c>
      <c r="D30">
        <v>1.1546000000000001</v>
      </c>
      <c r="E30">
        <v>1.1916</v>
      </c>
      <c r="F30">
        <v>1108515</v>
      </c>
      <c r="G30">
        <v>1.1916</v>
      </c>
      <c r="L30" t="s">
        <v>8</v>
      </c>
      <c r="M30" t="s">
        <v>7</v>
      </c>
      <c r="N30" t="s">
        <v>8</v>
      </c>
      <c r="P30">
        <f t="shared" ref="P30" si="125">IF(C30=D30,0,((E30-D30)-(C30-E30))/(C30-D30))</f>
        <v>-0.13348946135831485</v>
      </c>
      <c r="Q30">
        <f t="shared" ref="Q30" si="126">F30*P30</f>
        <v>-147975.07025761239</v>
      </c>
      <c r="R30">
        <f t="shared" ref="R30" si="127">R31+Q30</f>
        <v>-367513522.13441229</v>
      </c>
      <c r="S30">
        <f t="shared" ref="S30" si="128">R30/100000</f>
        <v>-3675.1352213441228</v>
      </c>
      <c r="T30">
        <f t="shared" ref="T30" si="129">S30/1000</f>
        <v>-3.6751352213441226</v>
      </c>
    </row>
    <row r="31" spans="1:20" x14ac:dyDescent="0.25">
      <c r="A31" s="5">
        <v>44562</v>
      </c>
      <c r="B31">
        <v>1.1491</v>
      </c>
      <c r="C31">
        <v>1.1917</v>
      </c>
      <c r="D31">
        <v>1.1480999999999999</v>
      </c>
      <c r="E31">
        <v>1.1783999999999999</v>
      </c>
      <c r="F31">
        <v>637628</v>
      </c>
      <c r="G31">
        <v>1.1783999999999999</v>
      </c>
      <c r="L31" t="s">
        <v>7</v>
      </c>
      <c r="M31" t="s">
        <v>7</v>
      </c>
      <c r="N31" t="s">
        <v>8</v>
      </c>
      <c r="P31">
        <f t="shared" ref="P31" si="130">IF(C31=D31,0,((E31-D31)-(C31-E31))/(C31-D31))</f>
        <v>0.389908256880731</v>
      </c>
      <c r="Q31">
        <f t="shared" ref="Q31" si="131">F31*P31</f>
        <v>248616.42201834676</v>
      </c>
      <c r="R31">
        <f t="shared" ref="R31" si="132">R32+Q31</f>
        <v>-367365547.06415468</v>
      </c>
      <c r="S31">
        <f t="shared" ref="S31" si="133">R31/100000</f>
        <v>-3673.6554706415468</v>
      </c>
      <c r="T31">
        <f t="shared" ref="T31" si="134">S31/1000</f>
        <v>-3.6736554706415467</v>
      </c>
    </row>
    <row r="32" spans="1:20" x14ac:dyDescent="0.25">
      <c r="A32" s="5">
        <v>44561</v>
      </c>
      <c r="B32">
        <v>1.1488</v>
      </c>
      <c r="C32">
        <v>1.2579</v>
      </c>
      <c r="D32">
        <v>1.1259999999999999</v>
      </c>
      <c r="E32">
        <v>1.1486000000000001</v>
      </c>
      <c r="F32">
        <v>1726547</v>
      </c>
      <c r="G32">
        <v>1.1486000000000001</v>
      </c>
      <c r="L32" t="s">
        <v>8</v>
      </c>
      <c r="M32" t="s">
        <v>7</v>
      </c>
      <c r="N32" t="s">
        <v>8</v>
      </c>
      <c r="P32">
        <f t="shared" ref="P32" si="135">IF(C32=D32,0,((E32-D32)-(C32-E32))/(C32-D32))</f>
        <v>-0.65731614859741994</v>
      </c>
      <c r="Q32">
        <f t="shared" ref="Q32" si="136">F32*P32</f>
        <v>-1134887.2244124296</v>
      </c>
      <c r="R32">
        <f t="shared" ref="R32" si="137">R33+Q32</f>
        <v>-367614163.48617303</v>
      </c>
      <c r="S32">
        <f t="shared" ref="S32" si="138">R32/100000</f>
        <v>-3676.1416348617304</v>
      </c>
      <c r="T32">
        <f t="shared" ref="T32" si="139">S32/1000</f>
        <v>-3.6761416348617302</v>
      </c>
    </row>
    <row r="33" spans="1:20" x14ac:dyDescent="0.25">
      <c r="A33" s="5">
        <v>44560</v>
      </c>
      <c r="B33">
        <v>1.1344000000000001</v>
      </c>
      <c r="C33">
        <v>1.1850000000000001</v>
      </c>
      <c r="D33">
        <v>1.113</v>
      </c>
      <c r="E33">
        <v>1.1515</v>
      </c>
      <c r="F33">
        <v>1099128</v>
      </c>
      <c r="G33">
        <v>1.1515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6.9444444444442907E-2</v>
      </c>
      <c r="Q33">
        <f t="shared" ref="Q33" si="141">F33*P33</f>
        <v>76328.33333333164</v>
      </c>
      <c r="R33">
        <f t="shared" ref="R33" si="142">R34+Q33</f>
        <v>-366479276.26176059</v>
      </c>
      <c r="S33">
        <f t="shared" ref="S33" si="143">R33/100000</f>
        <v>-3664.7927626176061</v>
      </c>
      <c r="T33">
        <f t="shared" ref="T33" si="144">S33/1000</f>
        <v>-3.6647927626176062</v>
      </c>
    </row>
    <row r="34" spans="1:20" x14ac:dyDescent="0.25">
      <c r="A34" s="5">
        <v>44559</v>
      </c>
      <c r="B34">
        <v>1.2017</v>
      </c>
      <c r="C34">
        <v>1.238</v>
      </c>
      <c r="D34">
        <v>1.1200000000000001</v>
      </c>
      <c r="E34">
        <v>1.1323000000000001</v>
      </c>
      <c r="F34">
        <v>1395364</v>
      </c>
      <c r="G34">
        <v>1.1323000000000001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-0.79152542372881374</v>
      </c>
      <c r="Q34">
        <f t="shared" ref="Q34" si="146">F34*P34</f>
        <v>-1104466.0813559324</v>
      </c>
      <c r="R34">
        <f t="shared" ref="R34" si="147">R35+Q34</f>
        <v>-366555604.59509391</v>
      </c>
      <c r="S34">
        <f t="shared" ref="S34" si="148">R34/100000</f>
        <v>-3665.5560459509393</v>
      </c>
      <c r="T34">
        <f t="shared" ref="T34" si="149">S34/1000</f>
        <v>-3.6655560459509391</v>
      </c>
    </row>
    <row r="35" spans="1:20" x14ac:dyDescent="0.25">
      <c r="A35" s="5">
        <v>44558</v>
      </c>
      <c r="B35">
        <v>1.2866</v>
      </c>
      <c r="C35">
        <v>1.3120000000000001</v>
      </c>
      <c r="D35">
        <v>1.17</v>
      </c>
      <c r="E35">
        <v>1.2</v>
      </c>
      <c r="F35">
        <v>2058919</v>
      </c>
      <c r="G35">
        <v>1.2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-0.57746478873239437</v>
      </c>
      <c r="Q35">
        <f t="shared" ref="Q35" si="151">F35*P35</f>
        <v>-1188953.2253521127</v>
      </c>
      <c r="R35">
        <f t="shared" ref="R35" si="152">R36+Q35</f>
        <v>-365451138.51373798</v>
      </c>
      <c r="S35">
        <f t="shared" ref="S35" si="153">R35/100000</f>
        <v>-3654.5113851373799</v>
      </c>
      <c r="T35">
        <f t="shared" ref="T35" si="154">S35/1000</f>
        <v>-3.6545113851373801</v>
      </c>
    </row>
    <row r="36" spans="1:20" x14ac:dyDescent="0.25">
      <c r="A36" s="5">
        <v>44557</v>
      </c>
      <c r="B36">
        <v>1.2749999999999999</v>
      </c>
      <c r="C36">
        <v>1.4797</v>
      </c>
      <c r="D36">
        <v>1.2701</v>
      </c>
      <c r="E36">
        <v>1.2866</v>
      </c>
      <c r="F36">
        <v>3689836</v>
      </c>
      <c r="G36">
        <v>1.2866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-0.84255725190839736</v>
      </c>
      <c r="Q36">
        <f t="shared" ref="Q36" si="156">F36*P36</f>
        <v>-3108898.0801526732</v>
      </c>
      <c r="R36">
        <f t="shared" ref="R36" si="157">R37+Q36</f>
        <v>-364262185.28838587</v>
      </c>
      <c r="S36">
        <f t="shared" ref="S36" si="158">R36/100000</f>
        <v>-3642.6218528838585</v>
      </c>
      <c r="T36">
        <f t="shared" ref="T36" si="159">S36/1000</f>
        <v>-3.6426218528838588</v>
      </c>
    </row>
    <row r="37" spans="1:20" x14ac:dyDescent="0.25">
      <c r="A37" s="5">
        <v>44556</v>
      </c>
      <c r="B37">
        <v>1.2712000000000001</v>
      </c>
      <c r="C37">
        <v>1.2971999999999999</v>
      </c>
      <c r="D37">
        <v>1.2341</v>
      </c>
      <c r="E37">
        <v>1.2745</v>
      </c>
      <c r="F37">
        <v>1421095</v>
      </c>
      <c r="G37">
        <v>1.2745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0.28050713153724355</v>
      </c>
      <c r="Q37">
        <f t="shared" ref="Q37" si="161">F37*P37</f>
        <v>398627.2820919191</v>
      </c>
      <c r="R37">
        <f t="shared" ref="R37" si="162">R38+Q37</f>
        <v>-361153287.20823318</v>
      </c>
      <c r="S37">
        <f t="shared" ref="S37" si="163">R37/100000</f>
        <v>-3611.5328720823318</v>
      </c>
      <c r="T37">
        <f t="shared" ref="T37" si="164">S37/1000</f>
        <v>-3.6115328720823316</v>
      </c>
    </row>
    <row r="38" spans="1:20" x14ac:dyDescent="0.25">
      <c r="A38" s="5">
        <v>44555</v>
      </c>
      <c r="B38">
        <v>1.2186999999999999</v>
      </c>
      <c r="C38">
        <v>1.33</v>
      </c>
      <c r="D38">
        <v>1.2150000000000001</v>
      </c>
      <c r="E38">
        <v>1.2713000000000001</v>
      </c>
      <c r="F38">
        <v>3007927</v>
      </c>
      <c r="G38">
        <v>1.2713000000000001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-2.0869565217390938E-2</v>
      </c>
      <c r="Q38">
        <f t="shared" ref="Q38" si="166">F38*P38</f>
        <v>-62774.128695651074</v>
      </c>
      <c r="R38">
        <f t="shared" ref="R38" si="167">R39+Q38</f>
        <v>-361551914.49032509</v>
      </c>
      <c r="S38">
        <f t="shared" ref="S38" si="168">R38/100000</f>
        <v>-3615.5191449032509</v>
      </c>
      <c r="T38">
        <f t="shared" ref="T38" si="169">S38/1000</f>
        <v>-3.6155191449032511</v>
      </c>
    </row>
    <row r="39" spans="1:20" x14ac:dyDescent="0.25">
      <c r="A39" s="5">
        <v>44554</v>
      </c>
      <c r="B39">
        <v>1.2371000000000001</v>
      </c>
      <c r="C39">
        <v>1.3</v>
      </c>
      <c r="D39">
        <v>1.2064999999999999</v>
      </c>
      <c r="E39">
        <v>1.2211000000000001</v>
      </c>
      <c r="F39">
        <v>2432320</v>
      </c>
      <c r="G39">
        <v>1.2211000000000001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-0.68770053475935511</v>
      </c>
      <c r="Q39">
        <f t="shared" ref="Q39" si="171">F39*P39</f>
        <v>-1672707.7647058747</v>
      </c>
      <c r="R39">
        <f t="shared" ref="R39" si="172">R40+Q39</f>
        <v>-361489140.36162943</v>
      </c>
      <c r="S39">
        <f t="shared" ref="S39" si="173">R39/100000</f>
        <v>-3614.8914036162942</v>
      </c>
      <c r="T39">
        <f t="shared" ref="T39" si="174">S39/1000</f>
        <v>-3.6148914036162942</v>
      </c>
    </row>
    <row r="40" spans="1:20" x14ac:dyDescent="0.25">
      <c r="A40" s="5">
        <v>44553</v>
      </c>
      <c r="B40">
        <v>1.1982999999999999</v>
      </c>
      <c r="C40">
        <v>1.2708999999999999</v>
      </c>
      <c r="D40">
        <v>1.1714</v>
      </c>
      <c r="E40">
        <v>1.2334000000000001</v>
      </c>
      <c r="F40">
        <v>1647774</v>
      </c>
      <c r="G40">
        <v>1.2334000000000001</v>
      </c>
      <c r="L40" t="s">
        <v>8</v>
      </c>
      <c r="M40" t="s">
        <v>7</v>
      </c>
      <c r="N40" t="s">
        <v>7</v>
      </c>
      <c r="P40">
        <f t="shared" ref="P40" si="175">IF(C40=D40,0,((E40-D40)-(C40-E40))/(C40-D40))</f>
        <v>0.24623115577889657</v>
      </c>
      <c r="Q40">
        <f t="shared" ref="Q40" si="176">F40*P40</f>
        <v>405733.29648241552</v>
      </c>
      <c r="R40">
        <f t="shared" ref="R40" si="177">R41+Q40</f>
        <v>-359816432.59692353</v>
      </c>
      <c r="S40">
        <f t="shared" ref="S40" si="178">R40/100000</f>
        <v>-3598.1643259692355</v>
      </c>
      <c r="T40">
        <f t="shared" ref="T40" si="179">S40/1000</f>
        <v>-3.5981643259692353</v>
      </c>
    </row>
    <row r="41" spans="1:20" x14ac:dyDescent="0.25">
      <c r="A41" s="5">
        <v>44552</v>
      </c>
      <c r="B41">
        <v>1.23</v>
      </c>
      <c r="C41">
        <v>1.25</v>
      </c>
      <c r="D41">
        <v>1.1951000000000001</v>
      </c>
      <c r="E41">
        <v>1.1951000000000001</v>
      </c>
      <c r="F41">
        <v>1791983</v>
      </c>
      <c r="G41">
        <v>1.1951000000000001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-1</v>
      </c>
      <c r="Q41">
        <f t="shared" ref="Q41" si="181">F41*P41</f>
        <v>-1791983</v>
      </c>
      <c r="R41">
        <f t="shared" ref="R41" si="182">R42+Q41</f>
        <v>-360222165.89340597</v>
      </c>
      <c r="S41">
        <f t="shared" ref="S41" si="183">R41/100000</f>
        <v>-3602.2216589340596</v>
      </c>
      <c r="T41">
        <f t="shared" ref="T41" si="184">S41/1000</f>
        <v>-3.6022216589340594</v>
      </c>
    </row>
    <row r="42" spans="1:20" x14ac:dyDescent="0.25">
      <c r="A42" s="5">
        <v>44551</v>
      </c>
      <c r="B42">
        <v>1.1592</v>
      </c>
      <c r="C42">
        <v>1.26</v>
      </c>
      <c r="D42">
        <v>1.1335</v>
      </c>
      <c r="E42">
        <v>1.2270000000000001</v>
      </c>
      <c r="F42">
        <v>2858263</v>
      </c>
      <c r="G42">
        <v>1.2270000000000001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0.4782608695652189</v>
      </c>
      <c r="Q42">
        <f t="shared" ref="Q42" si="186">F42*P42</f>
        <v>1366995.3478260913</v>
      </c>
      <c r="R42">
        <f t="shared" ref="R42" si="187">R43+Q42</f>
        <v>-358430182.89340597</v>
      </c>
      <c r="S42">
        <f t="shared" ref="S42" si="188">R42/100000</f>
        <v>-3584.3018289340598</v>
      </c>
      <c r="T42">
        <f t="shared" ref="T42" si="189">S42/1000</f>
        <v>-3.58430182893406</v>
      </c>
    </row>
    <row r="43" spans="1:20" x14ac:dyDescent="0.25">
      <c r="A43" s="5">
        <v>44550</v>
      </c>
      <c r="B43">
        <v>1.169</v>
      </c>
      <c r="C43">
        <v>1.23</v>
      </c>
      <c r="D43">
        <v>1.0931999999999999</v>
      </c>
      <c r="E43">
        <v>1.1579999999999999</v>
      </c>
      <c r="F43">
        <v>3925536</v>
      </c>
      <c r="G43">
        <v>1.1579999999999999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-5.2631578947369105E-2</v>
      </c>
      <c r="Q43">
        <f t="shared" ref="Q43" si="191">F43*P43</f>
        <v>-206607.15789473953</v>
      </c>
      <c r="R43">
        <f t="shared" ref="R43" si="192">R44+Q43</f>
        <v>-359797178.24123204</v>
      </c>
      <c r="S43">
        <f t="shared" ref="S43" si="193">R43/100000</f>
        <v>-3597.9717824123204</v>
      </c>
      <c r="T43">
        <f t="shared" ref="T43" si="194">S43/1000</f>
        <v>-3.5979717824123205</v>
      </c>
    </row>
    <row r="44" spans="1:20" x14ac:dyDescent="0.25">
      <c r="A44" s="5">
        <v>44549</v>
      </c>
      <c r="B44">
        <v>1.2331000000000001</v>
      </c>
      <c r="C44">
        <v>1.24</v>
      </c>
      <c r="D44">
        <v>1.1499999999999999</v>
      </c>
      <c r="E44">
        <v>1.1685000000000001</v>
      </c>
      <c r="F44">
        <v>5359047</v>
      </c>
      <c r="G44">
        <v>1.1685000000000001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-0.58888888888888524</v>
      </c>
      <c r="Q44">
        <f t="shared" ref="Q44" si="196">F44*P44</f>
        <v>-3155883.2333333138</v>
      </c>
      <c r="R44">
        <f t="shared" ref="R44" si="197">R45+Q44</f>
        <v>-359590571.08333731</v>
      </c>
      <c r="S44">
        <f t="shared" ref="S44" si="198">R44/100000</f>
        <v>-3595.9057108333732</v>
      </c>
      <c r="T44">
        <f t="shared" ref="T44" si="199">S44/1000</f>
        <v>-3.5959057108333732</v>
      </c>
    </row>
    <row r="45" spans="1:20" x14ac:dyDescent="0.25">
      <c r="A45" s="5">
        <v>44548</v>
      </c>
      <c r="B45">
        <v>1.0896999999999999</v>
      </c>
      <c r="C45">
        <v>1.6486000000000001</v>
      </c>
      <c r="D45">
        <v>1.0609999999999999</v>
      </c>
      <c r="E45">
        <v>1.2321</v>
      </c>
      <c r="F45">
        <v>17548889</v>
      </c>
      <c r="G45">
        <v>1.2321</v>
      </c>
      <c r="L45" t="s">
        <v>7</v>
      </c>
      <c r="M45" t="s">
        <v>8</v>
      </c>
      <c r="N45" t="s">
        <v>8</v>
      </c>
      <c r="P45">
        <f t="shared" ref="P45" si="200">IF(C45=D45,0,((E45-D45)-(C45-E45))/(C45-D45))</f>
        <v>-0.41763104152484687</v>
      </c>
      <c r="Q45">
        <f t="shared" ref="Q45" si="201">F45*P45</f>
        <v>-7328960.7906739283</v>
      </c>
      <c r="R45">
        <f t="shared" ref="R45" si="202">R46+Q45</f>
        <v>-356434687.85000402</v>
      </c>
      <c r="S45">
        <f t="shared" ref="S45" si="203">R45/100000</f>
        <v>-3564.34687850004</v>
      </c>
      <c r="T45">
        <f t="shared" ref="T45" si="204">S45/1000</f>
        <v>-3.5643468785000398</v>
      </c>
    </row>
    <row r="46" spans="1:20" x14ac:dyDescent="0.25">
      <c r="A46" s="5">
        <v>44547</v>
      </c>
      <c r="B46">
        <v>1.1307</v>
      </c>
      <c r="C46">
        <v>1.161</v>
      </c>
      <c r="D46">
        <v>1.0625</v>
      </c>
      <c r="E46">
        <v>1.0895999999999999</v>
      </c>
      <c r="F46">
        <v>1602391</v>
      </c>
      <c r="G46">
        <v>1.0895999999999999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-0.44974619289340317</v>
      </c>
      <c r="Q46">
        <f t="shared" ref="Q46" si="206">F46*P46</f>
        <v>-720669.25177665323</v>
      </c>
      <c r="R46">
        <f t="shared" ref="R46" si="207">R47+Q46</f>
        <v>-349105727.05933011</v>
      </c>
      <c r="S46">
        <f t="shared" ref="S46" si="208">R46/100000</f>
        <v>-3491.0572705933009</v>
      </c>
      <c r="T46">
        <f t="shared" ref="T46" si="209">S46/1000</f>
        <v>-3.4910572705933007</v>
      </c>
    </row>
    <row r="47" spans="1:20" x14ac:dyDescent="0.25">
      <c r="A47" s="5">
        <v>44546</v>
      </c>
      <c r="B47">
        <v>1.1480999999999999</v>
      </c>
      <c r="C47">
        <v>1.19</v>
      </c>
      <c r="D47">
        <v>1.1240000000000001</v>
      </c>
      <c r="E47">
        <v>1.1285000000000001</v>
      </c>
      <c r="F47">
        <v>1268824</v>
      </c>
      <c r="G47">
        <v>1.1285000000000001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-0.86363636363636487</v>
      </c>
      <c r="Q47">
        <f t="shared" ref="Q47" si="211">F47*P47</f>
        <v>-1095802.545454547</v>
      </c>
      <c r="R47">
        <f t="shared" ref="R47" si="212">R48+Q47</f>
        <v>-348385057.80755347</v>
      </c>
      <c r="S47">
        <f t="shared" ref="S47" si="213">R47/100000</f>
        <v>-3483.8505780755345</v>
      </c>
      <c r="T47">
        <f t="shared" ref="T47" si="214">S47/1000</f>
        <v>-3.4838505780755344</v>
      </c>
    </row>
    <row r="48" spans="1:20" x14ac:dyDescent="0.25">
      <c r="A48" s="5">
        <v>44545</v>
      </c>
      <c r="B48">
        <v>1.115</v>
      </c>
      <c r="C48">
        <v>1.1737</v>
      </c>
      <c r="D48">
        <v>1.0549999999999999</v>
      </c>
      <c r="E48">
        <v>1.1471</v>
      </c>
      <c r="F48">
        <v>1884404</v>
      </c>
      <c r="G48">
        <v>1.1471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0.55181128896377507</v>
      </c>
      <c r="Q48">
        <f t="shared" ref="Q48" si="216">F48*P48</f>
        <v>1039835.4001684936</v>
      </c>
      <c r="R48">
        <f t="shared" ref="R48" si="217">R49+Q48</f>
        <v>-347289255.26209891</v>
      </c>
      <c r="S48">
        <f t="shared" ref="S48" si="218">R48/100000</f>
        <v>-3472.8925526209891</v>
      </c>
      <c r="T48">
        <f t="shared" ref="T48" si="219">S48/1000</f>
        <v>-3.4728925526209893</v>
      </c>
    </row>
    <row r="49" spans="1:20" x14ac:dyDescent="0.25">
      <c r="A49" s="5">
        <v>44544</v>
      </c>
      <c r="B49">
        <v>1.1077999999999999</v>
      </c>
      <c r="C49">
        <v>1.1444000000000001</v>
      </c>
      <c r="D49">
        <v>1.0754999999999999</v>
      </c>
      <c r="E49">
        <v>1.115</v>
      </c>
      <c r="F49">
        <v>1376513</v>
      </c>
      <c r="G49">
        <v>1.115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0.14658925979680654</v>
      </c>
      <c r="Q49">
        <f t="shared" ref="Q49" si="221">F49*P49</f>
        <v>201782.02177068155</v>
      </c>
      <c r="R49">
        <f t="shared" ref="R49" si="222">R50+Q49</f>
        <v>-348329090.66226739</v>
      </c>
      <c r="S49">
        <f t="shared" ref="S49" si="223">R49/100000</f>
        <v>-3483.2909066226739</v>
      </c>
      <c r="T49">
        <f t="shared" ref="T49" si="224">S49/1000</f>
        <v>-3.483290906622674</v>
      </c>
    </row>
    <row r="50" spans="1:20" x14ac:dyDescent="0.25">
      <c r="A50" s="5">
        <v>44543</v>
      </c>
      <c r="B50">
        <v>1.2523</v>
      </c>
      <c r="C50">
        <v>1.2587999999999999</v>
      </c>
      <c r="D50">
        <v>1.079</v>
      </c>
      <c r="E50">
        <v>1.111</v>
      </c>
      <c r="F50">
        <v>2091627</v>
      </c>
      <c r="G50">
        <v>1.111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-0.64404894327029993</v>
      </c>
      <c r="Q50">
        <f t="shared" ref="Q50" si="226">F50*P50</f>
        <v>-1347110.1590656277</v>
      </c>
      <c r="R50">
        <f t="shared" ref="R50" si="227">R51+Q50</f>
        <v>-348530872.68403804</v>
      </c>
      <c r="S50">
        <f t="shared" ref="S50" si="228">R50/100000</f>
        <v>-3485.3087268403806</v>
      </c>
      <c r="T50">
        <f t="shared" ref="T50" si="229">S50/1000</f>
        <v>-3.4853087268403806</v>
      </c>
    </row>
    <row r="51" spans="1:20" x14ac:dyDescent="0.25">
      <c r="A51" s="5">
        <v>44542</v>
      </c>
      <c r="B51">
        <v>1.2350000000000001</v>
      </c>
      <c r="C51">
        <v>1.4350000000000001</v>
      </c>
      <c r="D51">
        <v>1.2306999999999999</v>
      </c>
      <c r="E51">
        <v>1.2537</v>
      </c>
      <c r="F51">
        <v>7191981</v>
      </c>
      <c r="G51">
        <v>1.2537</v>
      </c>
      <c r="L51" t="s">
        <v>8</v>
      </c>
      <c r="M51" t="s">
        <v>8</v>
      </c>
      <c r="N51" t="s">
        <v>8</v>
      </c>
      <c r="P51">
        <f t="shared" ref="P51" si="230">IF(C51=D51,0,((E51-D51)-(C51-E51))/(C51-D51))</f>
        <v>-0.77484092021536843</v>
      </c>
      <c r="Q51">
        <f t="shared" ref="Q51" si="231">F51*P51</f>
        <v>-5572641.1762114456</v>
      </c>
      <c r="R51">
        <f t="shared" ref="R51" si="232">R52+Q51</f>
        <v>-347183762.52497244</v>
      </c>
      <c r="S51">
        <f t="shared" ref="S51" si="233">R51/100000</f>
        <v>-3471.8376252497242</v>
      </c>
      <c r="T51">
        <f t="shared" ref="T51" si="234">S51/1000</f>
        <v>-3.4718376252497243</v>
      </c>
    </row>
    <row r="52" spans="1:20" x14ac:dyDescent="0.25">
      <c r="A52" s="5">
        <v>44541</v>
      </c>
      <c r="B52">
        <v>1.1536</v>
      </c>
      <c r="C52">
        <v>1.1834</v>
      </c>
      <c r="D52">
        <v>1.1455</v>
      </c>
      <c r="E52">
        <v>1.1816</v>
      </c>
      <c r="F52">
        <v>27461</v>
      </c>
      <c r="G52">
        <v>1.1816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0.90501319261213609</v>
      </c>
      <c r="Q52">
        <f t="shared" ref="Q52" si="236">F52*P52</f>
        <v>24852.56728232187</v>
      </c>
      <c r="R52">
        <f t="shared" ref="R52" si="237">R53+Q52</f>
        <v>-341611121.34876102</v>
      </c>
      <c r="S52">
        <f t="shared" ref="S52" si="238">R52/100000</f>
        <v>-3416.1112134876103</v>
      </c>
      <c r="T52">
        <f t="shared" ref="T52" si="239">S52/1000</f>
        <v>-3.4161112134876102</v>
      </c>
    </row>
    <row r="53" spans="1:20" x14ac:dyDescent="0.25">
      <c r="A53" s="5">
        <v>44540</v>
      </c>
      <c r="B53">
        <v>1.2245999999999999</v>
      </c>
      <c r="C53">
        <v>1.2556</v>
      </c>
      <c r="D53">
        <v>1.1454</v>
      </c>
      <c r="E53">
        <v>1.1564000000000001</v>
      </c>
      <c r="F53">
        <v>1749600</v>
      </c>
      <c r="G53">
        <v>1.1564000000000001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-0.80036297640653153</v>
      </c>
      <c r="Q53">
        <f t="shared" ref="Q53" si="241">F53*P53</f>
        <v>-1400315.0635208676</v>
      </c>
      <c r="R53">
        <f t="shared" ref="R53" si="242">R54+Q53</f>
        <v>-341635973.91604334</v>
      </c>
      <c r="S53">
        <f t="shared" ref="S53" si="243">R53/100000</f>
        <v>-3416.3597391604335</v>
      </c>
      <c r="T53">
        <f t="shared" ref="T53" si="244">S53/1000</f>
        <v>-3.4163597391604337</v>
      </c>
    </row>
    <row r="54" spans="1:20" x14ac:dyDescent="0.25">
      <c r="A54" s="5">
        <v>44539</v>
      </c>
      <c r="B54">
        <v>1.3606</v>
      </c>
      <c r="C54">
        <v>1.4069</v>
      </c>
      <c r="D54">
        <v>1.2082999999999999</v>
      </c>
      <c r="E54">
        <v>1.2218</v>
      </c>
      <c r="F54">
        <v>5864741</v>
      </c>
      <c r="G54">
        <v>1.2218</v>
      </c>
      <c r="L54" t="s">
        <v>7</v>
      </c>
      <c r="M54" t="s">
        <v>7</v>
      </c>
      <c r="N54" t="s">
        <v>8</v>
      </c>
      <c r="P54">
        <f t="shared" ref="P54" si="245">IF(C54=D54,0,((E54-D54)-(C54-E54))/(C54-D54))</f>
        <v>-0.86404833836857942</v>
      </c>
      <c r="Q54">
        <f t="shared" ref="Q54" si="246">F54*P54</f>
        <v>-5067419.7160120811</v>
      </c>
      <c r="R54">
        <f t="shared" ref="R54" si="247">R55+Q54</f>
        <v>-340235658.85252249</v>
      </c>
      <c r="S54">
        <f t="shared" ref="S54" si="248">R54/100000</f>
        <v>-3402.3565885252251</v>
      </c>
      <c r="T54">
        <f t="shared" ref="T54" si="249">S54/1000</f>
        <v>-3.4023565885252252</v>
      </c>
    </row>
    <row r="55" spans="1:20" x14ac:dyDescent="0.25">
      <c r="A55" s="5">
        <v>44538</v>
      </c>
      <c r="B55">
        <v>1.2696000000000001</v>
      </c>
      <c r="C55">
        <v>1.5609</v>
      </c>
      <c r="D55">
        <v>1.2202</v>
      </c>
      <c r="E55">
        <v>1.3606</v>
      </c>
      <c r="F55">
        <v>15585120</v>
      </c>
      <c r="G55">
        <v>1.3606</v>
      </c>
      <c r="L55" t="s">
        <v>8</v>
      </c>
      <c r="M55" t="s">
        <v>8</v>
      </c>
      <c r="N55" t="s">
        <v>8</v>
      </c>
      <c r="P55">
        <f t="shared" ref="P55" si="250">IF(C55=D55,0,((E55-D55)-(C55-E55))/(C55-D55))</f>
        <v>-0.1758144995597295</v>
      </c>
      <c r="Q55">
        <f t="shared" ref="Q55" si="251">F55*P55</f>
        <v>-2740090.0733783315</v>
      </c>
      <c r="R55">
        <f t="shared" ref="R55" si="252">R56+Q55</f>
        <v>-335168239.13651043</v>
      </c>
      <c r="S55">
        <f t="shared" ref="S55" si="253">R55/100000</f>
        <v>-3351.6823913651042</v>
      </c>
      <c r="T55">
        <f t="shared" ref="T55" si="254">S55/1000</f>
        <v>-3.3516823913651042</v>
      </c>
    </row>
    <row r="56" spans="1:20" x14ac:dyDescent="0.25">
      <c r="A56" s="5">
        <v>44537</v>
      </c>
      <c r="B56">
        <v>1.3002</v>
      </c>
      <c r="C56">
        <v>1.3561000000000001</v>
      </c>
      <c r="D56">
        <v>1.238</v>
      </c>
      <c r="E56">
        <v>1.2706</v>
      </c>
      <c r="F56">
        <v>2261137</v>
      </c>
      <c r="G56">
        <v>1.2706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-0.4479254868755303</v>
      </c>
      <c r="Q56">
        <f t="shared" ref="Q56" si="256">F56*P56</f>
        <v>-1012820.891617276</v>
      </c>
      <c r="R56">
        <f t="shared" ref="R56" si="257">R57+Q56</f>
        <v>-332428149.06313211</v>
      </c>
      <c r="S56">
        <f t="shared" ref="S56" si="258">R56/100000</f>
        <v>-3324.281490631321</v>
      </c>
      <c r="T56">
        <f t="shared" ref="T56" si="259">S56/1000</f>
        <v>-3.3242814906313209</v>
      </c>
    </row>
    <row r="57" spans="1:20" x14ac:dyDescent="0.25">
      <c r="A57" s="5">
        <v>44536</v>
      </c>
      <c r="B57">
        <v>1.2142999999999999</v>
      </c>
      <c r="C57">
        <v>1.319</v>
      </c>
      <c r="D57">
        <v>1.0900000000000001</v>
      </c>
      <c r="E57">
        <v>1.3023</v>
      </c>
      <c r="F57">
        <v>2442014</v>
      </c>
      <c r="G57">
        <v>1.3023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0.85414847161572094</v>
      </c>
      <c r="Q57">
        <f t="shared" ref="Q57" si="261">F57*P57</f>
        <v>2085842.5257641932</v>
      </c>
      <c r="R57">
        <f t="shared" ref="R57" si="262">R58+Q57</f>
        <v>-331415328.17151481</v>
      </c>
      <c r="S57">
        <f t="shared" ref="S57" si="263">R57/100000</f>
        <v>-3314.1532817151483</v>
      </c>
      <c r="T57">
        <f t="shared" ref="T57" si="264">S57/1000</f>
        <v>-3.3141532817151482</v>
      </c>
    </row>
    <row r="58" spans="1:20" x14ac:dyDescent="0.25">
      <c r="A58" s="5">
        <v>44535</v>
      </c>
      <c r="B58">
        <v>1.3656999999999999</v>
      </c>
      <c r="C58">
        <v>1.3911</v>
      </c>
      <c r="D58">
        <v>1.1779999999999999</v>
      </c>
      <c r="E58">
        <v>1.2111000000000001</v>
      </c>
      <c r="F58">
        <v>2454159</v>
      </c>
      <c r="G58">
        <v>1.2111000000000001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-0.68934772407320399</v>
      </c>
      <c r="Q58">
        <f t="shared" ref="Q58" si="266">F58*P58</f>
        <v>-1691768.9211637701</v>
      </c>
      <c r="R58">
        <f t="shared" ref="R58" si="267">R59+Q58</f>
        <v>-333501170.69727898</v>
      </c>
      <c r="S58">
        <f t="shared" ref="S58" si="268">R58/100000</f>
        <v>-3335.0117069727899</v>
      </c>
      <c r="T58">
        <f t="shared" ref="T58" si="269">S58/1000</f>
        <v>-3.3350117069727898</v>
      </c>
    </row>
    <row r="59" spans="1:20" x14ac:dyDescent="0.25">
      <c r="A59" s="5">
        <v>44534</v>
      </c>
      <c r="B59">
        <v>1.679</v>
      </c>
      <c r="C59">
        <v>1.6859999999999999</v>
      </c>
      <c r="D59">
        <v>1.069</v>
      </c>
      <c r="E59">
        <v>1.3649</v>
      </c>
      <c r="F59">
        <v>4166274.8390000002</v>
      </c>
      <c r="G59">
        <v>1.3649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-4.0842787682333695E-2</v>
      </c>
      <c r="Q59">
        <f t="shared" ref="Q59" si="271">F59*P59</f>
        <v>-170162.278675526</v>
      </c>
      <c r="R59">
        <f t="shared" ref="R59" si="272">R60+Q59</f>
        <v>-331809401.77611518</v>
      </c>
      <c r="S59">
        <f t="shared" ref="S59" si="273">R59/100000</f>
        <v>-3318.0940177611519</v>
      </c>
      <c r="T59">
        <f t="shared" ref="T59" si="274">S59/1000</f>
        <v>-3.318094017761152</v>
      </c>
    </row>
    <row r="60" spans="1:20" x14ac:dyDescent="0.25">
      <c r="A60" s="5">
        <v>44533</v>
      </c>
      <c r="B60">
        <v>1.6480999999999999</v>
      </c>
      <c r="C60">
        <v>1.77</v>
      </c>
      <c r="D60">
        <v>1.6227</v>
      </c>
      <c r="E60">
        <v>1.6812</v>
      </c>
      <c r="F60">
        <v>5623389</v>
      </c>
      <c r="G60">
        <v>1.6812</v>
      </c>
      <c r="L60" t="s">
        <v>8</v>
      </c>
      <c r="M60" t="s">
        <v>7</v>
      </c>
      <c r="N60" t="s">
        <v>7</v>
      </c>
      <c r="P60">
        <f t="shared" ref="P60" si="275">IF(C60=D60,0,((E60-D60)-(C60-E60))/(C60-D60))</f>
        <v>-0.2057026476578411</v>
      </c>
      <c r="Q60">
        <f t="shared" ref="Q60" si="276">F60*P60</f>
        <v>-1156746.0061099795</v>
      </c>
      <c r="R60">
        <f t="shared" ref="R60" si="277">R61+Q60</f>
        <v>-331639239.49743968</v>
      </c>
      <c r="S60">
        <f t="shared" ref="S60" si="278">R60/100000</f>
        <v>-3316.3923949743967</v>
      </c>
      <c r="T60">
        <f t="shared" ref="T60" si="279">S60/1000</f>
        <v>-3.3163923949743968</v>
      </c>
    </row>
    <row r="61" spans="1:20" x14ac:dyDescent="0.25">
      <c r="A61" s="5">
        <v>44532</v>
      </c>
      <c r="B61">
        <v>1.6791</v>
      </c>
      <c r="C61">
        <v>1.6899</v>
      </c>
      <c r="D61">
        <v>1.6004</v>
      </c>
      <c r="E61">
        <v>1.6480999999999999</v>
      </c>
      <c r="F61">
        <v>2154263</v>
      </c>
      <c r="G61">
        <v>1.6480999999999999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6.5921787709494972E-2</v>
      </c>
      <c r="Q61">
        <f t="shared" ref="Q61" si="281">F61*P61</f>
        <v>142012.86815641978</v>
      </c>
      <c r="R61">
        <f t="shared" ref="R61" si="282">R62+Q61</f>
        <v>-330482493.49132973</v>
      </c>
      <c r="S61">
        <f t="shared" ref="S61" si="283">R61/100000</f>
        <v>-3304.8249349132975</v>
      </c>
      <c r="T61">
        <f t="shared" ref="T61" si="284">S61/1000</f>
        <v>-3.3048249349132974</v>
      </c>
    </row>
    <row r="62" spans="1:20" x14ac:dyDescent="0.25">
      <c r="A62" s="5">
        <v>44531</v>
      </c>
      <c r="B62">
        <v>1.6589</v>
      </c>
      <c r="C62">
        <v>1.7</v>
      </c>
      <c r="D62">
        <v>1.643</v>
      </c>
      <c r="E62">
        <v>1.6724000000000001</v>
      </c>
      <c r="F62">
        <v>2064465</v>
      </c>
      <c r="G62">
        <v>1.6724000000000001</v>
      </c>
      <c r="L62" t="s">
        <v>7</v>
      </c>
      <c r="M62" t="s">
        <v>7</v>
      </c>
      <c r="N62" t="s">
        <v>8</v>
      </c>
      <c r="P62">
        <f t="shared" ref="P62" si="285">IF(C62=D62,0,((E62-D62)-(C62-E62))/(C62-D62))</f>
        <v>3.1578947368425397E-2</v>
      </c>
      <c r="Q62">
        <f t="shared" ref="Q62" si="286">F62*P62</f>
        <v>65193.631578956338</v>
      </c>
      <c r="R62">
        <f t="shared" ref="R62" si="287">R63+Q62</f>
        <v>-330624506.35948616</v>
      </c>
      <c r="S62">
        <f t="shared" ref="S62" si="288">R62/100000</f>
        <v>-3306.2450635948617</v>
      </c>
      <c r="T62">
        <f t="shared" ref="T62" si="289">S62/1000</f>
        <v>-3.3062450635948615</v>
      </c>
    </row>
    <row r="63" spans="1:20" x14ac:dyDescent="0.25">
      <c r="A63" s="5">
        <v>44530</v>
      </c>
      <c r="B63">
        <v>1.7016</v>
      </c>
      <c r="C63">
        <v>1.7237</v>
      </c>
      <c r="D63">
        <v>1.6347</v>
      </c>
      <c r="E63">
        <v>1.6545000000000001</v>
      </c>
      <c r="F63">
        <v>2008801</v>
      </c>
      <c r="G63">
        <v>1.6545000000000001</v>
      </c>
      <c r="L63" t="s">
        <v>7</v>
      </c>
      <c r="M63" t="s">
        <v>7</v>
      </c>
      <c r="N63" t="s">
        <v>8</v>
      </c>
      <c r="P63">
        <f t="shared" ref="P63" si="290">IF(C63=D63,0,((E63-D63)-(C63-E63))/(C63-D63))</f>
        <v>-0.55505617977527988</v>
      </c>
      <c r="Q63">
        <f t="shared" ref="Q63" si="291">F63*P63</f>
        <v>-1114997.4089887619</v>
      </c>
      <c r="R63">
        <f t="shared" ref="R63" si="292">R64+Q63</f>
        <v>-330689699.99106514</v>
      </c>
      <c r="S63">
        <f t="shared" ref="S63" si="293">R63/100000</f>
        <v>-3306.8969999106516</v>
      </c>
      <c r="T63">
        <f t="shared" ref="T63" si="294">S63/1000</f>
        <v>-3.3068969999106517</v>
      </c>
    </row>
    <row r="64" spans="1:20" x14ac:dyDescent="0.25">
      <c r="A64" s="5">
        <v>44529</v>
      </c>
      <c r="B64">
        <v>1.7627999999999999</v>
      </c>
      <c r="C64">
        <v>1.7729999999999999</v>
      </c>
      <c r="D64">
        <v>1.6933</v>
      </c>
      <c r="E64">
        <v>1.7016</v>
      </c>
      <c r="F64">
        <v>2256988</v>
      </c>
      <c r="G64">
        <v>1.7016</v>
      </c>
      <c r="L64" t="s">
        <v>7</v>
      </c>
      <c r="M64" t="s">
        <v>7</v>
      </c>
      <c r="N64" t="s">
        <v>8</v>
      </c>
      <c r="P64">
        <f t="shared" ref="P64" si="295">IF(C64=D64,0,((E64-D64)-(C64-E64))/(C64-D64))</f>
        <v>-0.79171894604767912</v>
      </c>
      <c r="Q64">
        <f t="shared" ref="Q64" si="296">F64*P64</f>
        <v>-1786900.1606022592</v>
      </c>
      <c r="R64">
        <f t="shared" ref="R64" si="297">R65+Q64</f>
        <v>-329574702.58207637</v>
      </c>
      <c r="S64">
        <f t="shared" ref="S64" si="298">R64/100000</f>
        <v>-3295.7470258207636</v>
      </c>
      <c r="T64">
        <f t="shared" ref="T64" si="299">S64/1000</f>
        <v>-3.2957470258207637</v>
      </c>
    </row>
    <row r="65" spans="1:20" x14ac:dyDescent="0.25">
      <c r="A65" s="5">
        <v>44528</v>
      </c>
      <c r="B65">
        <v>1.8157000000000001</v>
      </c>
      <c r="C65">
        <v>2.2999999999999998</v>
      </c>
      <c r="D65">
        <v>1.65</v>
      </c>
      <c r="E65">
        <v>1.7626999999999999</v>
      </c>
      <c r="F65">
        <v>17045433</v>
      </c>
      <c r="G65">
        <v>1.7626999999999999</v>
      </c>
      <c r="L65" t="s">
        <v>8</v>
      </c>
      <c r="M65" t="s">
        <v>8</v>
      </c>
      <c r="N65" t="s">
        <v>8</v>
      </c>
      <c r="P65">
        <f t="shared" ref="P65" si="300">IF(C65=D65,0,((E65-D65)-(C65-E65))/(C65-D65))</f>
        <v>-0.65323076923076906</v>
      </c>
      <c r="Q65">
        <f t="shared" ref="Q65" si="301">F65*P65</f>
        <v>-11134601.310461536</v>
      </c>
      <c r="R65">
        <f t="shared" ref="R65" si="302">R66+Q65</f>
        <v>-327787802.4214741</v>
      </c>
      <c r="S65">
        <f t="shared" ref="S65" si="303">R65/100000</f>
        <v>-3277.8780242147409</v>
      </c>
      <c r="T65">
        <f t="shared" ref="T65" si="304">S65/1000</f>
        <v>-3.2778780242147407</v>
      </c>
    </row>
    <row r="66" spans="1:20" x14ac:dyDescent="0.25">
      <c r="A66" s="5">
        <v>44527</v>
      </c>
      <c r="B66">
        <v>1.5963000000000001</v>
      </c>
      <c r="C66">
        <v>1.879</v>
      </c>
      <c r="D66">
        <v>1.5832999999999999</v>
      </c>
      <c r="E66">
        <v>1.8176000000000001</v>
      </c>
      <c r="F66">
        <v>5843349</v>
      </c>
      <c r="G66">
        <v>1.8176000000000001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0.58471423740277384</v>
      </c>
      <c r="Q66">
        <f t="shared" ref="Q66" si="306">F66*P66</f>
        <v>3416689.3544132612</v>
      </c>
      <c r="R66">
        <f t="shared" ref="R66" si="307">R67+Q66</f>
        <v>-316653201.11101258</v>
      </c>
      <c r="S66">
        <f t="shared" ref="S66" si="308">R66/100000</f>
        <v>-3166.5320111101259</v>
      </c>
      <c r="T66">
        <f t="shared" ref="T66" si="309">S66/1000</f>
        <v>-3.1665320111101258</v>
      </c>
    </row>
    <row r="67" spans="1:20" x14ac:dyDescent="0.25">
      <c r="A67" s="5">
        <v>44526</v>
      </c>
      <c r="B67">
        <v>1.7911999999999999</v>
      </c>
      <c r="C67">
        <v>1.82</v>
      </c>
      <c r="D67">
        <v>1.5787</v>
      </c>
      <c r="E67">
        <v>1.5955999999999999</v>
      </c>
      <c r="F67">
        <v>3473961</v>
      </c>
      <c r="G67">
        <v>1.5955999999999999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-0.85992540406133522</v>
      </c>
      <c r="Q67">
        <f t="shared" ref="Q67" si="311">F67*P67</f>
        <v>-2987347.3166183201</v>
      </c>
      <c r="R67">
        <f t="shared" ref="R67" si="312">R68+Q67</f>
        <v>-320069890.46542585</v>
      </c>
      <c r="S67">
        <f t="shared" ref="S67" si="313">R67/100000</f>
        <v>-3200.6989046542585</v>
      </c>
      <c r="T67">
        <f t="shared" ref="T67" si="314">S67/1000</f>
        <v>-3.2006989046542587</v>
      </c>
    </row>
    <row r="68" spans="1:20" x14ac:dyDescent="0.25">
      <c r="A68" s="5">
        <v>44525</v>
      </c>
      <c r="B68">
        <v>1.6556999999999999</v>
      </c>
      <c r="C68">
        <v>1.825</v>
      </c>
      <c r="D68">
        <v>1.6406000000000001</v>
      </c>
      <c r="E68">
        <v>1.7905</v>
      </c>
      <c r="F68">
        <v>4040167</v>
      </c>
      <c r="G68">
        <v>1.7905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0.62581344902386127</v>
      </c>
      <c r="Q68">
        <f t="shared" ref="Q68" si="316">F68*P68</f>
        <v>2528390.8449023864</v>
      </c>
      <c r="R68">
        <f t="shared" ref="R68" si="317">R69+Q68</f>
        <v>-317082543.14880753</v>
      </c>
      <c r="S68">
        <f t="shared" ref="S68" si="318">R68/100000</f>
        <v>-3170.8254314880751</v>
      </c>
      <c r="T68">
        <f t="shared" ref="T68" si="319">S68/1000</f>
        <v>-3.1708254314880753</v>
      </c>
    </row>
    <row r="69" spans="1:20" x14ac:dyDescent="0.25">
      <c r="A69" s="5">
        <v>44524</v>
      </c>
      <c r="B69">
        <v>1.7727999999999999</v>
      </c>
      <c r="C69">
        <v>1.7815000000000001</v>
      </c>
      <c r="D69">
        <v>1.6778999999999999</v>
      </c>
      <c r="E69">
        <v>1.6862999999999999</v>
      </c>
      <c r="F69">
        <v>1535788</v>
      </c>
      <c r="G69">
        <v>1.6862999999999999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-0.83783783783783872</v>
      </c>
      <c r="Q69">
        <f t="shared" ref="Q69" si="321">F69*P69</f>
        <v>-1286741.2972972987</v>
      </c>
      <c r="R69">
        <f t="shared" ref="R69" si="322">R70+Q69</f>
        <v>-319610933.99370992</v>
      </c>
      <c r="S69">
        <f t="shared" ref="S69" si="323">R69/100000</f>
        <v>-3196.1093399370993</v>
      </c>
      <c r="T69">
        <f t="shared" ref="T69" si="324">S69/1000</f>
        <v>-3.1961093399370992</v>
      </c>
    </row>
    <row r="70" spans="1:20" x14ac:dyDescent="0.25">
      <c r="A70" s="5">
        <v>44523</v>
      </c>
      <c r="B70">
        <v>1.8971</v>
      </c>
      <c r="C70">
        <v>1.9451000000000001</v>
      </c>
      <c r="D70">
        <v>1.7222</v>
      </c>
      <c r="E70">
        <v>1.7727999999999999</v>
      </c>
      <c r="F70">
        <v>7762743</v>
      </c>
      <c r="G70">
        <v>1.7727999999999999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-0.54598474652310491</v>
      </c>
      <c r="Q70">
        <f t="shared" ref="Q70" si="326">F70*P70</f>
        <v>-4238339.269179007</v>
      </c>
      <c r="R70">
        <f t="shared" ref="R70" si="327">R71+Q70</f>
        <v>-318324192.69641262</v>
      </c>
      <c r="S70">
        <f t="shared" ref="S70" si="328">R70/100000</f>
        <v>-3183.2419269641264</v>
      </c>
      <c r="T70">
        <f t="shared" ref="T70" si="329">S70/1000</f>
        <v>-3.1832419269641266</v>
      </c>
    </row>
    <row r="71" spans="1:20" x14ac:dyDescent="0.25">
      <c r="A71" s="5">
        <v>44522</v>
      </c>
      <c r="B71">
        <v>1.7646999999999999</v>
      </c>
      <c r="C71">
        <v>2.5299999999999998</v>
      </c>
      <c r="D71">
        <v>1.7117</v>
      </c>
      <c r="E71">
        <v>1.8971</v>
      </c>
      <c r="F71">
        <v>43935073</v>
      </c>
      <c r="G71">
        <v>1.8971</v>
      </c>
      <c r="L71" t="s">
        <v>8</v>
      </c>
      <c r="M71" t="s">
        <v>8</v>
      </c>
      <c r="N71" t="s">
        <v>8</v>
      </c>
      <c r="P71">
        <f t="shared" ref="P71" si="330">IF(C71=D71,0,((E71-D71)-(C71-E71))/(C71-D71))</f>
        <v>-0.54686545276793341</v>
      </c>
      <c r="Q71">
        <f t="shared" ref="Q71" si="331">F71*P71</f>
        <v>-24026573.588537205</v>
      </c>
      <c r="R71">
        <f t="shared" ref="R71" si="332">R72+Q71</f>
        <v>-314085853.42723364</v>
      </c>
      <c r="S71">
        <f t="shared" ref="S71" si="333">R71/100000</f>
        <v>-3140.8585342723363</v>
      </c>
      <c r="T71">
        <f t="shared" ref="T71" si="334">S71/1000</f>
        <v>-3.1408585342723363</v>
      </c>
    </row>
    <row r="72" spans="1:20" x14ac:dyDescent="0.25">
      <c r="A72" s="5">
        <v>44521</v>
      </c>
      <c r="B72">
        <v>1.6021000000000001</v>
      </c>
      <c r="C72">
        <v>1.9212</v>
      </c>
      <c r="D72">
        <v>1.5696000000000001</v>
      </c>
      <c r="E72">
        <v>1.7649999999999999</v>
      </c>
      <c r="F72">
        <v>8184914</v>
      </c>
      <c r="G72">
        <v>1.7649999999999999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0.11149032992036316</v>
      </c>
      <c r="Q72">
        <f t="shared" ref="Q72" si="336">F72*P72</f>
        <v>912538.76222979929</v>
      </c>
      <c r="R72">
        <f t="shared" ref="R72" si="337">R73+Q72</f>
        <v>-290059279.83869642</v>
      </c>
      <c r="S72">
        <f t="shared" ref="S72" si="338">R72/100000</f>
        <v>-2900.5927983869642</v>
      </c>
      <c r="T72">
        <f t="shared" ref="T72" si="339">S72/1000</f>
        <v>-2.9005927983869642</v>
      </c>
    </row>
    <row r="73" spans="1:20" x14ac:dyDescent="0.25">
      <c r="A73" s="5">
        <v>44520</v>
      </c>
      <c r="B73">
        <v>1.506</v>
      </c>
      <c r="C73">
        <v>1.7257</v>
      </c>
      <c r="D73">
        <v>1.48</v>
      </c>
      <c r="E73">
        <v>1.6043000000000001</v>
      </c>
      <c r="F73">
        <v>3777990</v>
      </c>
      <c r="G73">
        <v>1.6043000000000001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1.180301180301231E-2</v>
      </c>
      <c r="Q73">
        <f t="shared" ref="Q73" si="341">F73*P73</f>
        <v>44591.660561662473</v>
      </c>
      <c r="R73">
        <f t="shared" ref="R73" si="342">R74+Q73</f>
        <v>-290971818.60092622</v>
      </c>
      <c r="S73">
        <f t="shared" ref="S73" si="343">R73/100000</f>
        <v>-2909.7181860092624</v>
      </c>
      <c r="T73">
        <f t="shared" ref="T73" si="344">S73/1000</f>
        <v>-2.9097181860092625</v>
      </c>
    </row>
    <row r="74" spans="1:20" x14ac:dyDescent="0.25">
      <c r="A74" s="5">
        <v>44519</v>
      </c>
      <c r="B74">
        <v>1.4652000000000001</v>
      </c>
      <c r="C74">
        <v>1.5683</v>
      </c>
      <c r="D74">
        <v>1.4505999999999999</v>
      </c>
      <c r="E74">
        <v>1.5069999999999999</v>
      </c>
      <c r="F74">
        <v>2973399</v>
      </c>
      <c r="G74">
        <v>1.5069999999999999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-4.1631265930332374E-2</v>
      </c>
      <c r="Q74">
        <f t="shared" ref="Q74" si="346">F74*P74</f>
        <v>-123786.36448598435</v>
      </c>
      <c r="R74">
        <f t="shared" ref="R74" si="347">R75+Q74</f>
        <v>-291016410.2614879</v>
      </c>
      <c r="S74">
        <f t="shared" ref="S74" si="348">R74/100000</f>
        <v>-2910.1641026148791</v>
      </c>
      <c r="T74">
        <f t="shared" ref="T74" si="349">S74/1000</f>
        <v>-2.9101641026148792</v>
      </c>
    </row>
    <row r="75" spans="1:20" x14ac:dyDescent="0.25">
      <c r="A75" s="5">
        <v>44518</v>
      </c>
      <c r="B75">
        <v>1.5486</v>
      </c>
      <c r="C75">
        <v>1.5980000000000001</v>
      </c>
      <c r="D75">
        <v>1.3619000000000001</v>
      </c>
      <c r="E75">
        <v>1.4642999999999999</v>
      </c>
      <c r="F75">
        <v>5213412</v>
      </c>
      <c r="G75">
        <v>1.4642999999999999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-0.1325709445150374</v>
      </c>
      <c r="Q75">
        <f t="shared" ref="Q75" si="351">F75*P75</f>
        <v>-691146.95298603014</v>
      </c>
      <c r="R75">
        <f t="shared" ref="R75" si="352">R76+Q75</f>
        <v>-290892623.89700192</v>
      </c>
      <c r="S75">
        <f t="shared" ref="S75" si="353">R75/100000</f>
        <v>-2908.9262389700193</v>
      </c>
      <c r="T75">
        <f t="shared" ref="T75" si="354">S75/1000</f>
        <v>-2.9089262389700195</v>
      </c>
    </row>
    <row r="76" spans="1:20" x14ac:dyDescent="0.25">
      <c r="A76" s="5">
        <v>44517</v>
      </c>
      <c r="B76">
        <v>1.5216000000000001</v>
      </c>
      <c r="C76">
        <v>1.5963000000000001</v>
      </c>
      <c r="D76">
        <v>1.4443999999999999</v>
      </c>
      <c r="E76">
        <v>1.5464</v>
      </c>
      <c r="F76">
        <v>1598834</v>
      </c>
      <c r="G76">
        <v>1.5464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0.34298880842659635</v>
      </c>
      <c r="Q76">
        <f t="shared" ref="Q76" si="356">F76*P76</f>
        <v>548382.16853192879</v>
      </c>
      <c r="R76">
        <f t="shared" ref="R76" si="357">R77+Q76</f>
        <v>-290201476.94401592</v>
      </c>
      <c r="S76">
        <f t="shared" ref="S76" si="358">R76/100000</f>
        <v>-2902.0147694401594</v>
      </c>
      <c r="T76">
        <f t="shared" ref="T76" si="359">S76/1000</f>
        <v>-2.9020147694401595</v>
      </c>
    </row>
    <row r="77" spans="1:20" x14ac:dyDescent="0.25">
      <c r="A77" s="5">
        <v>44516</v>
      </c>
      <c r="B77">
        <v>1.7096</v>
      </c>
      <c r="C77">
        <v>1.7121</v>
      </c>
      <c r="D77">
        <v>1.4858</v>
      </c>
      <c r="E77">
        <v>1.5219</v>
      </c>
      <c r="F77">
        <v>2962008</v>
      </c>
      <c r="G77">
        <v>1.5219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-0.68095448519664137</v>
      </c>
      <c r="Q77">
        <f t="shared" ref="Q77" si="361">F77*P77</f>
        <v>-2016992.6327883333</v>
      </c>
      <c r="R77">
        <f t="shared" ref="R77" si="362">R78+Q77</f>
        <v>-290749859.11254787</v>
      </c>
      <c r="S77">
        <f t="shared" ref="S77" si="363">R77/100000</f>
        <v>-2907.4985911254789</v>
      </c>
      <c r="T77">
        <f t="shared" ref="T77" si="364">S77/1000</f>
        <v>-2.9074985911254787</v>
      </c>
    </row>
    <row r="78" spans="1:20" x14ac:dyDescent="0.25">
      <c r="A78" s="5">
        <v>44515</v>
      </c>
      <c r="B78">
        <v>1.7024999999999999</v>
      </c>
      <c r="C78">
        <v>1.8010999999999999</v>
      </c>
      <c r="D78">
        <v>1.6877</v>
      </c>
      <c r="E78">
        <v>1.708</v>
      </c>
      <c r="F78">
        <v>2037338</v>
      </c>
      <c r="G78">
        <v>1.708</v>
      </c>
      <c r="L78" t="s">
        <v>8</v>
      </c>
      <c r="M78" t="s">
        <v>7</v>
      </c>
      <c r="N78" t="s">
        <v>7</v>
      </c>
      <c r="P78">
        <f t="shared" ref="P78" si="365">IF(C78=D78,0,((E78-D78)-(C78-E78))/(C78-D78))</f>
        <v>-0.64197530864197538</v>
      </c>
      <c r="Q78">
        <f t="shared" ref="Q78" si="366">F78*P78</f>
        <v>-1307920.691358025</v>
      </c>
      <c r="R78">
        <f t="shared" ref="R78" si="367">R79+Q78</f>
        <v>-288732866.47975951</v>
      </c>
      <c r="S78">
        <f t="shared" ref="S78" si="368">R78/100000</f>
        <v>-2887.3286647975951</v>
      </c>
      <c r="T78">
        <f t="shared" ref="T78" si="369">S78/1000</f>
        <v>-2.8873286647975953</v>
      </c>
    </row>
    <row r="79" spans="1:20" x14ac:dyDescent="0.25">
      <c r="A79" s="5">
        <v>44514</v>
      </c>
      <c r="B79">
        <v>1.7130000000000001</v>
      </c>
      <c r="C79">
        <v>1.7605</v>
      </c>
      <c r="D79">
        <v>1.6820999999999999</v>
      </c>
      <c r="E79">
        <v>1.6990000000000001</v>
      </c>
      <c r="F79">
        <v>1041274</v>
      </c>
      <c r="G79">
        <v>1.6990000000000001</v>
      </c>
      <c r="L79" t="s">
        <v>7</v>
      </c>
      <c r="M79" t="s">
        <v>7</v>
      </c>
      <c r="N79" t="s">
        <v>7</v>
      </c>
      <c r="P79">
        <f t="shared" ref="P79" si="370">IF(C79=D79,0,((E79-D79)-(C79-E79))/(C79-D79))</f>
        <v>-0.56887755102040483</v>
      </c>
      <c r="Q79">
        <f t="shared" ref="Q79" si="371">F79*P79</f>
        <v>-592357.403061221</v>
      </c>
      <c r="R79">
        <f t="shared" ref="R79" si="372">R80+Q79</f>
        <v>-287424945.78840148</v>
      </c>
      <c r="S79">
        <f t="shared" ref="S79" si="373">R79/100000</f>
        <v>-2874.2494578840146</v>
      </c>
      <c r="T79">
        <f t="shared" ref="T79" si="374">S79/1000</f>
        <v>-2.8742494578840145</v>
      </c>
    </row>
    <row r="80" spans="1:20" x14ac:dyDescent="0.25">
      <c r="A80" s="5">
        <v>44513</v>
      </c>
      <c r="B80">
        <v>1.7121999999999999</v>
      </c>
      <c r="C80">
        <v>1.7576000000000001</v>
      </c>
      <c r="D80">
        <v>1.6859</v>
      </c>
      <c r="E80">
        <v>1.7143999999999999</v>
      </c>
      <c r="F80">
        <v>909502</v>
      </c>
      <c r="G80">
        <v>1.7143999999999999</v>
      </c>
      <c r="L80" t="s">
        <v>7</v>
      </c>
      <c r="M80" t="s">
        <v>7</v>
      </c>
      <c r="N80" t="s">
        <v>7</v>
      </c>
      <c r="P80">
        <f t="shared" ref="P80" si="375">IF(C80=D80,0,((E80-D80)-(C80-E80))/(C80-D80))</f>
        <v>-0.20502092050209397</v>
      </c>
      <c r="Q80">
        <f t="shared" ref="Q80" si="376">F80*P80</f>
        <v>-186466.93723849548</v>
      </c>
      <c r="R80">
        <f t="shared" ref="R80" si="377">R81+Q80</f>
        <v>-286832588.38534027</v>
      </c>
      <c r="S80">
        <f t="shared" ref="S80" si="378">R80/100000</f>
        <v>-2868.325883853403</v>
      </c>
      <c r="T80">
        <f t="shared" ref="T80" si="379">S80/1000</f>
        <v>-2.8683258838534029</v>
      </c>
    </row>
    <row r="81" spans="1:20" x14ac:dyDescent="0.25">
      <c r="A81" s="5">
        <v>44512</v>
      </c>
      <c r="B81">
        <v>1.7476</v>
      </c>
      <c r="C81">
        <v>1.7504</v>
      </c>
      <c r="D81">
        <v>1.65</v>
      </c>
      <c r="E81">
        <v>1.7107000000000001</v>
      </c>
      <c r="F81">
        <v>1273141</v>
      </c>
      <c r="G81">
        <v>1.7107000000000001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0.20916334661354924</v>
      </c>
      <c r="Q81">
        <f t="shared" ref="Q81" si="381">F81*P81</f>
        <v>266294.43227092072</v>
      </c>
      <c r="R81">
        <f t="shared" ref="R81" si="382">R82+Q81</f>
        <v>-286646121.44810176</v>
      </c>
      <c r="S81">
        <f t="shared" ref="S81" si="383">R81/100000</f>
        <v>-2866.4612144810176</v>
      </c>
      <c r="T81">
        <f t="shared" ref="T81" si="384">S81/1000</f>
        <v>-2.8664612144810175</v>
      </c>
    </row>
    <row r="82" spans="1:20" x14ac:dyDescent="0.25">
      <c r="A82" s="5">
        <v>44511</v>
      </c>
      <c r="B82">
        <v>1.7162999999999999</v>
      </c>
      <c r="C82">
        <v>1.7829999999999999</v>
      </c>
      <c r="D82">
        <v>1.6893</v>
      </c>
      <c r="E82">
        <v>1.7486999999999999</v>
      </c>
      <c r="F82">
        <v>1059587</v>
      </c>
      <c r="G82">
        <v>1.7486999999999999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0.26787620064034073</v>
      </c>
      <c r="Q82">
        <f t="shared" ref="Q82" si="386">F82*P82</f>
        <v>283838.13980789669</v>
      </c>
      <c r="R82">
        <f t="shared" ref="R82" si="387">R83+Q82</f>
        <v>-286912415.8803727</v>
      </c>
      <c r="S82">
        <f t="shared" ref="S82" si="388">R82/100000</f>
        <v>-2869.1241588037269</v>
      </c>
      <c r="T82">
        <f t="shared" ref="T82" si="389">S82/1000</f>
        <v>-2.8691241588037268</v>
      </c>
    </row>
    <row r="83" spans="1:20" x14ac:dyDescent="0.25">
      <c r="A83" s="5">
        <v>44510</v>
      </c>
      <c r="B83">
        <v>1.8154999999999999</v>
      </c>
      <c r="C83">
        <v>1.8717999999999999</v>
      </c>
      <c r="D83">
        <v>1.63</v>
      </c>
      <c r="E83">
        <v>1.7142999999999999</v>
      </c>
      <c r="F83">
        <v>2553768</v>
      </c>
      <c r="G83">
        <v>1.7142999999999999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-0.30272952853597984</v>
      </c>
      <c r="Q83">
        <f t="shared" ref="Q83" si="391">F83*P83</f>
        <v>-773100.98263027216</v>
      </c>
      <c r="R83">
        <f t="shared" ref="R83" si="392">R84+Q83</f>
        <v>-287196254.02018058</v>
      </c>
      <c r="S83">
        <f t="shared" ref="S83" si="393">R83/100000</f>
        <v>-2871.962540201806</v>
      </c>
      <c r="T83">
        <f t="shared" ref="T83" si="394">S83/1000</f>
        <v>-2.8719625402018059</v>
      </c>
    </row>
    <row r="84" spans="1:20" x14ac:dyDescent="0.25">
      <c r="A84" s="5">
        <v>44509</v>
      </c>
      <c r="B84">
        <v>1.8037000000000001</v>
      </c>
      <c r="C84">
        <v>1.8289</v>
      </c>
      <c r="D84">
        <v>1.7759</v>
      </c>
      <c r="E84">
        <v>1.8176000000000001</v>
      </c>
      <c r="F84">
        <v>2135334</v>
      </c>
      <c r="G84">
        <v>1.8176000000000001</v>
      </c>
      <c r="L84" t="s">
        <v>7</v>
      </c>
      <c r="M84" t="s">
        <v>7</v>
      </c>
      <c r="N84" t="s">
        <v>7</v>
      </c>
      <c r="P84">
        <f t="shared" ref="P84" si="395">IF(C84=D84,0,((E84-D84)-(C84-E84))/(C84-D84))</f>
        <v>0.57358490566038189</v>
      </c>
      <c r="Q84">
        <f t="shared" ref="Q84" si="396">F84*P84</f>
        <v>1224795.3509434059</v>
      </c>
      <c r="R84">
        <f t="shared" ref="R84" si="397">R85+Q84</f>
        <v>-286423153.03755033</v>
      </c>
      <c r="S84">
        <f t="shared" ref="S84" si="398">R84/100000</f>
        <v>-2864.2315303755031</v>
      </c>
      <c r="T84">
        <f t="shared" ref="T84" si="399">S84/1000</f>
        <v>-2.8642315303755033</v>
      </c>
    </row>
    <row r="85" spans="1:20" x14ac:dyDescent="0.25">
      <c r="A85" s="5">
        <v>44508</v>
      </c>
      <c r="B85">
        <v>1.7625</v>
      </c>
      <c r="C85">
        <v>1.8424</v>
      </c>
      <c r="D85">
        <v>1.7383999999999999</v>
      </c>
      <c r="E85">
        <v>1.8016000000000001</v>
      </c>
      <c r="F85">
        <v>2405443</v>
      </c>
      <c r="G85">
        <v>1.8016000000000001</v>
      </c>
      <c r="L85" t="s">
        <v>7</v>
      </c>
      <c r="M85" t="s">
        <v>7</v>
      </c>
      <c r="N85" t="s">
        <v>7</v>
      </c>
      <c r="P85">
        <f t="shared" ref="P85" si="400">IF(C85=D85,0,((E85-D85)-(C85-E85))/(C85-D85))</f>
        <v>0.21538461538461709</v>
      </c>
      <c r="Q85">
        <f t="shared" ref="Q85" si="401">F85*P85</f>
        <v>518095.4153846195</v>
      </c>
      <c r="R85">
        <f t="shared" ref="R85" si="402">R86+Q85</f>
        <v>-287647948.38849372</v>
      </c>
      <c r="S85">
        <f t="shared" ref="S85" si="403">R85/100000</f>
        <v>-2876.4794838849371</v>
      </c>
      <c r="T85">
        <f t="shared" ref="T85" si="404">S85/1000</f>
        <v>-2.8764794838849372</v>
      </c>
    </row>
    <row r="86" spans="1:20" x14ac:dyDescent="0.25">
      <c r="A86" s="5">
        <v>44507</v>
      </c>
      <c r="B86">
        <v>1.7349000000000001</v>
      </c>
      <c r="C86">
        <v>1.8666</v>
      </c>
      <c r="D86">
        <v>1.718</v>
      </c>
      <c r="E86">
        <v>1.7645999999999999</v>
      </c>
      <c r="F86">
        <v>2619599</v>
      </c>
      <c r="G86">
        <v>1.7645999999999999</v>
      </c>
      <c r="L86" t="s">
        <v>8</v>
      </c>
      <c r="M86" t="s">
        <v>7</v>
      </c>
      <c r="N86" t="s">
        <v>7</v>
      </c>
      <c r="P86">
        <f t="shared" ref="P86" si="405">IF(C86=D86,0,((E86-D86)-(C86-E86))/(C86-D86))</f>
        <v>-0.3728129205921944</v>
      </c>
      <c r="Q86">
        <f t="shared" ref="Q86" si="406">F86*P86</f>
        <v>-976620.35397039179</v>
      </c>
      <c r="R86">
        <f t="shared" ref="R86" si="407">R87+Q86</f>
        <v>-288166043.80387831</v>
      </c>
      <c r="S86">
        <f t="shared" ref="S86" si="408">R86/100000</f>
        <v>-2881.660438038783</v>
      </c>
      <c r="T86">
        <f t="shared" ref="T86" si="409">S86/1000</f>
        <v>-2.8816604380387831</v>
      </c>
    </row>
    <row r="87" spans="1:20" x14ac:dyDescent="0.25">
      <c r="A87" s="5">
        <v>44506</v>
      </c>
      <c r="B87">
        <v>1.7301</v>
      </c>
      <c r="C87">
        <v>1.7795000000000001</v>
      </c>
      <c r="D87">
        <v>1.6910000000000001</v>
      </c>
      <c r="E87">
        <v>1.7338</v>
      </c>
      <c r="F87">
        <v>1403370</v>
      </c>
      <c r="G87">
        <v>1.7338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-3.2768361581922305E-2</v>
      </c>
      <c r="Q87">
        <f t="shared" ref="Q87" si="411">F87*P87</f>
        <v>-45986.135593222301</v>
      </c>
      <c r="R87">
        <f t="shared" ref="R87" si="412">R88+Q87</f>
        <v>-287189423.4499079</v>
      </c>
      <c r="S87">
        <f t="shared" ref="S87" si="413">R87/100000</f>
        <v>-2871.8942344990792</v>
      </c>
      <c r="T87">
        <f t="shared" ref="T87" si="414">S87/1000</f>
        <v>-2.871894234499079</v>
      </c>
    </row>
    <row r="88" spans="1:20" x14ac:dyDescent="0.25">
      <c r="A88" s="5">
        <v>44505</v>
      </c>
      <c r="B88">
        <v>1.7591000000000001</v>
      </c>
      <c r="C88">
        <v>1.8187</v>
      </c>
      <c r="D88">
        <v>1.7229000000000001</v>
      </c>
      <c r="E88">
        <v>1.7321</v>
      </c>
      <c r="F88">
        <v>2671981</v>
      </c>
      <c r="G88">
        <v>1.7321</v>
      </c>
      <c r="L88" t="s">
        <v>7</v>
      </c>
      <c r="M88" t="s">
        <v>7</v>
      </c>
      <c r="N88" t="s">
        <v>7</v>
      </c>
      <c r="P88">
        <f t="shared" ref="P88" si="415">IF(C88=D88,0,((E88-D88)-(C88-E88))/(C88-D88))</f>
        <v>-0.80793319415449094</v>
      </c>
      <c r="Q88">
        <f t="shared" ref="Q88" si="416">F88*P88</f>
        <v>-2158782.1440501111</v>
      </c>
      <c r="R88">
        <f t="shared" ref="R88" si="417">R89+Q88</f>
        <v>-287143437.31431466</v>
      </c>
      <c r="S88">
        <f t="shared" ref="S88" si="418">R88/100000</f>
        <v>-2871.4343731431468</v>
      </c>
      <c r="T88">
        <f t="shared" ref="T88" si="419">S88/1000</f>
        <v>-2.8714343731431469</v>
      </c>
    </row>
    <row r="89" spans="1:20" x14ac:dyDescent="0.25">
      <c r="A89" s="5">
        <v>44504</v>
      </c>
      <c r="B89">
        <v>1.7898000000000001</v>
      </c>
      <c r="C89">
        <v>1.8734</v>
      </c>
      <c r="D89">
        <v>1.72</v>
      </c>
      <c r="E89">
        <v>1.7613000000000001</v>
      </c>
      <c r="F89">
        <v>4372007</v>
      </c>
      <c r="G89">
        <v>1.7613000000000001</v>
      </c>
      <c r="L89" t="s">
        <v>7</v>
      </c>
      <c r="M89" t="s">
        <v>7</v>
      </c>
      <c r="N89" t="s">
        <v>7</v>
      </c>
      <c r="P89">
        <f t="shared" ref="P89" si="420">IF(C89=D89,0,((E89-D89)-(C89-E89))/(C89-D89))</f>
        <v>-0.46153846153845995</v>
      </c>
      <c r="Q89">
        <f t="shared" ref="Q89" si="421">F89*P89</f>
        <v>-2017849.3846153778</v>
      </c>
      <c r="R89">
        <f t="shared" ref="R89" si="422">R90+Q89</f>
        <v>-284984655.17026454</v>
      </c>
      <c r="S89">
        <f t="shared" ref="S89" si="423">R89/100000</f>
        <v>-2849.8465517026452</v>
      </c>
      <c r="T89">
        <f t="shared" ref="T89" si="424">S89/1000</f>
        <v>-2.8498465517026452</v>
      </c>
    </row>
    <row r="90" spans="1:20" x14ac:dyDescent="0.25">
      <c r="A90" s="5">
        <v>44503</v>
      </c>
      <c r="B90">
        <v>1.7524</v>
      </c>
      <c r="C90">
        <v>2.5299</v>
      </c>
      <c r="D90">
        <v>1.6900999999999999</v>
      </c>
      <c r="E90">
        <v>1.7898000000000001</v>
      </c>
      <c r="F90">
        <v>21059820</v>
      </c>
      <c r="G90">
        <v>1.7898000000000001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-0.762562514884496</v>
      </c>
      <c r="Q90">
        <f t="shared" ref="Q90" si="426">F90*P90</f>
        <v>-16059429.302214807</v>
      </c>
      <c r="R90">
        <f t="shared" ref="R90" si="427">R91+Q90</f>
        <v>-282966805.78564918</v>
      </c>
      <c r="S90">
        <f t="shared" ref="S90" si="428">R90/100000</f>
        <v>-2829.6680578564919</v>
      </c>
      <c r="T90">
        <f t="shared" ref="T90" si="429">S90/1000</f>
        <v>-2.8296680578564919</v>
      </c>
    </row>
    <row r="91" spans="1:20" x14ac:dyDescent="0.25">
      <c r="A91" s="5">
        <v>44502</v>
      </c>
      <c r="B91">
        <v>1.6497999999999999</v>
      </c>
      <c r="C91">
        <v>1.81</v>
      </c>
      <c r="D91">
        <v>1.6423000000000001</v>
      </c>
      <c r="E91">
        <v>1.7494000000000001</v>
      </c>
      <c r="F91">
        <v>3220346</v>
      </c>
      <c r="G91">
        <v>1.7494000000000001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0.2772808586762075</v>
      </c>
      <c r="Q91">
        <f t="shared" ref="Q91" si="431">F91*P91</f>
        <v>892940.30411449017</v>
      </c>
      <c r="R91">
        <f t="shared" ref="R91" si="432">R92+Q91</f>
        <v>-266907376.48343438</v>
      </c>
      <c r="S91">
        <f t="shared" ref="S91" si="433">R91/100000</f>
        <v>-2669.0737648343438</v>
      </c>
      <c r="T91">
        <f t="shared" ref="T91" si="434">S91/1000</f>
        <v>-2.6690737648343439</v>
      </c>
    </row>
    <row r="92" spans="1:20" x14ac:dyDescent="0.25">
      <c r="A92" s="5">
        <v>44501</v>
      </c>
      <c r="B92">
        <v>1.6852</v>
      </c>
      <c r="C92">
        <v>1.7158</v>
      </c>
      <c r="D92">
        <v>1.6109</v>
      </c>
      <c r="E92">
        <v>1.65</v>
      </c>
      <c r="F92">
        <v>2625794</v>
      </c>
      <c r="G92">
        <v>1.65</v>
      </c>
      <c r="L92" t="s">
        <v>7</v>
      </c>
      <c r="M92" t="s">
        <v>7</v>
      </c>
      <c r="N92" t="s">
        <v>7</v>
      </c>
      <c r="P92">
        <f t="shared" ref="P92" si="435">IF(C92=D92,0,((E92-D92)-(C92-E92))/(C92-D92))</f>
        <v>-0.25452812202097397</v>
      </c>
      <c r="Q92">
        <f t="shared" ref="Q92" si="436">F92*P92</f>
        <v>-668338.4156339413</v>
      </c>
      <c r="R92">
        <f t="shared" ref="R92" si="437">R93+Q92</f>
        <v>-267800316.78754887</v>
      </c>
      <c r="S92">
        <f t="shared" ref="S92" si="438">R92/100000</f>
        <v>-2678.0031678754885</v>
      </c>
      <c r="T92">
        <f t="shared" ref="T92" si="439">S92/1000</f>
        <v>-2.6780031678754885</v>
      </c>
    </row>
    <row r="93" spans="1:20" x14ac:dyDescent="0.25">
      <c r="A93" s="5">
        <v>44500</v>
      </c>
      <c r="B93">
        <v>1.6172</v>
      </c>
      <c r="C93">
        <v>1.7534000000000001</v>
      </c>
      <c r="D93">
        <v>1.5496000000000001</v>
      </c>
      <c r="E93">
        <v>1.6831</v>
      </c>
      <c r="F93">
        <v>4669286</v>
      </c>
      <c r="G93">
        <v>1.6831</v>
      </c>
      <c r="L93" t="s">
        <v>8</v>
      </c>
      <c r="M93" t="s">
        <v>7</v>
      </c>
      <c r="N93" t="s">
        <v>7</v>
      </c>
      <c r="P93">
        <f t="shared" ref="P93" si="440">IF(C93=D93,0,((E93-D93)-(C93-E93))/(C93-D93))</f>
        <v>0.31010794896957766</v>
      </c>
      <c r="Q93">
        <f t="shared" ref="Q93" si="441">F93*P93</f>
        <v>1447982.7046123634</v>
      </c>
      <c r="R93">
        <f t="shared" ref="R93" si="442">R94+Q93</f>
        <v>-267131978.37191492</v>
      </c>
      <c r="S93">
        <f t="shared" ref="S93" si="443">R93/100000</f>
        <v>-2671.3197837191492</v>
      </c>
      <c r="T93">
        <f t="shared" ref="T93" si="444">S93/1000</f>
        <v>-2.6713197837191491</v>
      </c>
    </row>
    <row r="94" spans="1:20" x14ac:dyDescent="0.25">
      <c r="A94" s="5">
        <v>44499</v>
      </c>
      <c r="B94">
        <v>1.6456</v>
      </c>
      <c r="C94">
        <v>1.7095</v>
      </c>
      <c r="D94">
        <v>1.5713999999999999</v>
      </c>
      <c r="E94">
        <v>1.6172</v>
      </c>
      <c r="F94">
        <v>1913232</v>
      </c>
      <c r="G94">
        <v>1.6172</v>
      </c>
      <c r="L94" t="s">
        <v>8</v>
      </c>
      <c r="M94" t="s">
        <v>7</v>
      </c>
      <c r="N94" t="s">
        <v>7</v>
      </c>
      <c r="P94">
        <f t="shared" ref="P94" si="445">IF(C94=D94,0,((E94-D94)-(C94-E94))/(C94-D94))</f>
        <v>-0.33671252715423566</v>
      </c>
      <c r="Q94">
        <f t="shared" ref="Q94" si="446">F94*P94</f>
        <v>-644209.18175235263</v>
      </c>
      <c r="R94">
        <f t="shared" ref="R94" si="447">R95+Q94</f>
        <v>-268579961.0765273</v>
      </c>
      <c r="S94">
        <f t="shared" ref="S94" si="448">R94/100000</f>
        <v>-2685.799610765273</v>
      </c>
      <c r="T94">
        <f t="shared" ref="T94" si="449">S94/1000</f>
        <v>-2.6857996107652728</v>
      </c>
    </row>
    <row r="95" spans="1:20" x14ac:dyDescent="0.25">
      <c r="A95" s="5">
        <v>44498</v>
      </c>
      <c r="B95">
        <v>1.5707</v>
      </c>
      <c r="C95">
        <v>1.6848000000000001</v>
      </c>
      <c r="D95">
        <v>1.5649</v>
      </c>
      <c r="E95">
        <v>1.6454</v>
      </c>
      <c r="F95">
        <v>2089233</v>
      </c>
      <c r="G95">
        <v>1.6454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0.34278565471225919</v>
      </c>
      <c r="Q95">
        <f t="shared" ref="Q95" si="451">F95*P95</f>
        <v>716159.10175145743</v>
      </c>
      <c r="R95">
        <f t="shared" ref="R95" si="452">R96+Q95</f>
        <v>-267935751.89477497</v>
      </c>
      <c r="S95">
        <f t="shared" ref="S95" si="453">R95/100000</f>
        <v>-2679.3575189477497</v>
      </c>
      <c r="T95">
        <f t="shared" ref="T95" si="454">S95/1000</f>
        <v>-2.6793575189477497</v>
      </c>
    </row>
    <row r="96" spans="1:20" x14ac:dyDescent="0.25">
      <c r="A96" s="5">
        <v>44497</v>
      </c>
      <c r="B96">
        <v>1.5169999999999999</v>
      </c>
      <c r="C96">
        <v>1.631</v>
      </c>
      <c r="D96">
        <v>1.506</v>
      </c>
      <c r="E96">
        <v>1.5705</v>
      </c>
      <c r="F96">
        <v>2549460</v>
      </c>
      <c r="G96">
        <v>1.5705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3.2000000000000028E-2</v>
      </c>
      <c r="Q96">
        <f t="shared" ref="Q96" si="456">F96*P96</f>
        <v>81582.720000000074</v>
      </c>
      <c r="R96">
        <f t="shared" ref="R96" si="457">R97+Q96</f>
        <v>-268651910.99652642</v>
      </c>
      <c r="S96">
        <f t="shared" ref="S96" si="458">R96/100000</f>
        <v>-2686.5191099652643</v>
      </c>
      <c r="T96">
        <f t="shared" ref="T96" si="459">S96/1000</f>
        <v>-2.6865191099652641</v>
      </c>
    </row>
    <row r="97" spans="1:20" x14ac:dyDescent="0.25">
      <c r="A97" s="5">
        <v>44496</v>
      </c>
      <c r="B97">
        <v>1.7896000000000001</v>
      </c>
      <c r="C97">
        <v>1.8076000000000001</v>
      </c>
      <c r="D97">
        <v>1.5175000000000001</v>
      </c>
      <c r="E97">
        <v>1.5182</v>
      </c>
      <c r="F97">
        <v>2698802</v>
      </c>
      <c r="G97">
        <v>1.5182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-0.99517407790417156</v>
      </c>
      <c r="Q97">
        <f t="shared" ref="Q97" si="461">F97*P97</f>
        <v>-2685777.7917959341</v>
      </c>
      <c r="R97">
        <f t="shared" ref="R97" si="462">R98+Q97</f>
        <v>-268733493.71652645</v>
      </c>
      <c r="S97">
        <f t="shared" ref="S97" si="463">R97/100000</f>
        <v>-2687.3349371652644</v>
      </c>
      <c r="T97">
        <f t="shared" ref="T97" si="464">S97/1000</f>
        <v>-2.6873349371652644</v>
      </c>
    </row>
    <row r="98" spans="1:20" x14ac:dyDescent="0.25">
      <c r="A98" s="5">
        <v>44495</v>
      </c>
      <c r="B98">
        <v>1.8399000000000001</v>
      </c>
      <c r="C98">
        <v>1.8433999999999999</v>
      </c>
      <c r="D98">
        <v>1.7847</v>
      </c>
      <c r="E98">
        <v>1.7887999999999999</v>
      </c>
      <c r="F98">
        <v>1525248</v>
      </c>
      <c r="G98">
        <v>1.7887999999999999</v>
      </c>
      <c r="L98" t="s">
        <v>7</v>
      </c>
      <c r="M98" t="s">
        <v>8</v>
      </c>
      <c r="N98" t="s">
        <v>7</v>
      </c>
      <c r="P98">
        <f t="shared" ref="P98" si="465">IF(C98=D98,0,((E98-D98)-(C98-E98))/(C98-D98))</f>
        <v>-0.86030664395230005</v>
      </c>
      <c r="Q98">
        <f t="shared" ref="Q98" si="466">F98*P98</f>
        <v>-1312180.9880749579</v>
      </c>
      <c r="R98">
        <f t="shared" ref="R98" si="467">R99+Q98</f>
        <v>-266047715.92473054</v>
      </c>
      <c r="S98">
        <f t="shared" ref="S98" si="468">R98/100000</f>
        <v>-2660.4771592473053</v>
      </c>
      <c r="T98">
        <f t="shared" ref="T98" si="469">S98/1000</f>
        <v>-2.6604771592473053</v>
      </c>
    </row>
    <row r="99" spans="1:20" x14ac:dyDescent="0.25">
      <c r="A99" s="5">
        <v>44494</v>
      </c>
      <c r="B99">
        <v>1.806</v>
      </c>
      <c r="C99">
        <v>1.8879999999999999</v>
      </c>
      <c r="D99">
        <v>1.8005</v>
      </c>
      <c r="E99">
        <v>1.8399000000000001</v>
      </c>
      <c r="F99">
        <v>1702262</v>
      </c>
      <c r="G99">
        <v>1.8399000000000001</v>
      </c>
      <c r="L99" t="s">
        <v>7</v>
      </c>
      <c r="M99" t="s">
        <v>8</v>
      </c>
      <c r="N99" t="s">
        <v>7</v>
      </c>
      <c r="P99">
        <f t="shared" ref="P99" si="470">IF(C99=D99,0,((E99-D99)-(C99-E99))/(C99-D99))</f>
        <v>-9.9428571428568188E-2</v>
      </c>
      <c r="Q99">
        <f t="shared" ref="Q99" si="471">F99*P99</f>
        <v>-169253.47885713735</v>
      </c>
      <c r="R99">
        <f t="shared" ref="R99" si="472">R100+Q99</f>
        <v>-264735534.93665558</v>
      </c>
      <c r="S99">
        <f t="shared" ref="S99" si="473">R99/100000</f>
        <v>-2647.3553493665559</v>
      </c>
      <c r="T99">
        <f t="shared" ref="T99" si="474">S99/1000</f>
        <v>-2.6473553493665558</v>
      </c>
    </row>
    <row r="100" spans="1:20" x14ac:dyDescent="0.25">
      <c r="A100" s="5">
        <v>44493</v>
      </c>
      <c r="B100">
        <v>1.8122</v>
      </c>
      <c r="C100">
        <v>1.9309000000000001</v>
      </c>
      <c r="D100">
        <v>1.7606999999999999</v>
      </c>
      <c r="E100">
        <v>1.806</v>
      </c>
      <c r="F100">
        <v>3672794</v>
      </c>
      <c r="G100">
        <v>1.806</v>
      </c>
      <c r="L100" t="s">
        <v>8</v>
      </c>
      <c r="M100" t="s">
        <v>8</v>
      </c>
      <c r="N100" t="s">
        <v>7</v>
      </c>
      <c r="P100">
        <f t="shared" ref="P100" si="475">IF(C100=D100,0,((E100-D100)-(C100-E100))/(C100-D100))</f>
        <v>-0.46768507638072759</v>
      </c>
      <c r="Q100">
        <f t="shared" ref="Q100" si="476">F100*P100</f>
        <v>-1717710.942420678</v>
      </c>
      <c r="R100">
        <f t="shared" ref="R100" si="477">R101+Q100</f>
        <v>-264566281.45779845</v>
      </c>
      <c r="S100">
        <f t="shared" ref="S100" si="478">R100/100000</f>
        <v>-2645.6628145779846</v>
      </c>
      <c r="T100">
        <f t="shared" ref="T100" si="479">S100/1000</f>
        <v>-2.6456628145779848</v>
      </c>
    </row>
    <row r="101" spans="1:20" x14ac:dyDescent="0.25">
      <c r="A101" s="5">
        <v>44492</v>
      </c>
      <c r="B101">
        <v>1.8048999999999999</v>
      </c>
      <c r="C101">
        <v>1.859</v>
      </c>
      <c r="D101">
        <v>1.7888999999999999</v>
      </c>
      <c r="E101">
        <v>1.8091999999999999</v>
      </c>
      <c r="F101">
        <v>1461849</v>
      </c>
      <c r="G101">
        <v>1.8091999999999999</v>
      </c>
      <c r="L101" t="s">
        <v>7</v>
      </c>
      <c r="M101" t="s">
        <v>8</v>
      </c>
      <c r="N101" t="s">
        <v>7</v>
      </c>
      <c r="P101">
        <f t="shared" ref="P101" si="480">IF(C101=D101,0,((E101-D101)-(C101-E101))/(C101-D101))</f>
        <v>-0.42082738944365278</v>
      </c>
      <c r="Q101">
        <f t="shared" ref="Q101" si="481">F101*P101</f>
        <v>-615186.09843081434</v>
      </c>
      <c r="R101">
        <f t="shared" ref="R101" si="482">R102+Q101</f>
        <v>-262848570.51537776</v>
      </c>
      <c r="S101">
        <f t="shared" ref="S101" si="483">R101/100000</f>
        <v>-2628.4857051537774</v>
      </c>
      <c r="T101">
        <f t="shared" ref="T101" si="484">S101/1000</f>
        <v>-2.6284857051537776</v>
      </c>
    </row>
    <row r="102" spans="1:20" x14ac:dyDescent="0.25">
      <c r="A102" s="5">
        <v>44491</v>
      </c>
      <c r="B102">
        <v>1.8147</v>
      </c>
      <c r="C102">
        <v>1.88</v>
      </c>
      <c r="D102">
        <v>1.7811999999999999</v>
      </c>
      <c r="E102">
        <v>1.8048999999999999</v>
      </c>
      <c r="F102">
        <v>2218669</v>
      </c>
      <c r="G102">
        <v>1.8048999999999999</v>
      </c>
      <c r="L102" t="s">
        <v>7</v>
      </c>
      <c r="M102" t="s">
        <v>8</v>
      </c>
      <c r="N102" t="s">
        <v>7</v>
      </c>
      <c r="P102">
        <f t="shared" ref="P102" si="485">IF(C102=D102,0,((E102-D102)-(C102-E102))/(C102-D102))</f>
        <v>-0.52024291497975594</v>
      </c>
      <c r="Q102">
        <f t="shared" ref="Q102" si="486">F102*P102</f>
        <v>-1154246.8279352202</v>
      </c>
      <c r="R102">
        <f t="shared" ref="R102" si="487">R103+Q102</f>
        <v>-262233384.41694695</v>
      </c>
      <c r="S102">
        <f t="shared" ref="S102" si="488">R102/100000</f>
        <v>-2622.3338441694696</v>
      </c>
      <c r="T102">
        <f t="shared" ref="T102" si="489">S102/1000</f>
        <v>-2.6223338441694697</v>
      </c>
    </row>
    <row r="103" spans="1:20" x14ac:dyDescent="0.25">
      <c r="A103" s="5">
        <v>44490</v>
      </c>
      <c r="B103">
        <v>1.8058000000000001</v>
      </c>
      <c r="C103">
        <v>1.905</v>
      </c>
      <c r="D103">
        <v>1.7582</v>
      </c>
      <c r="E103">
        <v>1.8138000000000001</v>
      </c>
      <c r="F103">
        <v>6020611</v>
      </c>
      <c r="G103">
        <v>1.8138000000000001</v>
      </c>
      <c r="L103" t="s">
        <v>7</v>
      </c>
      <c r="M103" t="s">
        <v>8</v>
      </c>
      <c r="N103" t="s">
        <v>7</v>
      </c>
      <c r="P103">
        <f t="shared" ref="P103" si="490">IF(C103=D103,0,((E103-D103)-(C103-E103))/(C103-D103))</f>
        <v>-0.24250681198909976</v>
      </c>
      <c r="Q103">
        <f t="shared" ref="Q103" si="491">F103*P103</f>
        <v>-1460039.179836506</v>
      </c>
      <c r="R103">
        <f t="shared" ref="R103" si="492">R104+Q103</f>
        <v>-261079137.58901173</v>
      </c>
      <c r="S103">
        <f t="shared" ref="S103" si="493">R103/100000</f>
        <v>-2610.7913758901173</v>
      </c>
      <c r="T103">
        <f t="shared" ref="T103" si="494">S103/1000</f>
        <v>-2.6107913758901171</v>
      </c>
    </row>
    <row r="104" spans="1:20" x14ac:dyDescent="0.25">
      <c r="A104" s="5">
        <v>44489</v>
      </c>
      <c r="B104">
        <v>1.7081999999999999</v>
      </c>
      <c r="C104">
        <v>2.0569999999999999</v>
      </c>
      <c r="D104">
        <v>1.6753</v>
      </c>
      <c r="E104">
        <v>1.806</v>
      </c>
      <c r="F104">
        <v>15201342</v>
      </c>
      <c r="G104">
        <v>1.806</v>
      </c>
      <c r="L104" t="s">
        <v>8</v>
      </c>
      <c r="M104" t="s">
        <v>8</v>
      </c>
      <c r="N104" t="s">
        <v>7</v>
      </c>
      <c r="P104">
        <f t="shared" ref="P104" si="495">IF(C104=D104,0,((E104-D104)-(C104-E104))/(C104-D104))</f>
        <v>-0.31516898087503242</v>
      </c>
      <c r="Q104">
        <f t="shared" ref="Q104" si="496">F104*P104</f>
        <v>-4790991.4660728276</v>
      </c>
      <c r="R104">
        <f t="shared" ref="R104" si="497">R105+Q104</f>
        <v>-259619098.40917522</v>
      </c>
      <c r="S104">
        <f t="shared" ref="S104" si="498">R104/100000</f>
        <v>-2596.1909840917524</v>
      </c>
      <c r="T104">
        <f t="shared" ref="T104" si="499">S104/1000</f>
        <v>-2.5961909840917525</v>
      </c>
    </row>
    <row r="105" spans="1:20" x14ac:dyDescent="0.25">
      <c r="A105" s="5">
        <v>44488</v>
      </c>
      <c r="B105">
        <v>1.7309000000000001</v>
      </c>
      <c r="C105">
        <v>1.7490000000000001</v>
      </c>
      <c r="D105">
        <v>1.6611</v>
      </c>
      <c r="E105">
        <v>1.7060999999999999</v>
      </c>
      <c r="F105">
        <v>1047345</v>
      </c>
      <c r="G105">
        <v>1.7060999999999999</v>
      </c>
      <c r="L105" t="s">
        <v>7</v>
      </c>
      <c r="M105" t="s">
        <v>7</v>
      </c>
      <c r="N105" t="s">
        <v>7</v>
      </c>
      <c r="P105">
        <f t="shared" ref="P105" si="500">IF(C105=D105,0,((E105-D105)-(C105-E105))/(C105-D105))</f>
        <v>2.3890784982932498E-2</v>
      </c>
      <c r="Q105">
        <f t="shared" ref="Q105" si="501">F105*P105</f>
        <v>25021.894197949438</v>
      </c>
      <c r="R105">
        <f t="shared" ref="R105" si="502">R106+Q105</f>
        <v>-254828106.94310239</v>
      </c>
      <c r="S105">
        <f t="shared" ref="S105" si="503">R105/100000</f>
        <v>-2548.2810694310238</v>
      </c>
      <c r="T105">
        <f t="shared" ref="T105" si="504">S105/1000</f>
        <v>-2.5482810694310238</v>
      </c>
    </row>
    <row r="106" spans="1:20" x14ac:dyDescent="0.25">
      <c r="A106" s="5">
        <v>44487</v>
      </c>
      <c r="B106">
        <v>1.7040999999999999</v>
      </c>
      <c r="C106">
        <v>1.7475000000000001</v>
      </c>
      <c r="D106">
        <v>1.65</v>
      </c>
      <c r="E106">
        <v>1.7343</v>
      </c>
      <c r="F106">
        <v>1335426</v>
      </c>
      <c r="G106">
        <v>1.7343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0.72923076923076757</v>
      </c>
      <c r="Q106">
        <f t="shared" ref="Q106" si="506">F106*P106</f>
        <v>973833.729230767</v>
      </c>
      <c r="R106">
        <f t="shared" ref="R106" si="507">R107+Q106</f>
        <v>-254853128.83730033</v>
      </c>
      <c r="S106">
        <f t="shared" ref="S106" si="508">R106/100000</f>
        <v>-2548.5312883730035</v>
      </c>
      <c r="T106">
        <f t="shared" ref="T106" si="509">S106/1000</f>
        <v>-2.5485312883730034</v>
      </c>
    </row>
    <row r="107" spans="1:20" x14ac:dyDescent="0.25">
      <c r="A107" s="5">
        <v>44486</v>
      </c>
      <c r="B107">
        <v>1.7698</v>
      </c>
      <c r="C107">
        <v>1.7834000000000001</v>
      </c>
      <c r="D107">
        <v>1.6456999999999999</v>
      </c>
      <c r="E107">
        <v>1.7040999999999999</v>
      </c>
      <c r="F107">
        <v>1650279</v>
      </c>
      <c r="G107">
        <v>1.7040999999999999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-0.15177923021060361</v>
      </c>
      <c r="Q107">
        <f t="shared" ref="Q107" si="511">F107*P107</f>
        <v>-250478.07625272471</v>
      </c>
      <c r="R107">
        <f t="shared" ref="R107" si="512">R108+Q107</f>
        <v>-255826962.56653109</v>
      </c>
      <c r="S107">
        <f t="shared" ref="S107" si="513">R107/100000</f>
        <v>-2558.2696256653107</v>
      </c>
      <c r="T107">
        <f t="shared" ref="T107" si="514">S107/1000</f>
        <v>-2.5582696256653108</v>
      </c>
    </row>
    <row r="108" spans="1:20" x14ac:dyDescent="0.25">
      <c r="A108" s="5">
        <v>44485</v>
      </c>
      <c r="B108">
        <v>1.7649999999999999</v>
      </c>
      <c r="C108">
        <v>1.8605</v>
      </c>
      <c r="D108">
        <v>1.706</v>
      </c>
      <c r="E108">
        <v>1.7706</v>
      </c>
      <c r="F108">
        <v>2883514</v>
      </c>
      <c r="G108">
        <v>1.7706</v>
      </c>
      <c r="L108" t="s">
        <v>7</v>
      </c>
      <c r="M108" t="s">
        <v>7</v>
      </c>
      <c r="N108" t="s">
        <v>7</v>
      </c>
      <c r="P108">
        <f t="shared" ref="P108" si="515">IF(C108=D108,0,((E108-D108)-(C108-E108))/(C108-D108))</f>
        <v>-0.16375404530744392</v>
      </c>
      <c r="Q108">
        <f t="shared" ref="Q108" si="516">F108*P108</f>
        <v>-472187.08220064885</v>
      </c>
      <c r="R108">
        <f t="shared" ref="R108" si="517">R109+Q108</f>
        <v>-255576484.49027836</v>
      </c>
      <c r="S108">
        <f t="shared" ref="S108" si="518">R108/100000</f>
        <v>-2555.7648449027838</v>
      </c>
      <c r="T108">
        <f t="shared" ref="T108" si="519">S108/1000</f>
        <v>-2.5557648449027837</v>
      </c>
    </row>
    <row r="109" spans="1:20" x14ac:dyDescent="0.25">
      <c r="A109" s="5">
        <v>44484</v>
      </c>
      <c r="B109">
        <v>1.6698</v>
      </c>
      <c r="C109">
        <v>1.98</v>
      </c>
      <c r="D109">
        <v>1.6114999999999999</v>
      </c>
      <c r="E109">
        <v>1.7649999999999999</v>
      </c>
      <c r="F109">
        <v>7399424</v>
      </c>
      <c r="G109">
        <v>1.7649999999999999</v>
      </c>
      <c r="L109" t="s">
        <v>8</v>
      </c>
      <c r="M109" t="s">
        <v>8</v>
      </c>
      <c r="N109" t="s">
        <v>7</v>
      </c>
      <c r="P109">
        <f t="shared" ref="P109" si="520">IF(C109=D109,0,((E109-D109)-(C109-E109))/(C109-D109))</f>
        <v>-0.16689280868385373</v>
      </c>
      <c r="Q109">
        <f t="shared" ref="Q109" si="521">F109*P109</f>
        <v>-1234910.6540027156</v>
      </c>
      <c r="R109">
        <f t="shared" ref="R109" si="522">R110+Q109</f>
        <v>-255104297.40807772</v>
      </c>
      <c r="S109">
        <f t="shared" ref="S109" si="523">R109/100000</f>
        <v>-2551.0429740807772</v>
      </c>
      <c r="T109">
        <f t="shared" ref="T109" si="524">S109/1000</f>
        <v>-2.5510429740807772</v>
      </c>
    </row>
    <row r="110" spans="1:20" x14ac:dyDescent="0.25">
      <c r="A110" s="5">
        <v>44483</v>
      </c>
      <c r="B110">
        <v>1.5999000000000001</v>
      </c>
      <c r="C110">
        <v>1.74</v>
      </c>
      <c r="D110">
        <v>1.5864</v>
      </c>
      <c r="E110">
        <v>1.6698</v>
      </c>
      <c r="F110">
        <v>3353779</v>
      </c>
      <c r="G110">
        <v>1.6698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8.5937499999999237E-2</v>
      </c>
      <c r="Q110">
        <f t="shared" ref="Q110" si="526">F110*P110</f>
        <v>288215.38281249744</v>
      </c>
      <c r="R110">
        <f t="shared" ref="R110" si="527">R111+Q110</f>
        <v>-253869386.75407499</v>
      </c>
      <c r="S110">
        <f t="shared" ref="S110" si="528">R110/100000</f>
        <v>-2538.69386754075</v>
      </c>
      <c r="T110">
        <f t="shared" ref="T110" si="529">S110/1000</f>
        <v>-2.5386938675407502</v>
      </c>
    </row>
    <row r="111" spans="1:20" x14ac:dyDescent="0.25">
      <c r="A111" s="5">
        <v>44482</v>
      </c>
      <c r="B111">
        <v>1.6042000000000001</v>
      </c>
      <c r="C111">
        <v>1.63</v>
      </c>
      <c r="D111">
        <v>1.5348999999999999</v>
      </c>
      <c r="E111">
        <v>1.6</v>
      </c>
      <c r="F111">
        <v>3070450</v>
      </c>
      <c r="G111">
        <v>1.6</v>
      </c>
      <c r="L111" t="s">
        <v>7</v>
      </c>
      <c r="M111" t="s">
        <v>7</v>
      </c>
      <c r="N111" t="s">
        <v>7</v>
      </c>
      <c r="P111">
        <f t="shared" ref="P111" si="530">IF(C111=D111,0,((E111-D111)-(C111-E111))/(C111-D111))</f>
        <v>0.36908517350158115</v>
      </c>
      <c r="Q111">
        <f t="shared" ref="Q111" si="531">F111*P111</f>
        <v>1133257.5709779297</v>
      </c>
      <c r="R111">
        <f t="shared" ref="R111" si="532">R112+Q111</f>
        <v>-254157602.13688749</v>
      </c>
      <c r="S111">
        <f t="shared" ref="S111" si="533">R111/100000</f>
        <v>-2541.576021368875</v>
      </c>
      <c r="T111">
        <f t="shared" ref="T111" si="534">S111/1000</f>
        <v>-2.5415760213688752</v>
      </c>
    </row>
    <row r="112" spans="1:20" x14ac:dyDescent="0.25">
      <c r="A112" s="5">
        <v>44481</v>
      </c>
      <c r="B112">
        <v>1.6666000000000001</v>
      </c>
      <c r="C112">
        <v>1.6700999999999999</v>
      </c>
      <c r="D112">
        <v>1.53</v>
      </c>
      <c r="E112">
        <v>1.6042000000000001</v>
      </c>
      <c r="F112">
        <v>2669677</v>
      </c>
      <c r="G112">
        <v>1.6042000000000001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5.9243397573163471E-2</v>
      </c>
      <c r="Q112">
        <f t="shared" ref="Q112" si="536">F112*P112</f>
        <v>158160.73590293035</v>
      </c>
      <c r="R112">
        <f t="shared" ref="R112" si="537">R113+Q112</f>
        <v>-255290859.70786542</v>
      </c>
      <c r="S112">
        <f t="shared" ref="S112" si="538">R112/100000</f>
        <v>-2552.9085970786541</v>
      </c>
      <c r="T112">
        <f t="shared" ref="T112" si="539">S112/1000</f>
        <v>-2.552908597078654</v>
      </c>
    </row>
    <row r="113" spans="1:20" x14ac:dyDescent="0.25">
      <c r="A113" s="5">
        <v>44480</v>
      </c>
      <c r="B113">
        <v>1.7495000000000001</v>
      </c>
      <c r="C113">
        <v>1.956</v>
      </c>
      <c r="D113">
        <v>1.6380999999999999</v>
      </c>
      <c r="E113">
        <v>1.6695</v>
      </c>
      <c r="F113">
        <v>7592583</v>
      </c>
      <c r="G113">
        <v>1.6695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-0.80245360176155967</v>
      </c>
      <c r="Q113">
        <f t="shared" ref="Q113" si="541">F113*P113</f>
        <v>-6092695.5750235878</v>
      </c>
      <c r="R113">
        <f t="shared" ref="R113" si="542">R114+Q113</f>
        <v>-255449020.44376835</v>
      </c>
      <c r="S113">
        <f t="shared" ref="S113" si="543">R113/100000</f>
        <v>-2554.4902044376836</v>
      </c>
      <c r="T113">
        <f t="shared" ref="T113" si="544">S113/1000</f>
        <v>-2.5544902044376836</v>
      </c>
    </row>
    <row r="114" spans="1:20" x14ac:dyDescent="0.25">
      <c r="A114" s="5">
        <v>44479</v>
      </c>
      <c r="B114">
        <v>1.7101999999999999</v>
      </c>
      <c r="C114">
        <v>2.19</v>
      </c>
      <c r="D114">
        <v>1.64</v>
      </c>
      <c r="E114">
        <v>1.7496</v>
      </c>
      <c r="F114">
        <v>17138190</v>
      </c>
      <c r="G114">
        <v>1.7496</v>
      </c>
      <c r="L114" t="s">
        <v>8</v>
      </c>
      <c r="M114" t="s">
        <v>8</v>
      </c>
      <c r="N114" t="s">
        <v>8</v>
      </c>
      <c r="P114">
        <f t="shared" ref="P114" si="545">IF(C114=D114,0,((E114-D114)-(C114-E114))/(C114-D114))</f>
        <v>-0.60145454545454502</v>
      </c>
      <c r="Q114">
        <f t="shared" ref="Q114" si="546">F114*P114</f>
        <v>-10307842.276363628</v>
      </c>
      <c r="R114">
        <f t="shared" ref="R114" si="547">R115+Q114</f>
        <v>-249356324.86874476</v>
      </c>
      <c r="S114">
        <f t="shared" ref="S114" si="548">R114/100000</f>
        <v>-2493.5632486874474</v>
      </c>
      <c r="T114">
        <f t="shared" ref="T114" si="549">S114/1000</f>
        <v>-2.4935632486874475</v>
      </c>
    </row>
    <row r="115" spans="1:20" x14ac:dyDescent="0.25">
      <c r="A115" s="5">
        <v>44478</v>
      </c>
      <c r="B115">
        <v>1.6859999999999999</v>
      </c>
      <c r="C115">
        <v>1.7317</v>
      </c>
      <c r="D115">
        <v>1.6261000000000001</v>
      </c>
      <c r="E115">
        <v>1.7101</v>
      </c>
      <c r="F115">
        <v>3064778</v>
      </c>
      <c r="G115">
        <v>1.7101</v>
      </c>
      <c r="L115" t="s">
        <v>7</v>
      </c>
      <c r="M115" t="s">
        <v>8</v>
      </c>
      <c r="N115" t="s">
        <v>8</v>
      </c>
      <c r="P115">
        <f t="shared" ref="P115" si="550">IF(C115=D115,0,((E115-D115)-(C115-E115))/(C115-D115))</f>
        <v>0.59090909090908939</v>
      </c>
      <c r="Q115">
        <f t="shared" ref="Q115" si="551">F115*P115</f>
        <v>1811005.1818181772</v>
      </c>
      <c r="R115">
        <f t="shared" ref="R115" si="552">R116+Q115</f>
        <v>-239048482.59238112</v>
      </c>
      <c r="S115">
        <f t="shared" ref="S115" si="553">R115/100000</f>
        <v>-2390.4848259238111</v>
      </c>
      <c r="T115">
        <f t="shared" ref="T115" si="554">S115/1000</f>
        <v>-2.390484825923811</v>
      </c>
    </row>
    <row r="116" spans="1:20" x14ac:dyDescent="0.25">
      <c r="A116" s="5">
        <v>44477</v>
      </c>
      <c r="B116">
        <v>1.5564</v>
      </c>
      <c r="C116">
        <v>1.8280000000000001</v>
      </c>
      <c r="D116">
        <v>1.5508</v>
      </c>
      <c r="E116">
        <v>1.6867000000000001</v>
      </c>
      <c r="F116">
        <v>6787288</v>
      </c>
      <c r="G116">
        <v>1.6867000000000001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-1.9480519480518928E-2</v>
      </c>
      <c r="Q116">
        <f t="shared" ref="Q116" si="556">F116*P116</f>
        <v>-132219.89610389236</v>
      </c>
      <c r="R116">
        <f t="shared" ref="R116" si="557">R117+Q116</f>
        <v>-240859487.77419931</v>
      </c>
      <c r="S116">
        <f t="shared" ref="S116" si="558">R116/100000</f>
        <v>-2408.5948777419931</v>
      </c>
      <c r="T116">
        <f t="shared" ref="T116" si="559">S116/1000</f>
        <v>-2.4085948777419932</v>
      </c>
    </row>
    <row r="117" spans="1:20" x14ac:dyDescent="0.25">
      <c r="A117" s="5">
        <v>44476</v>
      </c>
      <c r="B117">
        <v>1.5058</v>
      </c>
      <c r="C117">
        <v>1.7271000000000001</v>
      </c>
      <c r="D117">
        <v>1.4653</v>
      </c>
      <c r="E117">
        <v>1.5580000000000001</v>
      </c>
      <c r="F117">
        <v>5995106</v>
      </c>
      <c r="G117">
        <v>1.5580000000000001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-0.29182582123758599</v>
      </c>
      <c r="Q117">
        <f t="shared" ref="Q117" si="561">F117*P117</f>
        <v>-1749526.7318563792</v>
      </c>
      <c r="R117">
        <f t="shared" ref="R117" si="562">R118+Q117</f>
        <v>-240727267.87809542</v>
      </c>
      <c r="S117">
        <f t="shared" ref="S117" si="563">R117/100000</f>
        <v>-2407.2726787809543</v>
      </c>
      <c r="T117">
        <f t="shared" ref="T117" si="564">S117/1000</f>
        <v>-2.4072726787809544</v>
      </c>
    </row>
    <row r="118" spans="1:20" x14ac:dyDescent="0.25">
      <c r="A118" s="5">
        <v>44475</v>
      </c>
      <c r="B118">
        <v>1.5669999999999999</v>
      </c>
      <c r="C118">
        <v>1.5711999999999999</v>
      </c>
      <c r="D118">
        <v>1.4323999999999999</v>
      </c>
      <c r="E118">
        <v>1.5096000000000001</v>
      </c>
      <c r="F118">
        <v>2519016</v>
      </c>
      <c r="G118">
        <v>1.5096000000000001</v>
      </c>
      <c r="L118" t="s">
        <v>7</v>
      </c>
      <c r="M118" t="s">
        <v>8</v>
      </c>
      <c r="N118" t="s">
        <v>8</v>
      </c>
      <c r="P118">
        <f t="shared" ref="P118" si="565">IF(C118=D118,0,((E118-D118)-(C118-E118))/(C118-D118))</f>
        <v>0.11239193083573686</v>
      </c>
      <c r="Q118">
        <f t="shared" ref="Q118" si="566">F118*P118</f>
        <v>283117.07204611454</v>
      </c>
      <c r="R118">
        <f t="shared" ref="R118" si="567">R119+Q118</f>
        <v>-238977741.14623904</v>
      </c>
      <c r="S118">
        <f t="shared" ref="S118" si="568">R118/100000</f>
        <v>-2389.7774114623903</v>
      </c>
      <c r="T118">
        <f t="shared" ref="T118" si="569">S118/1000</f>
        <v>-2.3897774114623904</v>
      </c>
    </row>
    <row r="119" spans="1:20" x14ac:dyDescent="0.25">
      <c r="A119" s="5">
        <v>44474</v>
      </c>
      <c r="B119">
        <v>1.5179</v>
      </c>
      <c r="C119">
        <v>1.6456999999999999</v>
      </c>
      <c r="D119">
        <v>1.5032000000000001</v>
      </c>
      <c r="E119">
        <v>1.5629999999999999</v>
      </c>
      <c r="F119">
        <v>2827399</v>
      </c>
      <c r="G119">
        <v>1.5629999999999999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-0.16070175438596609</v>
      </c>
      <c r="Q119">
        <f t="shared" ref="Q119" si="571">F119*P119</f>
        <v>-454367.97964912612</v>
      </c>
      <c r="R119">
        <f t="shared" ref="R119" si="572">R120+Q119</f>
        <v>-239260858.21828514</v>
      </c>
      <c r="S119">
        <f t="shared" ref="S119" si="573">R119/100000</f>
        <v>-2392.6085821828515</v>
      </c>
      <c r="T119">
        <f t="shared" ref="T119" si="574">S119/1000</f>
        <v>-2.3926085821828513</v>
      </c>
    </row>
    <row r="120" spans="1:20" x14ac:dyDescent="0.25">
      <c r="A120" s="5">
        <v>44473</v>
      </c>
      <c r="B120">
        <v>1.5524</v>
      </c>
      <c r="C120">
        <v>1.5549999999999999</v>
      </c>
      <c r="D120">
        <v>1.4621999999999999</v>
      </c>
      <c r="E120">
        <v>1.516</v>
      </c>
      <c r="F120">
        <v>1819059</v>
      </c>
      <c r="G120">
        <v>1.516</v>
      </c>
      <c r="L120" t="s">
        <v>7</v>
      </c>
      <c r="M120" t="s">
        <v>8</v>
      </c>
      <c r="N120" t="s">
        <v>8</v>
      </c>
      <c r="P120">
        <f t="shared" ref="P120" si="575">IF(C120=D120,0,((E120-D120)-(C120-E120))/(C120-D120))</f>
        <v>0.15948275862069125</v>
      </c>
      <c r="Q120">
        <f t="shared" ref="Q120" si="576">F120*P120</f>
        <v>290108.54741379601</v>
      </c>
      <c r="R120">
        <f t="shared" ref="R120" si="577">R121+Q120</f>
        <v>-238806490.23863602</v>
      </c>
      <c r="S120">
        <f t="shared" ref="S120" si="578">R120/100000</f>
        <v>-2388.0649023863602</v>
      </c>
      <c r="T120">
        <f t="shared" ref="T120" si="579">S120/1000</f>
        <v>-2.3880649023863603</v>
      </c>
    </row>
    <row r="121" spans="1:20" x14ac:dyDescent="0.25">
      <c r="A121" s="5">
        <v>44472</v>
      </c>
      <c r="B121">
        <v>1.5337000000000001</v>
      </c>
      <c r="C121">
        <v>1.5801000000000001</v>
      </c>
      <c r="D121">
        <v>1.4845999999999999</v>
      </c>
      <c r="E121">
        <v>1.5509999999999999</v>
      </c>
      <c r="F121">
        <v>1812236</v>
      </c>
      <c r="G121">
        <v>1.5509999999999999</v>
      </c>
      <c r="L121" t="s">
        <v>7</v>
      </c>
      <c r="M121" t="s">
        <v>8</v>
      </c>
      <c r="N121" t="s">
        <v>8</v>
      </c>
      <c r="P121">
        <f t="shared" ref="P121" si="580">IF(C121=D121,0,((E121-D121)-(C121-E121))/(C121-D121))</f>
        <v>0.39057591623036475</v>
      </c>
      <c r="Q121">
        <f t="shared" ref="Q121" si="581">F121*P121</f>
        <v>707815.73612565128</v>
      </c>
      <c r="R121">
        <f t="shared" ref="R121" si="582">R122+Q121</f>
        <v>-239096598.78604981</v>
      </c>
      <c r="S121">
        <f t="shared" ref="S121" si="583">R121/100000</f>
        <v>-2390.965987860498</v>
      </c>
      <c r="T121">
        <f t="shared" ref="T121" si="584">S121/1000</f>
        <v>-2.3909659878604979</v>
      </c>
    </row>
    <row r="122" spans="1:20" x14ac:dyDescent="0.25">
      <c r="A122" s="5">
        <v>44471</v>
      </c>
      <c r="B122">
        <v>1.5137</v>
      </c>
      <c r="C122">
        <v>1.625</v>
      </c>
      <c r="D122">
        <v>1.4825999999999999</v>
      </c>
      <c r="E122">
        <v>1.5324</v>
      </c>
      <c r="F122">
        <v>2936424</v>
      </c>
      <c r="G122">
        <v>1.5324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-0.30056179775280845</v>
      </c>
      <c r="Q122">
        <f t="shared" ref="Q122" si="586">F122*P122</f>
        <v>-882576.87640449277</v>
      </c>
      <c r="R122">
        <f t="shared" ref="R122" si="587">R123+Q122</f>
        <v>-239804414.52217546</v>
      </c>
      <c r="S122">
        <f t="shared" ref="S122" si="588">R122/100000</f>
        <v>-2398.0441452217547</v>
      </c>
      <c r="T122">
        <f t="shared" ref="T122" si="589">S122/1000</f>
        <v>-2.3980441452217547</v>
      </c>
    </row>
    <row r="123" spans="1:20" x14ac:dyDescent="0.25">
      <c r="A123" s="5">
        <v>44470</v>
      </c>
      <c r="B123">
        <v>1.4228000000000001</v>
      </c>
      <c r="C123">
        <v>1.5549999999999999</v>
      </c>
      <c r="D123">
        <v>1.3996999999999999</v>
      </c>
      <c r="E123">
        <v>1.5137</v>
      </c>
      <c r="F123">
        <v>3645802</v>
      </c>
      <c r="G123">
        <v>1.5137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0.46812620734063243</v>
      </c>
      <c r="Q123">
        <f t="shared" ref="Q123" si="591">F123*P123</f>
        <v>1706695.4629748925</v>
      </c>
      <c r="R123">
        <f t="shared" ref="R123" si="592">R124+Q123</f>
        <v>-238921837.64577097</v>
      </c>
      <c r="S123">
        <f t="shared" ref="S123" si="593">R123/100000</f>
        <v>-2389.2183764577098</v>
      </c>
      <c r="T123">
        <f t="shared" ref="T123" si="594">S123/1000</f>
        <v>-2.38921837645771</v>
      </c>
    </row>
    <row r="124" spans="1:20" x14ac:dyDescent="0.25">
      <c r="A124" s="5">
        <v>44469</v>
      </c>
      <c r="B124">
        <v>1.3887</v>
      </c>
      <c r="C124">
        <v>1.4386000000000001</v>
      </c>
      <c r="D124">
        <v>1.3745000000000001</v>
      </c>
      <c r="E124">
        <v>1.4191</v>
      </c>
      <c r="F124">
        <v>1495250</v>
      </c>
      <c r="G124">
        <v>1.4191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0.39157566302651925</v>
      </c>
      <c r="Q124">
        <f t="shared" ref="Q124" si="596">F124*P124</f>
        <v>585503.51014040294</v>
      </c>
      <c r="R124">
        <f t="shared" ref="R124" si="597">R125+Q124</f>
        <v>-240628533.10874587</v>
      </c>
      <c r="S124">
        <f t="shared" ref="S124" si="598">R124/100000</f>
        <v>-2406.2853310874589</v>
      </c>
      <c r="T124">
        <f t="shared" ref="T124" si="599">S124/1000</f>
        <v>-2.4062853310874588</v>
      </c>
    </row>
    <row r="125" spans="1:20" x14ac:dyDescent="0.25">
      <c r="A125" s="5">
        <v>44468</v>
      </c>
      <c r="B125">
        <v>1.3979999999999999</v>
      </c>
      <c r="C125">
        <v>1.5054000000000001</v>
      </c>
      <c r="D125">
        <v>1.3673999999999999</v>
      </c>
      <c r="E125">
        <v>1.3886000000000001</v>
      </c>
      <c r="F125">
        <v>2164708</v>
      </c>
      <c r="G125">
        <v>1.3886000000000001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-0.6927536231884045</v>
      </c>
      <c r="Q125">
        <f t="shared" ref="Q125" si="601">F125*P125</f>
        <v>-1499609.3101449248</v>
      </c>
      <c r="R125">
        <f t="shared" ref="R125" si="602">R126+Q125</f>
        <v>-241214036.61888626</v>
      </c>
      <c r="S125">
        <f t="shared" ref="S125" si="603">R125/100000</f>
        <v>-2412.1403661888626</v>
      </c>
      <c r="T125">
        <f t="shared" ref="T125" si="604">S125/1000</f>
        <v>-2.4121403661888627</v>
      </c>
    </row>
    <row r="126" spans="1:20" x14ac:dyDescent="0.25">
      <c r="A126" s="5">
        <v>44467</v>
      </c>
      <c r="B126">
        <v>1.3886000000000001</v>
      </c>
      <c r="C126">
        <v>1.595</v>
      </c>
      <c r="D126">
        <v>1.3352999999999999</v>
      </c>
      <c r="E126">
        <v>1.4</v>
      </c>
      <c r="F126">
        <v>8201734</v>
      </c>
      <c r="G126">
        <v>1.4</v>
      </c>
      <c r="L126" t="s">
        <v>8</v>
      </c>
      <c r="M126" t="s">
        <v>7</v>
      </c>
      <c r="N126" t="s">
        <v>7</v>
      </c>
      <c r="P126">
        <f t="shared" ref="P126" si="605">IF(C126=D126,0,((E126-D126)-(C126-E126))/(C126-D126))</f>
        <v>-0.50173276857912996</v>
      </c>
      <c r="Q126">
        <f t="shared" ref="Q126" si="606">F126*P126</f>
        <v>-4115078.706969582</v>
      </c>
      <c r="R126">
        <f t="shared" ref="R126" si="607">R127+Q126</f>
        <v>-239714427.30874133</v>
      </c>
      <c r="S126">
        <f t="shared" ref="S126" si="608">R126/100000</f>
        <v>-2397.1442730874132</v>
      </c>
      <c r="T126">
        <f t="shared" ref="T126" si="609">S126/1000</f>
        <v>-2.3971442730874131</v>
      </c>
    </row>
    <row r="127" spans="1:20" x14ac:dyDescent="0.25">
      <c r="A127" s="5">
        <v>44466</v>
      </c>
      <c r="B127">
        <v>1.3648</v>
      </c>
      <c r="C127">
        <v>1.58</v>
      </c>
      <c r="D127">
        <v>1.32</v>
      </c>
      <c r="E127">
        <v>1.3882000000000001</v>
      </c>
      <c r="F127">
        <v>4001897</v>
      </c>
      <c r="G127">
        <v>1.3882000000000001</v>
      </c>
      <c r="L127" t="s">
        <v>7</v>
      </c>
      <c r="M127" t="s">
        <v>8</v>
      </c>
      <c r="N127" t="s">
        <v>7</v>
      </c>
      <c r="P127">
        <f t="shared" ref="P127" si="610">IF(C127=D127,0,((E127-D127)-(C127-E127))/(C127-D127))</f>
        <v>-0.47538461538461513</v>
      </c>
      <c r="Q127">
        <f t="shared" ref="Q127" si="611">F127*P127</f>
        <v>-1902440.2661538452</v>
      </c>
      <c r="R127">
        <f t="shared" ref="R127" si="612">R128+Q127</f>
        <v>-235599348.60177174</v>
      </c>
      <c r="S127">
        <f t="shared" ref="S127" si="613">R127/100000</f>
        <v>-2355.9934860177173</v>
      </c>
      <c r="T127">
        <f t="shared" ref="T127" si="614">S127/1000</f>
        <v>-2.3559934860177174</v>
      </c>
    </row>
    <row r="128" spans="1:20" x14ac:dyDescent="0.25">
      <c r="A128" s="5">
        <v>44465</v>
      </c>
      <c r="B128">
        <v>1.3678999999999999</v>
      </c>
      <c r="C128">
        <v>1.6</v>
      </c>
      <c r="D128">
        <v>1.1835</v>
      </c>
      <c r="E128">
        <v>1.3685</v>
      </c>
      <c r="F128">
        <v>5040980.1490000002</v>
      </c>
      <c r="G128">
        <v>1.3685</v>
      </c>
      <c r="L128" t="s">
        <v>8</v>
      </c>
      <c r="M128" t="s">
        <v>7</v>
      </c>
      <c r="N128" t="s">
        <v>7</v>
      </c>
      <c r="P128">
        <f t="shared" ref="P128" si="615">IF(C128=D128,0,((E128-D128)-(C128-E128))/(C128-D128))</f>
        <v>-0.1116446578631452</v>
      </c>
      <c r="Q128">
        <f t="shared" ref="Q128" si="616">F128*P128</f>
        <v>-562798.50403001171</v>
      </c>
      <c r="R128">
        <f t="shared" ref="R128" si="617">R129+Q128</f>
        <v>-233696908.3356179</v>
      </c>
      <c r="S128">
        <f t="shared" ref="S128" si="618">R128/100000</f>
        <v>-2336.969083356179</v>
      </c>
      <c r="T128">
        <f t="shared" ref="T128" si="619">S128/1000</f>
        <v>-2.3369690833561791</v>
      </c>
    </row>
    <row r="129" spans="1:20" x14ac:dyDescent="0.25">
      <c r="A129" s="5">
        <v>44464</v>
      </c>
      <c r="B129">
        <v>1.4208000000000001</v>
      </c>
      <c r="C129">
        <v>1.4398</v>
      </c>
      <c r="D129">
        <v>1.3526</v>
      </c>
      <c r="E129">
        <v>1.3647</v>
      </c>
      <c r="F129">
        <v>1474175</v>
      </c>
      <c r="G129">
        <v>1.3647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-0.72247706422018332</v>
      </c>
      <c r="Q129">
        <f t="shared" ref="Q129" si="621">F129*P129</f>
        <v>-1065057.6261467887</v>
      </c>
      <c r="R129">
        <f t="shared" ref="R129" si="622">R130+Q129</f>
        <v>-233134109.83158788</v>
      </c>
      <c r="S129">
        <f t="shared" ref="S129" si="623">R129/100000</f>
        <v>-2331.3410983158788</v>
      </c>
      <c r="T129">
        <f t="shared" ref="T129" si="624">S129/1000</f>
        <v>-2.3313410983158787</v>
      </c>
    </row>
    <row r="130" spans="1:20" x14ac:dyDescent="0.25">
      <c r="A130" s="5">
        <v>44463</v>
      </c>
      <c r="B130">
        <v>1.5524</v>
      </c>
      <c r="C130">
        <v>1.57</v>
      </c>
      <c r="D130">
        <v>1.3211999999999999</v>
      </c>
      <c r="E130">
        <v>1.4202999999999999</v>
      </c>
      <c r="F130">
        <v>3432920</v>
      </c>
      <c r="G130">
        <v>1.4202999999999999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-0.20337620578778204</v>
      </c>
      <c r="Q130">
        <f t="shared" ref="Q130" si="626">F130*P130</f>
        <v>-698174.24437299266</v>
      </c>
      <c r="R130">
        <f t="shared" ref="R130" si="627">R131+Q130</f>
        <v>-232069052.20544109</v>
      </c>
      <c r="S130">
        <f t="shared" ref="S130" si="628">R130/100000</f>
        <v>-2320.6905220544108</v>
      </c>
      <c r="T130">
        <f t="shared" ref="T130" si="629">S130/1000</f>
        <v>-2.3206905220544107</v>
      </c>
    </row>
    <row r="131" spans="1:20" x14ac:dyDescent="0.25">
      <c r="A131" s="5">
        <v>44462</v>
      </c>
      <c r="B131">
        <v>1.544</v>
      </c>
      <c r="C131">
        <v>1.6786000000000001</v>
      </c>
      <c r="D131">
        <v>1.5136000000000001</v>
      </c>
      <c r="E131">
        <v>1.5525</v>
      </c>
      <c r="F131">
        <v>6720640</v>
      </c>
      <c r="G131">
        <v>1.5525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-0.52848484848484933</v>
      </c>
      <c r="Q131">
        <f t="shared" ref="Q131" si="631">F131*P131</f>
        <v>-3551756.4121212177</v>
      </c>
      <c r="R131">
        <f t="shared" ref="R131" si="632">R132+Q131</f>
        <v>-231370877.96106809</v>
      </c>
      <c r="S131">
        <f t="shared" ref="S131" si="633">R131/100000</f>
        <v>-2313.7087796106807</v>
      </c>
      <c r="T131">
        <f t="shared" ref="T131" si="634">S131/1000</f>
        <v>-2.3137087796106806</v>
      </c>
    </row>
    <row r="132" spans="1:20" x14ac:dyDescent="0.25">
      <c r="A132" s="5">
        <v>44461</v>
      </c>
      <c r="B132">
        <v>1.3573</v>
      </c>
      <c r="C132">
        <v>1.5482</v>
      </c>
      <c r="D132">
        <v>1.3388</v>
      </c>
      <c r="E132">
        <v>1.544</v>
      </c>
      <c r="F132">
        <v>2549079</v>
      </c>
      <c r="G132">
        <v>1.544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0.95988538681948443</v>
      </c>
      <c r="Q132">
        <f t="shared" ref="Q132" si="636">F132*P132</f>
        <v>2446823.6819484248</v>
      </c>
      <c r="R132">
        <f t="shared" ref="R132" si="637">R133+Q132</f>
        <v>-227819121.54894689</v>
      </c>
      <c r="S132">
        <f t="shared" ref="S132" si="638">R132/100000</f>
        <v>-2278.191215489469</v>
      </c>
      <c r="T132">
        <f t="shared" ref="T132" si="639">S132/1000</f>
        <v>-2.278191215489469</v>
      </c>
    </row>
    <row r="133" spans="1:20" x14ac:dyDescent="0.25">
      <c r="A133" s="5">
        <v>44460</v>
      </c>
      <c r="B133">
        <v>1.5226999999999999</v>
      </c>
      <c r="C133">
        <v>1.6460999999999999</v>
      </c>
      <c r="D133">
        <v>1.34</v>
      </c>
      <c r="E133">
        <v>1.3532</v>
      </c>
      <c r="F133">
        <v>4412710</v>
      </c>
      <c r="G133">
        <v>1.3532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-0.91375367526952056</v>
      </c>
      <c r="Q133">
        <f t="shared" ref="Q133" si="641">F133*P133</f>
        <v>-4032129.980398566</v>
      </c>
      <c r="R133">
        <f t="shared" ref="R133" si="642">R134+Q133</f>
        <v>-230265945.23089531</v>
      </c>
      <c r="S133">
        <f t="shared" ref="S133" si="643">R133/100000</f>
        <v>-2302.659452308953</v>
      </c>
      <c r="T133">
        <f t="shared" ref="T133" si="644">S133/1000</f>
        <v>-2.3026594523089527</v>
      </c>
    </row>
    <row r="134" spans="1:20" x14ac:dyDescent="0.25">
      <c r="A134" s="5">
        <v>44459</v>
      </c>
      <c r="B134">
        <v>1.7689999999999999</v>
      </c>
      <c r="C134">
        <v>1.7783</v>
      </c>
      <c r="D134">
        <v>1.5755999999999999</v>
      </c>
      <c r="E134">
        <v>1.61</v>
      </c>
      <c r="F134">
        <v>2382314</v>
      </c>
      <c r="G134">
        <v>1.61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-0.66058214109521274</v>
      </c>
      <c r="Q134">
        <f t="shared" ref="Q134" si="646">F134*P134</f>
        <v>-1573714.0828811007</v>
      </c>
      <c r="R134">
        <f t="shared" ref="R134" si="647">R135+Q134</f>
        <v>-226233815.25049675</v>
      </c>
      <c r="S134">
        <f t="shared" ref="S134" si="648">R134/100000</f>
        <v>-2262.3381525049676</v>
      </c>
      <c r="T134">
        <f t="shared" ref="T134" si="649">S134/1000</f>
        <v>-2.2623381525049675</v>
      </c>
    </row>
    <row r="135" spans="1:20" x14ac:dyDescent="0.25">
      <c r="A135" s="5">
        <v>44458</v>
      </c>
      <c r="B135">
        <v>1.7338</v>
      </c>
      <c r="C135">
        <v>2.15</v>
      </c>
      <c r="D135">
        <v>1.7303999999999999</v>
      </c>
      <c r="E135">
        <v>1.7689999999999999</v>
      </c>
      <c r="F135">
        <v>19765841</v>
      </c>
      <c r="G135">
        <v>1.7689999999999999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-0.81601525262154451</v>
      </c>
      <c r="Q135">
        <f t="shared" ref="Q135" si="651">F135*P135</f>
        <v>-16129227.736892281</v>
      </c>
      <c r="R135">
        <f t="shared" ref="R135" si="652">R136+Q135</f>
        <v>-224660101.16761565</v>
      </c>
      <c r="S135">
        <f t="shared" ref="S135" si="653">R135/100000</f>
        <v>-2246.6010116761563</v>
      </c>
      <c r="T135">
        <f t="shared" ref="T135" si="654">S135/1000</f>
        <v>-2.2466010116761561</v>
      </c>
    </row>
    <row r="136" spans="1:20" x14ac:dyDescent="0.25">
      <c r="A136" s="5">
        <v>44457</v>
      </c>
      <c r="B136">
        <v>1.5994999999999999</v>
      </c>
      <c r="C136">
        <v>2.282</v>
      </c>
      <c r="D136">
        <v>1.5733999999999999</v>
      </c>
      <c r="E136">
        <v>1.7303999999999999</v>
      </c>
      <c r="F136">
        <v>14095351</v>
      </c>
      <c r="G136">
        <v>1.7303999999999999</v>
      </c>
      <c r="L136" t="s">
        <v>8</v>
      </c>
      <c r="M136" t="s">
        <v>8</v>
      </c>
      <c r="N136" t="s">
        <v>8</v>
      </c>
      <c r="P136">
        <f t="shared" ref="P136" si="655">IF(C136=D136,0,((E136-D136)-(C136-E136))/(C136-D136))</f>
        <v>-0.55687270674569578</v>
      </c>
      <c r="Q136">
        <f t="shared" ref="Q136" si="656">F136*P136</f>
        <v>-7849316.2639006497</v>
      </c>
      <c r="R136">
        <f t="shared" ref="R136" si="657">R137+Q136</f>
        <v>-208530873.43072337</v>
      </c>
      <c r="S136">
        <f t="shared" ref="S136" si="658">R136/100000</f>
        <v>-2085.3087343072339</v>
      </c>
      <c r="T136">
        <f t="shared" ref="T136" si="659">S136/1000</f>
        <v>-2.0853087343072341</v>
      </c>
    </row>
    <row r="137" spans="1:20" x14ac:dyDescent="0.25">
      <c r="A137" s="5">
        <v>44456</v>
      </c>
      <c r="B137">
        <v>1.6858</v>
      </c>
      <c r="C137">
        <v>1.6940999999999999</v>
      </c>
      <c r="D137">
        <v>1.55</v>
      </c>
      <c r="E137">
        <v>1.5992999999999999</v>
      </c>
      <c r="F137">
        <v>1381880</v>
      </c>
      <c r="G137">
        <v>1.5992999999999999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-0.3157529493407365</v>
      </c>
      <c r="Q137">
        <f t="shared" ref="Q137" si="661">F137*P137</f>
        <v>-436332.68563497695</v>
      </c>
      <c r="R137">
        <f t="shared" ref="R137" si="662">R138+Q137</f>
        <v>-200681557.16682273</v>
      </c>
      <c r="S137">
        <f t="shared" ref="S137" si="663">R137/100000</f>
        <v>-2006.8155716682272</v>
      </c>
      <c r="T137">
        <f t="shared" ref="T137" si="664">S137/1000</f>
        <v>-2.0068155716682274</v>
      </c>
    </row>
    <row r="138" spans="1:20" x14ac:dyDescent="0.25">
      <c r="A138" s="5">
        <v>44455</v>
      </c>
      <c r="B138">
        <v>1.7405999999999999</v>
      </c>
      <c r="C138">
        <v>1.7849999999999999</v>
      </c>
      <c r="D138">
        <v>1.6325000000000001</v>
      </c>
      <c r="E138">
        <v>1.6858</v>
      </c>
      <c r="F138">
        <v>2401216</v>
      </c>
      <c r="G138">
        <v>1.6858</v>
      </c>
      <c r="L138" t="s">
        <v>7</v>
      </c>
      <c r="M138" t="s">
        <v>8</v>
      </c>
      <c r="N138" t="s">
        <v>7</v>
      </c>
      <c r="P138">
        <f t="shared" ref="P138" si="665">IF(C138=D138,0,((E138-D138)-(C138-E138))/(C138-D138))</f>
        <v>-0.30098360655737766</v>
      </c>
      <c r="Q138">
        <f t="shared" ref="Q138" si="666">F138*P138</f>
        <v>-722726.65180328011</v>
      </c>
      <c r="R138">
        <f t="shared" ref="R138" si="667">R139+Q138</f>
        <v>-200245224.48118776</v>
      </c>
      <c r="S138">
        <f t="shared" ref="S138" si="668">R138/100000</f>
        <v>-2002.4522448118776</v>
      </c>
      <c r="T138">
        <f t="shared" ref="T138" si="669">S138/1000</f>
        <v>-2.0024522448118778</v>
      </c>
    </row>
    <row r="139" spans="1:20" x14ac:dyDescent="0.25">
      <c r="A139" s="5">
        <v>44454</v>
      </c>
      <c r="B139">
        <v>1.6029</v>
      </c>
      <c r="C139">
        <v>1.7787999999999999</v>
      </c>
      <c r="D139">
        <v>1.59</v>
      </c>
      <c r="E139">
        <v>1.7411000000000001</v>
      </c>
      <c r="F139">
        <v>2461019</v>
      </c>
      <c r="G139">
        <v>1.7411000000000001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0.60063559322034032</v>
      </c>
      <c r="Q139">
        <f t="shared" ref="Q139" si="671">F139*P139</f>
        <v>1478175.6069915288</v>
      </c>
      <c r="R139">
        <f t="shared" ref="R139" si="672">R140+Q139</f>
        <v>-199522497.82938448</v>
      </c>
      <c r="S139">
        <f t="shared" ref="S139" si="673">R139/100000</f>
        <v>-1995.2249782938447</v>
      </c>
      <c r="T139">
        <f t="shared" ref="T139" si="674">S139/1000</f>
        <v>-1.9952249782938447</v>
      </c>
    </row>
    <row r="140" spans="1:20" x14ac:dyDescent="0.25">
      <c r="A140" s="5">
        <v>44453</v>
      </c>
      <c r="B140">
        <v>1.5381</v>
      </c>
      <c r="C140">
        <v>1.67</v>
      </c>
      <c r="D140">
        <v>1.5214000000000001</v>
      </c>
      <c r="E140">
        <v>1.6088</v>
      </c>
      <c r="F140">
        <v>2122499</v>
      </c>
      <c r="G140">
        <v>1.6088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0.17631224764468389</v>
      </c>
      <c r="Q140">
        <f t="shared" ref="Q140" si="676">F140*P140</f>
        <v>374222.56931359391</v>
      </c>
      <c r="R140">
        <f t="shared" ref="R140" si="677">R141+Q140</f>
        <v>-201000673.43637601</v>
      </c>
      <c r="S140">
        <f t="shared" ref="S140" si="678">R140/100000</f>
        <v>-2010.00673436376</v>
      </c>
      <c r="T140">
        <f t="shared" ref="T140" si="679">S140/1000</f>
        <v>-2.0100067343637598</v>
      </c>
    </row>
    <row r="141" spans="1:20" x14ac:dyDescent="0.25">
      <c r="A141" s="5">
        <v>44452</v>
      </c>
      <c r="B141">
        <v>1.6869000000000001</v>
      </c>
      <c r="C141">
        <v>1.6926000000000001</v>
      </c>
      <c r="D141">
        <v>1.4336</v>
      </c>
      <c r="E141">
        <v>1.538</v>
      </c>
      <c r="F141">
        <v>4035250.5210000002</v>
      </c>
      <c r="G141">
        <v>1.538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-0.19382239382239383</v>
      </c>
      <c r="Q141">
        <f t="shared" ref="Q141" si="681">F141*P141</f>
        <v>-782121.91565328196</v>
      </c>
      <c r="R141">
        <f t="shared" ref="R141" si="682">R142+Q141</f>
        <v>-201374896.00568959</v>
      </c>
      <c r="S141">
        <f t="shared" ref="S141" si="683">R141/100000</f>
        <v>-2013.7489600568958</v>
      </c>
      <c r="T141">
        <f t="shared" ref="T141" si="684">S141/1000</f>
        <v>-2.0137489600568959</v>
      </c>
    </row>
    <row r="142" spans="1:20" x14ac:dyDescent="0.25">
      <c r="A142" s="5">
        <v>44451</v>
      </c>
      <c r="B142">
        <v>1.583</v>
      </c>
      <c r="C142">
        <v>1.8</v>
      </c>
      <c r="D142">
        <v>1.5708</v>
      </c>
      <c r="E142">
        <v>1.6870000000000001</v>
      </c>
      <c r="F142">
        <v>3440170</v>
      </c>
      <c r="G142">
        <v>1.6870000000000001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1.396160558464263E-2</v>
      </c>
      <c r="Q142">
        <f t="shared" ref="Q142" si="686">F142*P142</f>
        <v>48030.296684120032</v>
      </c>
      <c r="R142">
        <f t="shared" ref="R142" si="687">R143+Q142</f>
        <v>-200592774.0900363</v>
      </c>
      <c r="S142">
        <f t="shared" ref="S142" si="688">R142/100000</f>
        <v>-2005.927740900363</v>
      </c>
      <c r="T142">
        <f t="shared" ref="T142" si="689">S142/1000</f>
        <v>-2.0059277409003631</v>
      </c>
    </row>
    <row r="143" spans="1:20" x14ac:dyDescent="0.25">
      <c r="A143" s="5">
        <v>44450</v>
      </c>
      <c r="B143">
        <v>1.5533999999999999</v>
      </c>
      <c r="C143">
        <v>1.6775</v>
      </c>
      <c r="D143">
        <v>1.5382</v>
      </c>
      <c r="E143">
        <v>1.5859000000000001</v>
      </c>
      <c r="F143">
        <v>2401310</v>
      </c>
      <c r="G143">
        <v>1.5859000000000001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-0.31514716439339435</v>
      </c>
      <c r="Q143">
        <f t="shared" ref="Q143" si="691">F143*P143</f>
        <v>-756766.03732950182</v>
      </c>
      <c r="R143">
        <f t="shared" ref="R143" si="692">R144+Q143</f>
        <v>-200640804.38672042</v>
      </c>
      <c r="S143">
        <f t="shared" ref="S143" si="693">R143/100000</f>
        <v>-2006.4080438672042</v>
      </c>
      <c r="T143">
        <f t="shared" ref="T143" si="694">S143/1000</f>
        <v>-2.0064080438672041</v>
      </c>
    </row>
    <row r="144" spans="1:20" x14ac:dyDescent="0.25">
      <c r="A144" s="5">
        <v>44449</v>
      </c>
      <c r="B144">
        <v>1.7785</v>
      </c>
      <c r="C144">
        <v>1.8110999999999999</v>
      </c>
      <c r="D144">
        <v>1.4886999999999999</v>
      </c>
      <c r="E144">
        <v>1.5549999999999999</v>
      </c>
      <c r="F144">
        <v>2949571.9920000001</v>
      </c>
      <c r="G144">
        <v>1.5549999999999999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-0.58870967741935476</v>
      </c>
      <c r="Q144">
        <f t="shared" ref="Q144" si="696">F144*P144</f>
        <v>-1736441.5759354837</v>
      </c>
      <c r="R144">
        <f t="shared" ref="R144" si="697">R145+Q144</f>
        <v>-199884038.34939092</v>
      </c>
      <c r="S144">
        <f t="shared" ref="S144" si="698">R144/100000</f>
        <v>-1998.8403834939093</v>
      </c>
      <c r="T144">
        <f t="shared" ref="T144" si="699">S144/1000</f>
        <v>-1.9988403834939092</v>
      </c>
    </row>
    <row r="145" spans="1:20" x14ac:dyDescent="0.25">
      <c r="A145" s="5">
        <v>44448</v>
      </c>
      <c r="B145">
        <v>1.7487999999999999</v>
      </c>
      <c r="C145">
        <v>1.8757999999999999</v>
      </c>
      <c r="D145">
        <v>1.6633</v>
      </c>
      <c r="E145">
        <v>1.7785</v>
      </c>
      <c r="F145">
        <v>3893236</v>
      </c>
      <c r="G145">
        <v>1.7785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8.4235294117647228E-2</v>
      </c>
      <c r="Q145">
        <f t="shared" ref="Q145" si="701">F145*P145</f>
        <v>327947.87952941243</v>
      </c>
      <c r="R145">
        <f t="shared" ref="R145" si="702">R146+Q145</f>
        <v>-198147596.77345544</v>
      </c>
      <c r="S145">
        <f t="shared" ref="S145" si="703">R145/100000</f>
        <v>-1981.4759677345544</v>
      </c>
      <c r="T145">
        <f t="shared" ref="T145" si="704">S145/1000</f>
        <v>-1.9814759677345544</v>
      </c>
    </row>
    <row r="146" spans="1:20" x14ac:dyDescent="0.25">
      <c r="A146" s="5">
        <v>44447</v>
      </c>
      <c r="B146">
        <v>1.8104</v>
      </c>
      <c r="C146">
        <v>1.8651</v>
      </c>
      <c r="D146">
        <v>1.5337000000000001</v>
      </c>
      <c r="E146">
        <v>1.7529999999999999</v>
      </c>
      <c r="F146">
        <v>5796915.1550000003</v>
      </c>
      <c r="G146">
        <v>1.7529999999999999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0.32347616173808019</v>
      </c>
      <c r="Q146">
        <f t="shared" ref="Q146" si="706">F146*P146</f>
        <v>1875163.8642607082</v>
      </c>
      <c r="R146">
        <f t="shared" ref="R146" si="707">R147+Q146</f>
        <v>-198475544.65298486</v>
      </c>
      <c r="S146">
        <f t="shared" ref="S146" si="708">R146/100000</f>
        <v>-1984.7554465298485</v>
      </c>
      <c r="T146">
        <f t="shared" ref="T146" si="709">S146/1000</f>
        <v>-1.9847554465298485</v>
      </c>
    </row>
    <row r="147" spans="1:20" x14ac:dyDescent="0.25">
      <c r="A147" s="5">
        <v>44446</v>
      </c>
      <c r="B147">
        <v>2.3466</v>
      </c>
      <c r="C147">
        <v>2.4912000000000001</v>
      </c>
      <c r="D147">
        <v>1.756</v>
      </c>
      <c r="E147">
        <v>1.8096000000000001</v>
      </c>
      <c r="F147">
        <v>6929289.1550000003</v>
      </c>
      <c r="G147">
        <v>1.8096000000000001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-0.8541893362350379</v>
      </c>
      <c r="Q147">
        <f t="shared" ref="Q147" si="711">F147*P147</f>
        <v>-5918924.9038900966</v>
      </c>
      <c r="R147">
        <f t="shared" ref="R147" si="712">R148+Q147</f>
        <v>-200350708.51724556</v>
      </c>
      <c r="S147">
        <f t="shared" ref="S147" si="713">R147/100000</f>
        <v>-2003.5070851724556</v>
      </c>
      <c r="T147">
        <f t="shared" ref="T147" si="714">S147/1000</f>
        <v>-2.0035070851724557</v>
      </c>
    </row>
    <row r="148" spans="1:20" x14ac:dyDescent="0.25">
      <c r="A148" s="5">
        <v>44445</v>
      </c>
      <c r="B148">
        <v>2.4051999999999998</v>
      </c>
      <c r="C148">
        <v>2.4497</v>
      </c>
      <c r="D148">
        <v>2.2797000000000001</v>
      </c>
      <c r="E148">
        <v>2.3492999999999999</v>
      </c>
      <c r="F148">
        <v>6346338</v>
      </c>
      <c r="G148">
        <v>2.3492999999999999</v>
      </c>
      <c r="L148" t="s">
        <v>7</v>
      </c>
      <c r="M148" t="s">
        <v>7</v>
      </c>
      <c r="N148" t="s">
        <v>7</v>
      </c>
      <c r="P148">
        <f t="shared" ref="P148" si="715">IF(C148=D148,0,((E148-D148)-(C148-E148))/(C148-D148))</f>
        <v>-0.18117647058823633</v>
      </c>
      <c r="Q148">
        <f t="shared" ref="Q148" si="716">F148*P148</f>
        <v>-1149807.1200000066</v>
      </c>
      <c r="R148">
        <f t="shared" ref="R148" si="717">R149+Q148</f>
        <v>-194431783.61335546</v>
      </c>
      <c r="S148">
        <f t="shared" ref="S148" si="718">R148/100000</f>
        <v>-1944.3178361335545</v>
      </c>
      <c r="T148">
        <f t="shared" ref="T148" si="719">S148/1000</f>
        <v>-1.9443178361335545</v>
      </c>
    </row>
    <row r="149" spans="1:20" x14ac:dyDescent="0.25">
      <c r="A149" s="5">
        <v>44444</v>
      </c>
      <c r="B149">
        <v>2.1938</v>
      </c>
      <c r="C149">
        <v>2.8439999999999999</v>
      </c>
      <c r="D149">
        <v>2.1854</v>
      </c>
      <c r="E149">
        <v>2.4064999999999999</v>
      </c>
      <c r="F149">
        <v>25073748.48</v>
      </c>
      <c r="G149">
        <v>2.4064999999999999</v>
      </c>
      <c r="L149" t="s">
        <v>8</v>
      </c>
      <c r="M149" t="s">
        <v>8</v>
      </c>
      <c r="N149" t="s">
        <v>7</v>
      </c>
      <c r="P149">
        <f t="shared" ref="P149" si="720">IF(C149=D149,0,((E149-D149)-(C149-E149))/(C149-D149))</f>
        <v>-0.32857576677801426</v>
      </c>
      <c r="Q149">
        <f t="shared" ref="Q149" si="721">F149*P149</f>
        <v>-8238626.1328150695</v>
      </c>
      <c r="R149">
        <f t="shared" ref="R149" si="722">R150+Q149</f>
        <v>-193281976.49335545</v>
      </c>
      <c r="S149">
        <f t="shared" ref="S149" si="723">R149/100000</f>
        <v>-1932.8197649335546</v>
      </c>
      <c r="T149">
        <f t="shared" ref="T149" si="724">S149/1000</f>
        <v>-1.9328197649335546</v>
      </c>
    </row>
    <row r="150" spans="1:20" x14ac:dyDescent="0.25">
      <c r="A150" s="5">
        <v>44443</v>
      </c>
      <c r="B150">
        <v>2.1640000000000001</v>
      </c>
      <c r="C150">
        <v>2.29</v>
      </c>
      <c r="D150">
        <v>2.1461000000000001</v>
      </c>
      <c r="E150">
        <v>2.1943000000000001</v>
      </c>
      <c r="F150">
        <v>3581788</v>
      </c>
      <c r="G150">
        <v>2.1943000000000001</v>
      </c>
      <c r="L150" t="s">
        <v>7</v>
      </c>
      <c r="M150" t="s">
        <v>7</v>
      </c>
      <c r="N150" t="s">
        <v>7</v>
      </c>
      <c r="P150">
        <f t="shared" ref="P150" si="725">IF(C150=D150,0,((E150-D150)-(C150-E150))/(C150-D150))</f>
        <v>-0.33009034051424535</v>
      </c>
      <c r="Q150">
        <f t="shared" ref="Q150" si="726">F150*P150</f>
        <v>-1182313.6205698377</v>
      </c>
      <c r="R150">
        <f t="shared" ref="R150" si="727">R151+Q150</f>
        <v>-185043350.36054039</v>
      </c>
      <c r="S150">
        <f t="shared" ref="S150" si="728">R150/100000</f>
        <v>-1850.433503605404</v>
      </c>
      <c r="T150">
        <f t="shared" ref="T150" si="729">S150/1000</f>
        <v>-1.850433503605404</v>
      </c>
    </row>
    <row r="151" spans="1:20" x14ac:dyDescent="0.25">
      <c r="A151" s="5">
        <v>44442</v>
      </c>
      <c r="B151">
        <v>2.1602999999999999</v>
      </c>
      <c r="C151">
        <v>2.2999999999999998</v>
      </c>
      <c r="D151">
        <v>2.1164999999999998</v>
      </c>
      <c r="E151">
        <v>2.1608000000000001</v>
      </c>
      <c r="F151">
        <v>3518864</v>
      </c>
      <c r="G151">
        <v>2.1608000000000001</v>
      </c>
      <c r="L151" t="s">
        <v>8</v>
      </c>
      <c r="M151" t="s">
        <v>7</v>
      </c>
      <c r="N151" t="s">
        <v>7</v>
      </c>
      <c r="P151">
        <f t="shared" ref="P151" si="730">IF(C151=D151,0,((E151-D151)-(C151-E151))/(C151-D151))</f>
        <v>-0.51716621253405748</v>
      </c>
      <c r="Q151">
        <f t="shared" ref="Q151" si="731">F151*P151</f>
        <v>-1819837.5673024436</v>
      </c>
      <c r="R151">
        <f t="shared" ref="R151" si="732">R152+Q151</f>
        <v>-183861036.73997056</v>
      </c>
      <c r="S151">
        <f t="shared" ref="S151" si="733">R151/100000</f>
        <v>-1838.6103673997056</v>
      </c>
      <c r="T151">
        <f t="shared" ref="T151" si="734">S151/1000</f>
        <v>-1.8386103673997056</v>
      </c>
    </row>
    <row r="152" spans="1:20" x14ac:dyDescent="0.25">
      <c r="A152" s="5">
        <v>44441</v>
      </c>
      <c r="B152">
        <v>2.1966999999999999</v>
      </c>
      <c r="C152">
        <v>2.2469999999999999</v>
      </c>
      <c r="D152">
        <v>2.1417000000000002</v>
      </c>
      <c r="E152">
        <v>2.1555</v>
      </c>
      <c r="F152">
        <v>3099740</v>
      </c>
      <c r="G152">
        <v>2.1555</v>
      </c>
      <c r="L152" t="s">
        <v>8</v>
      </c>
      <c r="M152" t="s">
        <v>7</v>
      </c>
      <c r="N152" t="s">
        <v>7</v>
      </c>
      <c r="P152">
        <f t="shared" ref="P152" si="735">IF(C152=D152,0,((E152-D152)-(C152-E152))/(C152-D152))</f>
        <v>-0.73789173789174078</v>
      </c>
      <c r="Q152">
        <f t="shared" ref="Q152" si="736">F152*P152</f>
        <v>-2287272.5356125445</v>
      </c>
      <c r="R152">
        <f t="shared" ref="R152" si="737">R153+Q152</f>
        <v>-182041199.17266813</v>
      </c>
      <c r="S152">
        <f t="shared" ref="S152" si="738">R152/100000</f>
        <v>-1820.4119917266812</v>
      </c>
      <c r="T152">
        <f t="shared" ref="T152" si="739">S152/1000</f>
        <v>-1.8204119917266812</v>
      </c>
    </row>
    <row r="153" spans="1:20" x14ac:dyDescent="0.25">
      <c r="A153" s="5">
        <v>44440</v>
      </c>
      <c r="B153">
        <v>2.0985999999999998</v>
      </c>
      <c r="C153">
        <v>2.3199999999999998</v>
      </c>
      <c r="D153">
        <v>2.08</v>
      </c>
      <c r="E153">
        <v>2.1966999999999999</v>
      </c>
      <c r="F153">
        <v>3543086</v>
      </c>
      <c r="G153">
        <v>2.1966999999999999</v>
      </c>
      <c r="L153" t="s">
        <v>7</v>
      </c>
      <c r="M153" t="s">
        <v>7</v>
      </c>
      <c r="N153" t="s">
        <v>7</v>
      </c>
      <c r="P153">
        <f t="shared" ref="P153" si="740">IF(C153=D153,0,((E153-D153)-(C153-E153))/(C153-D153))</f>
        <v>-2.7500000000000697E-2</v>
      </c>
      <c r="Q153">
        <f t="shared" ref="Q153" si="741">F153*P153</f>
        <v>-97434.865000002465</v>
      </c>
      <c r="R153">
        <f t="shared" ref="R153" si="742">R154+Q153</f>
        <v>-179753926.63705558</v>
      </c>
      <c r="S153">
        <f t="shared" ref="S153" si="743">R153/100000</f>
        <v>-1797.5392663705557</v>
      </c>
      <c r="T153">
        <f t="shared" ref="T153" si="744">S153/1000</f>
        <v>-1.7975392663705556</v>
      </c>
    </row>
    <row r="154" spans="1:20" x14ac:dyDescent="0.25">
      <c r="A154" s="5">
        <v>44439</v>
      </c>
      <c r="B154">
        <v>2.1215000000000002</v>
      </c>
      <c r="C154">
        <v>2.2065000000000001</v>
      </c>
      <c r="D154">
        <v>2.0931000000000002</v>
      </c>
      <c r="E154">
        <v>2.1046999999999998</v>
      </c>
      <c r="F154">
        <v>3313425</v>
      </c>
      <c r="G154">
        <v>2.1046999999999998</v>
      </c>
      <c r="L154" t="s">
        <v>7</v>
      </c>
      <c r="M154" t="s">
        <v>7</v>
      </c>
      <c r="N154" t="s">
        <v>7</v>
      </c>
      <c r="P154">
        <f t="shared" ref="P154" si="745">IF(C154=D154,0,((E154-D154)-(C154-E154))/(C154-D154))</f>
        <v>-0.79541446208113553</v>
      </c>
      <c r="Q154">
        <f t="shared" ref="Q154" si="746">F154*P154</f>
        <v>-2635546.1640211865</v>
      </c>
      <c r="R154">
        <f t="shared" ref="R154" si="747">R155+Q154</f>
        <v>-179656491.77205557</v>
      </c>
      <c r="S154">
        <f t="shared" ref="S154" si="748">R154/100000</f>
        <v>-1796.5649177205557</v>
      </c>
      <c r="T154">
        <f t="shared" ref="T154" si="749">S154/1000</f>
        <v>-1.7965649177205558</v>
      </c>
    </row>
    <row r="155" spans="1:20" x14ac:dyDescent="0.25">
      <c r="A155" s="5">
        <v>44438</v>
      </c>
      <c r="B155">
        <v>2.3860000000000001</v>
      </c>
      <c r="C155">
        <v>2.3871000000000002</v>
      </c>
      <c r="D155">
        <v>2.1179999999999999</v>
      </c>
      <c r="E155">
        <v>2.1215000000000002</v>
      </c>
      <c r="F155">
        <v>4960254</v>
      </c>
      <c r="G155">
        <v>2.1215000000000002</v>
      </c>
      <c r="L155" t="s">
        <v>7</v>
      </c>
      <c r="M155" t="s">
        <v>7</v>
      </c>
      <c r="N155" t="s">
        <v>7</v>
      </c>
      <c r="P155">
        <f t="shared" ref="P155" si="750">IF(C155=D155,0,((E155-D155)-(C155-E155))/(C155-D155))</f>
        <v>-0.97398736529171104</v>
      </c>
      <c r="Q155">
        <f t="shared" ref="Q155" si="751">F155*P155</f>
        <v>-4831224.7246376704</v>
      </c>
      <c r="R155">
        <f t="shared" ref="R155" si="752">R156+Q155</f>
        <v>-177020945.60803437</v>
      </c>
      <c r="S155">
        <f t="shared" ref="S155" si="753">R155/100000</f>
        <v>-1770.2094560803437</v>
      </c>
      <c r="T155">
        <f t="shared" ref="T155" si="754">S155/1000</f>
        <v>-1.7702094560803436</v>
      </c>
    </row>
    <row r="156" spans="1:20" x14ac:dyDescent="0.25">
      <c r="A156" s="5">
        <v>44437</v>
      </c>
      <c r="B156">
        <v>2.3687</v>
      </c>
      <c r="C156">
        <v>2.58</v>
      </c>
      <c r="D156">
        <v>2.2896000000000001</v>
      </c>
      <c r="E156">
        <v>2.3860000000000001</v>
      </c>
      <c r="F156">
        <v>5251254</v>
      </c>
      <c r="G156">
        <v>2.3860000000000001</v>
      </c>
      <c r="L156" t="s">
        <v>8</v>
      </c>
      <c r="M156" t="s">
        <v>7</v>
      </c>
      <c r="N156" t="s">
        <v>7</v>
      </c>
      <c r="P156">
        <f t="shared" ref="P156" si="755">IF(C156=D156,0,((E156-D156)-(C156-E156))/(C156-D156))</f>
        <v>-0.33608815426997213</v>
      </c>
      <c r="Q156">
        <f t="shared" ref="Q156" si="756">F156*P156</f>
        <v>-1764884.2644628081</v>
      </c>
      <c r="R156">
        <f t="shared" ref="R156" si="757">R157+Q156</f>
        <v>-172189720.88339671</v>
      </c>
      <c r="S156">
        <f t="shared" ref="S156" si="758">R156/100000</f>
        <v>-1721.8972088339672</v>
      </c>
      <c r="T156">
        <f t="shared" ref="T156" si="759">S156/1000</f>
        <v>-1.7218972088339672</v>
      </c>
    </row>
    <row r="157" spans="1:20" x14ac:dyDescent="0.25">
      <c r="A157" s="5">
        <v>44436</v>
      </c>
      <c r="B157">
        <v>2.2778</v>
      </c>
      <c r="C157">
        <v>2.5998000000000001</v>
      </c>
      <c r="D157">
        <v>2.2231000000000001</v>
      </c>
      <c r="E157">
        <v>2.37</v>
      </c>
      <c r="F157">
        <v>9138173</v>
      </c>
      <c r="G157">
        <v>2.37</v>
      </c>
      <c r="L157" t="s">
        <v>7</v>
      </c>
      <c r="M157" t="s">
        <v>7</v>
      </c>
      <c r="N157" t="s">
        <v>7</v>
      </c>
      <c r="P157">
        <f t="shared" ref="P157" si="760">IF(C157=D157,0,((E157-D157)-(C157-E157))/(C157-D157))</f>
        <v>-0.22006902044066887</v>
      </c>
      <c r="Q157">
        <f t="shared" ref="Q157" si="761">F157*P157</f>
        <v>-2011028.7807273683</v>
      </c>
      <c r="R157">
        <f t="shared" ref="R157" si="762">R158+Q157</f>
        <v>-170424836.61893392</v>
      </c>
      <c r="S157">
        <f t="shared" ref="S157" si="763">R157/100000</f>
        <v>-1704.2483661893391</v>
      </c>
      <c r="T157">
        <f t="shared" ref="T157" si="764">S157/1000</f>
        <v>-1.7042483661893391</v>
      </c>
    </row>
    <row r="158" spans="1:20" x14ac:dyDescent="0.25">
      <c r="A158" s="5">
        <v>44435</v>
      </c>
      <c r="B158">
        <v>2.1185</v>
      </c>
      <c r="C158">
        <v>2.6819999999999999</v>
      </c>
      <c r="D158">
        <v>2.0659999999999998</v>
      </c>
      <c r="E158">
        <v>2.2825000000000002</v>
      </c>
      <c r="F158">
        <v>14427272.953</v>
      </c>
      <c r="G158">
        <v>2.2825000000000002</v>
      </c>
      <c r="L158" t="s">
        <v>8</v>
      </c>
      <c r="M158" t="s">
        <v>8</v>
      </c>
      <c r="N158" t="s">
        <v>7</v>
      </c>
      <c r="P158">
        <f t="shared" ref="P158" si="765">IF(C158=D158,0,((E158-D158)-(C158-E158))/(C158-D158))</f>
        <v>-0.29707792207792105</v>
      </c>
      <c r="Q158">
        <f t="shared" ref="Q158" si="766">F158*P158</f>
        <v>-4286024.2701282315</v>
      </c>
      <c r="R158">
        <f t="shared" ref="R158" si="767">R159+Q158</f>
        <v>-168413807.83820656</v>
      </c>
      <c r="S158">
        <f t="shared" ref="S158" si="768">R158/100000</f>
        <v>-1684.1380783820655</v>
      </c>
      <c r="T158">
        <f t="shared" ref="T158" si="769">S158/1000</f>
        <v>-1.6841380783820654</v>
      </c>
    </row>
    <row r="159" spans="1:20" x14ac:dyDescent="0.25">
      <c r="A159" s="5">
        <v>44434</v>
      </c>
      <c r="B159">
        <v>2.21</v>
      </c>
      <c r="C159">
        <v>2.4289999999999998</v>
      </c>
      <c r="D159">
        <v>2.089</v>
      </c>
      <c r="E159">
        <v>2.1185999999999998</v>
      </c>
      <c r="F159">
        <v>5316413.7450000001</v>
      </c>
      <c r="G159">
        <v>2.1185999999999998</v>
      </c>
      <c r="L159" t="s">
        <v>8</v>
      </c>
      <c r="M159" t="s">
        <v>8</v>
      </c>
      <c r="N159" t="s">
        <v>7</v>
      </c>
      <c r="P159">
        <f t="shared" ref="P159" si="770">IF(C159=D159,0,((E159-D159)-(C159-E159))/(C159-D159))</f>
        <v>-0.82588235294117729</v>
      </c>
      <c r="Q159">
        <f t="shared" ref="Q159" si="771">F159*P159</f>
        <v>-4390732.2929294165</v>
      </c>
      <c r="R159">
        <f t="shared" ref="R159" si="772">R160+Q159</f>
        <v>-164127783.56807834</v>
      </c>
      <c r="S159">
        <f t="shared" ref="S159" si="773">R159/100000</f>
        <v>-1641.2778356807835</v>
      </c>
      <c r="T159">
        <f t="shared" ref="T159" si="774">S159/1000</f>
        <v>-1.6412778356807836</v>
      </c>
    </row>
    <row r="160" spans="1:20" x14ac:dyDescent="0.25">
      <c r="A160" s="5">
        <v>44433</v>
      </c>
      <c r="B160">
        <v>2.0910000000000002</v>
      </c>
      <c r="C160">
        <v>2.2530000000000001</v>
      </c>
      <c r="D160">
        <v>2.008</v>
      </c>
      <c r="E160">
        <v>2.21</v>
      </c>
      <c r="F160">
        <v>4209871.341</v>
      </c>
      <c r="G160">
        <v>2.21</v>
      </c>
      <c r="L160" t="s">
        <v>7</v>
      </c>
      <c r="M160" t="s">
        <v>7</v>
      </c>
      <c r="N160" t="s">
        <v>7</v>
      </c>
      <c r="P160">
        <f t="shared" ref="P160" si="775">IF(C160=D160,0,((E160-D160)-(C160-E160))/(C160-D160))</f>
        <v>0.64897959183673359</v>
      </c>
      <c r="Q160">
        <f t="shared" ref="Q160" si="776">F160*P160</f>
        <v>2732120.5845673424</v>
      </c>
      <c r="R160">
        <f t="shared" ref="R160" si="777">R161+Q160</f>
        <v>-159737051.27514893</v>
      </c>
      <c r="S160">
        <f t="shared" ref="S160" si="778">R160/100000</f>
        <v>-1597.3705127514893</v>
      </c>
      <c r="T160">
        <f t="shared" ref="T160" si="779">S160/1000</f>
        <v>-1.5973705127514892</v>
      </c>
    </row>
    <row r="161" spans="1:20" x14ac:dyDescent="0.25">
      <c r="A161" s="5">
        <v>44432</v>
      </c>
      <c r="B161">
        <v>2.359</v>
      </c>
      <c r="C161">
        <v>2.37</v>
      </c>
      <c r="D161">
        <v>2.08</v>
      </c>
      <c r="E161">
        <v>2.0920000000000001</v>
      </c>
      <c r="F161">
        <v>3748021.04</v>
      </c>
      <c r="G161">
        <v>2.0920000000000001</v>
      </c>
      <c r="L161" t="s">
        <v>7</v>
      </c>
      <c r="M161" t="s">
        <v>7</v>
      </c>
      <c r="N161" t="s">
        <v>7</v>
      </c>
      <c r="P161">
        <f t="shared" ref="P161" si="780">IF(C161=D161,0,((E161-D161)-(C161-E161))/(C161-D161))</f>
        <v>-0.91724137931034477</v>
      </c>
      <c r="Q161">
        <f t="shared" ref="Q161" si="781">F161*P161</f>
        <v>-3437839.988413793</v>
      </c>
      <c r="R161">
        <f t="shared" ref="R161" si="782">R162+Q161</f>
        <v>-162469171.85971627</v>
      </c>
      <c r="S161">
        <f t="shared" ref="S161" si="783">R161/100000</f>
        <v>-1624.6917185971627</v>
      </c>
      <c r="T161">
        <f t="shared" ref="T161" si="784">S161/1000</f>
        <v>-1.6246917185971628</v>
      </c>
    </row>
    <row r="162" spans="1:20" x14ac:dyDescent="0.25">
      <c r="A162" s="5">
        <v>44431</v>
      </c>
      <c r="B162">
        <v>2.2959999999999998</v>
      </c>
      <c r="C162">
        <v>2.7</v>
      </c>
      <c r="D162">
        <v>2.2629999999999999</v>
      </c>
      <c r="E162">
        <v>2.3620000000000001</v>
      </c>
      <c r="F162">
        <v>8494708.2469999995</v>
      </c>
      <c r="G162">
        <v>2.3620000000000001</v>
      </c>
      <c r="L162" t="s">
        <v>8</v>
      </c>
      <c r="M162" t="s">
        <v>8</v>
      </c>
      <c r="N162" t="s">
        <v>7</v>
      </c>
      <c r="P162">
        <f t="shared" ref="P162" si="785">IF(C162=D162,0,((E162-D162)-(C162-E162))/(C162-D162))</f>
        <v>-0.54691075514874077</v>
      </c>
      <c r="Q162">
        <f t="shared" ref="Q162" si="786">F162*P162</f>
        <v>-4645847.3021350056</v>
      </c>
      <c r="R162">
        <f t="shared" ref="R162" si="787">R163+Q162</f>
        <v>-159031331.87130249</v>
      </c>
      <c r="S162">
        <f t="shared" ref="S162" si="788">R162/100000</f>
        <v>-1590.313318713025</v>
      </c>
      <c r="T162">
        <f t="shared" ref="T162" si="789">S162/1000</f>
        <v>-1.5903133187130249</v>
      </c>
    </row>
    <row r="163" spans="1:20" x14ac:dyDescent="0.25">
      <c r="A163" s="5">
        <v>44430</v>
      </c>
      <c r="B163">
        <v>2.1680000000000001</v>
      </c>
      <c r="C163">
        <v>2.2200000000000002</v>
      </c>
      <c r="D163">
        <v>2.16</v>
      </c>
      <c r="E163">
        <v>2.2109999999999999</v>
      </c>
      <c r="F163">
        <v>528939.98899999994</v>
      </c>
      <c r="G163">
        <v>2.2109999999999999</v>
      </c>
      <c r="L163" t="s">
        <v>7</v>
      </c>
      <c r="M163" t="s">
        <v>8</v>
      </c>
      <c r="N163" t="s">
        <v>7</v>
      </c>
      <c r="P163">
        <f t="shared" ref="P163" si="790">IF(C163=D163,0,((E163-D163)-(C163-E163))/(C163-D163))</f>
        <v>0.69999999999998885</v>
      </c>
      <c r="Q163">
        <f t="shared" ref="Q163" si="791">F163*P163</f>
        <v>370257.99229999405</v>
      </c>
      <c r="R163">
        <f t="shared" ref="R163" si="792">R164+Q163</f>
        <v>-154385484.56916746</v>
      </c>
      <c r="S163">
        <f t="shared" ref="S163" si="793">R163/100000</f>
        <v>-1543.8548456916747</v>
      </c>
      <c r="T163">
        <f t="shared" ref="T163" si="794">S163/1000</f>
        <v>-1.5438548456916747</v>
      </c>
    </row>
    <row r="164" spans="1:20" x14ac:dyDescent="0.25">
      <c r="A164" s="5">
        <v>44429</v>
      </c>
      <c r="B164">
        <v>2.2469999999999999</v>
      </c>
      <c r="C164">
        <v>2.355</v>
      </c>
      <c r="D164">
        <v>2.161</v>
      </c>
      <c r="E164">
        <v>2.1720000000000002</v>
      </c>
      <c r="F164">
        <v>4650448.9309999999</v>
      </c>
      <c r="G164">
        <v>2.1720000000000002</v>
      </c>
      <c r="L164" t="s">
        <v>7</v>
      </c>
      <c r="M164" t="s">
        <v>8</v>
      </c>
      <c r="N164" t="s">
        <v>7</v>
      </c>
      <c r="P164">
        <f t="shared" ref="P164" si="795">IF(C164=D164,0,((E164-D164)-(C164-E164))/(C164-D164))</f>
        <v>-0.88659793814432863</v>
      </c>
      <c r="Q164">
        <f t="shared" ref="Q164" si="796">F164*P164</f>
        <v>-4123078.433670097</v>
      </c>
      <c r="R164">
        <f t="shared" ref="R164" si="797">R165+Q164</f>
        <v>-154755742.56146747</v>
      </c>
      <c r="S164">
        <f t="shared" ref="S164" si="798">R164/100000</f>
        <v>-1547.5574256146747</v>
      </c>
      <c r="T164">
        <f t="shared" ref="T164" si="799">S164/1000</f>
        <v>-1.5475574256146747</v>
      </c>
    </row>
    <row r="165" spans="1:20" x14ac:dyDescent="0.25">
      <c r="A165" s="5">
        <v>44428</v>
      </c>
      <c r="B165">
        <v>2.194</v>
      </c>
      <c r="C165">
        <v>2.391</v>
      </c>
      <c r="D165">
        <v>2.1739999999999999</v>
      </c>
      <c r="E165">
        <v>2.246</v>
      </c>
      <c r="F165">
        <v>5237681.4220000003</v>
      </c>
      <c r="G165">
        <v>2.246</v>
      </c>
      <c r="L165" t="s">
        <v>8</v>
      </c>
      <c r="M165" t="s">
        <v>8</v>
      </c>
      <c r="N165" t="s">
        <v>7</v>
      </c>
      <c r="P165">
        <f t="shared" ref="P165" si="800">IF(C165=D165,0,((E165-D165)-(C165-E165))/(C165-D165))</f>
        <v>-0.3364055299539167</v>
      </c>
      <c r="Q165">
        <f t="shared" ref="Q165" si="801">F165*P165</f>
        <v>-1761984.9944976941</v>
      </c>
      <c r="R165">
        <f t="shared" ref="R165" si="802">R166+Q165</f>
        <v>-150632664.12779737</v>
      </c>
      <c r="S165">
        <f t="shared" ref="S165" si="803">R165/100000</f>
        <v>-1506.3266412779737</v>
      </c>
      <c r="T165">
        <f t="shared" ref="T165" si="804">S165/1000</f>
        <v>-1.5063266412779737</v>
      </c>
    </row>
    <row r="166" spans="1:20" x14ac:dyDescent="0.25">
      <c r="A166" s="5">
        <v>44427</v>
      </c>
      <c r="B166">
        <v>2.1829999999999998</v>
      </c>
      <c r="C166">
        <v>2.274</v>
      </c>
      <c r="D166">
        <v>2.1080000000000001</v>
      </c>
      <c r="E166">
        <v>2.1930000000000001</v>
      </c>
      <c r="F166">
        <v>4080917.0839999998</v>
      </c>
      <c r="G166">
        <v>2.1930000000000001</v>
      </c>
      <c r="L166" t="s">
        <v>7</v>
      </c>
      <c r="M166" t="s">
        <v>8</v>
      </c>
      <c r="N166" t="s">
        <v>7</v>
      </c>
      <c r="P166">
        <f t="shared" ref="P166" si="805">IF(C166=D166,0,((E166-D166)-(C166-E166))/(C166-D166))</f>
        <v>2.4096385542168707E-2</v>
      </c>
      <c r="Q166">
        <f t="shared" ref="Q166" si="806">F166*P166</f>
        <v>98335.351421686879</v>
      </c>
      <c r="R166">
        <f t="shared" ref="R166" si="807">R167+Q166</f>
        <v>-148870679.13329968</v>
      </c>
      <c r="S166">
        <f t="shared" ref="S166" si="808">R166/100000</f>
        <v>-1488.7067913329968</v>
      </c>
      <c r="T166">
        <f t="shared" ref="T166" si="809">S166/1000</f>
        <v>-1.4887067913329968</v>
      </c>
    </row>
    <row r="167" spans="1:20" x14ac:dyDescent="0.25">
      <c r="A167" s="5">
        <v>44426</v>
      </c>
      <c r="B167">
        <v>2.0710000000000002</v>
      </c>
      <c r="C167">
        <v>2.4260000000000002</v>
      </c>
      <c r="D167">
        <v>2.0499999999999998</v>
      </c>
      <c r="E167">
        <v>2.1859999999999999</v>
      </c>
      <c r="F167">
        <v>10384283.905999999</v>
      </c>
      <c r="G167">
        <v>2.1859999999999999</v>
      </c>
      <c r="L167" t="s">
        <v>8</v>
      </c>
      <c r="M167" t="s">
        <v>8</v>
      </c>
      <c r="N167" t="s">
        <v>7</v>
      </c>
      <c r="P167">
        <f t="shared" ref="P167" si="810">IF(C167=D167,0,((E167-D167)-(C167-E167))/(C167-D167))</f>
        <v>-0.27659574468085107</v>
      </c>
      <c r="Q167">
        <f t="shared" ref="Q167" si="811">F167*P167</f>
        <v>-2872248.7399574467</v>
      </c>
      <c r="R167">
        <f t="shared" ref="R167" si="812">R168+Q167</f>
        <v>-148969014.48472136</v>
      </c>
      <c r="S167">
        <f t="shared" ref="S167" si="813">R167/100000</f>
        <v>-1489.6901448472136</v>
      </c>
      <c r="T167">
        <f t="shared" ref="T167" si="814">S167/1000</f>
        <v>-1.4896901448472135</v>
      </c>
    </row>
    <row r="168" spans="1:20" x14ac:dyDescent="0.25">
      <c r="A168" s="5">
        <v>44425</v>
      </c>
      <c r="B168">
        <v>2.11</v>
      </c>
      <c r="C168">
        <v>2.2480000000000002</v>
      </c>
      <c r="D168">
        <v>2.0299999999999998</v>
      </c>
      <c r="E168">
        <v>2.0710000000000002</v>
      </c>
      <c r="F168">
        <v>3952716.3160000001</v>
      </c>
      <c r="G168">
        <v>2.0710000000000002</v>
      </c>
      <c r="L168" t="s">
        <v>7</v>
      </c>
      <c r="M168" t="s">
        <v>7</v>
      </c>
      <c r="N168" t="s">
        <v>7</v>
      </c>
      <c r="P168">
        <f t="shared" ref="P168" si="815">IF(C168=D168,0,((E168-D168)-(C168-E168))/(C168-D168))</f>
        <v>-0.62385321100917168</v>
      </c>
      <c r="Q168">
        <f t="shared" ref="Q168" si="816">F168*P168</f>
        <v>-2465914.7659449438</v>
      </c>
      <c r="R168">
        <f t="shared" ref="R168" si="817">R169+Q168</f>
        <v>-146096765.74476391</v>
      </c>
      <c r="S168">
        <f t="shared" ref="S168" si="818">R168/100000</f>
        <v>-1460.9676574476391</v>
      </c>
      <c r="T168">
        <f t="shared" ref="T168" si="819">S168/1000</f>
        <v>-1.4609676574476391</v>
      </c>
    </row>
    <row r="169" spans="1:20" x14ac:dyDescent="0.25">
      <c r="A169" s="5">
        <v>44424</v>
      </c>
      <c r="B169">
        <v>2.2050000000000001</v>
      </c>
      <c r="C169">
        <v>2.2879999999999998</v>
      </c>
      <c r="D169">
        <v>2.1</v>
      </c>
      <c r="E169">
        <v>2.11</v>
      </c>
      <c r="F169">
        <v>4329585.7680000002</v>
      </c>
      <c r="G169">
        <v>2.11</v>
      </c>
      <c r="L169" t="s">
        <v>8</v>
      </c>
      <c r="M169" t="s">
        <v>7</v>
      </c>
      <c r="N169" t="s">
        <v>7</v>
      </c>
      <c r="P169">
        <f t="shared" ref="P169" si="820">IF(C169=D169,0,((E169-D169)-(C169-E169))/(C169-D169))</f>
        <v>-0.89361702127659781</v>
      </c>
      <c r="Q169">
        <f t="shared" ref="Q169" si="821">F169*P169</f>
        <v>-3868991.5373617113</v>
      </c>
      <c r="R169">
        <f t="shared" ref="R169" si="822">R170+Q169</f>
        <v>-143630850.97881895</v>
      </c>
      <c r="S169">
        <f t="shared" ref="S169" si="823">R169/100000</f>
        <v>-1436.3085097881894</v>
      </c>
      <c r="T169">
        <f t="shared" ref="T169" si="824">S169/1000</f>
        <v>-1.4363085097881894</v>
      </c>
    </row>
    <row r="170" spans="1:20" x14ac:dyDescent="0.25">
      <c r="A170" s="5">
        <v>44423</v>
      </c>
      <c r="B170">
        <v>2.1720000000000002</v>
      </c>
      <c r="C170">
        <v>2.44</v>
      </c>
      <c r="D170">
        <v>2.0110000000000001</v>
      </c>
      <c r="E170">
        <v>2.2050000000000001</v>
      </c>
      <c r="F170">
        <v>10612842.460999999</v>
      </c>
      <c r="G170">
        <v>2.2050000000000001</v>
      </c>
      <c r="L170" t="s">
        <v>7</v>
      </c>
      <c r="M170" t="s">
        <v>7</v>
      </c>
      <c r="N170" t="s">
        <v>7</v>
      </c>
      <c r="P170">
        <f t="shared" ref="P170" si="825">IF(C170=D170,0,((E170-D170)-(C170-E170))/(C170-D170))</f>
        <v>-9.557109557109543E-2</v>
      </c>
      <c r="Q170">
        <f t="shared" ref="Q170" si="826">F170*P170</f>
        <v>-1014280.9811212105</v>
      </c>
      <c r="R170">
        <f t="shared" ref="R170" si="827">R171+Q170</f>
        <v>-139761859.44145724</v>
      </c>
      <c r="S170">
        <f t="shared" ref="S170" si="828">R170/100000</f>
        <v>-1397.6185944145725</v>
      </c>
      <c r="T170">
        <f t="shared" ref="T170" si="829">S170/1000</f>
        <v>-1.3976185944145725</v>
      </c>
    </row>
    <row r="171" spans="1:20" x14ac:dyDescent="0.25">
      <c r="A171" s="5">
        <v>44422</v>
      </c>
      <c r="B171">
        <v>2.2890000000000001</v>
      </c>
      <c r="C171">
        <v>2.2999999999999998</v>
      </c>
      <c r="D171">
        <v>2.1030000000000002</v>
      </c>
      <c r="E171">
        <v>2.173</v>
      </c>
      <c r="F171">
        <v>5499879.2439999999</v>
      </c>
      <c r="G171">
        <v>2.173</v>
      </c>
      <c r="L171" t="s">
        <v>7</v>
      </c>
      <c r="M171" t="s">
        <v>7</v>
      </c>
      <c r="N171" t="s">
        <v>7</v>
      </c>
      <c r="P171">
        <f t="shared" ref="P171" si="830">IF(C171=D171,0,((E171-D171)-(C171-E171))/(C171-D171))</f>
        <v>-0.2893401015228429</v>
      </c>
      <c r="Q171">
        <f t="shared" ref="Q171" si="831">F171*P171</f>
        <v>-1591335.6188223364</v>
      </c>
      <c r="R171">
        <f t="shared" ref="R171" si="832">R172+Q171</f>
        <v>-138747578.46033603</v>
      </c>
      <c r="S171">
        <f t="shared" ref="S171" si="833">R171/100000</f>
        <v>-1387.4757846033604</v>
      </c>
      <c r="T171">
        <f t="shared" ref="T171" si="834">S171/1000</f>
        <v>-1.3874757846033603</v>
      </c>
    </row>
    <row r="172" spans="1:20" x14ac:dyDescent="0.25">
      <c r="A172" s="5">
        <v>44421</v>
      </c>
      <c r="B172">
        <v>2.36</v>
      </c>
      <c r="C172">
        <v>2.5539999999999998</v>
      </c>
      <c r="D172">
        <v>2.2589999999999999</v>
      </c>
      <c r="E172">
        <v>2.2930000000000001</v>
      </c>
      <c r="F172">
        <v>7960627.5750000002</v>
      </c>
      <c r="G172">
        <v>2.2930000000000001</v>
      </c>
      <c r="L172" t="s">
        <v>8</v>
      </c>
      <c r="M172" t="s">
        <v>7</v>
      </c>
      <c r="N172" t="s">
        <v>8</v>
      </c>
      <c r="P172">
        <f t="shared" ref="P172" si="835">IF(C172=D172,0,((E172-D172)-(C172-E172))/(C172-D172))</f>
        <v>-0.76949152542372701</v>
      </c>
      <c r="Q172">
        <f t="shared" ref="Q172" si="836">F172*P172</f>
        <v>-6125635.4560169345</v>
      </c>
      <c r="R172">
        <f t="shared" ref="R172" si="837">R173+Q172</f>
        <v>-137156242.84151369</v>
      </c>
      <c r="S172">
        <f t="shared" ref="S172" si="838">R172/100000</f>
        <v>-1371.562428415137</v>
      </c>
      <c r="T172">
        <f t="shared" ref="T172" si="839">S172/1000</f>
        <v>-1.3715624284151371</v>
      </c>
    </row>
    <row r="173" spans="1:20" x14ac:dyDescent="0.25">
      <c r="A173" s="5">
        <v>44420</v>
      </c>
      <c r="B173">
        <v>2.23</v>
      </c>
      <c r="C173">
        <v>2.871</v>
      </c>
      <c r="D173">
        <v>2.0960000000000001</v>
      </c>
      <c r="E173">
        <v>2.3610000000000002</v>
      </c>
      <c r="F173">
        <v>26968321.734000001</v>
      </c>
      <c r="G173">
        <v>2.3610000000000002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-0.3161290322580641</v>
      </c>
      <c r="Q173">
        <f t="shared" ref="Q173" si="841">F173*P173</f>
        <v>-8525469.4513935372</v>
      </c>
      <c r="R173">
        <f t="shared" ref="R173" si="842">R174+Q173</f>
        <v>-131030607.38549677</v>
      </c>
      <c r="S173">
        <f t="shared" ref="S173" si="843">R173/100000</f>
        <v>-1310.3060738549677</v>
      </c>
      <c r="T173">
        <f t="shared" ref="T173" si="844">S173/1000</f>
        <v>-1.3103060738549677</v>
      </c>
    </row>
    <row r="174" spans="1:20" x14ac:dyDescent="0.25">
      <c r="A174" s="5">
        <v>44419</v>
      </c>
      <c r="B174">
        <v>2.33</v>
      </c>
      <c r="C174">
        <v>2.36</v>
      </c>
      <c r="D174">
        <v>2.1259999999999999</v>
      </c>
      <c r="E174">
        <v>2.2309999999999999</v>
      </c>
      <c r="F174">
        <v>10851479.414000001</v>
      </c>
      <c r="G174">
        <v>2.2309999999999999</v>
      </c>
      <c r="L174" t="s">
        <v>7</v>
      </c>
      <c r="M174" t="s">
        <v>7</v>
      </c>
      <c r="N174" t="s">
        <v>7</v>
      </c>
      <c r="P174">
        <f t="shared" ref="P174" si="845">IF(C174=D174,0,((E174-D174)-(C174-E174))/(C174-D174))</f>
        <v>-0.10256410256410266</v>
      </c>
      <c r="Q174">
        <f t="shared" ref="Q174" si="846">F174*P174</f>
        <v>-1112972.2475897446</v>
      </c>
      <c r="R174">
        <f t="shared" ref="R174" si="847">R175+Q174</f>
        <v>-122505137.93410322</v>
      </c>
      <c r="S174">
        <f t="shared" ref="S174" si="848">R174/100000</f>
        <v>-1225.0513793410323</v>
      </c>
      <c r="T174">
        <f t="shared" ref="T174" si="849">S174/1000</f>
        <v>-1.2250513793410323</v>
      </c>
    </row>
    <row r="175" spans="1:20" x14ac:dyDescent="0.25">
      <c r="A175" s="5">
        <v>44418</v>
      </c>
      <c r="B175">
        <v>2.246</v>
      </c>
      <c r="C175">
        <v>2.38</v>
      </c>
      <c r="D175">
        <v>2.1800000000000002</v>
      </c>
      <c r="E175">
        <v>2.33</v>
      </c>
      <c r="F175">
        <v>9825396.6170000006</v>
      </c>
      <c r="G175">
        <v>2.33</v>
      </c>
      <c r="L175" t="s">
        <v>7</v>
      </c>
      <c r="M175" t="s">
        <v>7</v>
      </c>
      <c r="N175" t="s">
        <v>7</v>
      </c>
      <c r="P175">
        <f t="shared" ref="P175" si="850">IF(C175=D175,0,((E175-D175)-(C175-E175))/(C175-D175))</f>
        <v>0.50000000000000111</v>
      </c>
      <c r="Q175">
        <f t="shared" ref="Q175" si="851">F175*P175</f>
        <v>4912698.3085000115</v>
      </c>
      <c r="R175">
        <f t="shared" ref="R175" si="852">R176+Q175</f>
        <v>-121392165.68651347</v>
      </c>
      <c r="S175">
        <f t="shared" ref="S175" si="853">R175/100000</f>
        <v>-1213.9216568651348</v>
      </c>
      <c r="T175">
        <f t="shared" ref="T175" si="854">S175/1000</f>
        <v>-1.2139216568651348</v>
      </c>
    </row>
    <row r="176" spans="1:20" x14ac:dyDescent="0.25">
      <c r="A176" s="5">
        <v>44417</v>
      </c>
      <c r="B176">
        <v>2.41</v>
      </c>
      <c r="C176">
        <v>2.6070000000000002</v>
      </c>
      <c r="D176">
        <v>2.2360000000000002</v>
      </c>
      <c r="E176">
        <v>2.2469999999999999</v>
      </c>
      <c r="F176">
        <v>10068600.233999999</v>
      </c>
      <c r="G176">
        <v>2.2469999999999999</v>
      </c>
      <c r="L176" t="s">
        <v>7</v>
      </c>
      <c r="M176" t="s">
        <v>7</v>
      </c>
      <c r="N176" t="s">
        <v>7</v>
      </c>
      <c r="P176">
        <f t="shared" ref="P176" si="855">IF(C176=D176,0,((E176-D176)-(C176-E176))/(C176-D176))</f>
        <v>-0.94070080862533867</v>
      </c>
      <c r="Q176">
        <f t="shared" ref="Q176" si="856">F176*P176</f>
        <v>-9471540.3818490729</v>
      </c>
      <c r="R176">
        <f t="shared" ref="R176" si="857">R177+Q176</f>
        <v>-126304863.99501348</v>
      </c>
      <c r="S176">
        <f t="shared" ref="S176" si="858">R176/100000</f>
        <v>-1263.0486399501347</v>
      </c>
      <c r="T176">
        <f t="shared" ref="T176" si="859">S176/1000</f>
        <v>-1.2630486399501346</v>
      </c>
    </row>
    <row r="177" spans="1:20" x14ac:dyDescent="0.25">
      <c r="A177" s="5">
        <v>44416</v>
      </c>
      <c r="B177">
        <v>2.9449999999999998</v>
      </c>
      <c r="C177">
        <v>2.9529999999999998</v>
      </c>
      <c r="D177">
        <v>2.3290000000000002</v>
      </c>
      <c r="E177">
        <v>2.41</v>
      </c>
      <c r="F177">
        <v>14405957.780999999</v>
      </c>
      <c r="G177">
        <v>2.41</v>
      </c>
      <c r="L177" t="s">
        <v>7</v>
      </c>
      <c r="M177" t="s">
        <v>7</v>
      </c>
      <c r="N177" t="s">
        <v>7</v>
      </c>
      <c r="P177">
        <f t="shared" ref="P177" si="860">IF(C177=D177,0,((E177-D177)-(C177-E177))/(C177-D177))</f>
        <v>-0.74038461538461542</v>
      </c>
      <c r="Q177">
        <f t="shared" ref="Q177" si="861">F177*P177</f>
        <v>-10665949.510932693</v>
      </c>
      <c r="R177">
        <f t="shared" ref="R177" si="862">R178+Q177</f>
        <v>-116833323.61316441</v>
      </c>
      <c r="S177">
        <f t="shared" ref="S177" si="863">R177/100000</f>
        <v>-1168.3332361316441</v>
      </c>
      <c r="T177">
        <f t="shared" ref="T177" si="864">S177/1000</f>
        <v>-1.1683332361316441</v>
      </c>
    </row>
    <row r="178" spans="1:20" x14ac:dyDescent="0.25">
      <c r="A178" s="5">
        <v>44415</v>
      </c>
      <c r="B178">
        <v>2.7250000000000001</v>
      </c>
      <c r="C178">
        <v>3.78</v>
      </c>
      <c r="D178">
        <v>2.7120000000000002</v>
      </c>
      <c r="E178">
        <v>2.944</v>
      </c>
      <c r="F178">
        <v>55606047.423</v>
      </c>
      <c r="G178">
        <v>2.944</v>
      </c>
      <c r="L178" t="s">
        <v>7</v>
      </c>
      <c r="M178" t="s">
        <v>7</v>
      </c>
      <c r="N178" t="s">
        <v>7</v>
      </c>
      <c r="P178">
        <f t="shared" ref="P178" si="865">IF(C178=D178,0,((E178-D178)-(C178-E178))/(C178-D178))</f>
        <v>-0.56554307116104896</v>
      </c>
      <c r="Q178">
        <f t="shared" ref="Q178" si="866">F178*P178</f>
        <v>-31447614.834730353</v>
      </c>
      <c r="R178">
        <f t="shared" ref="R178" si="867">R179+Q178</f>
        <v>-106167374.10223171</v>
      </c>
      <c r="S178">
        <f t="shared" ref="S178" si="868">R178/100000</f>
        <v>-1061.673741022317</v>
      </c>
      <c r="T178">
        <f t="shared" ref="T178" si="869">S178/1000</f>
        <v>-1.0616737410223169</v>
      </c>
    </row>
    <row r="179" spans="1:20" x14ac:dyDescent="0.25">
      <c r="A179" s="5">
        <v>44414</v>
      </c>
      <c r="B179">
        <v>1.998</v>
      </c>
      <c r="C179">
        <v>4.0609999999999999</v>
      </c>
      <c r="D179">
        <v>1.8440000000000001</v>
      </c>
      <c r="E179">
        <v>2.726</v>
      </c>
      <c r="F179">
        <v>131462149.17200001</v>
      </c>
      <c r="G179">
        <v>2.726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-0.20433017591339656</v>
      </c>
      <c r="Q179">
        <f t="shared" ref="Q179" si="871">F179*P179</f>
        <v>-26861684.066267941</v>
      </c>
      <c r="R179">
        <f t="shared" ref="R179" si="872">R180+Q179</f>
        <v>-74719759.267501354</v>
      </c>
      <c r="S179">
        <f t="shared" ref="S179" si="873">R179/100000</f>
        <v>-747.19759267501354</v>
      </c>
      <c r="T179">
        <f t="shared" ref="T179" si="874">S179/1000</f>
        <v>-0.74719759267501351</v>
      </c>
    </row>
    <row r="180" spans="1:20" x14ac:dyDescent="0.25">
      <c r="A180" s="5">
        <v>44413</v>
      </c>
      <c r="B180">
        <v>0.92300000000000004</v>
      </c>
      <c r="C180">
        <v>2.65</v>
      </c>
      <c r="D180">
        <v>0.89900000000000002</v>
      </c>
      <c r="E180">
        <v>1.9970000000000001</v>
      </c>
      <c r="F180">
        <v>137206715.042</v>
      </c>
      <c r="G180">
        <v>1.9970000000000001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0.25414049114791565</v>
      </c>
      <c r="Q180">
        <f t="shared" ref="Q180" si="876">F180*P180</f>
        <v>34869781.949565984</v>
      </c>
      <c r="R180">
        <f t="shared" ref="R180" si="877">R181+Q180</f>
        <v>-47858075.201233409</v>
      </c>
      <c r="S180">
        <f t="shared" ref="S180" si="878">R180/100000</f>
        <v>-478.58075201233407</v>
      </c>
      <c r="T180">
        <f t="shared" ref="T180" si="879">S180/1000</f>
        <v>-0.47858075201233408</v>
      </c>
    </row>
    <row r="181" spans="1:20" x14ac:dyDescent="0.25">
      <c r="A181" s="5">
        <v>44412</v>
      </c>
      <c r="B181">
        <v>0.9</v>
      </c>
      <c r="C181">
        <v>0.96499999999999997</v>
      </c>
      <c r="D181">
        <v>0.88900000000000001</v>
      </c>
      <c r="E181">
        <v>0.92400000000000004</v>
      </c>
      <c r="F181">
        <v>2236148.4029999999</v>
      </c>
      <c r="G181">
        <v>0.92400000000000004</v>
      </c>
      <c r="L181" t="s">
        <v>8</v>
      </c>
      <c r="M181" t="s">
        <v>7</v>
      </c>
      <c r="N181" t="s">
        <v>8</v>
      </c>
      <c r="P181">
        <f t="shared" ref="P181" si="880">IF(C181=D181,0,((E181-D181)-(C181-E181))/(C181-D181))</f>
        <v>-7.8947368421051281E-2</v>
      </c>
      <c r="Q181">
        <f t="shared" ref="Q181" si="881">F181*P181</f>
        <v>-176538.03181578644</v>
      </c>
      <c r="R181">
        <f t="shared" ref="R181" si="882">R182+Q181</f>
        <v>-82727857.150799394</v>
      </c>
      <c r="S181">
        <f t="shared" ref="S181" si="883">R181/100000</f>
        <v>-827.27857150799389</v>
      </c>
      <c r="T181">
        <f t="shared" ref="T181" si="884">S181/1000</f>
        <v>-0.82727857150799389</v>
      </c>
    </row>
    <row r="182" spans="1:20" x14ac:dyDescent="0.25">
      <c r="A182" s="5">
        <v>44411</v>
      </c>
      <c r="B182">
        <v>0.90600000000000003</v>
      </c>
      <c r="C182">
        <v>0.92600000000000005</v>
      </c>
      <c r="D182">
        <v>0.874</v>
      </c>
      <c r="E182">
        <v>0.89900000000000002</v>
      </c>
      <c r="F182">
        <v>1426434.254</v>
      </c>
      <c r="G182">
        <v>0.89900000000000002</v>
      </c>
      <c r="L182" t="s">
        <v>8</v>
      </c>
      <c r="M182" t="s">
        <v>7</v>
      </c>
      <c r="N182" t="s">
        <v>8</v>
      </c>
      <c r="P182">
        <f t="shared" ref="P182" si="885">IF(C182=D182,0,((E182-D182)-(C182-E182))/(C182-D182))</f>
        <v>-3.8461538461538464E-2</v>
      </c>
      <c r="Q182">
        <f t="shared" ref="Q182" si="886">F182*P182</f>
        <v>-54862.855923076924</v>
      </c>
      <c r="R182">
        <f t="shared" ref="R182" si="887">R183+Q182</f>
        <v>-82551319.118983611</v>
      </c>
      <c r="S182">
        <f t="shared" ref="S182" si="888">R182/100000</f>
        <v>-825.51319118983611</v>
      </c>
      <c r="T182">
        <f t="shared" ref="T182" si="889">S182/1000</f>
        <v>-0.82551319118983613</v>
      </c>
    </row>
    <row r="183" spans="1:20" x14ac:dyDescent="0.25">
      <c r="A183" s="5">
        <v>44410</v>
      </c>
      <c r="B183">
        <v>0.88900000000000001</v>
      </c>
      <c r="C183">
        <v>0.93700000000000006</v>
      </c>
      <c r="D183">
        <v>0.86399999999999999</v>
      </c>
      <c r="E183">
        <v>0.90600000000000003</v>
      </c>
      <c r="F183">
        <v>1626475.111</v>
      </c>
      <c r="G183">
        <v>0.90600000000000003</v>
      </c>
      <c r="L183" t="s">
        <v>7</v>
      </c>
      <c r="M183" t="s">
        <v>7</v>
      </c>
      <c r="N183" t="s">
        <v>8</v>
      </c>
      <c r="P183">
        <f t="shared" ref="P183" si="890">IF(C183=D183,0,((E183-D183)-(C183-E183))/(C183-D183))</f>
        <v>0.15068493150684931</v>
      </c>
      <c r="Q183">
        <f t="shared" ref="Q183" si="891">F183*P183</f>
        <v>245085.29069863012</v>
      </c>
      <c r="R183">
        <f t="shared" ref="R183" si="892">R184+Q183</f>
        <v>-82496456.26306054</v>
      </c>
      <c r="S183">
        <f t="shared" ref="S183" si="893">R183/100000</f>
        <v>-824.96456263060543</v>
      </c>
      <c r="T183">
        <f t="shared" ref="T183" si="894">S183/1000</f>
        <v>-0.82496456263060547</v>
      </c>
    </row>
    <row r="184" spans="1:20" x14ac:dyDescent="0.25">
      <c r="A184" s="5">
        <v>44409</v>
      </c>
      <c r="B184">
        <v>0.96699999999999997</v>
      </c>
      <c r="C184">
        <v>1</v>
      </c>
      <c r="D184">
        <v>0.879</v>
      </c>
      <c r="E184">
        <v>0.89</v>
      </c>
      <c r="F184">
        <v>3938546.33</v>
      </c>
      <c r="G184">
        <v>0.89</v>
      </c>
      <c r="L184" t="s">
        <v>7</v>
      </c>
      <c r="M184" t="s">
        <v>7</v>
      </c>
      <c r="N184" t="s">
        <v>8</v>
      </c>
      <c r="P184">
        <f t="shared" ref="P184" si="895">IF(C184=D184,0,((E184-D184)-(C184-E184))/(C184-D184))</f>
        <v>-0.81818181818181801</v>
      </c>
      <c r="Q184">
        <f t="shared" ref="Q184" si="896">F184*P184</f>
        <v>-3222446.9972727266</v>
      </c>
      <c r="R184">
        <f t="shared" ref="R184" si="897">R185+Q184</f>
        <v>-82741541.553759173</v>
      </c>
      <c r="S184">
        <f t="shared" ref="S184" si="898">R184/100000</f>
        <v>-827.41541553759168</v>
      </c>
      <c r="T184">
        <f t="shared" ref="T184" si="899">S184/1000</f>
        <v>-0.82741541553759168</v>
      </c>
    </row>
    <row r="185" spans="1:20" x14ac:dyDescent="0.25">
      <c r="A185" s="5">
        <v>44408</v>
      </c>
      <c r="B185">
        <v>0.82</v>
      </c>
      <c r="C185">
        <v>1.0629999999999999</v>
      </c>
      <c r="D185">
        <v>0.80400000000000005</v>
      </c>
      <c r="E185">
        <v>0.96599999999999997</v>
      </c>
      <c r="F185">
        <v>13377291.866</v>
      </c>
      <c r="G185">
        <v>0.96599999999999997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0.25096525096525085</v>
      </c>
      <c r="Q185">
        <f t="shared" ref="Q185" si="901">F185*P185</f>
        <v>3357235.410386099</v>
      </c>
      <c r="R185">
        <f t="shared" ref="R185" si="902">R186+Q185</f>
        <v>-79519094.556486443</v>
      </c>
      <c r="S185">
        <f t="shared" ref="S185" si="903">R185/100000</f>
        <v>-795.19094556486448</v>
      </c>
      <c r="T185">
        <f t="shared" ref="T185" si="904">S185/1000</f>
        <v>-0.79519094556486447</v>
      </c>
    </row>
    <row r="186" spans="1:20" x14ac:dyDescent="0.25">
      <c r="A186" s="5">
        <v>44407</v>
      </c>
      <c r="B186">
        <v>0.78300000000000003</v>
      </c>
      <c r="C186">
        <v>0.82499999999999996</v>
      </c>
      <c r="D186">
        <v>0.76200000000000001</v>
      </c>
      <c r="E186">
        <v>0.82</v>
      </c>
      <c r="F186">
        <v>2207238.5959999999</v>
      </c>
      <c r="G186">
        <v>0.82</v>
      </c>
      <c r="L186" t="s">
        <v>8</v>
      </c>
      <c r="M186" t="s">
        <v>7</v>
      </c>
      <c r="N186" t="s">
        <v>8</v>
      </c>
      <c r="P186">
        <f t="shared" ref="P186" si="905">IF(C186=D186,0,((E186-D186)-(C186-E186))/(C186-D186))</f>
        <v>0.84126984126984095</v>
      </c>
      <c r="Q186">
        <f t="shared" ref="Q186" si="906">F186*P186</f>
        <v>1856883.2633015865</v>
      </c>
      <c r="R186">
        <f t="shared" ref="R186" si="907">R187+Q186</f>
        <v>-82876329.966872543</v>
      </c>
      <c r="S186">
        <f t="shared" ref="S186" si="908">R186/100000</f>
        <v>-828.76329966872538</v>
      </c>
      <c r="T186">
        <f t="shared" ref="T186" si="909">S186/1000</f>
        <v>-0.82876329966872542</v>
      </c>
    </row>
    <row r="187" spans="1:20" x14ac:dyDescent="0.25">
      <c r="A187" s="5">
        <v>44406</v>
      </c>
      <c r="B187">
        <v>0.80500000000000005</v>
      </c>
      <c r="C187">
        <v>0.80800000000000005</v>
      </c>
      <c r="D187">
        <v>0.76700000000000002</v>
      </c>
      <c r="E187">
        <v>0.78300000000000003</v>
      </c>
      <c r="F187">
        <v>1266500.4739999999</v>
      </c>
      <c r="G187">
        <v>0.78300000000000003</v>
      </c>
      <c r="L187" t="s">
        <v>7</v>
      </c>
      <c r="M187" t="s">
        <v>7</v>
      </c>
      <c r="N187" t="s">
        <v>8</v>
      </c>
      <c r="P187">
        <f t="shared" ref="P187" si="910">IF(C187=D187,0,((E187-D187)-(C187-E187))/(C187-D187))</f>
        <v>-0.21951219512195122</v>
      </c>
      <c r="Q187">
        <f t="shared" ref="Q187" si="911">F187*P187</f>
        <v>-278012.29917073168</v>
      </c>
      <c r="R187">
        <f t="shared" ref="R187" si="912">R188+Q187</f>
        <v>-84733213.230174124</v>
      </c>
      <c r="S187">
        <f t="shared" ref="S187" si="913">R187/100000</f>
        <v>-847.33213230174124</v>
      </c>
      <c r="T187">
        <f t="shared" ref="T187" si="914">S187/1000</f>
        <v>-0.8473321323017412</v>
      </c>
    </row>
    <row r="188" spans="1:20" x14ac:dyDescent="0.25">
      <c r="A188" s="5">
        <v>44405</v>
      </c>
      <c r="B188">
        <v>0.81</v>
      </c>
      <c r="C188">
        <v>0.85199999999999998</v>
      </c>
      <c r="D188">
        <v>0.76300000000000001</v>
      </c>
      <c r="E188">
        <v>0.80700000000000005</v>
      </c>
      <c r="F188">
        <v>1550131.7860000001</v>
      </c>
      <c r="G188">
        <v>0.80700000000000005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-1.1235955056178542E-2</v>
      </c>
      <c r="Q188">
        <f t="shared" ref="Q188" si="916">F188*P188</f>
        <v>-17417.211078649772</v>
      </c>
      <c r="R188">
        <f t="shared" ref="R188" si="917">R189+Q188</f>
        <v>-84455200.931003392</v>
      </c>
      <c r="S188">
        <f t="shared" ref="S188" si="918">R188/100000</f>
        <v>-844.5520093100339</v>
      </c>
      <c r="T188">
        <f t="shared" ref="T188" si="919">S188/1000</f>
        <v>-0.84455200931003394</v>
      </c>
    </row>
    <row r="189" spans="1:20" x14ac:dyDescent="0.25">
      <c r="A189" s="5">
        <v>44404</v>
      </c>
      <c r="B189">
        <v>0.77800000000000002</v>
      </c>
      <c r="C189">
        <v>0.81499999999999995</v>
      </c>
      <c r="D189">
        <v>0.73599999999999999</v>
      </c>
      <c r="E189">
        <v>0.80900000000000005</v>
      </c>
      <c r="F189">
        <v>1463040.145</v>
      </c>
      <c r="G189">
        <v>0.80900000000000005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0.84810126582278744</v>
      </c>
      <c r="Q189">
        <f t="shared" ref="Q189" si="921">F189*P189</f>
        <v>1240806.1989240544</v>
      </c>
      <c r="R189">
        <f t="shared" ref="R189" si="922">R190+Q189</f>
        <v>-84437783.719924748</v>
      </c>
      <c r="S189">
        <f t="shared" ref="S189" si="923">R189/100000</f>
        <v>-844.37783719924744</v>
      </c>
      <c r="T189">
        <f t="shared" ref="T189" si="924">S189/1000</f>
        <v>-0.84437783719924742</v>
      </c>
    </row>
    <row r="190" spans="1:20" x14ac:dyDescent="0.25">
      <c r="A190" s="5">
        <v>44403</v>
      </c>
      <c r="B190">
        <v>0.85299999999999998</v>
      </c>
      <c r="C190">
        <v>0.9</v>
      </c>
      <c r="D190">
        <v>0.77100000000000002</v>
      </c>
      <c r="E190">
        <v>0.78</v>
      </c>
      <c r="F190">
        <v>2870032.4569999999</v>
      </c>
      <c r="G190">
        <v>0.78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-0.86046511627906963</v>
      </c>
      <c r="Q190">
        <f t="shared" ref="Q190" si="926">F190*P190</f>
        <v>-2469562.8118372089</v>
      </c>
      <c r="R190">
        <f t="shared" ref="R190" si="927">R191+Q190</f>
        <v>-85678589.918848798</v>
      </c>
      <c r="S190">
        <f t="shared" ref="S190" si="928">R190/100000</f>
        <v>-856.78589918848797</v>
      </c>
      <c r="T190">
        <f t="shared" ref="T190" si="929">S190/1000</f>
        <v>-0.85678589918848802</v>
      </c>
    </row>
    <row r="191" spans="1:20" x14ac:dyDescent="0.25">
      <c r="A191" s="5">
        <v>44402</v>
      </c>
      <c r="B191">
        <v>0.75700000000000001</v>
      </c>
      <c r="C191">
        <v>0.877</v>
      </c>
      <c r="D191">
        <v>0.73199999999999998</v>
      </c>
      <c r="E191">
        <v>0.85799999999999998</v>
      </c>
      <c r="F191">
        <v>3223793.2429999998</v>
      </c>
      <c r="G191">
        <v>0.85799999999999998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0.73793103448275843</v>
      </c>
      <c r="Q191">
        <f t="shared" ref="Q191" si="931">F191*P191</f>
        <v>2378937.0827655164</v>
      </c>
      <c r="R191">
        <f t="shared" ref="R191" si="932">R192+Q191</f>
        <v>-83209027.107011586</v>
      </c>
      <c r="S191">
        <f t="shared" ref="S191" si="933">R191/100000</f>
        <v>-832.09027107011582</v>
      </c>
      <c r="T191">
        <f t="shared" ref="T191:T197" si="934">S191/1000</f>
        <v>-0.83209027107011579</v>
      </c>
    </row>
    <row r="192" spans="1:20" x14ac:dyDescent="0.25">
      <c r="A192" s="5">
        <v>44401</v>
      </c>
      <c r="B192">
        <v>0.72099999999999997</v>
      </c>
      <c r="C192">
        <v>0.82599999999999996</v>
      </c>
      <c r="D192">
        <v>0.71199999999999997</v>
      </c>
      <c r="E192">
        <v>0.75700000000000001</v>
      </c>
      <c r="F192">
        <v>3238566.9989999998</v>
      </c>
      <c r="G192">
        <v>0.75700000000000001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-0.21052631578947292</v>
      </c>
      <c r="Q192">
        <f t="shared" ref="Q192" si="936">F192*P192</f>
        <v>-681803.57873683958</v>
      </c>
      <c r="R192">
        <f t="shared" ref="R192" si="937">R193+Q192</f>
        <v>-85587964.189777106</v>
      </c>
      <c r="S192">
        <f t="shared" ref="S192" si="938">R192/100000</f>
        <v>-855.87964189777108</v>
      </c>
      <c r="T192">
        <f t="shared" si="934"/>
        <v>-0.8558796418977711</v>
      </c>
    </row>
    <row r="193" spans="1:20" x14ac:dyDescent="0.25">
      <c r="A193" s="5">
        <v>44400</v>
      </c>
      <c r="B193">
        <v>0.71199999999999997</v>
      </c>
      <c r="C193">
        <v>0.73499999999999999</v>
      </c>
      <c r="D193">
        <v>0.68300000000000005</v>
      </c>
      <c r="E193">
        <v>0.72399999999999998</v>
      </c>
      <c r="F193">
        <v>1698230.9820000001</v>
      </c>
      <c r="G193">
        <v>0.72399999999999998</v>
      </c>
      <c r="L193" t="s">
        <v>7</v>
      </c>
      <c r="M193" t="s">
        <v>8</v>
      </c>
      <c r="N193" t="s">
        <v>7</v>
      </c>
      <c r="P193">
        <f t="shared" ref="P193" si="939">IF(C193=D193,0,((E193-D193)-(C193-E193))/(C193-D193))</f>
        <v>0.57692307692307598</v>
      </c>
      <c r="Q193">
        <f t="shared" ref="Q193" si="940">F193*P193</f>
        <v>979748.64346153697</v>
      </c>
      <c r="R193">
        <f t="shared" ref="R193" si="941">R194+Q193</f>
        <v>-84906160.611040264</v>
      </c>
      <c r="S193">
        <f t="shared" ref="S193" si="942">R193/100000</f>
        <v>-849.06160611040264</v>
      </c>
      <c r="T193">
        <f t="shared" si="934"/>
        <v>-0.8490616061104026</v>
      </c>
    </row>
    <row r="194" spans="1:20" x14ac:dyDescent="0.25">
      <c r="A194" s="5">
        <v>44399</v>
      </c>
      <c r="B194">
        <v>0.68100000000000005</v>
      </c>
      <c r="C194">
        <v>0.73</v>
      </c>
      <c r="D194">
        <v>0.66500000000000004</v>
      </c>
      <c r="E194">
        <v>0.71199999999999997</v>
      </c>
      <c r="F194">
        <v>2575337.7779999999</v>
      </c>
      <c r="G194">
        <v>0.71199999999999997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0.44615384615384523</v>
      </c>
      <c r="Q194">
        <f t="shared" ref="Q194" si="944">F194*P194</f>
        <v>1148996.8547999975</v>
      </c>
      <c r="R194">
        <f t="shared" ref="R194" si="945">R195+Q194</f>
        <v>-85885909.254501805</v>
      </c>
      <c r="S194">
        <f t="shared" ref="S194" si="946">R194/100000</f>
        <v>-858.85909254501803</v>
      </c>
      <c r="T194">
        <f t="shared" si="934"/>
        <v>-0.85885909254501802</v>
      </c>
    </row>
    <row r="195" spans="1:20" x14ac:dyDescent="0.25">
      <c r="A195" s="5">
        <v>44398</v>
      </c>
      <c r="B195">
        <v>0.60799999999999998</v>
      </c>
      <c r="C195">
        <v>0.70599999999999996</v>
      </c>
      <c r="D195">
        <v>0.59799999999999998</v>
      </c>
      <c r="E195">
        <v>0.67900000000000005</v>
      </c>
      <c r="F195">
        <v>3198518.588</v>
      </c>
      <c r="G195">
        <v>0.67900000000000005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0.50000000000000155</v>
      </c>
      <c r="Q195">
        <f t="shared" ref="Q195" si="948">F195*P195</f>
        <v>1599259.2940000049</v>
      </c>
      <c r="R195">
        <f t="shared" ref="R195" si="949">R196+Q195</f>
        <v>-87034906.109301805</v>
      </c>
      <c r="S195">
        <f t="shared" ref="S195" si="950">R195/100000</f>
        <v>-870.34906109301801</v>
      </c>
      <c r="T195">
        <f t="shared" si="934"/>
        <v>-0.87034906109301802</v>
      </c>
    </row>
    <row r="196" spans="1:20" x14ac:dyDescent="0.25">
      <c r="A196" s="5">
        <v>44397</v>
      </c>
      <c r="B196">
        <v>0.66500000000000004</v>
      </c>
      <c r="C196">
        <v>0.66700000000000004</v>
      </c>
      <c r="D196">
        <v>0.58799999999999997</v>
      </c>
      <c r="E196">
        <v>0.60799999999999998</v>
      </c>
      <c r="F196">
        <v>1109461.334</v>
      </c>
      <c r="G196">
        <v>0.60799999999999998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-0.49367088607594939</v>
      </c>
      <c r="Q196">
        <f t="shared" ref="Q196" si="952">F196*P196</f>
        <v>-547708.75982278481</v>
      </c>
      <c r="R196">
        <f t="shared" ref="R196" si="953">R197+Q196</f>
        <v>-88634165.403301805</v>
      </c>
      <c r="S196">
        <f t="shared" ref="S196" si="954">R196/100000</f>
        <v>-886.34165403301802</v>
      </c>
      <c r="T196">
        <f t="shared" si="934"/>
        <v>-0.88634165403301801</v>
      </c>
    </row>
    <row r="197" spans="1:20" x14ac:dyDescent="0.25">
      <c r="A197" s="5">
        <v>44396</v>
      </c>
      <c r="B197">
        <v>0.76500000000000001</v>
      </c>
      <c r="C197">
        <v>0.76500000000000001</v>
      </c>
      <c r="D197">
        <v>0.65400000000000003</v>
      </c>
      <c r="E197">
        <v>0.66300000000000003</v>
      </c>
      <c r="F197">
        <v>1450477.0079999999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-0.83783783783783772</v>
      </c>
      <c r="Q197">
        <f t="shared" ref="Q197" si="956">F197*P197</f>
        <v>-1215264.5202162159</v>
      </c>
      <c r="R197">
        <f t="shared" ref="R197" si="957">R198+Q197</f>
        <v>-88086456.643479019</v>
      </c>
      <c r="S197">
        <f t="shared" ref="S197" si="958">R197/100000</f>
        <v>-880.86456643479016</v>
      </c>
      <c r="T197">
        <f t="shared" si="934"/>
        <v>-0.88086456643479016</v>
      </c>
    </row>
    <row r="198" spans="1:20" x14ac:dyDescent="0.25">
      <c r="A198" s="5">
        <v>44395</v>
      </c>
      <c r="B198">
        <v>0.71799999999999997</v>
      </c>
      <c r="C198">
        <v>0.76800000000000002</v>
      </c>
      <c r="D198">
        <v>0.71499999999999997</v>
      </c>
      <c r="E198">
        <v>0.76600000000000001</v>
      </c>
      <c r="F198">
        <v>2084208.9509999999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0.92452830188679247</v>
      </c>
      <c r="Q198">
        <f t="shared" ref="Q198:Q261" si="960">F198*P198</f>
        <v>1926910.1622452829</v>
      </c>
      <c r="R198">
        <f t="shared" ref="R198:R261" si="961">R199+Q198</f>
        <v>-86871192.123262808</v>
      </c>
      <c r="S198">
        <f t="shared" ref="S198:S261" si="962">R198/100000</f>
        <v>-868.71192123262813</v>
      </c>
      <c r="T198">
        <f t="shared" ref="T198:T261" si="963">S198/1000</f>
        <v>-0.86871192123262808</v>
      </c>
    </row>
    <row r="199" spans="1:20" x14ac:dyDescent="0.25">
      <c r="A199" s="5">
        <v>44394</v>
      </c>
      <c r="B199">
        <v>0.752</v>
      </c>
      <c r="C199">
        <v>0.78800000000000003</v>
      </c>
      <c r="D199">
        <v>0.71499999999999997</v>
      </c>
      <c r="E199">
        <v>0.71799999999999997</v>
      </c>
      <c r="F199">
        <v>3590737.5830000001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-0.9178082191780822</v>
      </c>
      <c r="Q199">
        <f t="shared" si="960"/>
        <v>-3295608.4665890411</v>
      </c>
      <c r="R199">
        <f t="shared" si="961"/>
        <v>-88798102.285508096</v>
      </c>
      <c r="S199">
        <f t="shared" si="962"/>
        <v>-887.98102285508094</v>
      </c>
      <c r="T199">
        <f t="shared" si="963"/>
        <v>-0.88798102285508096</v>
      </c>
    </row>
    <row r="200" spans="1:20" x14ac:dyDescent="0.25">
      <c r="A200" s="5">
        <v>44393</v>
      </c>
      <c r="B200">
        <v>0.879</v>
      </c>
      <c r="C200">
        <v>1.097</v>
      </c>
      <c r="D200">
        <v>0.749</v>
      </c>
      <c r="E200">
        <v>0.75</v>
      </c>
      <c r="F200">
        <v>12586875.343</v>
      </c>
      <c r="G200">
        <v>0</v>
      </c>
      <c r="L200" t="s">
        <v>8</v>
      </c>
      <c r="M200" t="s">
        <v>8</v>
      </c>
      <c r="N200" t="s">
        <v>7</v>
      </c>
      <c r="P200">
        <f t="shared" si="959"/>
        <v>-0.99425287356321834</v>
      </c>
      <c r="Q200">
        <f t="shared" si="960"/>
        <v>-12514536.978959769</v>
      </c>
      <c r="R200">
        <f t="shared" si="961"/>
        <v>-85502493.818919063</v>
      </c>
      <c r="S200">
        <f t="shared" si="962"/>
        <v>-855.02493818919061</v>
      </c>
      <c r="T200">
        <f t="shared" si="963"/>
        <v>-0.85502493818919056</v>
      </c>
    </row>
    <row r="201" spans="1:20" x14ac:dyDescent="0.25">
      <c r="A201" s="5">
        <v>44392</v>
      </c>
      <c r="B201">
        <v>0.76400000000000001</v>
      </c>
      <c r="C201">
        <v>1.05</v>
      </c>
      <c r="D201">
        <v>0.74399999999999999</v>
      </c>
      <c r="E201">
        <v>0.88</v>
      </c>
      <c r="F201">
        <v>15799182.932</v>
      </c>
      <c r="G201">
        <v>0</v>
      </c>
      <c r="L201" t="s">
        <v>8</v>
      </c>
      <c r="M201" t="s">
        <v>8</v>
      </c>
      <c r="N201" t="s">
        <v>8</v>
      </c>
      <c r="P201">
        <f t="shared" si="959"/>
        <v>-0.11111111111111119</v>
      </c>
      <c r="Q201">
        <f t="shared" si="960"/>
        <v>-1755464.7702222234</v>
      </c>
      <c r="R201">
        <f t="shared" si="961"/>
        <v>-72987956.839959294</v>
      </c>
      <c r="S201">
        <f t="shared" si="962"/>
        <v>-729.87956839959293</v>
      </c>
      <c r="T201">
        <f t="shared" si="963"/>
        <v>-0.72987956839959289</v>
      </c>
    </row>
    <row r="202" spans="1:20" x14ac:dyDescent="0.25">
      <c r="A202" s="5">
        <v>44391</v>
      </c>
      <c r="B202">
        <v>0.70499999999999996</v>
      </c>
      <c r="C202">
        <v>0.81699999999999995</v>
      </c>
      <c r="D202">
        <v>0.66700000000000004</v>
      </c>
      <c r="E202">
        <v>0.76500000000000001</v>
      </c>
      <c r="F202">
        <v>3160910.6749999998</v>
      </c>
      <c r="G202">
        <v>0</v>
      </c>
      <c r="L202" t="s">
        <v>7</v>
      </c>
      <c r="M202" t="s">
        <v>8</v>
      </c>
      <c r="N202" t="s">
        <v>8</v>
      </c>
      <c r="P202">
        <f t="shared" si="959"/>
        <v>0.30666666666666714</v>
      </c>
      <c r="Q202">
        <f t="shared" si="960"/>
        <v>969345.94033333473</v>
      </c>
      <c r="R202">
        <f t="shared" si="961"/>
        <v>-71232492.069737077</v>
      </c>
      <c r="S202">
        <f t="shared" si="962"/>
        <v>-712.32492069737077</v>
      </c>
      <c r="T202">
        <f t="shared" si="963"/>
        <v>-0.71232492069737074</v>
      </c>
    </row>
    <row r="203" spans="1:20" x14ac:dyDescent="0.25">
      <c r="A203" s="5">
        <v>44390</v>
      </c>
      <c r="B203">
        <v>0.71599999999999997</v>
      </c>
      <c r="C203">
        <v>0.74</v>
      </c>
      <c r="D203">
        <v>0.69199999999999995</v>
      </c>
      <c r="E203">
        <v>0.70699999999999996</v>
      </c>
      <c r="F203">
        <v>1147269.595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-0.375</v>
      </c>
      <c r="Q203">
        <f t="shared" si="960"/>
        <v>-430226.09812500002</v>
      </c>
      <c r="R203">
        <f t="shared" si="961"/>
        <v>-72201838.010070413</v>
      </c>
      <c r="S203">
        <f t="shared" si="962"/>
        <v>-722.01838010070412</v>
      </c>
      <c r="T203">
        <f t="shared" si="963"/>
        <v>-0.72201838010070407</v>
      </c>
    </row>
    <row r="204" spans="1:20" x14ac:dyDescent="0.25">
      <c r="A204" s="5">
        <v>44389</v>
      </c>
      <c r="B204">
        <v>0.77100000000000002</v>
      </c>
      <c r="C204">
        <v>0.77600000000000002</v>
      </c>
      <c r="D204">
        <v>0.69199999999999995</v>
      </c>
      <c r="E204">
        <v>0.71299999999999997</v>
      </c>
      <c r="F204">
        <v>1126683.9339999999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-0.5</v>
      </c>
      <c r="Q204">
        <f t="shared" si="960"/>
        <v>-563341.96699999995</v>
      </c>
      <c r="R204">
        <f t="shared" si="961"/>
        <v>-71771611.911945418</v>
      </c>
      <c r="S204">
        <f t="shared" si="962"/>
        <v>-717.71611911945422</v>
      </c>
      <c r="T204">
        <f t="shared" si="963"/>
        <v>-0.71771611911945421</v>
      </c>
    </row>
    <row r="205" spans="1:20" x14ac:dyDescent="0.25">
      <c r="A205" s="5">
        <v>44388</v>
      </c>
      <c r="B205">
        <v>0.70199999999999996</v>
      </c>
      <c r="C205">
        <v>0.77500000000000002</v>
      </c>
      <c r="D205">
        <v>0.69899999999999995</v>
      </c>
      <c r="E205">
        <v>0.77100000000000002</v>
      </c>
      <c r="F205">
        <v>1715830.706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0.89473684210526316</v>
      </c>
      <c r="Q205">
        <f t="shared" si="960"/>
        <v>1535216.9474736843</v>
      </c>
      <c r="R205">
        <f t="shared" si="961"/>
        <v>-71208269.944945425</v>
      </c>
      <c r="S205">
        <f t="shared" si="962"/>
        <v>-712.08269944945425</v>
      </c>
      <c r="T205">
        <f t="shared" si="963"/>
        <v>-0.71208269944945424</v>
      </c>
    </row>
    <row r="206" spans="1:20" x14ac:dyDescent="0.25">
      <c r="A206" s="5">
        <v>44387</v>
      </c>
      <c r="B206">
        <v>0.71699999999999997</v>
      </c>
      <c r="C206">
        <v>0.73799999999999999</v>
      </c>
      <c r="D206">
        <v>0.68500000000000005</v>
      </c>
      <c r="E206">
        <v>0.70099999999999996</v>
      </c>
      <c r="F206">
        <v>867616.745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-0.39622641509434253</v>
      </c>
      <c r="Q206">
        <f t="shared" si="960"/>
        <v>-343772.67254717235</v>
      </c>
      <c r="R206">
        <f t="shared" si="961"/>
        <v>-72743486.892419115</v>
      </c>
      <c r="S206">
        <f t="shared" si="962"/>
        <v>-727.43486892419116</v>
      </c>
      <c r="T206">
        <f t="shared" si="963"/>
        <v>-0.72743486892419118</v>
      </c>
    </row>
    <row r="207" spans="1:20" x14ac:dyDescent="0.25">
      <c r="A207" s="5">
        <v>44386</v>
      </c>
      <c r="B207">
        <v>0.71099999999999997</v>
      </c>
      <c r="C207">
        <v>0.72899999999999998</v>
      </c>
      <c r="D207">
        <v>0.66800000000000004</v>
      </c>
      <c r="E207">
        <v>0.71899999999999997</v>
      </c>
      <c r="F207">
        <v>904601.89800000004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0.67213114754098302</v>
      </c>
      <c r="Q207">
        <f t="shared" si="960"/>
        <v>608011.11177049135</v>
      </c>
      <c r="R207">
        <f t="shared" si="961"/>
        <v>-72399714.219871938</v>
      </c>
      <c r="S207">
        <f t="shared" si="962"/>
        <v>-723.99714219871942</v>
      </c>
      <c r="T207">
        <f t="shared" si="963"/>
        <v>-0.72399714219871947</v>
      </c>
    </row>
    <row r="208" spans="1:20" x14ac:dyDescent="0.25">
      <c r="A208" s="5">
        <v>44385</v>
      </c>
      <c r="B208">
        <v>0.77800000000000002</v>
      </c>
      <c r="C208">
        <v>0.77900000000000003</v>
      </c>
      <c r="D208">
        <v>0.70099999999999996</v>
      </c>
      <c r="E208">
        <v>0.71099999999999997</v>
      </c>
      <c r="F208">
        <v>1299904.6159999999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-0.74358974358974361</v>
      </c>
      <c r="Q208">
        <f t="shared" si="960"/>
        <v>-966595.7401025641</v>
      </c>
      <c r="R208">
        <f t="shared" si="961"/>
        <v>-73007725.331642434</v>
      </c>
      <c r="S208">
        <f t="shared" si="962"/>
        <v>-730.07725331642439</v>
      </c>
      <c r="T208">
        <f t="shared" si="963"/>
        <v>-0.73007725331642437</v>
      </c>
    </row>
    <row r="209" spans="1:20" x14ac:dyDescent="0.25">
      <c r="A209" s="5">
        <v>44384</v>
      </c>
      <c r="B209">
        <v>0.77500000000000002</v>
      </c>
      <c r="C209">
        <v>0.83399999999999996</v>
      </c>
      <c r="D209">
        <v>0.76500000000000001</v>
      </c>
      <c r="E209">
        <v>0.77800000000000002</v>
      </c>
      <c r="F209">
        <v>1858744.774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-0.62318840579710089</v>
      </c>
      <c r="Q209">
        <f t="shared" si="960"/>
        <v>-1158348.1924927526</v>
      </c>
      <c r="R209">
        <f t="shared" si="961"/>
        <v>-72041129.591539875</v>
      </c>
      <c r="S209">
        <f t="shared" si="962"/>
        <v>-720.4112959153988</v>
      </c>
      <c r="T209">
        <f t="shared" si="963"/>
        <v>-0.72041129591539876</v>
      </c>
    </row>
    <row r="210" spans="1:20" x14ac:dyDescent="0.25">
      <c r="A210" s="5">
        <v>44383</v>
      </c>
      <c r="B210">
        <v>0.72199999999999998</v>
      </c>
      <c r="C210">
        <v>0.80100000000000005</v>
      </c>
      <c r="D210">
        <v>0.72099999999999997</v>
      </c>
      <c r="E210">
        <v>0.77400000000000002</v>
      </c>
      <c r="F210">
        <v>2838399.9419999998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0.32500000000000001</v>
      </c>
      <c r="Q210">
        <f t="shared" si="960"/>
        <v>922479.98115000001</v>
      </c>
      <c r="R210">
        <f t="shared" si="961"/>
        <v>-70882781.399047121</v>
      </c>
      <c r="S210">
        <f t="shared" si="962"/>
        <v>-708.82781399047121</v>
      </c>
      <c r="T210">
        <f t="shared" si="963"/>
        <v>-0.70882781399047123</v>
      </c>
    </row>
    <row r="211" spans="1:20" x14ac:dyDescent="0.25">
      <c r="A211" s="5">
        <v>44382</v>
      </c>
      <c r="B211">
        <v>0.746</v>
      </c>
      <c r="C211">
        <v>0.747</v>
      </c>
      <c r="D211">
        <v>0.70099999999999996</v>
      </c>
      <c r="E211">
        <v>0.72199999999999998</v>
      </c>
      <c r="F211">
        <v>945009.27599999995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-8.6956521739130432E-2</v>
      </c>
      <c r="Q211">
        <f t="shared" si="960"/>
        <v>-82174.71965217391</v>
      </c>
      <c r="R211">
        <f t="shared" si="961"/>
        <v>-71805261.380197123</v>
      </c>
      <c r="S211">
        <f t="shared" si="962"/>
        <v>-718.05261380197123</v>
      </c>
      <c r="T211">
        <f t="shared" si="963"/>
        <v>-0.71805261380197127</v>
      </c>
    </row>
    <row r="212" spans="1:20" x14ac:dyDescent="0.25">
      <c r="A212" s="5">
        <v>44381</v>
      </c>
      <c r="B212">
        <v>0.71699999999999997</v>
      </c>
      <c r="C212">
        <v>0.81</v>
      </c>
      <c r="D212">
        <v>0.70499999999999996</v>
      </c>
      <c r="E212">
        <v>0.747</v>
      </c>
      <c r="F212">
        <v>2006353.9669999999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-0.2</v>
      </c>
      <c r="Q212">
        <f t="shared" si="960"/>
        <v>-401270.79340000002</v>
      </c>
      <c r="R212">
        <f t="shared" si="961"/>
        <v>-71723086.660544947</v>
      </c>
      <c r="S212">
        <f t="shared" si="962"/>
        <v>-717.23086660544948</v>
      </c>
      <c r="T212">
        <f t="shared" si="963"/>
        <v>-0.71723086660544944</v>
      </c>
    </row>
    <row r="213" spans="1:20" x14ac:dyDescent="0.25">
      <c r="A213" s="5">
        <v>44380</v>
      </c>
      <c r="B213">
        <v>0.71399999999999997</v>
      </c>
      <c r="C213">
        <v>0.755</v>
      </c>
      <c r="D213">
        <v>0.7</v>
      </c>
      <c r="E213">
        <v>0.71699999999999997</v>
      </c>
      <c r="F213">
        <v>1430795.432</v>
      </c>
      <c r="G213">
        <v>0</v>
      </c>
      <c r="L213" t="s">
        <v>7</v>
      </c>
      <c r="M213" t="s">
        <v>7</v>
      </c>
      <c r="N213" t="s">
        <v>8</v>
      </c>
      <c r="P213">
        <f t="shared" si="959"/>
        <v>-0.38181818181818183</v>
      </c>
      <c r="Q213">
        <f t="shared" si="960"/>
        <v>-546303.71039999998</v>
      </c>
      <c r="R213">
        <f t="shared" si="961"/>
        <v>-71321815.867144942</v>
      </c>
      <c r="S213">
        <f t="shared" si="962"/>
        <v>-713.21815867144937</v>
      </c>
      <c r="T213">
        <f t="shared" si="963"/>
        <v>-0.71321815867144933</v>
      </c>
    </row>
    <row r="214" spans="1:20" x14ac:dyDescent="0.25">
      <c r="A214" s="5">
        <v>44379</v>
      </c>
      <c r="B214">
        <v>0.71399999999999997</v>
      </c>
      <c r="C214">
        <v>0.77100000000000002</v>
      </c>
      <c r="D214">
        <v>0.67400000000000004</v>
      </c>
      <c r="E214">
        <v>0.71399999999999997</v>
      </c>
      <c r="F214">
        <v>1613044.4909999999</v>
      </c>
      <c r="G214">
        <v>0</v>
      </c>
      <c r="L214" t="s">
        <v>8</v>
      </c>
      <c r="M214" t="s">
        <v>7</v>
      </c>
      <c r="N214" t="s">
        <v>8</v>
      </c>
      <c r="P214">
        <f t="shared" si="959"/>
        <v>-0.17525773195876423</v>
      </c>
      <c r="Q214">
        <f t="shared" si="960"/>
        <v>-282698.51904123928</v>
      </c>
      <c r="R214">
        <f t="shared" si="961"/>
        <v>-70775512.156744942</v>
      </c>
      <c r="S214">
        <f t="shared" si="962"/>
        <v>-707.75512156744946</v>
      </c>
      <c r="T214">
        <f t="shared" si="963"/>
        <v>-0.70775512156744946</v>
      </c>
    </row>
    <row r="215" spans="1:20" x14ac:dyDescent="0.25">
      <c r="A215" s="5">
        <v>44378</v>
      </c>
      <c r="B215">
        <v>0.72799999999999998</v>
      </c>
      <c r="C215">
        <v>0.80300000000000005</v>
      </c>
      <c r="D215">
        <v>0.67100000000000004</v>
      </c>
      <c r="E215">
        <v>0.71799999999999997</v>
      </c>
      <c r="F215">
        <v>2722807.3130000001</v>
      </c>
      <c r="G215">
        <v>0</v>
      </c>
      <c r="L215" t="s">
        <v>7</v>
      </c>
      <c r="M215" t="s">
        <v>7</v>
      </c>
      <c r="N215" t="s">
        <v>8</v>
      </c>
      <c r="P215">
        <f t="shared" si="959"/>
        <v>-0.28787878787878896</v>
      </c>
      <c r="Q215">
        <f t="shared" si="960"/>
        <v>-783838.46889394231</v>
      </c>
      <c r="R215">
        <f t="shared" si="961"/>
        <v>-70492813.637703702</v>
      </c>
      <c r="S215">
        <f t="shared" si="962"/>
        <v>-704.92813637703705</v>
      </c>
      <c r="T215">
        <f t="shared" si="963"/>
        <v>-0.704928136377037</v>
      </c>
    </row>
    <row r="216" spans="1:20" x14ac:dyDescent="0.25">
      <c r="A216" s="5">
        <v>44377</v>
      </c>
      <c r="B216">
        <v>0.754</v>
      </c>
      <c r="C216">
        <v>0.75600000000000001</v>
      </c>
      <c r="D216">
        <v>0.67900000000000005</v>
      </c>
      <c r="E216">
        <v>0.72599999999999998</v>
      </c>
      <c r="F216">
        <v>1510200.59</v>
      </c>
      <c r="G216">
        <v>0</v>
      </c>
      <c r="L216" t="s">
        <v>7</v>
      </c>
      <c r="M216" t="s">
        <v>7</v>
      </c>
      <c r="N216" t="s">
        <v>8</v>
      </c>
      <c r="P216">
        <f t="shared" si="959"/>
        <v>0.22077922077921966</v>
      </c>
      <c r="Q216">
        <f t="shared" si="960"/>
        <v>333420.90948051779</v>
      </c>
      <c r="R216">
        <f t="shared" si="961"/>
        <v>-69708975.168809757</v>
      </c>
      <c r="S216">
        <f t="shared" si="962"/>
        <v>-697.08975168809752</v>
      </c>
      <c r="T216">
        <f t="shared" si="963"/>
        <v>-0.6970897516880975</v>
      </c>
    </row>
    <row r="217" spans="1:20" x14ac:dyDescent="0.25">
      <c r="A217" s="5">
        <v>44376</v>
      </c>
      <c r="B217">
        <v>0.71099999999999997</v>
      </c>
      <c r="C217">
        <v>0.84699999999999998</v>
      </c>
      <c r="D217">
        <v>0.70599999999999996</v>
      </c>
      <c r="E217">
        <v>0.75</v>
      </c>
      <c r="F217">
        <v>3486628.4849999999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-0.37588652482269452</v>
      </c>
      <c r="Q217">
        <f t="shared" si="960"/>
        <v>-1310576.6645744662</v>
      </c>
      <c r="R217">
        <f t="shared" si="961"/>
        <v>-70042396.078290269</v>
      </c>
      <c r="S217">
        <f t="shared" si="962"/>
        <v>-700.42396078290267</v>
      </c>
      <c r="T217">
        <f t="shared" si="963"/>
        <v>-0.7004239607829027</v>
      </c>
    </row>
    <row r="218" spans="1:20" x14ac:dyDescent="0.25">
      <c r="A218" s="5">
        <v>44375</v>
      </c>
      <c r="B218">
        <v>0.69799999999999995</v>
      </c>
      <c r="C218">
        <v>0.73499999999999999</v>
      </c>
      <c r="D218">
        <v>0.64500000000000002</v>
      </c>
      <c r="E218">
        <v>0.70799999999999996</v>
      </c>
      <c r="F218">
        <v>2413468.111</v>
      </c>
      <c r="G218">
        <v>0</v>
      </c>
      <c r="L218" t="s">
        <v>7</v>
      </c>
      <c r="M218" t="s">
        <v>7</v>
      </c>
      <c r="N218" t="s">
        <v>7</v>
      </c>
      <c r="P218">
        <f t="shared" si="959"/>
        <v>0.39999999999999925</v>
      </c>
      <c r="Q218">
        <f t="shared" si="960"/>
        <v>965387.24439999822</v>
      </c>
      <c r="R218">
        <f t="shared" si="961"/>
        <v>-68731819.41371581</v>
      </c>
      <c r="S218">
        <f t="shared" si="962"/>
        <v>-687.31819413715812</v>
      </c>
      <c r="T218">
        <f t="shared" si="963"/>
        <v>-0.68731819413715811</v>
      </c>
    </row>
    <row r="219" spans="1:20" x14ac:dyDescent="0.25">
      <c r="A219" s="5">
        <v>44374</v>
      </c>
      <c r="B219">
        <v>0.63</v>
      </c>
      <c r="C219">
        <v>0.80100000000000005</v>
      </c>
      <c r="D219">
        <v>0.621</v>
      </c>
      <c r="E219">
        <v>0.69899999999999995</v>
      </c>
      <c r="F219">
        <v>5701726.21</v>
      </c>
      <c r="G219">
        <v>0</v>
      </c>
      <c r="L219" t="s">
        <v>8</v>
      </c>
      <c r="M219" t="s">
        <v>8</v>
      </c>
      <c r="N219" t="s">
        <v>7</v>
      </c>
      <c r="P219">
        <f t="shared" si="959"/>
        <v>-0.13333333333333403</v>
      </c>
      <c r="Q219">
        <f t="shared" si="960"/>
        <v>-760230.16133333731</v>
      </c>
      <c r="R219">
        <f t="shared" si="961"/>
        <v>-69697206.658115804</v>
      </c>
      <c r="S219">
        <f t="shared" si="962"/>
        <v>-696.97206658115806</v>
      </c>
      <c r="T219">
        <f t="shared" si="963"/>
        <v>-0.69697206658115807</v>
      </c>
    </row>
    <row r="220" spans="1:20" x14ac:dyDescent="0.25">
      <c r="A220" s="5">
        <v>44373</v>
      </c>
      <c r="B220">
        <v>0.63800000000000001</v>
      </c>
      <c r="C220">
        <v>0.67600000000000005</v>
      </c>
      <c r="D220">
        <v>0.58599999999999997</v>
      </c>
      <c r="E220">
        <v>0.63</v>
      </c>
      <c r="F220">
        <v>1839373.1669999999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-2.2222222222222223E-2</v>
      </c>
      <c r="Q220">
        <f t="shared" si="960"/>
        <v>-40874.959266666665</v>
      </c>
      <c r="R220">
        <f t="shared" si="961"/>
        <v>-68936976.496782467</v>
      </c>
      <c r="S220">
        <f t="shared" si="962"/>
        <v>-689.36976496782472</v>
      </c>
      <c r="T220">
        <f t="shared" si="963"/>
        <v>-0.68936976496782476</v>
      </c>
    </row>
    <row r="221" spans="1:20" x14ac:dyDescent="0.25">
      <c r="A221" s="5">
        <v>44372</v>
      </c>
      <c r="B221">
        <v>0.74</v>
      </c>
      <c r="C221">
        <v>0.77</v>
      </c>
      <c r="D221">
        <v>0.63800000000000001</v>
      </c>
      <c r="E221">
        <v>0.63900000000000001</v>
      </c>
      <c r="F221">
        <v>1713591.1939999999</v>
      </c>
      <c r="G221">
        <v>0</v>
      </c>
      <c r="L221" t="s">
        <v>7</v>
      </c>
      <c r="M221" t="s">
        <v>7</v>
      </c>
      <c r="N221" t="s">
        <v>8</v>
      </c>
      <c r="P221">
        <f t="shared" si="959"/>
        <v>-0.98484848484848486</v>
      </c>
      <c r="Q221">
        <f t="shared" si="960"/>
        <v>-1687627.6910606059</v>
      </c>
      <c r="R221">
        <f t="shared" si="961"/>
        <v>-68896101.537515804</v>
      </c>
      <c r="S221">
        <f t="shared" si="962"/>
        <v>-688.96101537515801</v>
      </c>
      <c r="T221">
        <f t="shared" si="963"/>
        <v>-0.68896101537515797</v>
      </c>
    </row>
    <row r="222" spans="1:20" x14ac:dyDescent="0.25">
      <c r="A222" s="5">
        <v>44371</v>
      </c>
      <c r="B222">
        <v>0.746</v>
      </c>
      <c r="C222">
        <v>0.77400000000000002</v>
      </c>
      <c r="D222">
        <v>0.70099999999999996</v>
      </c>
      <c r="E222">
        <v>0.73499999999999999</v>
      </c>
      <c r="F222">
        <v>1447276.22</v>
      </c>
      <c r="G222">
        <v>0</v>
      </c>
      <c r="L222" t="s">
        <v>7</v>
      </c>
      <c r="M222" t="s">
        <v>7</v>
      </c>
      <c r="N222" t="s">
        <v>8</v>
      </c>
      <c r="P222">
        <f t="shared" si="959"/>
        <v>-6.8493150684931503E-2</v>
      </c>
      <c r="Q222">
        <f t="shared" si="960"/>
        <v>-99128.508219178068</v>
      </c>
      <c r="R222">
        <f t="shared" si="961"/>
        <v>-67208473.846455202</v>
      </c>
      <c r="S222">
        <f t="shared" si="962"/>
        <v>-672.08473846455206</v>
      </c>
      <c r="T222">
        <f t="shared" si="963"/>
        <v>-0.67208473846455208</v>
      </c>
    </row>
    <row r="223" spans="1:20" x14ac:dyDescent="0.25">
      <c r="A223" s="5">
        <v>44370</v>
      </c>
      <c r="B223">
        <v>0.73199999999999998</v>
      </c>
      <c r="C223">
        <v>0.83099999999999996</v>
      </c>
      <c r="D223">
        <v>0.69699999999999995</v>
      </c>
      <c r="E223">
        <v>0.74399999999999999</v>
      </c>
      <c r="F223">
        <v>2151469.8930000002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-0.29850746268656658</v>
      </c>
      <c r="Q223">
        <f t="shared" si="960"/>
        <v>-642229.81880596897</v>
      </c>
      <c r="R223">
        <f t="shared" si="961"/>
        <v>-67109345.338236019</v>
      </c>
      <c r="S223">
        <f t="shared" si="962"/>
        <v>-671.09345338236017</v>
      </c>
      <c r="T223">
        <f t="shared" si="963"/>
        <v>-0.67109345338236015</v>
      </c>
    </row>
    <row r="224" spans="1:20" x14ac:dyDescent="0.25">
      <c r="A224" s="5">
        <v>44369</v>
      </c>
      <c r="B224">
        <v>0.81499999999999995</v>
      </c>
      <c r="C224">
        <v>0.84899999999999998</v>
      </c>
      <c r="D224">
        <v>0.61899999999999999</v>
      </c>
      <c r="E224">
        <v>0.72499999999999998</v>
      </c>
      <c r="F224">
        <v>2795907.3029999998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-7.8260869565217467E-2</v>
      </c>
      <c r="Q224">
        <f t="shared" si="960"/>
        <v>-218810.13675652194</v>
      </c>
      <c r="R224">
        <f t="shared" si="961"/>
        <v>-66467115.519430056</v>
      </c>
      <c r="S224">
        <f t="shared" si="962"/>
        <v>-664.67115519430058</v>
      </c>
      <c r="T224">
        <f t="shared" si="963"/>
        <v>-0.66467115519430053</v>
      </c>
    </row>
    <row r="225" spans="1:20" x14ac:dyDescent="0.25">
      <c r="A225" s="5">
        <v>44368</v>
      </c>
      <c r="B225">
        <v>1.1120000000000001</v>
      </c>
      <c r="C225">
        <v>1.1120000000000001</v>
      </c>
      <c r="D225">
        <v>0.80700000000000005</v>
      </c>
      <c r="E225">
        <v>0.82099999999999995</v>
      </c>
      <c r="F225">
        <v>3605517.5669999998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-0.90819672131147611</v>
      </c>
      <c r="Q225">
        <f t="shared" si="960"/>
        <v>-3274519.23298033</v>
      </c>
      <c r="R225">
        <f t="shared" si="961"/>
        <v>-66248305.382673532</v>
      </c>
      <c r="S225">
        <f t="shared" si="962"/>
        <v>-662.48305382673527</v>
      </c>
      <c r="T225">
        <f t="shared" si="963"/>
        <v>-0.66248305382673522</v>
      </c>
    </row>
    <row r="226" spans="1:20" x14ac:dyDescent="0.25">
      <c r="A226" s="5">
        <v>44367</v>
      </c>
      <c r="B226">
        <v>1.1120000000000001</v>
      </c>
      <c r="C226">
        <v>1.232</v>
      </c>
      <c r="D226">
        <v>1.0449999999999999</v>
      </c>
      <c r="E226">
        <v>1.1080000000000001</v>
      </c>
      <c r="F226">
        <v>4303350.4620000003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-0.32620320855614815</v>
      </c>
      <c r="Q226">
        <f t="shared" si="960"/>
        <v>-1403766.7282459827</v>
      </c>
      <c r="R226">
        <f t="shared" si="961"/>
        <v>-62973786.149693199</v>
      </c>
      <c r="S226">
        <f t="shared" si="962"/>
        <v>-629.73786149693194</v>
      </c>
      <c r="T226">
        <f t="shared" si="963"/>
        <v>-0.62973786149693189</v>
      </c>
    </row>
    <row r="227" spans="1:20" x14ac:dyDescent="0.25">
      <c r="A227" s="5">
        <v>44366</v>
      </c>
      <c r="B227">
        <v>1.085</v>
      </c>
      <c r="C227">
        <v>1.2470000000000001</v>
      </c>
      <c r="D227">
        <v>1.024</v>
      </c>
      <c r="E227">
        <v>1.1120000000000001</v>
      </c>
      <c r="F227">
        <v>3171205.5129999998</v>
      </c>
      <c r="G227">
        <v>0</v>
      </c>
      <c r="L227" t="s">
        <v>8</v>
      </c>
      <c r="M227" t="s">
        <v>8</v>
      </c>
      <c r="N227" t="s">
        <v>7</v>
      </c>
      <c r="P227">
        <f t="shared" si="959"/>
        <v>-0.21076233183856463</v>
      </c>
      <c r="Q227">
        <f t="shared" si="960"/>
        <v>-668370.66865919158</v>
      </c>
      <c r="R227">
        <f t="shared" si="961"/>
        <v>-61570019.421447217</v>
      </c>
      <c r="S227">
        <f t="shared" si="962"/>
        <v>-615.70019421447216</v>
      </c>
      <c r="T227">
        <f t="shared" si="963"/>
        <v>-0.6157001942144722</v>
      </c>
    </row>
    <row r="228" spans="1:20" x14ac:dyDescent="0.25">
      <c r="A228" s="5">
        <v>44365</v>
      </c>
      <c r="B228">
        <v>1.1890000000000001</v>
      </c>
      <c r="C228">
        <v>1.19</v>
      </c>
      <c r="D228">
        <v>1.036</v>
      </c>
      <c r="E228">
        <v>1.085</v>
      </c>
      <c r="F228">
        <v>947758.924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-0.36363636363636415</v>
      </c>
      <c r="Q228">
        <f t="shared" si="960"/>
        <v>-344639.60872727318</v>
      </c>
      <c r="R228">
        <f t="shared" si="961"/>
        <v>-60901648.752788022</v>
      </c>
      <c r="S228">
        <f t="shared" si="962"/>
        <v>-609.01648752788026</v>
      </c>
      <c r="T228">
        <f t="shared" si="963"/>
        <v>-0.60901648752788029</v>
      </c>
    </row>
    <row r="229" spans="1:20" x14ac:dyDescent="0.25">
      <c r="A229" s="5">
        <v>44364</v>
      </c>
      <c r="B229">
        <v>1.2110000000000001</v>
      </c>
      <c r="C229">
        <v>1.276</v>
      </c>
      <c r="D229">
        <v>1.149</v>
      </c>
      <c r="E229">
        <v>1.1870000000000001</v>
      </c>
      <c r="F229">
        <v>1205842.027</v>
      </c>
      <c r="G229">
        <v>0</v>
      </c>
      <c r="L229" t="s">
        <v>7</v>
      </c>
      <c r="M229" t="s">
        <v>7</v>
      </c>
      <c r="N229" t="s">
        <v>8</v>
      </c>
      <c r="P229">
        <f t="shared" si="959"/>
        <v>-0.40157480314960575</v>
      </c>
      <c r="Q229">
        <f t="shared" si="960"/>
        <v>-484235.77462204656</v>
      </c>
      <c r="R229">
        <f t="shared" si="961"/>
        <v>-60557009.144060746</v>
      </c>
      <c r="S229">
        <f t="shared" si="962"/>
        <v>-605.57009144060748</v>
      </c>
      <c r="T229">
        <f t="shared" si="963"/>
        <v>-0.60557009144060747</v>
      </c>
    </row>
    <row r="230" spans="1:20" x14ac:dyDescent="0.25">
      <c r="A230" s="5">
        <v>44363</v>
      </c>
      <c r="B230">
        <v>1.2549999999999999</v>
      </c>
      <c r="C230">
        <v>1.262</v>
      </c>
      <c r="D230">
        <v>1.173</v>
      </c>
      <c r="E230">
        <v>1.2110000000000001</v>
      </c>
      <c r="F230">
        <v>783789.80799999996</v>
      </c>
      <c r="G230">
        <v>0</v>
      </c>
      <c r="L230" t="s">
        <v>7</v>
      </c>
      <c r="M230" t="s">
        <v>8</v>
      </c>
      <c r="N230" t="s">
        <v>8</v>
      </c>
      <c r="P230">
        <f t="shared" si="959"/>
        <v>-0.14606741573033602</v>
      </c>
      <c r="Q230">
        <f t="shared" si="960"/>
        <v>-114486.15173033625</v>
      </c>
      <c r="R230">
        <f t="shared" si="961"/>
        <v>-60072773.3694387</v>
      </c>
      <c r="S230">
        <f t="shared" si="962"/>
        <v>-600.72773369438698</v>
      </c>
      <c r="T230">
        <f t="shared" si="963"/>
        <v>-0.60072773369438703</v>
      </c>
    </row>
    <row r="231" spans="1:20" x14ac:dyDescent="0.25">
      <c r="A231" s="5">
        <v>44362</v>
      </c>
      <c r="B231">
        <v>1.282</v>
      </c>
      <c r="C231">
        <v>1.29</v>
      </c>
      <c r="D231">
        <v>1.226</v>
      </c>
      <c r="E231">
        <v>1.2490000000000001</v>
      </c>
      <c r="F231">
        <v>1745585.2760000001</v>
      </c>
      <c r="G231">
        <v>0</v>
      </c>
      <c r="L231" t="s">
        <v>7</v>
      </c>
      <c r="M231" t="s">
        <v>8</v>
      </c>
      <c r="N231" t="s">
        <v>8</v>
      </c>
      <c r="P231">
        <f t="shared" si="959"/>
        <v>-0.28124999999999656</v>
      </c>
      <c r="Q231">
        <f t="shared" si="960"/>
        <v>-490945.85887499404</v>
      </c>
      <c r="R231">
        <f t="shared" si="961"/>
        <v>-59958287.217708364</v>
      </c>
      <c r="S231">
        <f t="shared" si="962"/>
        <v>-599.58287217708369</v>
      </c>
      <c r="T231">
        <f t="shared" si="963"/>
        <v>-0.59958287217708373</v>
      </c>
    </row>
    <row r="232" spans="1:20" x14ac:dyDescent="0.25">
      <c r="A232" s="5">
        <v>44361</v>
      </c>
      <c r="B232">
        <v>1.2929999999999999</v>
      </c>
      <c r="C232">
        <v>1.36</v>
      </c>
      <c r="D232">
        <v>1.2549999999999999</v>
      </c>
      <c r="E232">
        <v>1.2829999999999999</v>
      </c>
      <c r="F232">
        <v>2078344.159</v>
      </c>
      <c r="G232">
        <v>0</v>
      </c>
      <c r="L232" t="s">
        <v>8</v>
      </c>
      <c r="M232" t="s">
        <v>8</v>
      </c>
      <c r="N232" t="s">
        <v>8</v>
      </c>
      <c r="P232">
        <f t="shared" si="959"/>
        <v>-0.46666666666666723</v>
      </c>
      <c r="Q232">
        <f t="shared" si="960"/>
        <v>-969893.94086666778</v>
      </c>
      <c r="R232">
        <f t="shared" si="961"/>
        <v>-59467341.358833373</v>
      </c>
      <c r="S232">
        <f t="shared" si="962"/>
        <v>-594.67341358833369</v>
      </c>
      <c r="T232">
        <f t="shared" si="963"/>
        <v>-0.5946734135883337</v>
      </c>
    </row>
    <row r="233" spans="1:20" x14ac:dyDescent="0.25">
      <c r="A233" s="5">
        <v>44360</v>
      </c>
      <c r="B233">
        <v>1.234</v>
      </c>
      <c r="C233">
        <v>1.3009999999999999</v>
      </c>
      <c r="D233">
        <v>1.1879999999999999</v>
      </c>
      <c r="E233">
        <v>1.2909999999999999</v>
      </c>
      <c r="F233">
        <v>1675183.5889999999</v>
      </c>
      <c r="G233">
        <v>0</v>
      </c>
      <c r="L233" t="s">
        <v>8</v>
      </c>
      <c r="M233" t="s">
        <v>7</v>
      </c>
      <c r="N233" t="s">
        <v>8</v>
      </c>
      <c r="P233">
        <f t="shared" si="959"/>
        <v>0.82300884955752196</v>
      </c>
      <c r="Q233">
        <f t="shared" si="960"/>
        <v>1378690.9183805306</v>
      </c>
      <c r="R233">
        <f t="shared" si="961"/>
        <v>-58497447.417966709</v>
      </c>
      <c r="S233">
        <f t="shared" si="962"/>
        <v>-584.97447417966714</v>
      </c>
      <c r="T233">
        <f t="shared" si="963"/>
        <v>-0.58497447417966719</v>
      </c>
    </row>
    <row r="234" spans="1:20" x14ac:dyDescent="0.25">
      <c r="A234" s="5">
        <v>44359</v>
      </c>
      <c r="B234">
        <v>1.3129999999999999</v>
      </c>
      <c r="C234">
        <v>1.4</v>
      </c>
      <c r="D234">
        <v>1.125</v>
      </c>
      <c r="E234">
        <v>1.234</v>
      </c>
      <c r="F234">
        <v>5990118.483</v>
      </c>
      <c r="G234">
        <v>0</v>
      </c>
      <c r="L234" t="s">
        <v>7</v>
      </c>
      <c r="M234" t="s">
        <v>7</v>
      </c>
      <c r="N234" t="s">
        <v>8</v>
      </c>
      <c r="P234">
        <f t="shared" si="959"/>
        <v>-0.20727272727272711</v>
      </c>
      <c r="Q234">
        <f t="shared" si="960"/>
        <v>-1241588.1946581809</v>
      </c>
      <c r="R234">
        <f t="shared" si="961"/>
        <v>-59876138.336347237</v>
      </c>
      <c r="S234">
        <f t="shared" si="962"/>
        <v>-598.76138336347242</v>
      </c>
      <c r="T234">
        <f t="shared" si="963"/>
        <v>-0.5987613833634724</v>
      </c>
    </row>
    <row r="235" spans="1:20" x14ac:dyDescent="0.25">
      <c r="A235" s="5">
        <v>44358</v>
      </c>
      <c r="B235">
        <v>1.179</v>
      </c>
      <c r="C235">
        <v>1.4890000000000001</v>
      </c>
      <c r="D235">
        <v>1.1279999999999999</v>
      </c>
      <c r="E235">
        <v>1.3129999999999999</v>
      </c>
      <c r="F235">
        <v>8437898.8039999995</v>
      </c>
      <c r="G235">
        <v>0</v>
      </c>
      <c r="L235" t="s">
        <v>7</v>
      </c>
      <c r="M235" t="s">
        <v>8</v>
      </c>
      <c r="N235" t="s">
        <v>8</v>
      </c>
      <c r="P235">
        <f t="shared" si="959"/>
        <v>2.4930747922437373E-2</v>
      </c>
      <c r="Q235">
        <f t="shared" si="960"/>
        <v>210363.12807755978</v>
      </c>
      <c r="R235">
        <f t="shared" si="961"/>
        <v>-58634550.141689055</v>
      </c>
      <c r="S235">
        <f t="shared" si="962"/>
        <v>-586.34550141689056</v>
      </c>
      <c r="T235">
        <f t="shared" si="963"/>
        <v>-0.58634550141689057</v>
      </c>
    </row>
    <row r="236" spans="1:20" x14ac:dyDescent="0.25">
      <c r="A236" s="5">
        <v>44357</v>
      </c>
      <c r="B236">
        <v>1.319</v>
      </c>
      <c r="C236">
        <v>1.3420000000000001</v>
      </c>
      <c r="D236">
        <v>1.1519999999999999</v>
      </c>
      <c r="E236">
        <v>1.18</v>
      </c>
      <c r="F236">
        <v>2541297.7450000001</v>
      </c>
      <c r="G236">
        <v>0</v>
      </c>
      <c r="L236" t="s">
        <v>7</v>
      </c>
      <c r="M236" t="s">
        <v>7</v>
      </c>
      <c r="N236" t="s">
        <v>8</v>
      </c>
      <c r="P236">
        <f t="shared" si="959"/>
        <v>-0.70526315789473681</v>
      </c>
      <c r="Q236">
        <f t="shared" si="960"/>
        <v>-1792283.6727894738</v>
      </c>
      <c r="R236">
        <f t="shared" si="961"/>
        <v>-58844913.269766614</v>
      </c>
      <c r="S236">
        <f t="shared" si="962"/>
        <v>-588.44913269766619</v>
      </c>
      <c r="T236">
        <f t="shared" si="963"/>
        <v>-0.58844913269766619</v>
      </c>
    </row>
    <row r="237" spans="1:20" x14ac:dyDescent="0.25">
      <c r="A237" s="5">
        <v>44356</v>
      </c>
      <c r="B237">
        <v>1.1559999999999999</v>
      </c>
      <c r="C237">
        <v>1.5469999999999999</v>
      </c>
      <c r="D237">
        <v>1.0860000000000001</v>
      </c>
      <c r="E237">
        <v>1.32</v>
      </c>
      <c r="F237">
        <v>8157281.1840000004</v>
      </c>
      <c r="G237">
        <v>0</v>
      </c>
      <c r="L237" t="s">
        <v>8</v>
      </c>
      <c r="M237" t="s">
        <v>8</v>
      </c>
      <c r="N237" t="s">
        <v>8</v>
      </c>
      <c r="P237">
        <f t="shared" si="959"/>
        <v>1.5184381778742125E-2</v>
      </c>
      <c r="Q237">
        <f t="shared" si="960"/>
        <v>123863.2717744056</v>
      </c>
      <c r="R237">
        <f t="shared" si="961"/>
        <v>-57052629.596977137</v>
      </c>
      <c r="S237">
        <f t="shared" si="962"/>
        <v>-570.52629596977135</v>
      </c>
      <c r="T237">
        <f t="shared" si="963"/>
        <v>-0.57052629596977134</v>
      </c>
    </row>
    <row r="238" spans="1:20" x14ac:dyDescent="0.25">
      <c r="A238" s="5">
        <v>44355</v>
      </c>
      <c r="B238">
        <v>1.2490000000000001</v>
      </c>
      <c r="C238">
        <v>1.2649999999999999</v>
      </c>
      <c r="D238">
        <v>1.01</v>
      </c>
      <c r="E238">
        <v>1.159</v>
      </c>
      <c r="F238">
        <v>2218903.443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0.16862745098039281</v>
      </c>
      <c r="Q238">
        <f t="shared" si="960"/>
        <v>374168.03156470734</v>
      </c>
      <c r="R238">
        <f t="shared" si="961"/>
        <v>-57176492.868751541</v>
      </c>
      <c r="S238">
        <f t="shared" si="962"/>
        <v>-571.76492868751541</v>
      </c>
      <c r="T238">
        <f t="shared" si="963"/>
        <v>-0.57176492868751538</v>
      </c>
    </row>
    <row r="239" spans="1:20" x14ac:dyDescent="0.25">
      <c r="A239" s="5">
        <v>44354</v>
      </c>
      <c r="B239">
        <v>1.3440000000000001</v>
      </c>
      <c r="C239">
        <v>1.407</v>
      </c>
      <c r="D239">
        <v>1.242</v>
      </c>
      <c r="E239">
        <v>1.2509999999999999</v>
      </c>
      <c r="F239">
        <v>2135415.963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-0.89090909090909221</v>
      </c>
      <c r="Q239">
        <f t="shared" si="960"/>
        <v>-1902461.4943090936</v>
      </c>
      <c r="R239">
        <f t="shared" si="961"/>
        <v>-57550660.900316246</v>
      </c>
      <c r="S239">
        <f t="shared" si="962"/>
        <v>-575.50660900316245</v>
      </c>
      <c r="T239">
        <f t="shared" si="963"/>
        <v>-0.57550660900316242</v>
      </c>
    </row>
    <row r="240" spans="1:20" x14ac:dyDescent="0.25">
      <c r="A240" s="5">
        <v>44353</v>
      </c>
      <c r="B240">
        <v>1.2749999999999999</v>
      </c>
      <c r="C240">
        <v>1.5629999999999999</v>
      </c>
      <c r="D240">
        <v>1.26</v>
      </c>
      <c r="E240">
        <v>1.3440000000000001</v>
      </c>
      <c r="F240">
        <v>2961269.338</v>
      </c>
      <c r="G240">
        <v>0</v>
      </c>
      <c r="L240" t="s">
        <v>8</v>
      </c>
      <c r="M240" t="s">
        <v>8</v>
      </c>
      <c r="N240" t="s">
        <v>8</v>
      </c>
      <c r="P240">
        <f t="shared" si="959"/>
        <v>-0.44554455445544494</v>
      </c>
      <c r="Q240">
        <f t="shared" si="960"/>
        <v>-1319377.4278217803</v>
      </c>
      <c r="R240">
        <f t="shared" si="961"/>
        <v>-55648199.406007156</v>
      </c>
      <c r="S240">
        <f t="shared" si="962"/>
        <v>-556.48199406007154</v>
      </c>
      <c r="T240">
        <f t="shared" si="963"/>
        <v>-0.55648199406007159</v>
      </c>
    </row>
    <row r="241" spans="1:20" x14ac:dyDescent="0.25">
      <c r="A241" s="5">
        <v>44352</v>
      </c>
      <c r="B241">
        <v>1.35</v>
      </c>
      <c r="C241">
        <v>1.417</v>
      </c>
      <c r="D241">
        <v>1.2170000000000001</v>
      </c>
      <c r="E241">
        <v>1.278</v>
      </c>
      <c r="F241">
        <v>1276641.642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-0.39000000000000046</v>
      </c>
      <c r="Q241">
        <f t="shared" si="960"/>
        <v>-497890.24038000056</v>
      </c>
      <c r="R241">
        <f t="shared" si="961"/>
        <v>-54328821.978185378</v>
      </c>
      <c r="S241">
        <f t="shared" si="962"/>
        <v>-543.28821978185374</v>
      </c>
      <c r="T241">
        <f t="shared" si="963"/>
        <v>-0.54328821978185371</v>
      </c>
    </row>
    <row r="242" spans="1:20" x14ac:dyDescent="0.25">
      <c r="A242" s="5">
        <v>44351</v>
      </c>
      <c r="B242">
        <v>1.4850000000000001</v>
      </c>
      <c r="C242">
        <v>1.494</v>
      </c>
      <c r="D242">
        <v>1.254</v>
      </c>
      <c r="E242">
        <v>1.355</v>
      </c>
      <c r="F242">
        <v>2400012.59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-0.15833333333333349</v>
      </c>
      <c r="Q242">
        <f t="shared" si="960"/>
        <v>-380001.99341666704</v>
      </c>
      <c r="R242">
        <f t="shared" si="961"/>
        <v>-53830931.737805374</v>
      </c>
      <c r="S242">
        <f t="shared" si="962"/>
        <v>-538.30931737805372</v>
      </c>
      <c r="T242">
        <f t="shared" si="963"/>
        <v>-0.53830931737805376</v>
      </c>
    </row>
    <row r="243" spans="1:20" x14ac:dyDescent="0.25">
      <c r="A243" s="5">
        <v>44350</v>
      </c>
      <c r="B243">
        <v>1.4419999999999999</v>
      </c>
      <c r="C243">
        <v>1.73</v>
      </c>
      <c r="D243">
        <v>1.4219999999999999</v>
      </c>
      <c r="E243">
        <v>1.488</v>
      </c>
      <c r="F243">
        <v>4186823.85</v>
      </c>
      <c r="G243">
        <v>0</v>
      </c>
      <c r="L243" t="s">
        <v>8</v>
      </c>
      <c r="M243" t="s">
        <v>7</v>
      </c>
      <c r="N243" t="s">
        <v>8</v>
      </c>
      <c r="P243">
        <f t="shared" si="959"/>
        <v>-0.57142857142857117</v>
      </c>
      <c r="Q243">
        <f t="shared" si="960"/>
        <v>-2392470.7714285706</v>
      </c>
      <c r="R243">
        <f t="shared" si="961"/>
        <v>-53450929.744388707</v>
      </c>
      <c r="S243">
        <f t="shared" si="962"/>
        <v>-534.50929744388702</v>
      </c>
      <c r="T243">
        <f t="shared" si="963"/>
        <v>-0.53450929744388698</v>
      </c>
    </row>
    <row r="244" spans="1:20" x14ac:dyDescent="0.25">
      <c r="A244" s="5">
        <v>44349</v>
      </c>
      <c r="B244">
        <v>1.3080000000000001</v>
      </c>
      <c r="C244">
        <v>1.738</v>
      </c>
      <c r="D244">
        <v>1.2529999999999999</v>
      </c>
      <c r="E244">
        <v>1.4419999999999999</v>
      </c>
      <c r="F244">
        <v>4544299.1969999997</v>
      </c>
      <c r="G244">
        <v>0</v>
      </c>
      <c r="L244" t="s">
        <v>7</v>
      </c>
      <c r="M244" t="s">
        <v>8</v>
      </c>
      <c r="N244" t="s">
        <v>8</v>
      </c>
      <c r="P244">
        <f t="shared" si="959"/>
        <v>-0.22061855670103084</v>
      </c>
      <c r="Q244">
        <f t="shared" si="960"/>
        <v>-1002556.7300597933</v>
      </c>
      <c r="R244">
        <f t="shared" si="961"/>
        <v>-51058458.972960137</v>
      </c>
      <c r="S244">
        <f t="shared" si="962"/>
        <v>-510.58458972960136</v>
      </c>
      <c r="T244">
        <f t="shared" si="963"/>
        <v>-0.51058458972960141</v>
      </c>
    </row>
    <row r="245" spans="1:20" x14ac:dyDescent="0.25">
      <c r="A245" s="5">
        <v>44348</v>
      </c>
      <c r="B245">
        <v>1.3440000000000001</v>
      </c>
      <c r="C245">
        <v>1.3939999999999999</v>
      </c>
      <c r="D245">
        <v>1.2709999999999999</v>
      </c>
      <c r="E245">
        <v>1.304</v>
      </c>
      <c r="F245">
        <v>994390.13300000003</v>
      </c>
      <c r="G245">
        <v>0</v>
      </c>
      <c r="L245" t="s">
        <v>7</v>
      </c>
      <c r="M245" t="s">
        <v>8</v>
      </c>
      <c r="N245" t="s">
        <v>8</v>
      </c>
      <c r="P245">
        <f t="shared" si="959"/>
        <v>-0.46341463414633915</v>
      </c>
      <c r="Q245">
        <f t="shared" si="960"/>
        <v>-460814.93968292454</v>
      </c>
      <c r="R245">
        <f t="shared" si="961"/>
        <v>-50055902.242900342</v>
      </c>
      <c r="S245">
        <f t="shared" si="962"/>
        <v>-500.55902242900339</v>
      </c>
      <c r="T245">
        <f t="shared" si="963"/>
        <v>-0.50055902242900341</v>
      </c>
    </row>
    <row r="246" spans="1:20" x14ac:dyDescent="0.25">
      <c r="A246" s="5">
        <v>44347</v>
      </c>
      <c r="B246">
        <v>1.26</v>
      </c>
      <c r="C246">
        <v>1.4690000000000001</v>
      </c>
      <c r="D246">
        <v>1.1830000000000001</v>
      </c>
      <c r="E246">
        <v>1.3440000000000001</v>
      </c>
      <c r="F246">
        <v>2116708.4959999998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0.12587412587412597</v>
      </c>
      <c r="Q246">
        <f t="shared" si="960"/>
        <v>266438.83166433586</v>
      </c>
      <c r="R246">
        <f t="shared" si="961"/>
        <v>-49595087.303217418</v>
      </c>
      <c r="S246">
        <f t="shared" si="962"/>
        <v>-495.95087303217417</v>
      </c>
      <c r="T246">
        <f t="shared" si="963"/>
        <v>-0.49595087303217417</v>
      </c>
    </row>
    <row r="247" spans="1:20" x14ac:dyDescent="0.25">
      <c r="A247" s="5">
        <v>44346</v>
      </c>
      <c r="B247">
        <v>1.1379999999999999</v>
      </c>
      <c r="C247">
        <v>1.347</v>
      </c>
      <c r="D247">
        <v>1.071</v>
      </c>
      <c r="E247">
        <v>1.2629999999999999</v>
      </c>
      <c r="F247">
        <v>1446936.321</v>
      </c>
      <c r="G247">
        <v>0</v>
      </c>
      <c r="L247" t="s">
        <v>7</v>
      </c>
      <c r="M247" t="s">
        <v>8</v>
      </c>
      <c r="N247" t="s">
        <v>7</v>
      </c>
      <c r="P247">
        <f t="shared" si="959"/>
        <v>0.39130434782608647</v>
      </c>
      <c r="Q247">
        <f t="shared" si="960"/>
        <v>566192.47343478189</v>
      </c>
      <c r="R247">
        <f t="shared" si="961"/>
        <v>-49861526.134881757</v>
      </c>
      <c r="S247">
        <f t="shared" si="962"/>
        <v>-498.61526134881757</v>
      </c>
      <c r="T247">
        <f t="shared" si="963"/>
        <v>-0.49861526134881756</v>
      </c>
    </row>
    <row r="248" spans="1:20" x14ac:dyDescent="0.25">
      <c r="A248" s="5">
        <v>44345</v>
      </c>
      <c r="B248">
        <v>1.262</v>
      </c>
      <c r="C248">
        <v>1.3260000000000001</v>
      </c>
      <c r="D248">
        <v>1.085</v>
      </c>
      <c r="E248">
        <v>1.1359999999999999</v>
      </c>
      <c r="F248">
        <v>1126694.355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-0.57676348547717915</v>
      </c>
      <c r="Q248">
        <f t="shared" si="960"/>
        <v>-649836.1632572622</v>
      </c>
      <c r="R248">
        <f t="shared" si="961"/>
        <v>-50427718.608316541</v>
      </c>
      <c r="S248">
        <f t="shared" si="962"/>
        <v>-504.27718608316542</v>
      </c>
      <c r="T248">
        <f t="shared" si="963"/>
        <v>-0.50427718608316541</v>
      </c>
    </row>
    <row r="249" spans="1:20" x14ac:dyDescent="0.25">
      <c r="A249" s="5">
        <v>44344</v>
      </c>
      <c r="B249">
        <v>1.4350000000000001</v>
      </c>
      <c r="C249">
        <v>1.466</v>
      </c>
      <c r="D249">
        <v>1.1919999999999999</v>
      </c>
      <c r="E249">
        <v>1.26</v>
      </c>
      <c r="F249">
        <v>1709145.25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-0.50364963503649596</v>
      </c>
      <c r="Q249">
        <f t="shared" si="960"/>
        <v>-860810.38138686062</v>
      </c>
      <c r="R249">
        <f t="shared" si="961"/>
        <v>-49777882.445059277</v>
      </c>
      <c r="S249">
        <f t="shared" si="962"/>
        <v>-497.77882445059277</v>
      </c>
      <c r="T249">
        <f t="shared" si="963"/>
        <v>-0.49777882445059274</v>
      </c>
    </row>
    <row r="250" spans="1:20" x14ac:dyDescent="0.25">
      <c r="A250" s="5">
        <v>44343</v>
      </c>
      <c r="B250">
        <v>1.482</v>
      </c>
      <c r="C250">
        <v>1.597</v>
      </c>
      <c r="D250">
        <v>1.302</v>
      </c>
      <c r="E250">
        <v>1.4390000000000001</v>
      </c>
      <c r="F250">
        <v>2206709.1189999999</v>
      </c>
      <c r="G250">
        <v>0</v>
      </c>
      <c r="L250" t="s">
        <v>7</v>
      </c>
      <c r="M250" t="s">
        <v>7</v>
      </c>
      <c r="N250" t="s">
        <v>8</v>
      </c>
      <c r="P250">
        <f t="shared" si="959"/>
        <v>-7.1186440677965812E-2</v>
      </c>
      <c r="Q250">
        <f t="shared" si="960"/>
        <v>-157087.76779321968</v>
      </c>
      <c r="R250">
        <f t="shared" si="961"/>
        <v>-48917072.063672416</v>
      </c>
      <c r="S250">
        <f t="shared" si="962"/>
        <v>-489.17072063672418</v>
      </c>
      <c r="T250">
        <f t="shared" si="963"/>
        <v>-0.48917072063672418</v>
      </c>
    </row>
    <row r="251" spans="1:20" x14ac:dyDescent="0.25">
      <c r="A251" s="5">
        <v>44342</v>
      </c>
      <c r="B251">
        <v>1.4139999999999999</v>
      </c>
      <c r="C251">
        <v>1.585</v>
      </c>
      <c r="D251">
        <v>1.369</v>
      </c>
      <c r="E251">
        <v>1.486</v>
      </c>
      <c r="F251">
        <v>2290844.88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8.3333333333333426E-2</v>
      </c>
      <c r="Q251">
        <f t="shared" si="960"/>
        <v>190903.74000000019</v>
      </c>
      <c r="R251">
        <f t="shared" si="961"/>
        <v>-48759984.295879193</v>
      </c>
      <c r="S251">
        <f t="shared" si="962"/>
        <v>-487.59984295879195</v>
      </c>
      <c r="T251">
        <f t="shared" si="963"/>
        <v>-0.48759984295879194</v>
      </c>
    </row>
    <row r="252" spans="1:20" x14ac:dyDescent="0.25">
      <c r="A252" s="5">
        <v>44341</v>
      </c>
      <c r="B252">
        <v>1.532</v>
      </c>
      <c r="C252">
        <v>1.585</v>
      </c>
      <c r="D252">
        <v>1.2330000000000001</v>
      </c>
      <c r="E252">
        <v>1.407</v>
      </c>
      <c r="F252">
        <v>2948322.477</v>
      </c>
      <c r="G252">
        <v>0</v>
      </c>
      <c r="L252" t="s">
        <v>7</v>
      </c>
      <c r="M252" t="s">
        <v>7</v>
      </c>
      <c r="N252" t="s">
        <v>8</v>
      </c>
      <c r="P252">
        <f t="shared" si="959"/>
        <v>-1.1363636363636378E-2</v>
      </c>
      <c r="Q252">
        <f t="shared" si="960"/>
        <v>-33503.664511363677</v>
      </c>
      <c r="R252">
        <f t="shared" si="961"/>
        <v>-48950888.035879195</v>
      </c>
      <c r="S252">
        <f t="shared" si="962"/>
        <v>-489.50888035879194</v>
      </c>
      <c r="T252">
        <f t="shared" si="963"/>
        <v>-0.48950888035879192</v>
      </c>
    </row>
    <row r="253" spans="1:20" x14ac:dyDescent="0.25">
      <c r="A253" s="5">
        <v>44340</v>
      </c>
      <c r="B253">
        <v>1.2430000000000001</v>
      </c>
      <c r="C253">
        <v>1.6910000000000001</v>
      </c>
      <c r="D253">
        <v>1.17</v>
      </c>
      <c r="E253">
        <v>1.532</v>
      </c>
      <c r="F253">
        <v>6587345.3859999999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0.38963531669865648</v>
      </c>
      <c r="Q253">
        <f t="shared" si="960"/>
        <v>2566662.4056775435</v>
      </c>
      <c r="R253">
        <f t="shared" si="961"/>
        <v>-48917384.371367835</v>
      </c>
      <c r="S253">
        <f t="shared" si="962"/>
        <v>-489.17384371367837</v>
      </c>
      <c r="T253">
        <f t="shared" si="963"/>
        <v>-0.48917384371367839</v>
      </c>
    </row>
    <row r="254" spans="1:20" x14ac:dyDescent="0.25">
      <c r="A254" s="5">
        <v>44339</v>
      </c>
      <c r="B254">
        <v>1.8</v>
      </c>
      <c r="C254">
        <v>1.85</v>
      </c>
      <c r="D254">
        <v>0.96699999999999997</v>
      </c>
      <c r="E254">
        <v>1.246</v>
      </c>
      <c r="F254">
        <v>10772957.555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-0.36806342015855043</v>
      </c>
      <c r="Q254">
        <f t="shared" si="960"/>
        <v>-3965131.6029161951</v>
      </c>
      <c r="R254">
        <f t="shared" si="961"/>
        <v>-51484046.777045377</v>
      </c>
      <c r="S254">
        <f t="shared" si="962"/>
        <v>-514.84046777045376</v>
      </c>
      <c r="T254">
        <f t="shared" si="963"/>
        <v>-0.51484046777045378</v>
      </c>
    </row>
    <row r="255" spans="1:20" x14ac:dyDescent="0.25">
      <c r="A255" s="5">
        <v>44338</v>
      </c>
      <c r="B255">
        <v>2.2879999999999998</v>
      </c>
      <c r="C255">
        <v>2.5950000000000002</v>
      </c>
      <c r="D255">
        <v>1.72</v>
      </c>
      <c r="E255">
        <v>1.8</v>
      </c>
      <c r="F255">
        <v>21949333.840999998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-0.81714285714285706</v>
      </c>
      <c r="Q255">
        <f t="shared" si="960"/>
        <v>-17935741.367217138</v>
      </c>
      <c r="R255">
        <f t="shared" si="961"/>
        <v>-47518915.174129181</v>
      </c>
      <c r="S255">
        <f t="shared" si="962"/>
        <v>-475.18915174129182</v>
      </c>
      <c r="T255">
        <f t="shared" si="963"/>
        <v>-0.47518915174129184</v>
      </c>
    </row>
    <row r="256" spans="1:20" x14ac:dyDescent="0.25">
      <c r="A256" s="5">
        <v>44337</v>
      </c>
      <c r="B256">
        <v>1.5</v>
      </c>
      <c r="C256">
        <v>2.8439999999999999</v>
      </c>
      <c r="D256">
        <v>1.4339999999999999</v>
      </c>
      <c r="E256">
        <v>2.2930000000000001</v>
      </c>
      <c r="F256">
        <v>38135686.879000001</v>
      </c>
      <c r="G256">
        <v>0</v>
      </c>
      <c r="L256" t="s">
        <v>8</v>
      </c>
      <c r="M256" t="s">
        <v>8</v>
      </c>
      <c r="N256" t="s">
        <v>8</v>
      </c>
      <c r="P256">
        <f t="shared" si="959"/>
        <v>0.21843971631205711</v>
      </c>
      <c r="Q256">
        <f t="shared" si="960"/>
        <v>8330348.6232141983</v>
      </c>
      <c r="R256">
        <f t="shared" si="961"/>
        <v>-29583173.806912042</v>
      </c>
      <c r="S256">
        <f t="shared" si="962"/>
        <v>-295.83173806912043</v>
      </c>
      <c r="T256">
        <f t="shared" si="963"/>
        <v>-0.29583173806912044</v>
      </c>
    </row>
    <row r="257" spans="1:20" x14ac:dyDescent="0.25">
      <c r="A257" s="5">
        <v>44336</v>
      </c>
      <c r="B257">
        <v>1.373</v>
      </c>
      <c r="C257">
        <v>1.696</v>
      </c>
      <c r="D257">
        <v>1.248</v>
      </c>
      <c r="E257">
        <v>1.49</v>
      </c>
      <c r="F257">
        <v>1289560.659</v>
      </c>
      <c r="G257">
        <v>0</v>
      </c>
      <c r="L257" t="s">
        <v>7</v>
      </c>
      <c r="M257" t="s">
        <v>7</v>
      </c>
      <c r="N257" t="s">
        <v>7</v>
      </c>
      <c r="P257">
        <f t="shared" si="959"/>
        <v>8.0357142857142932E-2</v>
      </c>
      <c r="Q257">
        <f t="shared" si="960"/>
        <v>103625.41009821439</v>
      </c>
      <c r="R257">
        <f t="shared" si="961"/>
        <v>-37913522.430126242</v>
      </c>
      <c r="S257">
        <f t="shared" si="962"/>
        <v>-379.13522430126244</v>
      </c>
      <c r="T257">
        <f t="shared" si="963"/>
        <v>-0.37913522430126245</v>
      </c>
    </row>
    <row r="258" spans="1:20" x14ac:dyDescent="0.25">
      <c r="A258" s="5">
        <v>44335</v>
      </c>
      <c r="B258">
        <v>2.0249999999999999</v>
      </c>
      <c r="C258">
        <v>2.077</v>
      </c>
      <c r="D258">
        <v>1.286</v>
      </c>
      <c r="E258">
        <v>1.36</v>
      </c>
      <c r="F258">
        <v>1829965.385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-0.81289506953223745</v>
      </c>
      <c r="Q258">
        <f t="shared" si="960"/>
        <v>-1487569.8388811627</v>
      </c>
      <c r="R258">
        <f t="shared" si="961"/>
        <v>-38017147.84022446</v>
      </c>
      <c r="S258">
        <f t="shared" si="962"/>
        <v>-380.17147840224459</v>
      </c>
      <c r="T258">
        <f t="shared" si="963"/>
        <v>-0.38017147840224458</v>
      </c>
    </row>
    <row r="259" spans="1:20" x14ac:dyDescent="0.25">
      <c r="A259" s="5">
        <v>44334</v>
      </c>
      <c r="B259">
        <v>2.1120000000000001</v>
      </c>
      <c r="C259">
        <v>2.2810000000000001</v>
      </c>
      <c r="D259">
        <v>1.9990000000000001</v>
      </c>
      <c r="E259">
        <v>2.0270000000000001</v>
      </c>
      <c r="F259">
        <v>682153.68400000001</v>
      </c>
      <c r="G259">
        <v>0</v>
      </c>
      <c r="L259" t="s">
        <v>7</v>
      </c>
      <c r="M259" t="s">
        <v>7</v>
      </c>
      <c r="N259" t="s">
        <v>7</v>
      </c>
      <c r="P259">
        <f t="shared" si="959"/>
        <v>-0.80141843971631188</v>
      </c>
      <c r="Q259">
        <f t="shared" si="960"/>
        <v>-546690.54107801407</v>
      </c>
      <c r="R259">
        <f t="shared" si="961"/>
        <v>-36529578.001343295</v>
      </c>
      <c r="S259">
        <f t="shared" si="962"/>
        <v>-365.29578001343293</v>
      </c>
      <c r="T259">
        <f t="shared" si="963"/>
        <v>-0.36529578001343294</v>
      </c>
    </row>
    <row r="260" spans="1:20" x14ac:dyDescent="0.25">
      <c r="A260" s="5">
        <v>44333</v>
      </c>
      <c r="B260">
        <v>2.3559999999999999</v>
      </c>
      <c r="C260">
        <v>2.3690000000000002</v>
      </c>
      <c r="D260">
        <v>2.012</v>
      </c>
      <c r="E260">
        <v>2.1110000000000002</v>
      </c>
      <c r="F260">
        <v>986929.58200000005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-0.4453781512605034</v>
      </c>
      <c r="Q260">
        <f t="shared" si="960"/>
        <v>-439556.87265546143</v>
      </c>
      <c r="R260">
        <f t="shared" si="961"/>
        <v>-35982887.460265279</v>
      </c>
      <c r="S260">
        <f t="shared" si="962"/>
        <v>-359.82887460265277</v>
      </c>
      <c r="T260">
        <f t="shared" si="963"/>
        <v>-0.35982887460265278</v>
      </c>
    </row>
    <row r="261" spans="1:20" x14ac:dyDescent="0.25">
      <c r="A261" s="5">
        <v>44332</v>
      </c>
      <c r="B261">
        <v>2.4620000000000002</v>
      </c>
      <c r="C261">
        <v>2.6549999999999998</v>
      </c>
      <c r="D261">
        <v>2.25</v>
      </c>
      <c r="E261">
        <v>2.355</v>
      </c>
      <c r="F261">
        <v>1026848.437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-0.48148148148148134</v>
      </c>
      <c r="Q261">
        <f t="shared" si="960"/>
        <v>-494408.50670370361</v>
      </c>
      <c r="R261">
        <f t="shared" si="961"/>
        <v>-35543330.58760982</v>
      </c>
      <c r="S261">
        <f t="shared" si="962"/>
        <v>-355.43330587609819</v>
      </c>
      <c r="T261">
        <f t="shared" si="963"/>
        <v>-0.35543330587609817</v>
      </c>
    </row>
    <row r="262" spans="1:20" x14ac:dyDescent="0.25">
      <c r="A262" s="5">
        <v>44331</v>
      </c>
      <c r="B262">
        <v>2.613</v>
      </c>
      <c r="C262">
        <v>2.863</v>
      </c>
      <c r="D262">
        <v>2.3969999999999998</v>
      </c>
      <c r="E262">
        <v>2.4540000000000002</v>
      </c>
      <c r="F262">
        <v>2266539.7990000001</v>
      </c>
      <c r="G262">
        <v>0</v>
      </c>
      <c r="L262" t="s">
        <v>8</v>
      </c>
      <c r="M262" t="s">
        <v>7</v>
      </c>
      <c r="N262" t="s">
        <v>7</v>
      </c>
      <c r="P262">
        <f t="shared" ref="P262:P325" si="964">IF(C262=D262,0,((E262-D262)-(C262-E262))/(C262-D262))</f>
        <v>-0.75536480686695129</v>
      </c>
      <c r="Q262">
        <f t="shared" ref="Q262:Q325" si="965">F262*P262</f>
        <v>-1712064.3975278938</v>
      </c>
      <c r="R262">
        <f t="shared" ref="R262:R325" si="966">R263+Q262</f>
        <v>-35048922.080906115</v>
      </c>
      <c r="S262">
        <f t="shared" ref="S262:S325" si="967">R262/100000</f>
        <v>-350.48922080906118</v>
      </c>
      <c r="T262">
        <f t="shared" ref="T262:T325" si="968">S262/1000</f>
        <v>-0.3504892208090612</v>
      </c>
    </row>
    <row r="263" spans="1:20" x14ac:dyDescent="0.25">
      <c r="A263" s="5">
        <v>44330</v>
      </c>
      <c r="B263">
        <v>2.2970000000000002</v>
      </c>
      <c r="C263">
        <v>2.8</v>
      </c>
      <c r="D263">
        <v>2.2000000000000002</v>
      </c>
      <c r="E263">
        <v>2.613</v>
      </c>
      <c r="F263">
        <v>3483203.4270000001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0.37666666666666687</v>
      </c>
      <c r="Q263">
        <f t="shared" si="965"/>
        <v>1312006.6241700007</v>
      </c>
      <c r="R263">
        <f t="shared" si="966"/>
        <v>-33336857.683378223</v>
      </c>
      <c r="S263">
        <f t="shared" si="967"/>
        <v>-333.36857683378224</v>
      </c>
      <c r="T263">
        <f t="shared" si="968"/>
        <v>-0.33336857683378224</v>
      </c>
    </row>
    <row r="264" spans="1:20" x14ac:dyDescent="0.25">
      <c r="A264" s="5">
        <v>44329</v>
      </c>
      <c r="B264">
        <v>2.3039999999999998</v>
      </c>
      <c r="C264">
        <v>2.6509999999999998</v>
      </c>
      <c r="D264">
        <v>2.1920000000000002</v>
      </c>
      <c r="E264">
        <v>2.2829999999999999</v>
      </c>
      <c r="F264">
        <v>1547209.7169999999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-0.60348583877995721</v>
      </c>
      <c r="Q264">
        <f t="shared" si="965"/>
        <v>-933719.15383224515</v>
      </c>
      <c r="R264">
        <f t="shared" si="966"/>
        <v>-34648864.307548225</v>
      </c>
      <c r="S264">
        <f t="shared" si="967"/>
        <v>-346.48864307548223</v>
      </c>
      <c r="T264">
        <f t="shared" si="968"/>
        <v>-0.34648864307548222</v>
      </c>
    </row>
    <row r="265" spans="1:20" x14ac:dyDescent="0.25">
      <c r="A265" s="5">
        <v>44328</v>
      </c>
      <c r="B265">
        <v>2.8860000000000001</v>
      </c>
      <c r="C265">
        <v>3.149</v>
      </c>
      <c r="D265">
        <v>2.2679999999999998</v>
      </c>
      <c r="E265">
        <v>2.2799999999999998</v>
      </c>
      <c r="F265">
        <v>3217387.6630000002</v>
      </c>
      <c r="G265">
        <v>0</v>
      </c>
      <c r="L265" t="s">
        <v>8</v>
      </c>
      <c r="M265" t="s">
        <v>8</v>
      </c>
      <c r="N265" t="s">
        <v>8</v>
      </c>
      <c r="P265">
        <f t="shared" si="964"/>
        <v>-0.97275822928490352</v>
      </c>
      <c r="Q265">
        <f t="shared" si="965"/>
        <v>-3129740.3259829739</v>
      </c>
      <c r="R265">
        <f t="shared" si="966"/>
        <v>-33715145.153715983</v>
      </c>
      <c r="S265">
        <f t="shared" si="967"/>
        <v>-337.15145153715986</v>
      </c>
      <c r="T265">
        <f t="shared" si="968"/>
        <v>-0.33715145153715986</v>
      </c>
    </row>
    <row r="266" spans="1:20" x14ac:dyDescent="0.25">
      <c r="A266" s="5">
        <v>44327</v>
      </c>
      <c r="B266">
        <v>2.3290000000000002</v>
      </c>
      <c r="C266">
        <v>2.9359999999999999</v>
      </c>
      <c r="D266">
        <v>2.2610000000000001</v>
      </c>
      <c r="E266">
        <v>2.883</v>
      </c>
      <c r="F266">
        <v>2051806.301</v>
      </c>
      <c r="G266">
        <v>0</v>
      </c>
      <c r="L266" t="s">
        <v>8</v>
      </c>
      <c r="M266" t="s">
        <v>8</v>
      </c>
      <c r="N266" t="s">
        <v>7</v>
      </c>
      <c r="P266">
        <f t="shared" si="964"/>
        <v>0.84296296296296314</v>
      </c>
      <c r="Q266">
        <f t="shared" si="965"/>
        <v>1729596.7189170374</v>
      </c>
      <c r="R266">
        <f t="shared" si="966"/>
        <v>-30585404.827733006</v>
      </c>
      <c r="S266">
        <f t="shared" si="967"/>
        <v>-305.85404827733004</v>
      </c>
      <c r="T266">
        <f t="shared" si="968"/>
        <v>-0.30585404827733004</v>
      </c>
    </row>
    <row r="267" spans="1:20" x14ac:dyDescent="0.25">
      <c r="A267" s="5">
        <v>44326</v>
      </c>
      <c r="B267">
        <v>2.7370000000000001</v>
      </c>
      <c r="C267">
        <v>2.8490000000000002</v>
      </c>
      <c r="D267">
        <v>2.25</v>
      </c>
      <c r="E267">
        <v>2.3410000000000002</v>
      </c>
      <c r="F267">
        <v>2118179.8769999999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-0.69616026711185253</v>
      </c>
      <c r="Q267">
        <f t="shared" si="965"/>
        <v>-1474592.6689632707</v>
      </c>
      <c r="R267">
        <f t="shared" si="966"/>
        <v>-32315001.546650045</v>
      </c>
      <c r="S267">
        <f t="shared" si="967"/>
        <v>-323.15001546650046</v>
      </c>
      <c r="T267">
        <f t="shared" si="968"/>
        <v>-0.32315001546650046</v>
      </c>
    </row>
    <row r="268" spans="1:20" x14ac:dyDescent="0.25">
      <c r="A268" s="5">
        <v>44325</v>
      </c>
      <c r="B268">
        <v>2.8079999999999998</v>
      </c>
      <c r="C268">
        <v>3.09</v>
      </c>
      <c r="D268">
        <v>2.5499999999999998</v>
      </c>
      <c r="E268">
        <v>2.7370000000000001</v>
      </c>
      <c r="F268">
        <v>1634041.496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-0.30740740740740641</v>
      </c>
      <c r="Q268">
        <f t="shared" si="965"/>
        <v>-502316.45988147985</v>
      </c>
      <c r="R268">
        <f t="shared" si="966"/>
        <v>-30840408.877686772</v>
      </c>
      <c r="S268">
        <f t="shared" si="967"/>
        <v>-308.40408877686775</v>
      </c>
      <c r="T268">
        <f t="shared" si="968"/>
        <v>-0.30840408877686776</v>
      </c>
    </row>
    <row r="269" spans="1:20" x14ac:dyDescent="0.25">
      <c r="A269" s="5">
        <v>44324</v>
      </c>
      <c r="B269">
        <v>2.8679999999999999</v>
      </c>
      <c r="C269">
        <v>3.1</v>
      </c>
      <c r="D269">
        <v>2.7719999999999998</v>
      </c>
      <c r="E269">
        <v>2.8119999999999998</v>
      </c>
      <c r="F269">
        <v>1204548.8729999999</v>
      </c>
      <c r="G269">
        <v>0</v>
      </c>
      <c r="L269" t="s">
        <v>7</v>
      </c>
      <c r="M269" t="s">
        <v>7</v>
      </c>
      <c r="N269" t="s">
        <v>7</v>
      </c>
      <c r="P269">
        <f t="shared" si="964"/>
        <v>-0.75609756097560976</v>
      </c>
      <c r="Q269">
        <f t="shared" si="965"/>
        <v>-910756.4649512195</v>
      </c>
      <c r="R269">
        <f t="shared" si="966"/>
        <v>-30338092.417805292</v>
      </c>
      <c r="S269">
        <f t="shared" si="967"/>
        <v>-303.38092417805291</v>
      </c>
      <c r="T269">
        <f t="shared" si="968"/>
        <v>-0.3033809241780529</v>
      </c>
    </row>
    <row r="270" spans="1:20" x14ac:dyDescent="0.25">
      <c r="A270" s="5">
        <v>44323</v>
      </c>
      <c r="B270">
        <v>3.097</v>
      </c>
      <c r="C270">
        <v>3.3940000000000001</v>
      </c>
      <c r="D270">
        <v>2.7</v>
      </c>
      <c r="E270">
        <v>2.8679999999999999</v>
      </c>
      <c r="F270">
        <v>2798391.3220000002</v>
      </c>
      <c r="G270">
        <v>0</v>
      </c>
      <c r="L270" t="s">
        <v>8</v>
      </c>
      <c r="M270" t="s">
        <v>8</v>
      </c>
      <c r="N270" t="s">
        <v>7</v>
      </c>
      <c r="P270">
        <f t="shared" si="964"/>
        <v>-0.51585014409221985</v>
      </c>
      <c r="Q270">
        <f t="shared" si="965"/>
        <v>-1443550.5666801177</v>
      </c>
      <c r="R270">
        <f t="shared" si="966"/>
        <v>-29427335.952854071</v>
      </c>
      <c r="S270">
        <f t="shared" si="967"/>
        <v>-294.27335952854071</v>
      </c>
      <c r="T270">
        <f t="shared" si="968"/>
        <v>-0.29427335952854072</v>
      </c>
    </row>
    <row r="271" spans="1:20" x14ac:dyDescent="0.25">
      <c r="A271" s="5">
        <v>44322</v>
      </c>
      <c r="B271">
        <v>2.9870000000000001</v>
      </c>
      <c r="C271">
        <v>3.2989999999999999</v>
      </c>
      <c r="D271">
        <v>2.7080000000000002</v>
      </c>
      <c r="E271">
        <v>3.0920000000000001</v>
      </c>
      <c r="F271">
        <v>2441396.324</v>
      </c>
      <c r="G271">
        <v>0</v>
      </c>
      <c r="L271" t="s">
        <v>8</v>
      </c>
      <c r="M271" t="s">
        <v>7</v>
      </c>
      <c r="N271" t="s">
        <v>7</v>
      </c>
      <c r="P271">
        <f t="shared" si="964"/>
        <v>0.29949238578680226</v>
      </c>
      <c r="Q271">
        <f t="shared" si="965"/>
        <v>731179.60972588893</v>
      </c>
      <c r="R271">
        <f t="shared" si="966"/>
        <v>-27983785.386173952</v>
      </c>
      <c r="S271">
        <f t="shared" si="967"/>
        <v>-279.83785386173952</v>
      </c>
      <c r="T271">
        <f t="shared" si="968"/>
        <v>-0.27983785386173954</v>
      </c>
    </row>
    <row r="272" spans="1:20" x14ac:dyDescent="0.25">
      <c r="A272" s="5">
        <v>44321</v>
      </c>
      <c r="B272">
        <v>2.7450000000000001</v>
      </c>
      <c r="C272">
        <v>3.593</v>
      </c>
      <c r="D272">
        <v>2.669</v>
      </c>
      <c r="E272">
        <v>2.99</v>
      </c>
      <c r="F272">
        <v>5228565.3150000004</v>
      </c>
      <c r="G272">
        <v>0</v>
      </c>
      <c r="L272" t="s">
        <v>7</v>
      </c>
      <c r="M272" t="s">
        <v>8</v>
      </c>
      <c r="N272" t="s">
        <v>7</v>
      </c>
      <c r="P272">
        <f t="shared" si="964"/>
        <v>-0.30519480519480474</v>
      </c>
      <c r="Q272">
        <f t="shared" si="965"/>
        <v>-1595730.9727597381</v>
      </c>
      <c r="R272">
        <f t="shared" si="966"/>
        <v>-28714964.995899841</v>
      </c>
      <c r="S272">
        <f t="shared" si="967"/>
        <v>-287.1496499589984</v>
      </c>
      <c r="T272">
        <f t="shared" si="968"/>
        <v>-0.28714964995899839</v>
      </c>
    </row>
    <row r="273" spans="1:20" x14ac:dyDescent="0.25">
      <c r="A273" s="5">
        <v>44320</v>
      </c>
      <c r="B273">
        <v>3.07</v>
      </c>
      <c r="C273">
        <v>3.0720000000000001</v>
      </c>
      <c r="D273">
        <v>2.7360000000000002</v>
      </c>
      <c r="E273">
        <v>2.7429999999999999</v>
      </c>
      <c r="F273">
        <v>2485643.0619999999</v>
      </c>
      <c r="G273">
        <v>0</v>
      </c>
      <c r="L273" t="s">
        <v>7</v>
      </c>
      <c r="M273" t="s">
        <v>7</v>
      </c>
      <c r="N273" t="s">
        <v>7</v>
      </c>
      <c r="P273">
        <f t="shared" si="964"/>
        <v>-0.95833333333333526</v>
      </c>
      <c r="Q273">
        <f t="shared" si="965"/>
        <v>-2382074.6010833383</v>
      </c>
      <c r="R273">
        <f t="shared" si="966"/>
        <v>-27119234.023140103</v>
      </c>
      <c r="S273">
        <f t="shared" si="967"/>
        <v>-271.19234023140103</v>
      </c>
      <c r="T273">
        <f t="shared" si="968"/>
        <v>-0.27119234023140104</v>
      </c>
    </row>
    <row r="274" spans="1:20" x14ac:dyDescent="0.25">
      <c r="A274" s="5">
        <v>44319</v>
      </c>
      <c r="B274">
        <v>3.3170000000000002</v>
      </c>
      <c r="C274">
        <v>3.5179999999999998</v>
      </c>
      <c r="D274">
        <v>3.0449999999999999</v>
      </c>
      <c r="E274">
        <v>3.07</v>
      </c>
      <c r="F274">
        <v>3773306.4330000002</v>
      </c>
      <c r="G274">
        <v>0</v>
      </c>
      <c r="L274" t="s">
        <v>7</v>
      </c>
      <c r="M274" t="s">
        <v>7</v>
      </c>
      <c r="N274" t="s">
        <v>7</v>
      </c>
      <c r="P274">
        <f t="shared" si="964"/>
        <v>-0.89429175475687139</v>
      </c>
      <c r="Q274">
        <f t="shared" si="965"/>
        <v>-3374436.8312029615</v>
      </c>
      <c r="R274">
        <f t="shared" si="966"/>
        <v>-24737159.422056764</v>
      </c>
      <c r="S274">
        <f t="shared" si="967"/>
        <v>-247.37159422056763</v>
      </c>
      <c r="T274">
        <f t="shared" si="968"/>
        <v>-0.24737159422056762</v>
      </c>
    </row>
    <row r="275" spans="1:20" x14ac:dyDescent="0.25">
      <c r="A275" s="5">
        <v>44318</v>
      </c>
      <c r="B275">
        <v>3.6890000000000001</v>
      </c>
      <c r="C275">
        <v>3.8</v>
      </c>
      <c r="D275">
        <v>3.28</v>
      </c>
      <c r="E275">
        <v>3.3090000000000002</v>
      </c>
      <c r="F275">
        <v>4826793.1849999996</v>
      </c>
      <c r="G275">
        <v>0</v>
      </c>
      <c r="L275" t="s">
        <v>7</v>
      </c>
      <c r="M275" t="s">
        <v>7</v>
      </c>
      <c r="N275" t="s">
        <v>7</v>
      </c>
      <c r="P275">
        <f t="shared" si="964"/>
        <v>-0.88846153846153708</v>
      </c>
      <c r="Q275">
        <f t="shared" si="965"/>
        <v>-4288420.0989807621</v>
      </c>
      <c r="R275">
        <f t="shared" si="966"/>
        <v>-21362722.590853803</v>
      </c>
      <c r="S275">
        <f t="shared" si="967"/>
        <v>-213.62722590853804</v>
      </c>
      <c r="T275">
        <f t="shared" si="968"/>
        <v>-0.21362722590853803</v>
      </c>
    </row>
    <row r="276" spans="1:20" x14ac:dyDescent="0.25">
      <c r="A276" s="5">
        <v>44317</v>
      </c>
      <c r="B276">
        <v>3.1920000000000002</v>
      </c>
      <c r="C276">
        <v>4.6399999999999997</v>
      </c>
      <c r="D276">
        <v>2.9849999999999999</v>
      </c>
      <c r="E276">
        <v>3.6890000000000001</v>
      </c>
      <c r="F276">
        <v>28374921.046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-0.14924471299093622</v>
      </c>
      <c r="Q276">
        <f t="shared" si="965"/>
        <v>-4234806.9476507455</v>
      </c>
      <c r="R276">
        <f t="shared" si="966"/>
        <v>-17074302.491873041</v>
      </c>
      <c r="S276">
        <f t="shared" si="967"/>
        <v>-170.74302491873041</v>
      </c>
      <c r="T276">
        <f t="shared" si="968"/>
        <v>-0.17074302491873042</v>
      </c>
    </row>
    <row r="277" spans="1:20" x14ac:dyDescent="0.25">
      <c r="A277" s="5">
        <v>44316</v>
      </c>
      <c r="B277">
        <v>2.3610000000000002</v>
      </c>
      <c r="C277">
        <v>4.47</v>
      </c>
      <c r="D277">
        <v>2.3279999999999998</v>
      </c>
      <c r="E277">
        <v>3.19</v>
      </c>
      <c r="F277">
        <v>16154965.244000001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-0.19514472455648912</v>
      </c>
      <c r="Q277">
        <f t="shared" si="965"/>
        <v>-3152556.2427600352</v>
      </c>
      <c r="R277">
        <f t="shared" si="966"/>
        <v>-12839495.544222295</v>
      </c>
      <c r="S277">
        <f t="shared" si="967"/>
        <v>-128.39495544222297</v>
      </c>
      <c r="T277">
        <f t="shared" si="968"/>
        <v>-0.12839495544222296</v>
      </c>
    </row>
    <row r="278" spans="1:20" x14ac:dyDescent="0.25">
      <c r="A278" s="5">
        <v>44315</v>
      </c>
      <c r="B278">
        <v>2.2999999999999998</v>
      </c>
      <c r="C278">
        <v>2.423</v>
      </c>
      <c r="D278">
        <v>2.1379999999999999</v>
      </c>
      <c r="E278">
        <v>2.3610000000000002</v>
      </c>
      <c r="F278">
        <v>1637008.763</v>
      </c>
      <c r="G278">
        <v>0</v>
      </c>
      <c r="L278" t="s">
        <v>7</v>
      </c>
      <c r="M278" t="s">
        <v>7</v>
      </c>
      <c r="N278" t="s">
        <v>7</v>
      </c>
      <c r="P278">
        <f t="shared" si="964"/>
        <v>0.56491228070175581</v>
      </c>
      <c r="Q278">
        <f t="shared" si="965"/>
        <v>924766.35383509006</v>
      </c>
      <c r="R278">
        <f t="shared" si="966"/>
        <v>-9686939.3014622591</v>
      </c>
      <c r="S278">
        <f t="shared" si="967"/>
        <v>-96.869393014622588</v>
      </c>
      <c r="T278">
        <f t="shared" si="968"/>
        <v>-9.6869393014622593E-2</v>
      </c>
    </row>
    <row r="279" spans="1:20" x14ac:dyDescent="0.25">
      <c r="A279" s="5">
        <v>44314</v>
      </c>
      <c r="B279">
        <v>2.411</v>
      </c>
      <c r="C279">
        <v>2.4649999999999999</v>
      </c>
      <c r="D279">
        <v>2.1880000000000002</v>
      </c>
      <c r="E279">
        <v>2.2989999999999999</v>
      </c>
      <c r="F279">
        <v>1854070.71</v>
      </c>
      <c r="G279">
        <v>0</v>
      </c>
      <c r="L279" t="s">
        <v>7</v>
      </c>
      <c r="M279" t="s">
        <v>7</v>
      </c>
      <c r="N279" t="s">
        <v>8</v>
      </c>
      <c r="P279">
        <f t="shared" si="964"/>
        <v>-0.19855595667870116</v>
      </c>
      <c r="Q279">
        <f t="shared" si="965"/>
        <v>-368136.78357400867</v>
      </c>
      <c r="R279">
        <f t="shared" si="966"/>
        <v>-10611705.655297348</v>
      </c>
      <c r="S279">
        <f t="shared" si="967"/>
        <v>-106.11705655297348</v>
      </c>
      <c r="T279">
        <f t="shared" si="968"/>
        <v>-0.10611705655297347</v>
      </c>
    </row>
    <row r="280" spans="1:20" x14ac:dyDescent="0.25">
      <c r="A280" s="5">
        <v>44313</v>
      </c>
      <c r="B280">
        <v>2.2229999999999999</v>
      </c>
      <c r="C280">
        <v>2.98</v>
      </c>
      <c r="D280">
        <v>2.17</v>
      </c>
      <c r="E280">
        <v>2.411</v>
      </c>
      <c r="F280">
        <v>5912922.9129999997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-0.40493827160493806</v>
      </c>
      <c r="Q280">
        <f t="shared" si="965"/>
        <v>-2394368.7845234554</v>
      </c>
      <c r="R280">
        <f t="shared" si="966"/>
        <v>-10243568.871723339</v>
      </c>
      <c r="S280">
        <f t="shared" si="967"/>
        <v>-102.43568871723339</v>
      </c>
      <c r="T280">
        <f t="shared" si="968"/>
        <v>-0.10243568871723339</v>
      </c>
    </row>
    <row r="281" spans="1:20" x14ac:dyDescent="0.25">
      <c r="A281" s="5">
        <v>44312</v>
      </c>
      <c r="B281">
        <v>1.7689999999999999</v>
      </c>
      <c r="C281">
        <v>2.4900000000000002</v>
      </c>
      <c r="D281">
        <v>1.7330000000000001</v>
      </c>
      <c r="E281">
        <v>2.2229999999999999</v>
      </c>
      <c r="F281">
        <v>1917145.7069999999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0.29458388375165045</v>
      </c>
      <c r="Q281">
        <f t="shared" si="965"/>
        <v>564760.22808586375</v>
      </c>
      <c r="R281">
        <f t="shared" si="966"/>
        <v>-7849200.0871998845</v>
      </c>
      <c r="S281">
        <f t="shared" si="967"/>
        <v>-78.49200087199884</v>
      </c>
      <c r="T281">
        <f t="shared" si="968"/>
        <v>-7.849200087199884E-2</v>
      </c>
    </row>
    <row r="282" spans="1:20" x14ac:dyDescent="0.25">
      <c r="A282" s="5">
        <v>44311</v>
      </c>
      <c r="B282">
        <v>1.694</v>
      </c>
      <c r="C282">
        <v>1.9990000000000001</v>
      </c>
      <c r="D282">
        <v>1.661</v>
      </c>
      <c r="E282">
        <v>1.7669999999999999</v>
      </c>
      <c r="F282">
        <v>756568.08499999996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-0.3727810650887583</v>
      </c>
      <c r="Q282">
        <f t="shared" si="965"/>
        <v>-282034.25653846218</v>
      </c>
      <c r="R282">
        <f t="shared" si="966"/>
        <v>-8413960.3152857479</v>
      </c>
      <c r="S282">
        <f t="shared" si="967"/>
        <v>-84.139603152857475</v>
      </c>
      <c r="T282">
        <f t="shared" si="968"/>
        <v>-8.413960315285747E-2</v>
      </c>
    </row>
    <row r="283" spans="1:20" x14ac:dyDescent="0.25">
      <c r="A283" s="5">
        <v>44310</v>
      </c>
      <c r="B283">
        <v>1.8440000000000001</v>
      </c>
      <c r="C283">
        <v>2</v>
      </c>
      <c r="D283">
        <v>1.63</v>
      </c>
      <c r="E283">
        <v>1.6879999999999999</v>
      </c>
      <c r="F283">
        <v>705373.84400000004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-0.68648648648648625</v>
      </c>
      <c r="Q283">
        <f t="shared" si="965"/>
        <v>-484229.61182702688</v>
      </c>
      <c r="R283">
        <f t="shared" si="966"/>
        <v>-8131926.058747286</v>
      </c>
      <c r="S283">
        <f t="shared" si="967"/>
        <v>-81.319260587472854</v>
      </c>
      <c r="T283">
        <f t="shared" si="968"/>
        <v>-8.1319260587472852E-2</v>
      </c>
    </row>
    <row r="284" spans="1:20" x14ac:dyDescent="0.25">
      <c r="A284" s="5">
        <v>44309</v>
      </c>
      <c r="B284">
        <v>2.0649999999999999</v>
      </c>
      <c r="C284">
        <v>2.0649999999999999</v>
      </c>
      <c r="D284">
        <v>1.56</v>
      </c>
      <c r="E284">
        <v>1.8440000000000001</v>
      </c>
      <c r="F284">
        <v>1723687.054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0.12475247524752511</v>
      </c>
      <c r="Q284">
        <f t="shared" si="965"/>
        <v>215034.22653861449</v>
      </c>
      <c r="R284">
        <f t="shared" si="966"/>
        <v>-7647696.4469202589</v>
      </c>
      <c r="S284">
        <f t="shared" si="967"/>
        <v>-76.476964469202585</v>
      </c>
      <c r="T284">
        <f t="shared" si="968"/>
        <v>-7.6476964469202588E-2</v>
      </c>
    </row>
    <row r="285" spans="1:20" x14ac:dyDescent="0.25">
      <c r="A285" s="5">
        <v>44308</v>
      </c>
      <c r="B285">
        <v>2.27</v>
      </c>
      <c r="C285">
        <v>2.5</v>
      </c>
      <c r="D285">
        <v>2.0099999999999998</v>
      </c>
      <c r="E285">
        <v>2.0619999999999998</v>
      </c>
      <c r="F285">
        <v>841039.91299999994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-0.78775510204081622</v>
      </c>
      <c r="Q285">
        <f t="shared" si="965"/>
        <v>-662533.48248571414</v>
      </c>
      <c r="R285">
        <f t="shared" si="966"/>
        <v>-7862730.6734588733</v>
      </c>
      <c r="S285">
        <f t="shared" si="967"/>
        <v>-78.627306734588728</v>
      </c>
      <c r="T285">
        <f t="shared" si="968"/>
        <v>-7.8627306734588731E-2</v>
      </c>
    </row>
    <row r="286" spans="1:20" x14ac:dyDescent="0.25">
      <c r="A286" s="5">
        <v>44307</v>
      </c>
      <c r="B286">
        <v>2.4529999999999998</v>
      </c>
      <c r="C286">
        <v>2.5409999999999999</v>
      </c>
      <c r="D286">
        <v>2.2440000000000002</v>
      </c>
      <c r="E286">
        <v>2.278</v>
      </c>
      <c r="F286">
        <v>661371.82299999997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-0.77104377104377209</v>
      </c>
      <c r="Q286">
        <f t="shared" si="965"/>
        <v>-509946.62446801411</v>
      </c>
      <c r="R286">
        <f t="shared" si="966"/>
        <v>-7200197.1909731589</v>
      </c>
      <c r="S286">
        <f t="shared" si="967"/>
        <v>-72.001971909731594</v>
      </c>
      <c r="T286">
        <f t="shared" si="968"/>
        <v>-7.2001971909731594E-2</v>
      </c>
    </row>
    <row r="287" spans="1:20" x14ac:dyDescent="0.25">
      <c r="A287" s="5">
        <v>44306</v>
      </c>
      <c r="B287">
        <v>2.5070000000000001</v>
      </c>
      <c r="C287">
        <v>2.7</v>
      </c>
      <c r="D287">
        <v>1.95</v>
      </c>
      <c r="E287">
        <v>2.4529999999999998</v>
      </c>
      <c r="F287">
        <v>3533692.1869999999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0.34133333333333266</v>
      </c>
      <c r="Q287">
        <f t="shared" si="965"/>
        <v>1206166.9331626643</v>
      </c>
      <c r="R287">
        <f t="shared" si="966"/>
        <v>-6690250.5665051453</v>
      </c>
      <c r="S287">
        <f t="shared" si="967"/>
        <v>-66.90250566505145</v>
      </c>
      <c r="T287">
        <f t="shared" si="968"/>
        <v>-6.6902505665051445E-2</v>
      </c>
    </row>
    <row r="288" spans="1:20" x14ac:dyDescent="0.25">
      <c r="A288" s="5">
        <v>44305</v>
      </c>
      <c r="B288">
        <v>2.8</v>
      </c>
      <c r="C288">
        <v>3.08</v>
      </c>
      <c r="D288">
        <v>2.3540000000000001</v>
      </c>
      <c r="E288">
        <v>2.5019999999999998</v>
      </c>
      <c r="F288">
        <v>673080.11399999994</v>
      </c>
      <c r="G288">
        <v>0</v>
      </c>
      <c r="L288" t="s">
        <v>7</v>
      </c>
      <c r="M288" t="s">
        <v>7</v>
      </c>
      <c r="N288" t="s">
        <v>7</v>
      </c>
      <c r="P288">
        <f t="shared" si="964"/>
        <v>-0.59228650137741135</v>
      </c>
      <c r="Q288">
        <f t="shared" si="965"/>
        <v>-398656.26586776914</v>
      </c>
      <c r="R288">
        <f t="shared" si="966"/>
        <v>-7896417.4996678093</v>
      </c>
      <c r="S288">
        <f t="shared" si="967"/>
        <v>-78.964174996678096</v>
      </c>
      <c r="T288">
        <f t="shared" si="968"/>
        <v>-7.8964174996678099E-2</v>
      </c>
    </row>
    <row r="289" spans="1:20" x14ac:dyDescent="0.25">
      <c r="A289" s="5">
        <v>44304</v>
      </c>
      <c r="B289">
        <v>3.1669999999999998</v>
      </c>
      <c r="C289">
        <v>3.206</v>
      </c>
      <c r="D289">
        <v>2.4500000000000002</v>
      </c>
      <c r="E289">
        <v>2.794</v>
      </c>
      <c r="F289">
        <v>839019.47400000005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-8.9947089947090053E-2</v>
      </c>
      <c r="Q289">
        <f t="shared" si="965"/>
        <v>-75467.360095238182</v>
      </c>
      <c r="R289">
        <f t="shared" si="966"/>
        <v>-7497761.2338000406</v>
      </c>
      <c r="S289">
        <f t="shared" si="967"/>
        <v>-74.977612338000412</v>
      </c>
      <c r="T289">
        <f t="shared" si="968"/>
        <v>-7.4977612338000418E-2</v>
      </c>
    </row>
    <row r="290" spans="1:20" x14ac:dyDescent="0.25">
      <c r="A290" s="5">
        <v>44303</v>
      </c>
      <c r="B290">
        <v>3.2509999999999999</v>
      </c>
      <c r="C290">
        <v>3.4550000000000001</v>
      </c>
      <c r="D290">
        <v>3.1269999999999998</v>
      </c>
      <c r="E290">
        <v>3.1659999999999999</v>
      </c>
      <c r="F290">
        <v>695046.61499999999</v>
      </c>
      <c r="G290">
        <v>0</v>
      </c>
      <c r="L290" t="s">
        <v>7</v>
      </c>
      <c r="M290" t="s">
        <v>7</v>
      </c>
      <c r="N290" t="s">
        <v>7</v>
      </c>
      <c r="P290">
        <f t="shared" si="964"/>
        <v>-0.76219512195121886</v>
      </c>
      <c r="Q290">
        <f t="shared" si="965"/>
        <v>-529761.13948170689</v>
      </c>
      <c r="R290">
        <f t="shared" si="966"/>
        <v>-7422293.8737048022</v>
      </c>
      <c r="S290">
        <f t="shared" si="967"/>
        <v>-74.222938737048025</v>
      </c>
      <c r="T290">
        <f t="shared" si="968"/>
        <v>-7.4222938737048022E-2</v>
      </c>
    </row>
    <row r="291" spans="1:20" x14ac:dyDescent="0.25">
      <c r="A291" s="5">
        <v>44302</v>
      </c>
      <c r="B291">
        <v>3.5059999999999998</v>
      </c>
      <c r="C291">
        <v>3.5960000000000001</v>
      </c>
      <c r="D291">
        <v>3.1219999999999999</v>
      </c>
      <c r="E291">
        <v>3.25</v>
      </c>
      <c r="F291">
        <v>527943.47400000005</v>
      </c>
      <c r="G291">
        <v>0</v>
      </c>
      <c r="L291" t="s">
        <v>8</v>
      </c>
      <c r="M291" t="s">
        <v>7</v>
      </c>
      <c r="N291" t="s">
        <v>7</v>
      </c>
      <c r="P291">
        <f t="shared" si="964"/>
        <v>-0.45991561181434576</v>
      </c>
      <c r="Q291">
        <f t="shared" si="965"/>
        <v>-242809.44584810117</v>
      </c>
      <c r="R291">
        <f t="shared" si="966"/>
        <v>-6892532.7342230957</v>
      </c>
      <c r="S291">
        <f t="shared" si="967"/>
        <v>-68.925327342230958</v>
      </c>
      <c r="T291">
        <f t="shared" si="968"/>
        <v>-6.892532734223096E-2</v>
      </c>
    </row>
    <row r="292" spans="1:20" x14ac:dyDescent="0.25">
      <c r="A292" s="5">
        <v>44301</v>
      </c>
      <c r="B292">
        <v>3.282</v>
      </c>
      <c r="C292">
        <v>3.55</v>
      </c>
      <c r="D292">
        <v>3.2770000000000001</v>
      </c>
      <c r="E292">
        <v>3.4910000000000001</v>
      </c>
      <c r="F292">
        <v>514054.25699999998</v>
      </c>
      <c r="G292">
        <v>0</v>
      </c>
      <c r="L292" t="s">
        <v>8</v>
      </c>
      <c r="M292" t="s">
        <v>7</v>
      </c>
      <c r="N292" t="s">
        <v>7</v>
      </c>
      <c r="P292">
        <f t="shared" si="964"/>
        <v>0.5677655677655693</v>
      </c>
      <c r="Q292">
        <f t="shared" si="965"/>
        <v>291862.30708791286</v>
      </c>
      <c r="R292">
        <f t="shared" si="966"/>
        <v>-6649723.2883749949</v>
      </c>
      <c r="S292">
        <f t="shared" si="967"/>
        <v>-66.497232883749945</v>
      </c>
      <c r="T292">
        <f t="shared" si="968"/>
        <v>-6.6497232883749952E-2</v>
      </c>
    </row>
    <row r="293" spans="1:20" x14ac:dyDescent="0.25">
      <c r="A293" s="5">
        <v>44300</v>
      </c>
      <c r="B293">
        <v>3.387</v>
      </c>
      <c r="C293">
        <v>3.4</v>
      </c>
      <c r="D293">
        <v>3.17</v>
      </c>
      <c r="E293">
        <v>3.2890000000000001</v>
      </c>
      <c r="F293">
        <v>518200.25699999998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3.4782608695654138E-2</v>
      </c>
      <c r="Q293">
        <f t="shared" si="965"/>
        <v>18024.35676521841</v>
      </c>
      <c r="R293">
        <f t="shared" si="966"/>
        <v>-6941585.595462908</v>
      </c>
      <c r="S293">
        <f t="shared" si="967"/>
        <v>-69.41585595462908</v>
      </c>
      <c r="T293">
        <f t="shared" si="968"/>
        <v>-6.9415855954629083E-2</v>
      </c>
    </row>
    <row r="294" spans="1:20" x14ac:dyDescent="0.25">
      <c r="A294" s="5">
        <v>44299</v>
      </c>
      <c r="B294">
        <v>3.4980000000000002</v>
      </c>
      <c r="C294">
        <v>3.6480000000000001</v>
      </c>
      <c r="D294">
        <v>3.3109999999999999</v>
      </c>
      <c r="E294">
        <v>3.3849999999999998</v>
      </c>
      <c r="F294">
        <v>537890.51399999997</v>
      </c>
      <c r="G294">
        <v>0</v>
      </c>
      <c r="L294" t="s">
        <v>7</v>
      </c>
      <c r="M294" t="s">
        <v>7</v>
      </c>
      <c r="N294" t="s">
        <v>7</v>
      </c>
      <c r="P294">
        <f t="shared" si="964"/>
        <v>-0.56083086053412579</v>
      </c>
      <c r="Q294">
        <f t="shared" si="965"/>
        <v>-301665.59983976319</v>
      </c>
      <c r="R294">
        <f t="shared" si="966"/>
        <v>-6959609.9522281261</v>
      </c>
      <c r="S294">
        <f t="shared" si="967"/>
        <v>-69.596099522281264</v>
      </c>
      <c r="T294">
        <f t="shared" si="968"/>
        <v>-6.9596099522281268E-2</v>
      </c>
    </row>
    <row r="295" spans="1:20" x14ac:dyDescent="0.25">
      <c r="A295" s="5">
        <v>44298</v>
      </c>
      <c r="B295">
        <v>3.6389999999999998</v>
      </c>
      <c r="C295">
        <v>3.6960000000000002</v>
      </c>
      <c r="D295">
        <v>3.3719999999999999</v>
      </c>
      <c r="E295">
        <v>3.4980000000000002</v>
      </c>
      <c r="F295">
        <v>413297.18</v>
      </c>
      <c r="G295">
        <v>0</v>
      </c>
      <c r="L295" t="s">
        <v>8</v>
      </c>
      <c r="M295" t="s">
        <v>7</v>
      </c>
      <c r="N295" t="s">
        <v>7</v>
      </c>
      <c r="P295">
        <f t="shared" si="964"/>
        <v>-0.22222222222222085</v>
      </c>
      <c r="Q295">
        <f t="shared" si="965"/>
        <v>-91843.817777777207</v>
      </c>
      <c r="R295">
        <f t="shared" si="966"/>
        <v>-6657944.3523883633</v>
      </c>
      <c r="S295">
        <f t="shared" si="967"/>
        <v>-66.57944352388364</v>
      </c>
      <c r="T295">
        <f t="shared" si="968"/>
        <v>-6.6579443523883647E-2</v>
      </c>
    </row>
    <row r="296" spans="1:20" x14ac:dyDescent="0.25">
      <c r="A296" s="5">
        <v>44297</v>
      </c>
      <c r="B296">
        <v>3.6059999999999999</v>
      </c>
      <c r="C296">
        <v>3.7250000000000001</v>
      </c>
      <c r="D296">
        <v>3.395</v>
      </c>
      <c r="E296">
        <v>3.6309999999999998</v>
      </c>
      <c r="F296">
        <v>574798.94400000002</v>
      </c>
      <c r="G296">
        <v>0</v>
      </c>
      <c r="L296" t="s">
        <v>7</v>
      </c>
      <c r="M296" t="s">
        <v>8</v>
      </c>
      <c r="N296" t="s">
        <v>7</v>
      </c>
      <c r="P296">
        <f t="shared" si="964"/>
        <v>0.43030303030302858</v>
      </c>
      <c r="Q296">
        <f t="shared" si="965"/>
        <v>247337.72741818085</v>
      </c>
      <c r="R296">
        <f t="shared" si="966"/>
        <v>-6566100.5346105862</v>
      </c>
      <c r="S296">
        <f t="shared" si="967"/>
        <v>-65.661005346105867</v>
      </c>
      <c r="T296">
        <f t="shared" si="968"/>
        <v>-6.5661005346105861E-2</v>
      </c>
    </row>
    <row r="297" spans="1:20" x14ac:dyDescent="0.25">
      <c r="A297" s="5">
        <v>44296</v>
      </c>
      <c r="B297">
        <v>3.8450000000000002</v>
      </c>
      <c r="C297">
        <v>3.9540000000000002</v>
      </c>
      <c r="D297">
        <v>3.504</v>
      </c>
      <c r="E297">
        <v>3.6059999999999999</v>
      </c>
      <c r="F297">
        <v>864223.598</v>
      </c>
      <c r="G297">
        <v>0</v>
      </c>
      <c r="L297" t="s">
        <v>7</v>
      </c>
      <c r="M297" t="s">
        <v>8</v>
      </c>
      <c r="N297" t="s">
        <v>7</v>
      </c>
      <c r="P297">
        <f t="shared" si="964"/>
        <v>-0.54666666666666741</v>
      </c>
      <c r="Q297">
        <f t="shared" si="965"/>
        <v>-472442.233573334</v>
      </c>
      <c r="R297">
        <f t="shared" si="966"/>
        <v>-6813438.2620287668</v>
      </c>
      <c r="S297">
        <f t="shared" si="967"/>
        <v>-68.134382620287667</v>
      </c>
      <c r="T297">
        <f t="shared" si="968"/>
        <v>-6.8134382620287662E-2</v>
      </c>
    </row>
    <row r="298" spans="1:20" x14ac:dyDescent="0.25">
      <c r="A298" s="5">
        <v>44295</v>
      </c>
      <c r="B298">
        <v>3.645</v>
      </c>
      <c r="C298">
        <v>4.0759999999999996</v>
      </c>
      <c r="D298">
        <v>3.629</v>
      </c>
      <c r="E298">
        <v>3.8439999999999999</v>
      </c>
      <c r="F298">
        <v>1039464.3050000001</v>
      </c>
      <c r="G298">
        <v>0</v>
      </c>
      <c r="L298" t="s">
        <v>8</v>
      </c>
      <c r="M298" t="s">
        <v>8</v>
      </c>
      <c r="N298" t="s">
        <v>7</v>
      </c>
      <c r="P298">
        <f t="shared" si="964"/>
        <v>-3.8031319910514359E-2</v>
      </c>
      <c r="Q298">
        <f t="shared" si="965"/>
        <v>-39532.19951901547</v>
      </c>
      <c r="R298">
        <f t="shared" si="966"/>
        <v>-6340996.0284554325</v>
      </c>
      <c r="S298">
        <f t="shared" si="967"/>
        <v>-63.409960284554323</v>
      </c>
      <c r="T298">
        <f t="shared" si="968"/>
        <v>-6.3409960284554326E-2</v>
      </c>
    </row>
    <row r="299" spans="1:20" x14ac:dyDescent="0.25">
      <c r="A299" s="5">
        <v>44294</v>
      </c>
      <c r="B299">
        <v>3.306</v>
      </c>
      <c r="C299">
        <v>3.78</v>
      </c>
      <c r="D299">
        <v>3.28</v>
      </c>
      <c r="E299">
        <v>3.6509999999999998</v>
      </c>
      <c r="F299">
        <v>612347.64899999998</v>
      </c>
      <c r="G299">
        <v>0</v>
      </c>
      <c r="L299" t="s">
        <v>8</v>
      </c>
      <c r="M299" t="s">
        <v>8</v>
      </c>
      <c r="N299" t="s">
        <v>7</v>
      </c>
      <c r="P299">
        <f t="shared" si="964"/>
        <v>0.48399999999999999</v>
      </c>
      <c r="Q299">
        <f t="shared" si="965"/>
        <v>296376.262116</v>
      </c>
      <c r="R299">
        <f t="shared" si="966"/>
        <v>-6301463.8289364167</v>
      </c>
      <c r="S299">
        <f t="shared" si="967"/>
        <v>-63.014638289364164</v>
      </c>
      <c r="T299">
        <f t="shared" si="968"/>
        <v>-6.3014638289364169E-2</v>
      </c>
    </row>
    <row r="300" spans="1:20" x14ac:dyDescent="0.25">
      <c r="A300" s="5">
        <v>44293</v>
      </c>
      <c r="B300">
        <v>3.516</v>
      </c>
      <c r="C300">
        <v>3.625</v>
      </c>
      <c r="D300">
        <v>3.121</v>
      </c>
      <c r="E300">
        <v>3.319</v>
      </c>
      <c r="F300">
        <v>808692.05599999998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-0.21428571428571447</v>
      </c>
      <c r="Q300">
        <f t="shared" si="965"/>
        <v>-173291.154857143</v>
      </c>
      <c r="R300">
        <f t="shared" si="966"/>
        <v>-6597840.0910524167</v>
      </c>
      <c r="S300">
        <f t="shared" si="967"/>
        <v>-65.978400910524172</v>
      </c>
      <c r="T300">
        <f t="shared" si="968"/>
        <v>-6.5978400910524176E-2</v>
      </c>
    </row>
    <row r="301" spans="1:20" x14ac:dyDescent="0.25">
      <c r="A301" s="5">
        <v>44292</v>
      </c>
      <c r="B301">
        <v>3.7090000000000001</v>
      </c>
      <c r="C301">
        <v>3.86</v>
      </c>
      <c r="D301">
        <v>3.4649999999999999</v>
      </c>
      <c r="E301">
        <v>3.5169999999999999</v>
      </c>
      <c r="F301">
        <v>744260.37199999997</v>
      </c>
      <c r="G301">
        <v>0</v>
      </c>
      <c r="L301" t="s">
        <v>7</v>
      </c>
      <c r="M301" t="s">
        <v>7</v>
      </c>
      <c r="N301" t="s">
        <v>7</v>
      </c>
      <c r="P301">
        <f t="shared" si="964"/>
        <v>-0.73670886075949349</v>
      </c>
      <c r="Q301">
        <f t="shared" si="965"/>
        <v>-548303.21076455677</v>
      </c>
      <c r="R301">
        <f t="shared" si="966"/>
        <v>-6424548.9361952739</v>
      </c>
      <c r="S301">
        <f t="shared" si="967"/>
        <v>-64.245489361952735</v>
      </c>
      <c r="T301">
        <f t="shared" si="968"/>
        <v>-6.4245489361952735E-2</v>
      </c>
    </row>
    <row r="302" spans="1:20" x14ac:dyDescent="0.25">
      <c r="A302" s="5">
        <v>44291</v>
      </c>
      <c r="B302">
        <v>3.7970000000000002</v>
      </c>
      <c r="C302">
        <v>3.93</v>
      </c>
      <c r="D302">
        <v>3.6520000000000001</v>
      </c>
      <c r="E302">
        <v>3.7090000000000001</v>
      </c>
      <c r="F302">
        <v>580004.85400000005</v>
      </c>
      <c r="G302">
        <v>0</v>
      </c>
      <c r="L302" t="s">
        <v>7</v>
      </c>
      <c r="M302" t="s">
        <v>7</v>
      </c>
      <c r="N302" t="s">
        <v>7</v>
      </c>
      <c r="P302">
        <f t="shared" si="964"/>
        <v>-0.58992805755395727</v>
      </c>
      <c r="Q302">
        <f t="shared" si="965"/>
        <v>-342161.13689208659</v>
      </c>
      <c r="R302">
        <f t="shared" si="966"/>
        <v>-5876245.7254307168</v>
      </c>
      <c r="S302">
        <f t="shared" si="967"/>
        <v>-58.762457254307165</v>
      </c>
      <c r="T302">
        <f t="shared" si="968"/>
        <v>-5.8762457254307163E-2</v>
      </c>
    </row>
    <row r="303" spans="1:20" x14ac:dyDescent="0.25">
      <c r="A303" s="5">
        <v>44290</v>
      </c>
      <c r="B303">
        <v>3.7530000000000001</v>
      </c>
      <c r="C303">
        <v>3.9220000000000002</v>
      </c>
      <c r="D303">
        <v>3.63</v>
      </c>
      <c r="E303">
        <v>3.7930000000000001</v>
      </c>
      <c r="F303">
        <v>475946.05200000003</v>
      </c>
      <c r="G303">
        <v>0</v>
      </c>
      <c r="L303" t="s">
        <v>8</v>
      </c>
      <c r="M303" t="s">
        <v>7</v>
      </c>
      <c r="N303" t="s">
        <v>7</v>
      </c>
      <c r="P303">
        <f t="shared" si="964"/>
        <v>0.11643835616438432</v>
      </c>
      <c r="Q303">
        <f t="shared" si="965"/>
        <v>55418.375917808582</v>
      </c>
      <c r="R303">
        <f t="shared" si="966"/>
        <v>-5534084.5885386299</v>
      </c>
      <c r="S303">
        <f t="shared" si="967"/>
        <v>-55.340845885386301</v>
      </c>
      <c r="T303">
        <f t="shared" si="968"/>
        <v>-5.5340845885386299E-2</v>
      </c>
    </row>
    <row r="304" spans="1:20" x14ac:dyDescent="0.25">
      <c r="A304" s="5">
        <v>44289</v>
      </c>
      <c r="B304">
        <v>3.6320000000000001</v>
      </c>
      <c r="C304">
        <v>4.05</v>
      </c>
      <c r="D304">
        <v>3.5710000000000002</v>
      </c>
      <c r="E304">
        <v>3.7669999999999999</v>
      </c>
      <c r="F304">
        <v>869212.59499999997</v>
      </c>
      <c r="G304">
        <v>0</v>
      </c>
      <c r="L304" t="s">
        <v>7</v>
      </c>
      <c r="M304" t="s">
        <v>7</v>
      </c>
      <c r="N304" t="s">
        <v>7</v>
      </c>
      <c r="P304">
        <f t="shared" si="964"/>
        <v>-0.1816283924843429</v>
      </c>
      <c r="Q304">
        <f t="shared" si="965"/>
        <v>-157873.68635699418</v>
      </c>
      <c r="R304">
        <f t="shared" si="966"/>
        <v>-5589502.9644564381</v>
      </c>
      <c r="S304">
        <f t="shared" si="967"/>
        <v>-55.895029644564381</v>
      </c>
      <c r="T304">
        <f t="shared" si="968"/>
        <v>-5.589502964456438E-2</v>
      </c>
    </row>
    <row r="305" spans="1:20" x14ac:dyDescent="0.25">
      <c r="A305" s="5">
        <v>44288</v>
      </c>
      <c r="B305">
        <v>3.6880000000000002</v>
      </c>
      <c r="C305">
        <v>4.2709999999999999</v>
      </c>
      <c r="D305">
        <v>3.59</v>
      </c>
      <c r="E305">
        <v>3.633</v>
      </c>
      <c r="F305">
        <v>1311010.0789999999</v>
      </c>
      <c r="G305">
        <v>0</v>
      </c>
      <c r="L305" t="s">
        <v>8</v>
      </c>
      <c r="M305" t="s">
        <v>7</v>
      </c>
      <c r="N305" t="s">
        <v>7</v>
      </c>
      <c r="P305">
        <f t="shared" si="964"/>
        <v>-0.87371512481644598</v>
      </c>
      <c r="Q305">
        <f t="shared" si="965"/>
        <v>-1145449.3348091035</v>
      </c>
      <c r="R305">
        <f t="shared" si="966"/>
        <v>-5431629.2780994438</v>
      </c>
      <c r="S305">
        <f t="shared" si="967"/>
        <v>-54.316292780994438</v>
      </c>
      <c r="T305">
        <f t="shared" si="968"/>
        <v>-5.4316292780994438E-2</v>
      </c>
    </row>
    <row r="306" spans="1:20" x14ac:dyDescent="0.25">
      <c r="A306" s="5">
        <v>44287</v>
      </c>
      <c r="B306">
        <v>3.8620000000000001</v>
      </c>
      <c r="C306">
        <v>3.8769999999999998</v>
      </c>
      <c r="D306">
        <v>3.5830000000000002</v>
      </c>
      <c r="E306">
        <v>3.6859999999999999</v>
      </c>
      <c r="F306">
        <v>547602.16099999996</v>
      </c>
      <c r="G306">
        <v>0</v>
      </c>
      <c r="L306" t="s">
        <v>7</v>
      </c>
      <c r="M306" t="s">
        <v>7</v>
      </c>
      <c r="N306" t="s">
        <v>7</v>
      </c>
      <c r="P306">
        <f t="shared" si="964"/>
        <v>-0.29931972789115713</v>
      </c>
      <c r="Q306">
        <f t="shared" si="965"/>
        <v>-163908.1298231296</v>
      </c>
      <c r="R306">
        <f t="shared" si="966"/>
        <v>-4286179.9432903398</v>
      </c>
      <c r="S306">
        <f t="shared" si="967"/>
        <v>-42.861799432903396</v>
      </c>
      <c r="T306">
        <f t="shared" si="968"/>
        <v>-4.28617994329034E-2</v>
      </c>
    </row>
    <row r="307" spans="1:20" x14ac:dyDescent="0.25">
      <c r="A307" s="5">
        <v>44286</v>
      </c>
      <c r="B307">
        <v>4.0469999999999997</v>
      </c>
      <c r="C307">
        <v>4.0490000000000004</v>
      </c>
      <c r="D307">
        <v>3.6629999999999998</v>
      </c>
      <c r="E307">
        <v>3.8450000000000002</v>
      </c>
      <c r="F307">
        <v>746966.23199999996</v>
      </c>
      <c r="G307">
        <v>0</v>
      </c>
      <c r="L307" t="s">
        <v>7</v>
      </c>
      <c r="M307" t="s">
        <v>7</v>
      </c>
      <c r="N307" t="s">
        <v>7</v>
      </c>
      <c r="P307">
        <f t="shared" si="964"/>
        <v>-5.6994818652849132E-2</v>
      </c>
      <c r="Q307">
        <f t="shared" si="965"/>
        <v>-42573.204932642031</v>
      </c>
      <c r="R307">
        <f t="shared" si="966"/>
        <v>-4122271.8134672106</v>
      </c>
      <c r="S307">
        <f t="shared" si="967"/>
        <v>-41.222718134672107</v>
      </c>
      <c r="T307">
        <f t="shared" si="968"/>
        <v>-4.1222718134672105E-2</v>
      </c>
    </row>
    <row r="308" spans="1:20" x14ac:dyDescent="0.25">
      <c r="A308" s="5">
        <v>44285</v>
      </c>
      <c r="B308">
        <v>4.2859999999999996</v>
      </c>
      <c r="C308">
        <v>4.3390000000000004</v>
      </c>
      <c r="D308">
        <v>3.9870000000000001</v>
      </c>
      <c r="E308">
        <v>4.0330000000000004</v>
      </c>
      <c r="F308">
        <v>590146.67500000005</v>
      </c>
      <c r="G308">
        <v>0</v>
      </c>
      <c r="L308" t="s">
        <v>7</v>
      </c>
      <c r="M308" t="s">
        <v>8</v>
      </c>
      <c r="N308" t="s">
        <v>7</v>
      </c>
      <c r="P308">
        <f t="shared" si="964"/>
        <v>-0.73863636363636243</v>
      </c>
      <c r="Q308">
        <f t="shared" si="965"/>
        <v>-435903.79403409024</v>
      </c>
      <c r="R308">
        <f t="shared" si="966"/>
        <v>-4079698.6085345685</v>
      </c>
      <c r="S308">
        <f t="shared" si="967"/>
        <v>-40.796986085345686</v>
      </c>
      <c r="T308">
        <f t="shared" si="968"/>
        <v>-4.0796986085345689E-2</v>
      </c>
    </row>
    <row r="309" spans="1:20" x14ac:dyDescent="0.25">
      <c r="A309" s="5">
        <v>44284</v>
      </c>
      <c r="B309">
        <v>3.9750000000000001</v>
      </c>
      <c r="C309">
        <v>4.43</v>
      </c>
      <c r="D309">
        <v>3.8759999999999999</v>
      </c>
      <c r="E309">
        <v>4.2859999999999996</v>
      </c>
      <c r="F309">
        <v>781562.60400000005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0.48014440433212935</v>
      </c>
      <c r="Q309">
        <f t="shared" si="965"/>
        <v>375262.91094584792</v>
      </c>
      <c r="R309">
        <f t="shared" si="966"/>
        <v>-3643794.8145004781</v>
      </c>
      <c r="S309">
        <f t="shared" si="967"/>
        <v>-36.437948145004782</v>
      </c>
      <c r="T309">
        <f t="shared" si="968"/>
        <v>-3.6437948145004784E-2</v>
      </c>
    </row>
    <row r="310" spans="1:20" x14ac:dyDescent="0.25">
      <c r="A310" s="5">
        <v>44283</v>
      </c>
      <c r="B310">
        <v>3.944</v>
      </c>
      <c r="C310">
        <v>4.1500000000000004</v>
      </c>
      <c r="D310">
        <v>3.7879999999999998</v>
      </c>
      <c r="E310">
        <v>3.9740000000000002</v>
      </c>
      <c r="F310">
        <v>732739.13699999999</v>
      </c>
      <c r="G310">
        <v>0</v>
      </c>
      <c r="L310" t="s">
        <v>7</v>
      </c>
      <c r="M310" t="s">
        <v>8</v>
      </c>
      <c r="N310" t="s">
        <v>7</v>
      </c>
      <c r="P310">
        <f t="shared" si="964"/>
        <v>2.7624309392265789E-2</v>
      </c>
      <c r="Q310">
        <f t="shared" si="965"/>
        <v>20241.412624309829</v>
      </c>
      <c r="R310">
        <f t="shared" si="966"/>
        <v>-4019057.7254463262</v>
      </c>
      <c r="S310">
        <f t="shared" si="967"/>
        <v>-40.190577254463264</v>
      </c>
      <c r="T310">
        <f t="shared" si="968"/>
        <v>-4.0190577254463261E-2</v>
      </c>
    </row>
    <row r="311" spans="1:20" x14ac:dyDescent="0.25">
      <c r="A311" s="5">
        <v>44282</v>
      </c>
      <c r="B311">
        <v>3.774</v>
      </c>
      <c r="C311">
        <v>4.2850000000000001</v>
      </c>
      <c r="D311">
        <v>3.7</v>
      </c>
      <c r="E311">
        <v>3.9580000000000002</v>
      </c>
      <c r="F311">
        <v>728424.74399999995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-0.11794871794871788</v>
      </c>
      <c r="Q311">
        <f t="shared" si="965"/>
        <v>-85916.76467692302</v>
      </c>
      <c r="R311">
        <f t="shared" si="966"/>
        <v>-4039299.138070636</v>
      </c>
      <c r="S311">
        <f t="shared" si="967"/>
        <v>-40.392991380706363</v>
      </c>
      <c r="T311">
        <f t="shared" si="968"/>
        <v>-4.0392991380706365E-2</v>
      </c>
    </row>
    <row r="312" spans="1:20" x14ac:dyDescent="0.25">
      <c r="A312" s="5">
        <v>44281</v>
      </c>
      <c r="B312">
        <v>3.5169999999999999</v>
      </c>
      <c r="C312">
        <v>3.879</v>
      </c>
      <c r="D312">
        <v>3.5110000000000001</v>
      </c>
      <c r="E312">
        <v>3.7770000000000001</v>
      </c>
      <c r="F312">
        <v>588810.76500000001</v>
      </c>
      <c r="G312">
        <v>0</v>
      </c>
      <c r="L312" t="s">
        <v>8</v>
      </c>
      <c r="M312" t="s">
        <v>7</v>
      </c>
      <c r="N312" t="s">
        <v>7</v>
      </c>
      <c r="P312">
        <f t="shared" si="964"/>
        <v>0.44565217391304401</v>
      </c>
      <c r="Q312">
        <f t="shared" si="965"/>
        <v>262404.79744565248</v>
      </c>
      <c r="R312">
        <f t="shared" si="966"/>
        <v>-3953382.373393713</v>
      </c>
      <c r="S312">
        <f t="shared" si="967"/>
        <v>-39.533823733937133</v>
      </c>
      <c r="T312">
        <f t="shared" si="968"/>
        <v>-3.9533823733937136E-2</v>
      </c>
    </row>
    <row r="313" spans="1:20" x14ac:dyDescent="0.25">
      <c r="A313" s="5">
        <v>44280</v>
      </c>
      <c r="B313">
        <v>3.7330000000000001</v>
      </c>
      <c r="C313">
        <v>4.1680000000000001</v>
      </c>
      <c r="D313">
        <v>3.4470000000000001</v>
      </c>
      <c r="E313">
        <v>3.516</v>
      </c>
      <c r="F313">
        <v>985714.48199999996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-0.80859916782246899</v>
      </c>
      <c r="Q313">
        <f t="shared" si="965"/>
        <v>-797047.90985575609</v>
      </c>
      <c r="R313">
        <f t="shared" si="966"/>
        <v>-4215787.1708393656</v>
      </c>
      <c r="S313">
        <f t="shared" si="967"/>
        <v>-42.157871708393657</v>
      </c>
      <c r="T313">
        <f t="shared" si="968"/>
        <v>-4.2157871708393656E-2</v>
      </c>
    </row>
    <row r="314" spans="1:20" x14ac:dyDescent="0.25">
      <c r="A314" s="5">
        <v>44279</v>
      </c>
      <c r="B314">
        <v>4.1040000000000001</v>
      </c>
      <c r="C314">
        <v>4.45</v>
      </c>
      <c r="D314">
        <v>3.6840000000000002</v>
      </c>
      <c r="E314">
        <v>3.7360000000000002</v>
      </c>
      <c r="F314">
        <v>881921.83100000001</v>
      </c>
      <c r="G314">
        <v>0</v>
      </c>
      <c r="L314" t="s">
        <v>7</v>
      </c>
      <c r="M314" t="s">
        <v>7</v>
      </c>
      <c r="N314" t="s">
        <v>8</v>
      </c>
      <c r="P314">
        <f t="shared" si="964"/>
        <v>-0.86422976501305471</v>
      </c>
      <c r="Q314">
        <f t="shared" si="965"/>
        <v>-762183.09676501295</v>
      </c>
      <c r="R314">
        <f t="shared" si="966"/>
        <v>-3418739.2609836091</v>
      </c>
      <c r="S314">
        <f t="shared" si="967"/>
        <v>-34.187392609836088</v>
      </c>
      <c r="T314">
        <f t="shared" si="968"/>
        <v>-3.4187392609836088E-2</v>
      </c>
    </row>
    <row r="315" spans="1:20" x14ac:dyDescent="0.25">
      <c r="A315" s="5">
        <v>44278</v>
      </c>
      <c r="B315">
        <v>4.1840000000000002</v>
      </c>
      <c r="C315">
        <v>4.5570000000000004</v>
      </c>
      <c r="D315">
        <v>3.9340000000000002</v>
      </c>
      <c r="E315">
        <v>4.1070000000000002</v>
      </c>
      <c r="F315">
        <v>977768.23199999996</v>
      </c>
      <c r="G315">
        <v>0</v>
      </c>
      <c r="L315" t="s">
        <v>7</v>
      </c>
      <c r="M315" t="s">
        <v>8</v>
      </c>
      <c r="N315" t="s">
        <v>8</v>
      </c>
      <c r="P315">
        <f t="shared" si="964"/>
        <v>-0.44462279293739976</v>
      </c>
      <c r="Q315">
        <f t="shared" si="965"/>
        <v>-434738.04215730343</v>
      </c>
      <c r="R315">
        <f t="shared" si="966"/>
        <v>-2656556.1642185962</v>
      </c>
      <c r="S315">
        <f t="shared" si="967"/>
        <v>-26.565561642185962</v>
      </c>
      <c r="T315">
        <f t="shared" si="968"/>
        <v>-2.6565561642185962E-2</v>
      </c>
    </row>
    <row r="316" spans="1:20" x14ac:dyDescent="0.25">
      <c r="A316" s="5">
        <v>44277</v>
      </c>
      <c r="B316">
        <v>3.9710000000000001</v>
      </c>
      <c r="C316">
        <v>4.75</v>
      </c>
      <c r="D316">
        <v>3.7930000000000001</v>
      </c>
      <c r="E316">
        <v>4.1769999999999996</v>
      </c>
      <c r="F316">
        <v>1298052.1310000001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-0.19749216300940542</v>
      </c>
      <c r="Q316">
        <f t="shared" si="965"/>
        <v>-256355.12305015809</v>
      </c>
      <c r="R316">
        <f t="shared" si="966"/>
        <v>-2221818.1220612926</v>
      </c>
      <c r="S316">
        <f t="shared" si="967"/>
        <v>-22.218181220612927</v>
      </c>
      <c r="T316">
        <f t="shared" si="968"/>
        <v>-2.2218181220612927E-2</v>
      </c>
    </row>
    <row r="317" spans="1:20" x14ac:dyDescent="0.25">
      <c r="A317" s="5">
        <v>44276</v>
      </c>
      <c r="B317">
        <v>4.2030000000000003</v>
      </c>
      <c r="C317">
        <v>4.5060000000000002</v>
      </c>
      <c r="D317">
        <v>3.758</v>
      </c>
      <c r="E317">
        <v>3.956</v>
      </c>
      <c r="F317">
        <v>960824.38800000004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-0.47058823529411792</v>
      </c>
      <c r="Q317">
        <f t="shared" si="965"/>
        <v>-452152.65317647089</v>
      </c>
      <c r="R317">
        <f t="shared" si="966"/>
        <v>-1965462.9990111347</v>
      </c>
      <c r="S317">
        <f t="shared" si="967"/>
        <v>-19.654629990111346</v>
      </c>
      <c r="T317">
        <f t="shared" si="968"/>
        <v>-1.9654629990111347E-2</v>
      </c>
    </row>
    <row r="318" spans="1:20" x14ac:dyDescent="0.25">
      <c r="A318" s="5">
        <v>44275</v>
      </c>
      <c r="B318">
        <v>4.6310000000000002</v>
      </c>
      <c r="C318">
        <v>4.6760000000000002</v>
      </c>
      <c r="D318">
        <v>4.1399999999999997</v>
      </c>
      <c r="E318">
        <v>4.2080000000000002</v>
      </c>
      <c r="F318">
        <v>866185.652</v>
      </c>
      <c r="G318">
        <v>0</v>
      </c>
      <c r="L318" t="s">
        <v>7</v>
      </c>
      <c r="M318" t="s">
        <v>8</v>
      </c>
      <c r="N318" t="s">
        <v>8</v>
      </c>
      <c r="P318">
        <f t="shared" si="964"/>
        <v>-0.74626865671641629</v>
      </c>
      <c r="Q318">
        <f t="shared" si="965"/>
        <v>-646407.20298507321</v>
      </c>
      <c r="R318">
        <f t="shared" si="966"/>
        <v>-1513310.3458346638</v>
      </c>
      <c r="S318">
        <f t="shared" si="967"/>
        <v>-15.133103458346639</v>
      </c>
      <c r="T318">
        <f t="shared" si="968"/>
        <v>-1.5133103458346639E-2</v>
      </c>
    </row>
    <row r="319" spans="1:20" x14ac:dyDescent="0.25">
      <c r="A319" s="5">
        <v>44274</v>
      </c>
      <c r="B319">
        <v>3.6850000000000001</v>
      </c>
      <c r="C319">
        <v>4.88</v>
      </c>
      <c r="D319">
        <v>3.665</v>
      </c>
      <c r="E319">
        <v>4.601</v>
      </c>
      <c r="F319">
        <v>2568403.3640000001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0.54074074074074086</v>
      </c>
      <c r="Q319">
        <f t="shared" si="965"/>
        <v>1388840.3375703706</v>
      </c>
      <c r="R319">
        <f t="shared" si="966"/>
        <v>-866903.14284959063</v>
      </c>
      <c r="S319">
        <f t="shared" si="967"/>
        <v>-8.6690314284959058</v>
      </c>
      <c r="T319">
        <f t="shared" si="968"/>
        <v>-8.6690314284959061E-3</v>
      </c>
    </row>
    <row r="320" spans="1:20" x14ac:dyDescent="0.25">
      <c r="A320" s="5">
        <v>44273</v>
      </c>
      <c r="B320">
        <v>3.7250000000000001</v>
      </c>
      <c r="C320">
        <v>3.79</v>
      </c>
      <c r="D320">
        <v>3.5459999999999998</v>
      </c>
      <c r="E320">
        <v>3.69</v>
      </c>
      <c r="F320">
        <v>643823.20799999998</v>
      </c>
      <c r="G320">
        <v>0</v>
      </c>
      <c r="L320" t="s">
        <v>8</v>
      </c>
      <c r="M320" t="s">
        <v>7</v>
      </c>
      <c r="N320" t="s">
        <v>8</v>
      </c>
      <c r="P320">
        <f t="shared" si="964"/>
        <v>0.18032786885245902</v>
      </c>
      <c r="Q320">
        <f t="shared" si="965"/>
        <v>116099.26701639344</v>
      </c>
      <c r="R320">
        <f t="shared" si="966"/>
        <v>-2255743.4804199613</v>
      </c>
      <c r="S320">
        <f t="shared" si="967"/>
        <v>-22.557434804199612</v>
      </c>
      <c r="T320">
        <f t="shared" si="968"/>
        <v>-2.2557434804199611E-2</v>
      </c>
    </row>
    <row r="321" spans="1:20" x14ac:dyDescent="0.25">
      <c r="A321" s="5">
        <v>44272</v>
      </c>
      <c r="B321">
        <v>3.5259999999999998</v>
      </c>
      <c r="C321">
        <v>3.7970000000000002</v>
      </c>
      <c r="D321">
        <v>3.3370000000000002</v>
      </c>
      <c r="E321">
        <v>3.7080000000000002</v>
      </c>
      <c r="F321">
        <v>1061312.382</v>
      </c>
      <c r="G321">
        <v>0</v>
      </c>
      <c r="L321" t="s">
        <v>7</v>
      </c>
      <c r="M321" t="s">
        <v>7</v>
      </c>
      <c r="N321" t="s">
        <v>8</v>
      </c>
      <c r="P321">
        <f t="shared" si="964"/>
        <v>0.61304347826086969</v>
      </c>
      <c r="Q321">
        <f t="shared" si="965"/>
        <v>650630.6341826088</v>
      </c>
      <c r="R321">
        <f t="shared" si="966"/>
        <v>-2371842.7474363549</v>
      </c>
      <c r="S321">
        <f t="shared" si="967"/>
        <v>-23.718427474363548</v>
      </c>
      <c r="T321">
        <f t="shared" si="968"/>
        <v>-2.3718427474363549E-2</v>
      </c>
    </row>
    <row r="322" spans="1:20" x14ac:dyDescent="0.25">
      <c r="A322" s="5">
        <v>44271</v>
      </c>
      <c r="B322">
        <v>4.016</v>
      </c>
      <c r="C322">
        <v>4.2649999999999997</v>
      </c>
      <c r="D322">
        <v>3.3639999999999999</v>
      </c>
      <c r="E322">
        <v>3.5129999999999999</v>
      </c>
      <c r="F322">
        <v>1624058.9480000001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-0.66925638179800206</v>
      </c>
      <c r="Q322">
        <f t="shared" si="965"/>
        <v>-1086911.8153651496</v>
      </c>
      <c r="R322">
        <f t="shared" si="966"/>
        <v>-3022473.3816189636</v>
      </c>
      <c r="S322">
        <f t="shared" si="967"/>
        <v>-30.224733816189637</v>
      </c>
      <c r="T322">
        <f t="shared" si="968"/>
        <v>-3.0224733816189637E-2</v>
      </c>
    </row>
    <row r="323" spans="1:20" x14ac:dyDescent="0.25">
      <c r="A323" s="5">
        <v>44270</v>
      </c>
      <c r="B323">
        <v>3.8010000000000002</v>
      </c>
      <c r="C323">
        <v>4.05</v>
      </c>
      <c r="D323">
        <v>3.222</v>
      </c>
      <c r="E323">
        <v>4.0119999999999996</v>
      </c>
      <c r="F323">
        <v>1926873.422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0.9082125603864728</v>
      </c>
      <c r="Q323">
        <f t="shared" si="965"/>
        <v>1750010.6441352644</v>
      </c>
      <c r="R323">
        <f t="shared" si="966"/>
        <v>-1935561.5662538141</v>
      </c>
      <c r="S323">
        <f t="shared" si="967"/>
        <v>-19.355615662538142</v>
      </c>
      <c r="T323">
        <f t="shared" si="968"/>
        <v>-1.9355615662538142E-2</v>
      </c>
    </row>
    <row r="324" spans="1:20" x14ac:dyDescent="0.25">
      <c r="A324" s="5">
        <v>44269</v>
      </c>
      <c r="B324">
        <v>3.6659999999999999</v>
      </c>
      <c r="C324">
        <v>4.08</v>
      </c>
      <c r="D324">
        <v>3.5</v>
      </c>
      <c r="E324">
        <v>3.8010000000000002</v>
      </c>
      <c r="F324">
        <v>1730864.9450000001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3.793103448275903E-2</v>
      </c>
      <c r="Q324">
        <f t="shared" si="965"/>
        <v>65653.497913793821</v>
      </c>
      <c r="R324">
        <f t="shared" si="966"/>
        <v>-3685572.2103890786</v>
      </c>
      <c r="S324">
        <f t="shared" si="967"/>
        <v>-36.855722103890784</v>
      </c>
      <c r="T324">
        <f t="shared" si="968"/>
        <v>-3.6855722103890785E-2</v>
      </c>
    </row>
    <row r="325" spans="1:20" x14ac:dyDescent="0.25">
      <c r="A325" s="5">
        <v>44268</v>
      </c>
      <c r="B325">
        <v>3.3959999999999999</v>
      </c>
      <c r="C325">
        <v>4.05</v>
      </c>
      <c r="D325">
        <v>3.153</v>
      </c>
      <c r="E325">
        <v>3.6669999999999998</v>
      </c>
      <c r="F325">
        <v>2441440.9720000001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0.14604236343366758</v>
      </c>
      <c r="Q325">
        <f t="shared" si="965"/>
        <v>356553.80973467068</v>
      </c>
      <c r="R325">
        <f t="shared" si="966"/>
        <v>-3751225.7083028723</v>
      </c>
      <c r="S325">
        <f t="shared" si="967"/>
        <v>-37.512257083028722</v>
      </c>
      <c r="T325">
        <f t="shared" si="968"/>
        <v>-3.7512257083028723E-2</v>
      </c>
    </row>
    <row r="326" spans="1:20" x14ac:dyDescent="0.25">
      <c r="A326" s="5">
        <v>44267</v>
      </c>
      <c r="B326">
        <v>2.855</v>
      </c>
      <c r="C326">
        <v>3.4</v>
      </c>
      <c r="D326">
        <v>2.73</v>
      </c>
      <c r="E326">
        <v>3.383</v>
      </c>
      <c r="F326">
        <v>2613022.7030000002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0.94925373134328384</v>
      </c>
      <c r="Q326">
        <f t="shared" ref="Q326:Q389" si="970">F326*P326</f>
        <v>2480421.5509074638</v>
      </c>
      <c r="R326">
        <f t="shared" ref="R326:R389" si="971">R327+Q326</f>
        <v>-4107779.5180375427</v>
      </c>
      <c r="S326">
        <f t="shared" ref="S326:S389" si="972">R326/100000</f>
        <v>-41.077795180375425</v>
      </c>
      <c r="T326">
        <f t="shared" ref="T326:T389" si="973">S326/1000</f>
        <v>-4.1077795180375423E-2</v>
      </c>
    </row>
    <row r="327" spans="1:20" x14ac:dyDescent="0.25">
      <c r="A327" s="5">
        <v>44266</v>
      </c>
      <c r="B327">
        <v>2.9159999999999999</v>
      </c>
      <c r="C327">
        <v>3.05</v>
      </c>
      <c r="D327">
        <v>2.7210000000000001</v>
      </c>
      <c r="E327">
        <v>2.855</v>
      </c>
      <c r="F327">
        <v>1365209.8149999999</v>
      </c>
      <c r="G327">
        <v>0</v>
      </c>
      <c r="L327" t="s">
        <v>7</v>
      </c>
      <c r="M327" t="s">
        <v>7</v>
      </c>
      <c r="N327" t="s">
        <v>8</v>
      </c>
      <c r="P327">
        <f t="shared" si="969"/>
        <v>-0.18541033434650453</v>
      </c>
      <c r="Q327">
        <f t="shared" si="970"/>
        <v>-253124.00825227957</v>
      </c>
      <c r="R327">
        <f t="shared" si="971"/>
        <v>-6588201.0689450065</v>
      </c>
      <c r="S327">
        <f t="shared" si="972"/>
        <v>-65.88201068945007</v>
      </c>
      <c r="T327">
        <f t="shared" si="973"/>
        <v>-6.5882010689450071E-2</v>
      </c>
    </row>
    <row r="328" spans="1:20" x14ac:dyDescent="0.25">
      <c r="A328" s="5">
        <v>44265</v>
      </c>
      <c r="B328">
        <v>2.9809999999999999</v>
      </c>
      <c r="C328">
        <v>3.2360000000000002</v>
      </c>
      <c r="D328">
        <v>2.7949999999999999</v>
      </c>
      <c r="E328">
        <v>2.9169999999999998</v>
      </c>
      <c r="F328">
        <v>1960221.2609999999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-0.44671201814059042</v>
      </c>
      <c r="Q328">
        <f t="shared" si="970"/>
        <v>-875654.39550340304</v>
      </c>
      <c r="R328">
        <f t="shared" si="971"/>
        <v>-6335077.0606927266</v>
      </c>
      <c r="S328">
        <f t="shared" si="972"/>
        <v>-63.350770606927263</v>
      </c>
      <c r="T328">
        <f t="shared" si="973"/>
        <v>-6.3350770606927259E-2</v>
      </c>
    </row>
    <row r="329" spans="1:20" x14ac:dyDescent="0.25">
      <c r="A329" s="5">
        <v>44264</v>
      </c>
      <c r="B329">
        <v>2.7789999999999999</v>
      </c>
      <c r="C329">
        <v>3.0129999999999999</v>
      </c>
      <c r="D329">
        <v>2.7490000000000001</v>
      </c>
      <c r="E329">
        <v>2.972</v>
      </c>
      <c r="F329">
        <v>1594219.7320000001</v>
      </c>
      <c r="G329">
        <v>0</v>
      </c>
      <c r="L329" t="s">
        <v>8</v>
      </c>
      <c r="M329" t="s">
        <v>7</v>
      </c>
      <c r="N329" t="s">
        <v>8</v>
      </c>
      <c r="P329">
        <f t="shared" si="969"/>
        <v>0.68939393939393967</v>
      </c>
      <c r="Q329">
        <f t="shared" si="970"/>
        <v>1099045.4213030308</v>
      </c>
      <c r="R329">
        <f t="shared" si="971"/>
        <v>-5459422.6651893239</v>
      </c>
      <c r="S329">
        <f t="shared" si="972"/>
        <v>-54.594226651893237</v>
      </c>
      <c r="T329">
        <f t="shared" si="973"/>
        <v>-5.4594226651893236E-2</v>
      </c>
    </row>
    <row r="330" spans="1:20" x14ac:dyDescent="0.25">
      <c r="A330" s="5">
        <v>44263</v>
      </c>
      <c r="B330">
        <v>2.8029999999999999</v>
      </c>
      <c r="C330">
        <v>2.839</v>
      </c>
      <c r="D330">
        <v>2.5779999999999998</v>
      </c>
      <c r="E330">
        <v>2.778</v>
      </c>
      <c r="F330">
        <v>1128064.5330000001</v>
      </c>
      <c r="G330">
        <v>0</v>
      </c>
      <c r="L330" t="s">
        <v>7</v>
      </c>
      <c r="M330" t="s">
        <v>7</v>
      </c>
      <c r="N330" t="s">
        <v>8</v>
      </c>
      <c r="P330">
        <f t="shared" si="969"/>
        <v>0.53256704980842973</v>
      </c>
      <c r="Q330">
        <f t="shared" si="970"/>
        <v>600770.00033333409</v>
      </c>
      <c r="R330">
        <f t="shared" si="971"/>
        <v>-6558468.086492355</v>
      </c>
      <c r="S330">
        <f t="shared" si="972"/>
        <v>-65.584680864923556</v>
      </c>
      <c r="T330">
        <f t="shared" si="973"/>
        <v>-6.5584680864923556E-2</v>
      </c>
    </row>
    <row r="331" spans="1:20" x14ac:dyDescent="0.25">
      <c r="A331" s="5">
        <v>44262</v>
      </c>
      <c r="B331">
        <v>2.7829999999999999</v>
      </c>
      <c r="C331">
        <v>2.8969999999999998</v>
      </c>
      <c r="D331">
        <v>2.7210000000000001</v>
      </c>
      <c r="E331">
        <v>2.8109999999999999</v>
      </c>
      <c r="F331">
        <v>797340.17799999996</v>
      </c>
      <c r="G331">
        <v>0</v>
      </c>
      <c r="L331" t="s">
        <v>7</v>
      </c>
      <c r="M331" t="s">
        <v>7</v>
      </c>
      <c r="N331" t="s">
        <v>8</v>
      </c>
      <c r="P331">
        <f t="shared" si="969"/>
        <v>2.2727272727272783E-2</v>
      </c>
      <c r="Q331">
        <f t="shared" si="970"/>
        <v>18121.367681818225</v>
      </c>
      <c r="R331">
        <f t="shared" si="971"/>
        <v>-7159238.0868256893</v>
      </c>
      <c r="S331">
        <f t="shared" si="972"/>
        <v>-71.592380868256896</v>
      </c>
      <c r="T331">
        <f t="shared" si="973"/>
        <v>-7.1592380868256894E-2</v>
      </c>
    </row>
    <row r="332" spans="1:20" x14ac:dyDescent="0.25">
      <c r="A332" s="5">
        <v>44261</v>
      </c>
      <c r="B332">
        <v>2.8639999999999999</v>
      </c>
      <c r="C332">
        <v>3</v>
      </c>
      <c r="D332">
        <v>2.65</v>
      </c>
      <c r="E332">
        <v>2.778</v>
      </c>
      <c r="F332">
        <v>1109274.29</v>
      </c>
      <c r="G332">
        <v>0</v>
      </c>
      <c r="L332" t="s">
        <v>8</v>
      </c>
      <c r="M332" t="s">
        <v>7</v>
      </c>
      <c r="N332" t="s">
        <v>8</v>
      </c>
      <c r="P332">
        <f t="shared" si="969"/>
        <v>-0.26857142857142813</v>
      </c>
      <c r="Q332">
        <f t="shared" si="970"/>
        <v>-297919.38074285665</v>
      </c>
      <c r="R332">
        <f t="shared" si="971"/>
        <v>-7177359.4545075074</v>
      </c>
      <c r="S332">
        <f t="shared" si="972"/>
        <v>-71.773594545075071</v>
      </c>
      <c r="T332">
        <f t="shared" si="973"/>
        <v>-7.1773594545075065E-2</v>
      </c>
    </row>
    <row r="333" spans="1:20" x14ac:dyDescent="0.25">
      <c r="A333" s="5">
        <v>44260</v>
      </c>
      <c r="B333">
        <v>2.931</v>
      </c>
      <c r="C333">
        <v>3.0529999999999999</v>
      </c>
      <c r="D333">
        <v>2.68</v>
      </c>
      <c r="E333">
        <v>2.85</v>
      </c>
      <c r="F333">
        <v>1530277.9069999999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-8.847184986595158E-2</v>
      </c>
      <c r="Q333">
        <f t="shared" si="970"/>
        <v>-135386.51724128661</v>
      </c>
      <c r="R333">
        <f t="shared" si="971"/>
        <v>-6879440.0737646511</v>
      </c>
      <c r="S333">
        <f t="shared" si="972"/>
        <v>-68.794400737646512</v>
      </c>
      <c r="T333">
        <f t="shared" si="973"/>
        <v>-6.8794400737646519E-2</v>
      </c>
    </row>
    <row r="334" spans="1:20" x14ac:dyDescent="0.25">
      <c r="A334" s="5">
        <v>44259</v>
      </c>
      <c r="B334">
        <v>3.27</v>
      </c>
      <c r="C334">
        <v>3.3050000000000002</v>
      </c>
      <c r="D334">
        <v>2.919</v>
      </c>
      <c r="E334">
        <v>2.931</v>
      </c>
      <c r="F334">
        <v>2627620.898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-0.93782383419689119</v>
      </c>
      <c r="Q334">
        <f t="shared" si="970"/>
        <v>-2464245.5053782384</v>
      </c>
      <c r="R334">
        <f t="shared" si="971"/>
        <v>-6744053.556523364</v>
      </c>
      <c r="S334">
        <f t="shared" si="972"/>
        <v>-67.440535565233645</v>
      </c>
      <c r="T334">
        <f t="shared" si="973"/>
        <v>-6.7440535565233647E-2</v>
      </c>
    </row>
    <row r="335" spans="1:20" x14ac:dyDescent="0.25">
      <c r="A335" s="5">
        <v>44258</v>
      </c>
      <c r="B335">
        <v>3.3410000000000002</v>
      </c>
      <c r="C335">
        <v>4.399</v>
      </c>
      <c r="D335">
        <v>3.0760000000000001</v>
      </c>
      <c r="E335">
        <v>3.27</v>
      </c>
      <c r="F335">
        <v>6055813.9589999998</v>
      </c>
      <c r="G335">
        <v>0</v>
      </c>
      <c r="P335">
        <f t="shared" si="969"/>
        <v>-0.7067271352985639</v>
      </c>
      <c r="Q335">
        <f t="shared" si="970"/>
        <v>-4279808.0511451252</v>
      </c>
      <c r="R335">
        <f t="shared" si="971"/>
        <v>-4279808.0511451252</v>
      </c>
      <c r="S335">
        <f t="shared" si="972"/>
        <v>-42.798080511451253</v>
      </c>
      <c r="T335">
        <f t="shared" si="973"/>
        <v>-4.2798080511451252E-2</v>
      </c>
    </row>
    <row r="336" spans="1:20" x14ac:dyDescent="0.25">
      <c r="A336" s="5"/>
      <c r="C336"/>
      <c r="D336"/>
      <c r="P336">
        <f t="shared" si="969"/>
        <v>0</v>
      </c>
      <c r="Q336">
        <f t="shared" si="970"/>
        <v>0</v>
      </c>
      <c r="R336">
        <f t="shared" si="971"/>
        <v>0</v>
      </c>
      <c r="S336">
        <f t="shared" si="972"/>
        <v>0</v>
      </c>
      <c r="T336">
        <f t="shared" si="973"/>
        <v>0</v>
      </c>
    </row>
    <row r="337" spans="1:20" x14ac:dyDescent="0.25">
      <c r="A337" s="5"/>
      <c r="C337"/>
      <c r="D337"/>
      <c r="P337">
        <f t="shared" si="969"/>
        <v>0</v>
      </c>
      <c r="Q337">
        <f t="shared" si="970"/>
        <v>0</v>
      </c>
      <c r="R337">
        <f t="shared" si="971"/>
        <v>0</v>
      </c>
      <c r="S337">
        <f t="shared" si="972"/>
        <v>0</v>
      </c>
      <c r="T337">
        <f t="shared" si="973"/>
        <v>0</v>
      </c>
    </row>
    <row r="338" spans="1:20" x14ac:dyDescent="0.25">
      <c r="A338" s="5"/>
      <c r="C338"/>
      <c r="D338"/>
      <c r="P338">
        <f t="shared" si="969"/>
        <v>0</v>
      </c>
      <c r="Q338">
        <f t="shared" si="970"/>
        <v>0</v>
      </c>
      <c r="R338">
        <f t="shared" si="971"/>
        <v>0</v>
      </c>
      <c r="S338">
        <f t="shared" si="972"/>
        <v>0</v>
      </c>
      <c r="T338">
        <f t="shared" si="973"/>
        <v>0</v>
      </c>
    </row>
    <row r="339" spans="1:20" x14ac:dyDescent="0.25">
      <c r="A339" s="5"/>
      <c r="C339"/>
      <c r="D339"/>
      <c r="P339">
        <f t="shared" si="969"/>
        <v>0</v>
      </c>
      <c r="Q339">
        <f t="shared" si="970"/>
        <v>0</v>
      </c>
      <c r="R339">
        <f t="shared" si="971"/>
        <v>0</v>
      </c>
      <c r="S339">
        <f t="shared" si="972"/>
        <v>0</v>
      </c>
      <c r="T339">
        <f t="shared" si="973"/>
        <v>0</v>
      </c>
    </row>
    <row r="340" spans="1:20" x14ac:dyDescent="0.25">
      <c r="A340" s="5"/>
      <c r="C340"/>
      <c r="D340"/>
      <c r="P340">
        <f t="shared" si="969"/>
        <v>0</v>
      </c>
      <c r="Q340">
        <f t="shared" si="970"/>
        <v>0</v>
      </c>
      <c r="R340">
        <f t="shared" si="971"/>
        <v>0</v>
      </c>
      <c r="S340">
        <f t="shared" si="972"/>
        <v>0</v>
      </c>
      <c r="T340">
        <f t="shared" si="973"/>
        <v>0</v>
      </c>
    </row>
    <row r="341" spans="1:20" x14ac:dyDescent="0.25">
      <c r="A341" s="5"/>
      <c r="C341"/>
      <c r="D341"/>
      <c r="P341">
        <f t="shared" si="969"/>
        <v>0</v>
      </c>
      <c r="Q341">
        <f t="shared" si="970"/>
        <v>0</v>
      </c>
      <c r="R341">
        <f t="shared" si="971"/>
        <v>0</v>
      </c>
      <c r="S341">
        <f t="shared" si="972"/>
        <v>0</v>
      </c>
      <c r="T341">
        <f t="shared" si="973"/>
        <v>0</v>
      </c>
    </row>
    <row r="342" spans="1:20" x14ac:dyDescent="0.25">
      <c r="A342" s="5"/>
      <c r="C342"/>
      <c r="D342"/>
      <c r="P342">
        <f t="shared" si="969"/>
        <v>0</v>
      </c>
      <c r="Q342">
        <f t="shared" si="970"/>
        <v>0</v>
      </c>
      <c r="R342">
        <f t="shared" si="971"/>
        <v>0</v>
      </c>
      <c r="S342">
        <f t="shared" si="972"/>
        <v>0</v>
      </c>
      <c r="T342">
        <f t="shared" si="973"/>
        <v>0</v>
      </c>
    </row>
    <row r="343" spans="1:20" x14ac:dyDescent="0.25">
      <c r="A343" s="5"/>
      <c r="C343"/>
      <c r="D343"/>
      <c r="P343">
        <f t="shared" si="969"/>
        <v>0</v>
      </c>
      <c r="Q343">
        <f t="shared" si="970"/>
        <v>0</v>
      </c>
      <c r="R343">
        <f t="shared" si="971"/>
        <v>0</v>
      </c>
      <c r="S343">
        <f t="shared" si="972"/>
        <v>0</v>
      </c>
      <c r="T343">
        <f t="shared" si="973"/>
        <v>0</v>
      </c>
    </row>
    <row r="344" spans="1:20" x14ac:dyDescent="0.25">
      <c r="A344" s="5"/>
      <c r="C344"/>
      <c r="D344"/>
      <c r="P344">
        <f t="shared" si="969"/>
        <v>0</v>
      </c>
      <c r="Q344">
        <f t="shared" si="970"/>
        <v>0</v>
      </c>
      <c r="R344">
        <f t="shared" si="971"/>
        <v>0</v>
      </c>
      <c r="S344">
        <f t="shared" si="972"/>
        <v>0</v>
      </c>
      <c r="T344">
        <f t="shared" si="973"/>
        <v>0</v>
      </c>
    </row>
    <row r="345" spans="1:20" x14ac:dyDescent="0.25">
      <c r="A345" s="5"/>
      <c r="C345"/>
      <c r="D345"/>
      <c r="P345">
        <f t="shared" si="969"/>
        <v>0</v>
      </c>
      <c r="Q345">
        <f t="shared" si="970"/>
        <v>0</v>
      </c>
      <c r="R345">
        <f t="shared" si="971"/>
        <v>0</v>
      </c>
      <c r="S345">
        <f t="shared" si="972"/>
        <v>0</v>
      </c>
      <c r="T345">
        <f t="shared" si="973"/>
        <v>0</v>
      </c>
    </row>
    <row r="346" spans="1:20" x14ac:dyDescent="0.25">
      <c r="A346" s="5"/>
      <c r="C346"/>
      <c r="D346"/>
      <c r="P346">
        <f t="shared" si="969"/>
        <v>0</v>
      </c>
      <c r="Q346">
        <f t="shared" si="970"/>
        <v>0</v>
      </c>
      <c r="R346">
        <f t="shared" si="971"/>
        <v>0</v>
      </c>
      <c r="S346">
        <f t="shared" si="972"/>
        <v>0</v>
      </c>
      <c r="T346">
        <f t="shared" si="973"/>
        <v>0</v>
      </c>
    </row>
    <row r="347" spans="1:20" x14ac:dyDescent="0.25">
      <c r="A347" s="5"/>
      <c r="C347"/>
      <c r="D347"/>
      <c r="P347">
        <f t="shared" si="969"/>
        <v>0</v>
      </c>
      <c r="Q347">
        <f t="shared" si="970"/>
        <v>0</v>
      </c>
      <c r="R347">
        <f t="shared" si="971"/>
        <v>0</v>
      </c>
      <c r="S347">
        <f t="shared" si="972"/>
        <v>0</v>
      </c>
      <c r="T347">
        <f t="shared" si="973"/>
        <v>0</v>
      </c>
    </row>
    <row r="348" spans="1:20" x14ac:dyDescent="0.25">
      <c r="A348" s="5"/>
      <c r="C348"/>
      <c r="D348"/>
      <c r="P348">
        <f t="shared" si="969"/>
        <v>0</v>
      </c>
      <c r="Q348">
        <f t="shared" si="970"/>
        <v>0</v>
      </c>
      <c r="R348">
        <f t="shared" si="971"/>
        <v>0</v>
      </c>
      <c r="S348">
        <f t="shared" si="972"/>
        <v>0</v>
      </c>
      <c r="T348">
        <f t="shared" si="973"/>
        <v>0</v>
      </c>
    </row>
    <row r="349" spans="1:20" x14ac:dyDescent="0.25">
      <c r="A349" s="5"/>
      <c r="C349"/>
      <c r="D349"/>
      <c r="P349">
        <f t="shared" si="969"/>
        <v>0</v>
      </c>
      <c r="Q349">
        <f t="shared" si="970"/>
        <v>0</v>
      </c>
      <c r="R349">
        <f t="shared" si="971"/>
        <v>0</v>
      </c>
      <c r="S349">
        <f t="shared" si="972"/>
        <v>0</v>
      </c>
      <c r="T349">
        <f t="shared" si="973"/>
        <v>0</v>
      </c>
    </row>
    <row r="350" spans="1:20" x14ac:dyDescent="0.25">
      <c r="A350" s="5"/>
      <c r="C350"/>
      <c r="D350"/>
      <c r="P350">
        <f t="shared" si="969"/>
        <v>0</v>
      </c>
      <c r="Q350">
        <f t="shared" si="970"/>
        <v>0</v>
      </c>
      <c r="R350">
        <f t="shared" si="971"/>
        <v>0</v>
      </c>
      <c r="S350">
        <f t="shared" si="972"/>
        <v>0</v>
      </c>
      <c r="T350">
        <f t="shared" si="973"/>
        <v>0</v>
      </c>
    </row>
    <row r="351" spans="1:20" x14ac:dyDescent="0.25">
      <c r="A351" s="5"/>
      <c r="C351"/>
      <c r="D351"/>
      <c r="P351">
        <f t="shared" si="969"/>
        <v>0</v>
      </c>
      <c r="Q351">
        <f t="shared" si="970"/>
        <v>0</v>
      </c>
      <c r="R351">
        <f t="shared" si="971"/>
        <v>0</v>
      </c>
      <c r="S351">
        <f t="shared" si="972"/>
        <v>0</v>
      </c>
      <c r="T351">
        <f t="shared" si="973"/>
        <v>0</v>
      </c>
    </row>
    <row r="352" spans="1:20" x14ac:dyDescent="0.25">
      <c r="A352" s="5"/>
      <c r="C352"/>
      <c r="D352"/>
      <c r="P352">
        <f t="shared" si="969"/>
        <v>0</v>
      </c>
      <c r="Q352">
        <f t="shared" si="970"/>
        <v>0</v>
      </c>
      <c r="R352">
        <f t="shared" si="971"/>
        <v>0</v>
      </c>
      <c r="S352">
        <f t="shared" si="972"/>
        <v>0</v>
      </c>
      <c r="T352">
        <f t="shared" si="973"/>
        <v>0</v>
      </c>
    </row>
    <row r="353" spans="1:20" x14ac:dyDescent="0.25">
      <c r="A353" s="5"/>
      <c r="C353"/>
      <c r="D353"/>
      <c r="P353">
        <f t="shared" si="969"/>
        <v>0</v>
      </c>
      <c r="Q353">
        <f t="shared" si="970"/>
        <v>0</v>
      </c>
      <c r="R353">
        <f t="shared" si="971"/>
        <v>0</v>
      </c>
      <c r="S353">
        <f t="shared" si="972"/>
        <v>0</v>
      </c>
      <c r="T353">
        <f t="shared" si="973"/>
        <v>0</v>
      </c>
    </row>
    <row r="354" spans="1:20" x14ac:dyDescent="0.25">
      <c r="A354" s="5"/>
      <c r="C354"/>
      <c r="D354"/>
      <c r="P354">
        <f t="shared" si="969"/>
        <v>0</v>
      </c>
      <c r="Q354">
        <f t="shared" si="970"/>
        <v>0</v>
      </c>
      <c r="R354">
        <f t="shared" si="971"/>
        <v>0</v>
      </c>
      <c r="S354">
        <f t="shared" si="972"/>
        <v>0</v>
      </c>
      <c r="T354">
        <f t="shared" si="973"/>
        <v>0</v>
      </c>
    </row>
    <row r="355" spans="1:20" x14ac:dyDescent="0.25">
      <c r="A355" s="5"/>
      <c r="C355"/>
      <c r="D355"/>
      <c r="P355">
        <f t="shared" si="969"/>
        <v>0</v>
      </c>
      <c r="Q355">
        <f t="shared" si="970"/>
        <v>0</v>
      </c>
      <c r="R355">
        <f t="shared" si="971"/>
        <v>0</v>
      </c>
      <c r="S355">
        <f t="shared" si="972"/>
        <v>0</v>
      </c>
      <c r="T355">
        <f t="shared" si="973"/>
        <v>0</v>
      </c>
    </row>
    <row r="356" spans="1:20" x14ac:dyDescent="0.25">
      <c r="A356" s="5"/>
      <c r="C356"/>
      <c r="D356"/>
      <c r="P356">
        <f t="shared" si="969"/>
        <v>0</v>
      </c>
      <c r="Q356">
        <f t="shared" si="970"/>
        <v>0</v>
      </c>
      <c r="R356">
        <f t="shared" si="971"/>
        <v>0</v>
      </c>
      <c r="S356">
        <f t="shared" si="972"/>
        <v>0</v>
      </c>
      <c r="T356">
        <f t="shared" si="973"/>
        <v>0</v>
      </c>
    </row>
    <row r="357" spans="1:20" x14ac:dyDescent="0.25">
      <c r="A357" s="5"/>
      <c r="C357"/>
      <c r="D357"/>
      <c r="P357">
        <f t="shared" si="969"/>
        <v>0</v>
      </c>
      <c r="Q357">
        <f t="shared" si="970"/>
        <v>0</v>
      </c>
      <c r="R357">
        <f t="shared" si="971"/>
        <v>0</v>
      </c>
      <c r="S357">
        <f t="shared" si="972"/>
        <v>0</v>
      </c>
      <c r="T357">
        <f t="shared" si="973"/>
        <v>0</v>
      </c>
    </row>
    <row r="358" spans="1:20" x14ac:dyDescent="0.25">
      <c r="A358" s="5"/>
      <c r="C358"/>
      <c r="D358"/>
      <c r="P358">
        <f t="shared" si="969"/>
        <v>0</v>
      </c>
      <c r="Q358">
        <f t="shared" si="970"/>
        <v>0</v>
      </c>
      <c r="R358">
        <f t="shared" si="971"/>
        <v>0</v>
      </c>
      <c r="S358">
        <f t="shared" si="972"/>
        <v>0</v>
      </c>
      <c r="T358">
        <f t="shared" si="973"/>
        <v>0</v>
      </c>
    </row>
    <row r="359" spans="1:20" x14ac:dyDescent="0.25">
      <c r="A359" s="5"/>
      <c r="C359"/>
      <c r="D359"/>
      <c r="P359">
        <f t="shared" si="969"/>
        <v>0</v>
      </c>
      <c r="Q359">
        <f t="shared" si="970"/>
        <v>0</v>
      </c>
      <c r="R359">
        <f t="shared" si="971"/>
        <v>0</v>
      </c>
      <c r="S359">
        <f t="shared" si="972"/>
        <v>0</v>
      </c>
      <c r="T359">
        <f t="shared" si="973"/>
        <v>0</v>
      </c>
    </row>
    <row r="360" spans="1:20" x14ac:dyDescent="0.25">
      <c r="A360" s="5"/>
      <c r="C360"/>
      <c r="D360"/>
      <c r="P360">
        <f t="shared" si="969"/>
        <v>0</v>
      </c>
      <c r="Q360">
        <f t="shared" si="970"/>
        <v>0</v>
      </c>
      <c r="R360">
        <f t="shared" si="971"/>
        <v>0</v>
      </c>
      <c r="S360">
        <f t="shared" si="972"/>
        <v>0</v>
      </c>
      <c r="T360">
        <f t="shared" si="973"/>
        <v>0</v>
      </c>
    </row>
    <row r="361" spans="1:20" x14ac:dyDescent="0.25">
      <c r="A361" s="5"/>
      <c r="C361"/>
      <c r="D361"/>
      <c r="P361">
        <f t="shared" si="969"/>
        <v>0</v>
      </c>
      <c r="Q361">
        <f t="shared" si="970"/>
        <v>0</v>
      </c>
      <c r="R361">
        <f t="shared" si="971"/>
        <v>0</v>
      </c>
      <c r="S361">
        <f t="shared" si="972"/>
        <v>0</v>
      </c>
      <c r="T361">
        <f t="shared" si="973"/>
        <v>0</v>
      </c>
    </row>
    <row r="362" spans="1:20" x14ac:dyDescent="0.25">
      <c r="A362" s="5"/>
      <c r="C362"/>
      <c r="D362"/>
      <c r="P362">
        <f t="shared" si="969"/>
        <v>0</v>
      </c>
      <c r="Q362">
        <f t="shared" si="970"/>
        <v>0</v>
      </c>
      <c r="R362">
        <f t="shared" si="971"/>
        <v>0</v>
      </c>
      <c r="S362">
        <f t="shared" si="972"/>
        <v>0</v>
      </c>
      <c r="T362">
        <f t="shared" si="973"/>
        <v>0</v>
      </c>
    </row>
    <row r="363" spans="1:20" x14ac:dyDescent="0.25">
      <c r="A363" s="5"/>
      <c r="C363"/>
      <c r="D363"/>
      <c r="P363">
        <f t="shared" si="969"/>
        <v>0</v>
      </c>
      <c r="Q363">
        <f t="shared" si="970"/>
        <v>0</v>
      </c>
      <c r="R363">
        <f t="shared" si="971"/>
        <v>0</v>
      </c>
      <c r="S363">
        <f t="shared" si="972"/>
        <v>0</v>
      </c>
      <c r="T363">
        <f t="shared" si="973"/>
        <v>0</v>
      </c>
    </row>
    <row r="364" spans="1:20" x14ac:dyDescent="0.25">
      <c r="A364" s="5"/>
      <c r="C364"/>
      <c r="D364"/>
      <c r="P364">
        <f t="shared" si="969"/>
        <v>0</v>
      </c>
      <c r="Q364">
        <f t="shared" si="970"/>
        <v>0</v>
      </c>
      <c r="R364">
        <f t="shared" si="971"/>
        <v>0</v>
      </c>
      <c r="S364">
        <f t="shared" si="972"/>
        <v>0</v>
      </c>
      <c r="T364">
        <f t="shared" si="973"/>
        <v>0</v>
      </c>
    </row>
    <row r="365" spans="1:20" x14ac:dyDescent="0.25">
      <c r="A365" s="5"/>
      <c r="C365"/>
      <c r="D365"/>
      <c r="P365">
        <f t="shared" si="969"/>
        <v>0</v>
      </c>
      <c r="Q365">
        <f t="shared" si="970"/>
        <v>0</v>
      </c>
      <c r="R365">
        <f t="shared" si="971"/>
        <v>0</v>
      </c>
      <c r="S365">
        <f t="shared" si="972"/>
        <v>0</v>
      </c>
      <c r="T365">
        <f t="shared" si="973"/>
        <v>0</v>
      </c>
    </row>
    <row r="366" spans="1:20" x14ac:dyDescent="0.25">
      <c r="A366" s="5"/>
      <c r="C366"/>
      <c r="D366"/>
      <c r="P366">
        <f t="shared" si="969"/>
        <v>0</v>
      </c>
      <c r="Q366">
        <f t="shared" si="970"/>
        <v>0</v>
      </c>
      <c r="R366">
        <f t="shared" si="971"/>
        <v>0</v>
      </c>
      <c r="S366">
        <f t="shared" si="972"/>
        <v>0</v>
      </c>
      <c r="T366">
        <f t="shared" si="973"/>
        <v>0</v>
      </c>
    </row>
    <row r="367" spans="1:20" x14ac:dyDescent="0.25">
      <c r="A367" s="5"/>
      <c r="C367"/>
      <c r="D367"/>
      <c r="P367">
        <f t="shared" si="969"/>
        <v>0</v>
      </c>
      <c r="Q367">
        <f t="shared" si="970"/>
        <v>0</v>
      </c>
      <c r="R367">
        <f t="shared" si="971"/>
        <v>0</v>
      </c>
      <c r="S367">
        <f t="shared" si="972"/>
        <v>0</v>
      </c>
      <c r="T367">
        <f t="shared" si="973"/>
        <v>0</v>
      </c>
    </row>
    <row r="368" spans="1:20" x14ac:dyDescent="0.25">
      <c r="A368" s="5"/>
      <c r="C368"/>
      <c r="D368"/>
      <c r="P368">
        <f t="shared" si="969"/>
        <v>0</v>
      </c>
      <c r="Q368">
        <f t="shared" si="970"/>
        <v>0</v>
      </c>
      <c r="R368">
        <f t="shared" si="971"/>
        <v>0</v>
      </c>
      <c r="S368">
        <f t="shared" si="972"/>
        <v>0</v>
      </c>
      <c r="T368">
        <f t="shared" si="973"/>
        <v>0</v>
      </c>
    </row>
    <row r="369" spans="1:20" x14ac:dyDescent="0.25">
      <c r="A369" s="5"/>
      <c r="C369"/>
      <c r="D369"/>
      <c r="P369">
        <f t="shared" si="969"/>
        <v>0</v>
      </c>
      <c r="Q369">
        <f t="shared" si="970"/>
        <v>0</v>
      </c>
      <c r="R369">
        <f t="shared" si="971"/>
        <v>0</v>
      </c>
      <c r="S369">
        <f t="shared" si="972"/>
        <v>0</v>
      </c>
      <c r="T369">
        <f t="shared" si="973"/>
        <v>0</v>
      </c>
    </row>
    <row r="370" spans="1:20" x14ac:dyDescent="0.25">
      <c r="A370" s="5"/>
      <c r="C370"/>
      <c r="D370"/>
      <c r="P370">
        <f t="shared" si="969"/>
        <v>0</v>
      </c>
      <c r="Q370">
        <f t="shared" si="970"/>
        <v>0</v>
      </c>
      <c r="R370">
        <f t="shared" si="971"/>
        <v>0</v>
      </c>
      <c r="S370">
        <f t="shared" si="972"/>
        <v>0</v>
      </c>
      <c r="T370">
        <f t="shared" si="973"/>
        <v>0</v>
      </c>
    </row>
    <row r="371" spans="1:20" x14ac:dyDescent="0.25">
      <c r="A371" s="5"/>
      <c r="C371"/>
      <c r="D371"/>
      <c r="P371">
        <f t="shared" si="969"/>
        <v>0</v>
      </c>
      <c r="Q371">
        <f t="shared" si="970"/>
        <v>0</v>
      </c>
      <c r="R371">
        <f t="shared" si="971"/>
        <v>0</v>
      </c>
      <c r="S371">
        <f t="shared" si="972"/>
        <v>0</v>
      </c>
      <c r="T371">
        <f t="shared" si="973"/>
        <v>0</v>
      </c>
    </row>
    <row r="372" spans="1:20" x14ac:dyDescent="0.25">
      <c r="A372" s="5"/>
      <c r="C372"/>
      <c r="D372"/>
      <c r="P372">
        <f t="shared" si="969"/>
        <v>0</v>
      </c>
      <c r="Q372">
        <f t="shared" si="970"/>
        <v>0</v>
      </c>
      <c r="R372">
        <f t="shared" si="971"/>
        <v>0</v>
      </c>
      <c r="S372">
        <f t="shared" si="972"/>
        <v>0</v>
      </c>
      <c r="T372">
        <f t="shared" si="973"/>
        <v>0</v>
      </c>
    </row>
    <row r="373" spans="1:20" x14ac:dyDescent="0.25">
      <c r="A373" s="5"/>
      <c r="C373"/>
      <c r="D373"/>
      <c r="P373">
        <f t="shared" si="969"/>
        <v>0</v>
      </c>
      <c r="Q373">
        <f t="shared" si="970"/>
        <v>0</v>
      </c>
      <c r="R373">
        <f t="shared" si="971"/>
        <v>0</v>
      </c>
      <c r="S373">
        <f t="shared" si="972"/>
        <v>0</v>
      </c>
      <c r="T373">
        <f t="shared" si="973"/>
        <v>0</v>
      </c>
    </row>
    <row r="374" spans="1:20" x14ac:dyDescent="0.25">
      <c r="A374" s="5"/>
      <c r="C374"/>
      <c r="D374"/>
      <c r="P374">
        <f t="shared" si="969"/>
        <v>0</v>
      </c>
      <c r="Q374">
        <f t="shared" si="970"/>
        <v>0</v>
      </c>
      <c r="R374">
        <f t="shared" si="971"/>
        <v>0</v>
      </c>
      <c r="S374">
        <f t="shared" si="972"/>
        <v>0</v>
      </c>
      <c r="T374">
        <f t="shared" si="973"/>
        <v>0</v>
      </c>
    </row>
    <row r="375" spans="1:20" x14ac:dyDescent="0.25">
      <c r="A375" s="5"/>
      <c r="C375"/>
      <c r="D375"/>
      <c r="P375">
        <f t="shared" si="969"/>
        <v>0</v>
      </c>
      <c r="Q375">
        <f t="shared" si="970"/>
        <v>0</v>
      </c>
      <c r="R375">
        <f t="shared" si="971"/>
        <v>0</v>
      </c>
      <c r="S375">
        <f t="shared" si="972"/>
        <v>0</v>
      </c>
      <c r="T375">
        <f t="shared" si="973"/>
        <v>0</v>
      </c>
    </row>
    <row r="376" spans="1:20" x14ac:dyDescent="0.25">
      <c r="A376" s="5"/>
      <c r="C376"/>
      <c r="D376"/>
      <c r="P376">
        <f t="shared" si="969"/>
        <v>0</v>
      </c>
      <c r="Q376">
        <f t="shared" si="970"/>
        <v>0</v>
      </c>
      <c r="R376">
        <f t="shared" si="971"/>
        <v>0</v>
      </c>
      <c r="S376">
        <f t="shared" si="972"/>
        <v>0</v>
      </c>
      <c r="T376">
        <f t="shared" si="973"/>
        <v>0</v>
      </c>
    </row>
    <row r="377" spans="1:20" x14ac:dyDescent="0.25">
      <c r="A377" s="5"/>
      <c r="C377"/>
      <c r="D377"/>
      <c r="P377">
        <f t="shared" si="969"/>
        <v>0</v>
      </c>
      <c r="Q377">
        <f t="shared" si="970"/>
        <v>0</v>
      </c>
      <c r="R377">
        <f t="shared" si="971"/>
        <v>0</v>
      </c>
      <c r="S377">
        <f t="shared" si="972"/>
        <v>0</v>
      </c>
      <c r="T377">
        <f t="shared" si="973"/>
        <v>0</v>
      </c>
    </row>
    <row r="378" spans="1:20" x14ac:dyDescent="0.25">
      <c r="A378" s="5"/>
      <c r="C378"/>
      <c r="D378"/>
      <c r="P378">
        <f t="shared" si="969"/>
        <v>0</v>
      </c>
      <c r="Q378">
        <f t="shared" si="970"/>
        <v>0</v>
      </c>
      <c r="R378">
        <f t="shared" si="971"/>
        <v>0</v>
      </c>
      <c r="S378">
        <f t="shared" si="972"/>
        <v>0</v>
      </c>
      <c r="T378">
        <f t="shared" si="973"/>
        <v>0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FX606" sqref="FX606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$A$605</v>
      </c>
      <c r="D111" s="1" t="str">
        <f>ADDRESS(C121-1,D121,1,1)</f>
        <v>$FX$605</v>
      </c>
      <c r="E111"/>
    </row>
    <row r="112" spans="1:5" x14ac:dyDescent="0.25">
      <c r="A112" s="7">
        <v>12164.144957890772</v>
      </c>
      <c r="C112" s="1" t="str">
        <f>ADDRESS(C121,1,1,1)</f>
        <v>$A$606</v>
      </c>
      <c r="D112" s="1" t="str">
        <f>ADDRESS(C121,D121-1,1,1)</f>
        <v>$FW$606</v>
      </c>
      <c r="E112"/>
    </row>
    <row r="113" spans="1:5" x14ac:dyDescent="0.25">
      <c r="A113" s="7">
        <v>11925.63231165762</v>
      </c>
      <c r="C113" s="1" t="str">
        <f>ADDRESS(C121+1,1,1,1)</f>
        <v>$A$607</v>
      </c>
      <c r="D113" s="1" t="str">
        <f>ADDRESS(C121-1,D121+1,1,1)</f>
        <v>$FY$605</v>
      </c>
    </row>
    <row r="114" spans="1:5" x14ac:dyDescent="0.25">
      <c r="A114" s="7">
        <v>11691.796383978059</v>
      </c>
      <c r="C114" s="1" t="str">
        <f>ADDRESS(C121,D121,1,1)</f>
        <v>$FX$606</v>
      </c>
      <c r="D114" s="1" t="str">
        <f>ADDRESS(C121+1,D121+1,1,1)</f>
        <v>$FY$607</v>
      </c>
    </row>
    <row r="115" spans="1:5" x14ac:dyDescent="0.25">
      <c r="A115" s="7">
        <v>11462.545474488292</v>
      </c>
      <c r="C115" s="1" t="str">
        <f>ADDRESS(C121+1,D121,1,1)</f>
        <v>$FX$607</v>
      </c>
    </row>
    <row r="116" spans="1:5" x14ac:dyDescent="0.25">
      <c r="A116" s="7">
        <v>11237.789680870874</v>
      </c>
      <c r="C116" s="1">
        <f>C117-1</f>
        <v>605</v>
      </c>
    </row>
    <row r="117" spans="1:5" x14ac:dyDescent="0.25">
      <c r="A117" s="7">
        <v>11017.440863598895</v>
      </c>
      <c r="C117" s="1">
        <f>C121</f>
        <v>606</v>
      </c>
      <c r="D117" s="1">
        <f>D121</f>
        <v>180</v>
      </c>
    </row>
    <row r="118" spans="1:5" x14ac:dyDescent="0.25">
      <c r="A118" s="7">
        <v>10801.412611371465</v>
      </c>
      <c r="C118" s="1">
        <f>C117+1</f>
        <v>607</v>
      </c>
      <c r="D118" s="1">
        <f>D117+1</f>
        <v>181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606</v>
      </c>
      <c r="D121" s="19">
        <v>180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R606</v>
      </c>
      <c r="D123" s="1" t="str">
        <f>"C"&amp;D121</f>
        <v>C180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0.68643075977021883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40" x14ac:dyDescent="0.25">
      <c r="A497" s="7">
        <v>5.9431331263054545</v>
      </c>
      <c r="B497"/>
      <c r="C497"/>
      <c r="D497"/>
      <c r="E497"/>
    </row>
    <row r="498" spans="1:40" x14ac:dyDescent="0.25">
      <c r="A498" s="7">
        <v>5.8266011042210337</v>
      </c>
      <c r="B498"/>
      <c r="C498"/>
      <c r="D498"/>
      <c r="E498"/>
    </row>
    <row r="499" spans="1:40" x14ac:dyDescent="0.25">
      <c r="A499" s="7">
        <v>5.7123540237461112</v>
      </c>
      <c r="B499"/>
      <c r="C499"/>
      <c r="D499"/>
      <c r="E499"/>
    </row>
    <row r="500" spans="1:40" x14ac:dyDescent="0.25">
      <c r="A500" s="7">
        <v>5.6003470821040304</v>
      </c>
      <c r="B500"/>
      <c r="C500"/>
      <c r="D500"/>
      <c r="E500"/>
    </row>
    <row r="501" spans="1:40" x14ac:dyDescent="0.25">
      <c r="A501" s="7">
        <v>5.4905363550039512</v>
      </c>
      <c r="B501"/>
      <c r="C501"/>
      <c r="D501"/>
      <c r="E501"/>
    </row>
    <row r="502" spans="1:40" x14ac:dyDescent="0.25">
      <c r="A502" s="7">
        <v>5.3828787794156385</v>
      </c>
      <c r="B502"/>
      <c r="C502"/>
      <c r="D502"/>
      <c r="E502"/>
    </row>
    <row r="503" spans="1:40" x14ac:dyDescent="0.25">
      <c r="A503" s="7">
        <v>5.2773321366819985</v>
      </c>
      <c r="B503"/>
      <c r="C503"/>
      <c r="D503"/>
      <c r="E503"/>
    </row>
    <row r="504" spans="1:40" x14ac:dyDescent="0.25">
      <c r="A504" s="7">
        <v>5.1738550359627435</v>
      </c>
      <c r="B504"/>
      <c r="C504"/>
      <c r="D504"/>
      <c r="E504"/>
    </row>
    <row r="505" spans="1:40" x14ac:dyDescent="0.25">
      <c r="A505" s="7">
        <v>5.07240689800269</v>
      </c>
      <c r="B505"/>
      <c r="C505"/>
      <c r="D505"/>
      <c r="E505"/>
    </row>
    <row r="506" spans="1:40" x14ac:dyDescent="0.25">
      <c r="A506" s="7">
        <v>4.9729479392183231</v>
      </c>
      <c r="B506"/>
      <c r="C506"/>
      <c r="D506"/>
      <c r="E506"/>
    </row>
    <row r="507" spans="1:40" x14ac:dyDescent="0.25">
      <c r="A507" s="7">
        <v>4.8754391560963954</v>
      </c>
      <c r="B507"/>
      <c r="C507"/>
      <c r="D507"/>
      <c r="E507"/>
      <c r="O507" s="27" t="s">
        <v>8</v>
      </c>
    </row>
    <row r="508" spans="1:40" x14ac:dyDescent="0.25">
      <c r="A508" s="7">
        <v>4.7798423098984264</v>
      </c>
      <c r="B508"/>
      <c r="C508"/>
      <c r="D508"/>
      <c r="E508"/>
      <c r="O508" s="27" t="s">
        <v>8</v>
      </c>
      <c r="P508" s="27" t="s">
        <v>7</v>
      </c>
    </row>
    <row r="509" spans="1:40" x14ac:dyDescent="0.25">
      <c r="A509" s="7">
        <v>4.6861199116651235</v>
      </c>
      <c r="B509"/>
      <c r="C509"/>
      <c r="D509"/>
      <c r="E509"/>
      <c r="O509" s="27" t="s">
        <v>8</v>
      </c>
      <c r="P509" s="27" t="s">
        <v>7</v>
      </c>
      <c r="Q509" s="27" t="s">
        <v>8</v>
      </c>
    </row>
    <row r="510" spans="1:40" x14ac:dyDescent="0.25">
      <c r="A510" s="7">
        <v>4.5942352075148269</v>
      </c>
      <c r="B510"/>
      <c r="C510"/>
      <c r="D510"/>
      <c r="E510"/>
      <c r="O510" s="27" t="s">
        <v>8</v>
      </c>
      <c r="P510" s="27" t="s">
        <v>7</v>
      </c>
      <c r="Q510" s="27" t="s">
        <v>8</v>
      </c>
      <c r="R510" s="27" t="s">
        <v>7</v>
      </c>
      <c r="AM510" s="27" t="s">
        <v>8</v>
      </c>
    </row>
    <row r="511" spans="1:40" x14ac:dyDescent="0.25">
      <c r="A511" s="7">
        <v>4.5041521642302227</v>
      </c>
      <c r="B511"/>
      <c r="C511"/>
      <c r="D511"/>
      <c r="E511"/>
      <c r="O511" s="27" t="s">
        <v>8</v>
      </c>
      <c r="P511" s="27" t="s">
        <v>7</v>
      </c>
      <c r="Q511" s="27" t="s">
        <v>8</v>
      </c>
      <c r="R511" s="27" t="s">
        <v>7</v>
      </c>
      <c r="AM511" s="27" t="s">
        <v>8</v>
      </c>
      <c r="AN511" s="27" t="s">
        <v>7</v>
      </c>
    </row>
    <row r="512" spans="1:40" x14ac:dyDescent="0.25">
      <c r="A512" s="7">
        <v>4.4158354551276693</v>
      </c>
      <c r="B512"/>
      <c r="C512"/>
      <c r="D512"/>
      <c r="E512"/>
      <c r="O512" s="27" t="s">
        <v>8</v>
      </c>
      <c r="P512" s="27" t="s">
        <v>7</v>
      </c>
      <c r="Q512" s="27" t="s">
        <v>8</v>
      </c>
      <c r="R512" s="27" t="s">
        <v>7</v>
      </c>
      <c r="U512" s="27" t="s">
        <v>8</v>
      </c>
      <c r="AM512" s="27" t="s">
        <v>8</v>
      </c>
      <c r="AN512" s="27" t="s">
        <v>7</v>
      </c>
    </row>
    <row r="513" spans="1:90" x14ac:dyDescent="0.25">
      <c r="A513" s="7">
        <v>4.3292504462035977</v>
      </c>
      <c r="B513"/>
      <c r="C513"/>
      <c r="D513"/>
      <c r="E513"/>
      <c r="O513" s="27" t="s">
        <v>8</v>
      </c>
      <c r="P513" s="27" t="s">
        <v>7</v>
      </c>
      <c r="Q513" s="27" t="s">
        <v>8</v>
      </c>
      <c r="R513" s="27" t="s">
        <v>7</v>
      </c>
      <c r="U513" s="27" t="s">
        <v>8</v>
      </c>
      <c r="V513" s="27" t="s">
        <v>7</v>
      </c>
      <c r="AM513" s="27" t="s">
        <v>8</v>
      </c>
      <c r="AN513" s="27" t="s">
        <v>7</v>
      </c>
    </row>
    <row r="514" spans="1:90" x14ac:dyDescent="0.25">
      <c r="A514" s="7">
        <v>4.2443631825525463</v>
      </c>
      <c r="B514"/>
      <c r="C514"/>
      <c r="D514"/>
      <c r="E514"/>
      <c r="M514" s="27" t="s">
        <v>8</v>
      </c>
      <c r="O514" s="27" t="s">
        <v>8</v>
      </c>
      <c r="P514" s="27" t="s">
        <v>7</v>
      </c>
      <c r="Q514" s="27" t="s">
        <v>8</v>
      </c>
      <c r="R514" s="27" t="s">
        <v>7</v>
      </c>
      <c r="S514" s="27" t="s">
        <v>8</v>
      </c>
      <c r="U514" s="27" t="s">
        <v>8</v>
      </c>
      <c r="V514" s="27" t="s">
        <v>7</v>
      </c>
      <c r="W514" s="27" t="s">
        <v>8</v>
      </c>
      <c r="AM514" s="27" t="s">
        <v>8</v>
      </c>
      <c r="AN514" s="27" t="s">
        <v>7</v>
      </c>
    </row>
    <row r="515" spans="1:90" x14ac:dyDescent="0.25">
      <c r="A515" s="7">
        <v>4.1611403750515157</v>
      </c>
      <c r="B515"/>
      <c r="C515"/>
      <c r="D515"/>
      <c r="E515"/>
      <c r="M515" s="27" t="s">
        <v>8</v>
      </c>
      <c r="N515" s="27" t="s">
        <v>7</v>
      </c>
      <c r="O515" s="27" t="s">
        <v>8</v>
      </c>
      <c r="P515" s="27" t="s">
        <v>7</v>
      </c>
      <c r="Q515" s="27" t="s">
        <v>8</v>
      </c>
      <c r="R515" s="27" t="s">
        <v>7</v>
      </c>
      <c r="S515" s="27" t="s">
        <v>8</v>
      </c>
      <c r="T515" s="27" t="s">
        <v>7</v>
      </c>
      <c r="U515" s="27" t="s">
        <v>8</v>
      </c>
      <c r="V515" s="27" t="s">
        <v>7</v>
      </c>
      <c r="W515" s="27" t="s">
        <v>8</v>
      </c>
      <c r="X515" s="27" t="s">
        <v>7</v>
      </c>
      <c r="AM515" s="27" t="s">
        <v>8</v>
      </c>
      <c r="AN515" s="27" t="s">
        <v>7</v>
      </c>
    </row>
    <row r="516" spans="1:90" x14ac:dyDescent="0.25">
      <c r="A516" s="7">
        <v>4.0795493873054074</v>
      </c>
      <c r="B516"/>
      <c r="C516"/>
      <c r="D516"/>
      <c r="E516"/>
      <c r="K516" s="27" t="s">
        <v>8</v>
      </c>
      <c r="M516" s="27" t="s">
        <v>8</v>
      </c>
      <c r="N516" s="27" t="s">
        <v>7</v>
      </c>
      <c r="O516" s="27" t="s">
        <v>8</v>
      </c>
      <c r="P516" s="27" t="s">
        <v>7</v>
      </c>
      <c r="Q516" s="27" t="s">
        <v>8</v>
      </c>
      <c r="R516" s="27" t="s">
        <v>7</v>
      </c>
      <c r="S516" s="27" t="s">
        <v>8</v>
      </c>
      <c r="T516" s="27" t="s">
        <v>7</v>
      </c>
      <c r="U516" s="27" t="s">
        <v>8</v>
      </c>
      <c r="V516" s="27" t="s">
        <v>7</v>
      </c>
      <c r="W516" s="27" t="s">
        <v>8</v>
      </c>
      <c r="X516" s="27" t="s">
        <v>7</v>
      </c>
      <c r="AM516" s="27" t="s">
        <v>8</v>
      </c>
      <c r="AN516" s="27" t="s">
        <v>7</v>
      </c>
    </row>
    <row r="517" spans="1:90" x14ac:dyDescent="0.25">
      <c r="A517" s="7">
        <v>3.9995582228484383</v>
      </c>
      <c r="B517"/>
      <c r="C517"/>
      <c r="D517"/>
      <c r="E517"/>
      <c r="K517" s="27" t="s">
        <v>8</v>
      </c>
      <c r="L517" s="27" t="s">
        <v>7</v>
      </c>
      <c r="M517" s="27" t="s">
        <v>8</v>
      </c>
      <c r="N517" s="27" t="s">
        <v>7</v>
      </c>
      <c r="O517" s="27" t="s">
        <v>8</v>
      </c>
      <c r="P517" s="27" t="s">
        <v>7</v>
      </c>
      <c r="Q517" s="27" t="s">
        <v>8</v>
      </c>
      <c r="R517" s="27" t="s">
        <v>7</v>
      </c>
      <c r="S517" s="27" t="s">
        <v>8</v>
      </c>
      <c r="T517" s="27" t="s">
        <v>7</v>
      </c>
      <c r="U517" s="27" t="s">
        <v>8</v>
      </c>
      <c r="V517" s="27" t="s">
        <v>7</v>
      </c>
      <c r="W517" s="27" t="s">
        <v>8</v>
      </c>
      <c r="X517" s="27" t="s">
        <v>7</v>
      </c>
      <c r="AA517" s="27" t="s">
        <v>8</v>
      </c>
      <c r="AM517" s="27" t="s">
        <v>8</v>
      </c>
      <c r="AN517" s="27" t="s">
        <v>7</v>
      </c>
      <c r="CK517" s="27" t="s">
        <v>8</v>
      </c>
    </row>
    <row r="518" spans="1:90" x14ac:dyDescent="0.25">
      <c r="A518" s="7">
        <v>3.9211355125965079</v>
      </c>
      <c r="B518"/>
      <c r="C518"/>
      <c r="D518"/>
      <c r="E518"/>
      <c r="K518" s="27" t="s">
        <v>8</v>
      </c>
      <c r="L518" s="27" t="s">
        <v>7</v>
      </c>
      <c r="M518" s="27" t="s">
        <v>8</v>
      </c>
      <c r="N518" s="27" t="s">
        <v>7</v>
      </c>
      <c r="O518" s="27" t="s">
        <v>8</v>
      </c>
      <c r="P518" s="27" t="s">
        <v>7</v>
      </c>
      <c r="Q518" s="27" t="s">
        <v>8</v>
      </c>
      <c r="R518" s="27" t="s">
        <v>7</v>
      </c>
      <c r="S518" s="27" t="s">
        <v>8</v>
      </c>
      <c r="T518" s="27" t="s">
        <v>7</v>
      </c>
      <c r="U518" s="27" t="s">
        <v>8</v>
      </c>
      <c r="V518" s="27" t="s">
        <v>7</v>
      </c>
      <c r="W518" s="27" t="s">
        <v>8</v>
      </c>
      <c r="X518" s="27" t="s">
        <v>7</v>
      </c>
      <c r="Y518" s="27" t="s">
        <v>8</v>
      </c>
      <c r="AA518" s="27" t="s">
        <v>8</v>
      </c>
      <c r="AB518" s="27" t="s">
        <v>7</v>
      </c>
      <c r="AM518" s="27" t="s">
        <v>8</v>
      </c>
      <c r="AN518" s="27" t="s">
        <v>7</v>
      </c>
      <c r="CK518" s="27" t="s">
        <v>8</v>
      </c>
      <c r="CL518" s="27" t="s">
        <v>7</v>
      </c>
    </row>
    <row r="519" spans="1:90" x14ac:dyDescent="0.25">
      <c r="A519" s="7">
        <v>3.844250502545596</v>
      </c>
      <c r="B519"/>
      <c r="C519"/>
      <c r="D519"/>
      <c r="E519"/>
      <c r="K519" s="27" t="s">
        <v>8</v>
      </c>
      <c r="L519" s="27" t="s">
        <v>7</v>
      </c>
      <c r="M519" s="27" t="s">
        <v>8</v>
      </c>
      <c r="N519" s="27" t="s">
        <v>7</v>
      </c>
      <c r="O519" s="27" t="s">
        <v>8</v>
      </c>
      <c r="P519" s="27" t="s">
        <v>7</v>
      </c>
      <c r="Q519" s="27" t="s">
        <v>8</v>
      </c>
      <c r="R519" s="27" t="s">
        <v>7</v>
      </c>
      <c r="S519" s="27" t="s">
        <v>8</v>
      </c>
      <c r="T519" s="27" t="s">
        <v>7</v>
      </c>
      <c r="V519" s="27" t="s">
        <v>7</v>
      </c>
      <c r="W519" s="27" t="s">
        <v>8</v>
      </c>
      <c r="X519" s="27" t="s">
        <v>7</v>
      </c>
      <c r="Y519" s="27" t="s">
        <v>8</v>
      </c>
      <c r="Z519" s="27" t="s">
        <v>7</v>
      </c>
      <c r="AA519" s="27" t="s">
        <v>8</v>
      </c>
      <c r="AB519" s="27" t="s">
        <v>7</v>
      </c>
      <c r="AM519" s="27" t="s">
        <v>8</v>
      </c>
      <c r="AN519" s="27" t="s">
        <v>7</v>
      </c>
      <c r="CK519" s="27" t="s">
        <v>8</v>
      </c>
      <c r="CL519" s="27" t="s">
        <v>7</v>
      </c>
    </row>
    <row r="520" spans="1:90" x14ac:dyDescent="0.25">
      <c r="A520" s="7">
        <v>3.7688730417113687</v>
      </c>
      <c r="B520"/>
      <c r="C520"/>
      <c r="D520"/>
      <c r="E520"/>
      <c r="K520" s="27" t="s">
        <v>8</v>
      </c>
      <c r="L520" s="27" t="s">
        <v>7</v>
      </c>
      <c r="M520" s="27" t="s">
        <v>8</v>
      </c>
      <c r="N520" s="27" t="s">
        <v>7</v>
      </c>
      <c r="O520" s="27" t="s">
        <v>8</v>
      </c>
      <c r="P520" s="27" t="s">
        <v>7</v>
      </c>
      <c r="R520" s="27" t="s">
        <v>7</v>
      </c>
      <c r="S520" s="27" t="s">
        <v>8</v>
      </c>
      <c r="V520" s="27" t="s">
        <v>7</v>
      </c>
      <c r="W520" s="27" t="s">
        <v>8</v>
      </c>
      <c r="X520" s="27" t="s">
        <v>7</v>
      </c>
      <c r="Y520" s="27" t="s">
        <v>8</v>
      </c>
      <c r="Z520" s="27" t="s">
        <v>7</v>
      </c>
      <c r="AA520" s="27" t="s">
        <v>8</v>
      </c>
      <c r="AB520" s="27" t="s">
        <v>7</v>
      </c>
      <c r="AM520" s="27" t="s">
        <v>8</v>
      </c>
      <c r="AN520" s="27" t="s">
        <v>7</v>
      </c>
      <c r="CK520" s="27" t="s">
        <v>8</v>
      </c>
      <c r="CL520" s="27" t="s">
        <v>7</v>
      </c>
    </row>
    <row r="521" spans="1:90" x14ac:dyDescent="0.25">
      <c r="A521" s="7">
        <v>3.6949735703052635</v>
      </c>
      <c r="B521"/>
      <c r="C521"/>
      <c r="D521"/>
      <c r="E521"/>
      <c r="K521" s="27" t="s">
        <v>8</v>
      </c>
      <c r="L521" s="27" t="s">
        <v>7</v>
      </c>
      <c r="M521" s="27" t="s">
        <v>8</v>
      </c>
      <c r="N521" s="27" t="s">
        <v>7</v>
      </c>
      <c r="O521" s="27" t="s">
        <v>8</v>
      </c>
      <c r="R521" s="27" t="s">
        <v>7</v>
      </c>
      <c r="S521" s="27" t="s">
        <v>8</v>
      </c>
      <c r="V521" s="27" t="s">
        <v>7</v>
      </c>
      <c r="W521" s="27" t="s">
        <v>8</v>
      </c>
      <c r="X521" s="27" t="s">
        <v>7</v>
      </c>
      <c r="Y521" s="27" t="s">
        <v>8</v>
      </c>
      <c r="Z521" s="27" t="s">
        <v>7</v>
      </c>
      <c r="AA521" s="27" t="s">
        <v>8</v>
      </c>
      <c r="AB521" s="27" t="s">
        <v>7</v>
      </c>
      <c r="AC521" s="27" t="s">
        <v>8</v>
      </c>
      <c r="AM521" s="27" t="s">
        <v>8</v>
      </c>
      <c r="AN521" s="27" t="s">
        <v>7</v>
      </c>
      <c r="CK521" s="27" t="s">
        <v>8</v>
      </c>
      <c r="CL521" s="27" t="s">
        <v>7</v>
      </c>
    </row>
    <row r="522" spans="1:90" x14ac:dyDescent="0.25">
      <c r="A522" s="7">
        <v>3.6225231081424152</v>
      </c>
      <c r="B522"/>
      <c r="C522"/>
      <c r="D522"/>
      <c r="E522"/>
      <c r="K522" s="27" t="s">
        <v>8</v>
      </c>
      <c r="L522" s="27" t="s">
        <v>7</v>
      </c>
      <c r="M522" s="27" t="s">
        <v>8</v>
      </c>
      <c r="N522" s="27" t="s">
        <v>7</v>
      </c>
      <c r="O522" s="27" t="s">
        <v>8</v>
      </c>
      <c r="R522" s="27" t="s">
        <v>7</v>
      </c>
      <c r="S522" s="27" t="s">
        <v>8</v>
      </c>
      <c r="V522" s="27" t="s">
        <v>7</v>
      </c>
      <c r="X522" s="27" t="s">
        <v>7</v>
      </c>
      <c r="Z522" s="27" t="s">
        <v>7</v>
      </c>
      <c r="AA522" s="27" t="s">
        <v>8</v>
      </c>
      <c r="AB522" s="27" t="s">
        <v>7</v>
      </c>
      <c r="AC522" s="27" t="s">
        <v>8</v>
      </c>
      <c r="AD522" s="27" t="s">
        <v>7</v>
      </c>
      <c r="AM522" s="27" t="s">
        <v>8</v>
      </c>
      <c r="AN522" s="27" t="s">
        <v>7</v>
      </c>
      <c r="CK522" s="27" t="s">
        <v>8</v>
      </c>
      <c r="CL522" s="27" t="s">
        <v>7</v>
      </c>
    </row>
    <row r="523" spans="1:90" x14ac:dyDescent="0.25">
      <c r="A523" s="7">
        <v>3.5514932432768775</v>
      </c>
      <c r="B523"/>
      <c r="C523"/>
      <c r="D523"/>
      <c r="E523"/>
      <c r="K523" s="27" t="s">
        <v>8</v>
      </c>
      <c r="L523" s="27" t="s">
        <v>7</v>
      </c>
      <c r="M523" s="27" t="s">
        <v>8</v>
      </c>
      <c r="N523" s="27" t="s">
        <v>7</v>
      </c>
      <c r="O523" s="27" t="s">
        <v>8</v>
      </c>
      <c r="R523" s="27" t="s">
        <v>7</v>
      </c>
      <c r="S523" s="27" t="s">
        <v>8</v>
      </c>
      <c r="Z523" s="27" t="s">
        <v>7</v>
      </c>
      <c r="AA523" s="27" t="s">
        <v>8</v>
      </c>
      <c r="AB523" s="27" t="s">
        <v>7</v>
      </c>
      <c r="AC523" s="27" t="s">
        <v>8</v>
      </c>
      <c r="AD523" s="27" t="s">
        <v>7</v>
      </c>
      <c r="AE523" s="27" t="s">
        <v>8</v>
      </c>
      <c r="AM523" s="27" t="s">
        <v>8</v>
      </c>
      <c r="AN523" s="27" t="s">
        <v>7</v>
      </c>
      <c r="CK523" s="27" t="s">
        <v>8</v>
      </c>
      <c r="CL523" s="27" t="s">
        <v>7</v>
      </c>
    </row>
    <row r="524" spans="1:90" x14ac:dyDescent="0.25">
      <c r="A524" s="7">
        <v>3.4818561208596837</v>
      </c>
      <c r="B524"/>
      <c r="C524"/>
      <c r="D524"/>
      <c r="E524"/>
      <c r="K524" s="27" t="s">
        <v>8</v>
      </c>
      <c r="L524" s="27" t="s">
        <v>7</v>
      </c>
      <c r="M524" s="27" t="s">
        <v>8</v>
      </c>
      <c r="N524" s="27" t="s">
        <v>7</v>
      </c>
      <c r="O524" s="27" t="s">
        <v>8</v>
      </c>
      <c r="R524" s="27" t="s">
        <v>7</v>
      </c>
      <c r="Z524" s="27" t="s">
        <v>7</v>
      </c>
      <c r="AA524" s="27" t="s">
        <v>8</v>
      </c>
      <c r="AB524" s="27" t="s">
        <v>7</v>
      </c>
      <c r="AC524" s="27" t="s">
        <v>8</v>
      </c>
      <c r="AD524" s="27" t="s">
        <v>7</v>
      </c>
      <c r="AE524" s="27" t="s">
        <v>8</v>
      </c>
      <c r="AF524" s="27" t="s">
        <v>7</v>
      </c>
      <c r="AM524" s="27" t="s">
        <v>8</v>
      </c>
      <c r="AN524" s="27" t="s">
        <v>7</v>
      </c>
      <c r="CK524" s="27" t="s">
        <v>8</v>
      </c>
      <c r="CL524" s="27" t="s">
        <v>7</v>
      </c>
    </row>
    <row r="525" spans="1:90" x14ac:dyDescent="0.25">
      <c r="A525" s="7">
        <v>3.4135844322153761</v>
      </c>
      <c r="B525"/>
      <c r="C525"/>
      <c r="D525"/>
      <c r="E525"/>
      <c r="K525" s="27" t="s">
        <v>8</v>
      </c>
      <c r="L525" s="27" t="s">
        <v>7</v>
      </c>
      <c r="M525" s="27" t="s">
        <v>8</v>
      </c>
      <c r="N525" s="27" t="s">
        <v>7</v>
      </c>
      <c r="O525" s="27" t="s">
        <v>8</v>
      </c>
      <c r="Z525" s="27" t="s">
        <v>7</v>
      </c>
      <c r="AA525" s="27" t="s">
        <v>8</v>
      </c>
      <c r="AB525" s="27" t="s">
        <v>7</v>
      </c>
      <c r="AD525" s="27" t="s">
        <v>7</v>
      </c>
      <c r="AE525" s="27" t="s">
        <v>8</v>
      </c>
      <c r="AF525" s="27" t="s">
        <v>7</v>
      </c>
      <c r="AM525" s="27" t="s">
        <v>8</v>
      </c>
      <c r="AN525" s="27" t="s">
        <v>7</v>
      </c>
      <c r="CK525" s="27" t="s">
        <v>8</v>
      </c>
      <c r="CL525" s="27" t="s">
        <v>7</v>
      </c>
    </row>
    <row r="526" spans="1:90" x14ac:dyDescent="0.25">
      <c r="A526" s="7">
        <v>3.3466514041327216</v>
      </c>
      <c r="B526"/>
      <c r="C526"/>
      <c r="D526"/>
      <c r="E526"/>
      <c r="K526" s="27" t="s">
        <v>8</v>
      </c>
      <c r="L526" s="27" t="s">
        <v>7</v>
      </c>
      <c r="M526" s="27" t="s">
        <v>8</v>
      </c>
      <c r="N526" s="27" t="s">
        <v>7</v>
      </c>
      <c r="Z526" s="27" t="s">
        <v>7</v>
      </c>
      <c r="AA526" s="27" t="s">
        <v>8</v>
      </c>
      <c r="AD526" s="27" t="s">
        <v>7</v>
      </c>
      <c r="AE526" s="27" t="s">
        <v>8</v>
      </c>
      <c r="AF526" s="27" t="s">
        <v>7</v>
      </c>
      <c r="AM526" s="27" t="s">
        <v>8</v>
      </c>
      <c r="AN526" s="27" t="s">
        <v>7</v>
      </c>
      <c r="AO526" s="27" t="s">
        <v>8</v>
      </c>
      <c r="CK526" s="27" t="s">
        <v>8</v>
      </c>
      <c r="CL526" s="27" t="s">
        <v>7</v>
      </c>
    </row>
    <row r="527" spans="1:90" x14ac:dyDescent="0.25">
      <c r="A527" s="7">
        <v>3.2810307883654133</v>
      </c>
      <c r="B527"/>
      <c r="C527"/>
      <c r="D527"/>
      <c r="E527" t="s">
        <v>8</v>
      </c>
      <c r="K527" s="27" t="s">
        <v>8</v>
      </c>
      <c r="L527" s="27" t="s">
        <v>7</v>
      </c>
      <c r="Z527" s="27" t="s">
        <v>7</v>
      </c>
      <c r="AA527" s="27" t="s">
        <v>8</v>
      </c>
      <c r="AD527" s="27" t="s">
        <v>7</v>
      </c>
      <c r="AE527" s="27" t="s">
        <v>8</v>
      </c>
      <c r="AF527" s="27" t="s">
        <v>7</v>
      </c>
      <c r="AM527" s="27" t="s">
        <v>8</v>
      </c>
      <c r="AN527" s="27" t="s">
        <v>7</v>
      </c>
      <c r="AO527" s="27" t="s">
        <v>8</v>
      </c>
      <c r="AP527" s="27" t="s">
        <v>7</v>
      </c>
      <c r="CK527" s="27" t="s">
        <v>8</v>
      </c>
      <c r="CL527" s="27" t="s">
        <v>7</v>
      </c>
    </row>
    <row r="528" spans="1:90" x14ac:dyDescent="0.25">
      <c r="A528" s="7">
        <v>3.2166968513386403</v>
      </c>
      <c r="B528"/>
      <c r="C528"/>
      <c r="D528"/>
      <c r="E528" t="s">
        <v>8</v>
      </c>
      <c r="F528" s="27" t="s">
        <v>7</v>
      </c>
      <c r="I528" s="27" t="s">
        <v>8</v>
      </c>
      <c r="K528" s="27" t="s">
        <v>8</v>
      </c>
      <c r="Z528" s="27" t="s">
        <v>7</v>
      </c>
      <c r="AA528" s="27" t="s">
        <v>8</v>
      </c>
      <c r="AD528" s="27" t="s">
        <v>7</v>
      </c>
      <c r="AF528" s="27" t="s">
        <v>7</v>
      </c>
      <c r="AM528" s="27" t="s">
        <v>8</v>
      </c>
      <c r="AN528" s="27" t="s">
        <v>7</v>
      </c>
      <c r="AO528" s="27" t="s">
        <v>8</v>
      </c>
      <c r="AP528" s="27" t="s">
        <v>7</v>
      </c>
      <c r="CK528" s="27" t="s">
        <v>8</v>
      </c>
      <c r="CL528" s="27" t="s">
        <v>7</v>
      </c>
    </row>
    <row r="529" spans="1:148" x14ac:dyDescent="0.25">
      <c r="A529" s="7">
        <v>3.1536243640574906</v>
      </c>
      <c r="B529"/>
      <c r="C529"/>
      <c r="D529"/>
      <c r="E529" t="s">
        <v>8</v>
      </c>
      <c r="F529" s="27" t="s">
        <v>7</v>
      </c>
      <c r="I529" s="27" t="s">
        <v>8</v>
      </c>
      <c r="J529" s="27" t="s">
        <v>7</v>
      </c>
      <c r="K529" s="27" t="s">
        <v>8</v>
      </c>
      <c r="Z529" s="27" t="s">
        <v>7</v>
      </c>
      <c r="AF529" s="27" t="s">
        <v>7</v>
      </c>
      <c r="AM529" s="27" t="s">
        <v>8</v>
      </c>
      <c r="AN529" s="27" t="s">
        <v>7</v>
      </c>
      <c r="AO529" s="27" t="s">
        <v>8</v>
      </c>
      <c r="AP529" s="27" t="s">
        <v>7</v>
      </c>
      <c r="CK529" s="27" t="s">
        <v>8</v>
      </c>
      <c r="CL529" s="27" t="s">
        <v>7</v>
      </c>
    </row>
    <row r="530" spans="1:148" x14ac:dyDescent="0.25">
      <c r="A530" s="7">
        <v>3.0917885922132262</v>
      </c>
      <c r="B530"/>
      <c r="C530"/>
      <c r="D530"/>
      <c r="E530" t="s">
        <v>8</v>
      </c>
      <c r="F530" s="27" t="s">
        <v>7</v>
      </c>
      <c r="I530" s="27" t="s">
        <v>8</v>
      </c>
      <c r="J530" s="27" t="s">
        <v>7</v>
      </c>
      <c r="K530" s="27" t="s">
        <v>8</v>
      </c>
      <c r="AF530" s="27" t="s">
        <v>7</v>
      </c>
      <c r="AM530" s="27" t="s">
        <v>8</v>
      </c>
      <c r="AN530" s="27" t="s">
        <v>7</v>
      </c>
      <c r="AO530" s="27" t="s">
        <v>8</v>
      </c>
      <c r="AP530" s="27" t="s">
        <v>7</v>
      </c>
      <c r="AQ530" s="27" t="s">
        <v>8</v>
      </c>
      <c r="CK530" s="27" t="s">
        <v>8</v>
      </c>
      <c r="CL530" s="27" t="s">
        <v>7</v>
      </c>
    </row>
    <row r="531" spans="1:148" x14ac:dyDescent="0.25">
      <c r="A531" s="7">
        <v>3.0311652864835552</v>
      </c>
      <c r="B531"/>
      <c r="C531"/>
      <c r="D531"/>
      <c r="E531" t="s">
        <v>8</v>
      </c>
      <c r="F531" s="27" t="s">
        <v>7</v>
      </c>
      <c r="I531" s="27" t="s">
        <v>8</v>
      </c>
      <c r="J531" s="27" t="s">
        <v>7</v>
      </c>
      <c r="K531" s="27" t="s">
        <v>8</v>
      </c>
      <c r="AF531" s="27" t="s">
        <v>7</v>
      </c>
      <c r="AM531" s="27" t="s">
        <v>8</v>
      </c>
      <c r="AN531" s="27" t="s">
        <v>7</v>
      </c>
      <c r="AO531" s="27" t="s">
        <v>8</v>
      </c>
      <c r="AP531" s="27" t="s">
        <v>7</v>
      </c>
      <c r="AQ531" s="27" t="s">
        <v>8</v>
      </c>
      <c r="AR531" s="27" t="s">
        <v>7</v>
      </c>
      <c r="CK531" s="27" t="s">
        <v>8</v>
      </c>
      <c r="CL531" s="27" t="s">
        <v>7</v>
      </c>
    </row>
    <row r="532" spans="1:148" x14ac:dyDescent="0.25">
      <c r="A532" s="7">
        <v>2.9717306730230932</v>
      </c>
      <c r="B532"/>
      <c r="C532"/>
      <c r="D532"/>
      <c r="E532" t="s">
        <v>8</v>
      </c>
      <c r="F532" s="27" t="s">
        <v>7</v>
      </c>
      <c r="G532" s="27" t="s">
        <v>8</v>
      </c>
      <c r="I532" s="27" t="s">
        <v>8</v>
      </c>
      <c r="J532" s="27" t="s">
        <v>7</v>
      </c>
      <c r="K532" s="27" t="s">
        <v>8</v>
      </c>
      <c r="AF532" s="27" t="s">
        <v>7</v>
      </c>
      <c r="AK532" s="27" t="s">
        <v>8</v>
      </c>
      <c r="AM532" s="27" t="s">
        <v>8</v>
      </c>
      <c r="AN532" s="27" t="s">
        <v>7</v>
      </c>
      <c r="AO532" s="27" t="s">
        <v>8</v>
      </c>
      <c r="AP532" s="27" t="s">
        <v>7</v>
      </c>
      <c r="AQ532" s="27" t="s">
        <v>8</v>
      </c>
      <c r="AR532" s="27" t="s">
        <v>7</v>
      </c>
      <c r="CK532" s="27" t="s">
        <v>8</v>
      </c>
      <c r="CL532" s="27" t="s">
        <v>7</v>
      </c>
    </row>
    <row r="533" spans="1:148" x14ac:dyDescent="0.25">
      <c r="A533" s="7">
        <v>2.9134614441402875</v>
      </c>
      <c r="B533"/>
      <c r="C533"/>
      <c r="D533"/>
      <c r="E533" t="s">
        <v>8</v>
      </c>
      <c r="F533" s="27" t="s">
        <v>7</v>
      </c>
      <c r="G533" s="27" t="s">
        <v>8</v>
      </c>
      <c r="H533" s="27" t="s">
        <v>7</v>
      </c>
      <c r="I533" s="27" t="s">
        <v>8</v>
      </c>
      <c r="J533" s="27" t="s">
        <v>7</v>
      </c>
      <c r="K533" s="27" t="s">
        <v>8</v>
      </c>
      <c r="AF533" s="27" t="s">
        <v>7</v>
      </c>
      <c r="AK533" s="27" t="s">
        <v>8</v>
      </c>
      <c r="AL533" s="27" t="s">
        <v>7</v>
      </c>
      <c r="AM533" s="27" t="s">
        <v>8</v>
      </c>
      <c r="AN533" s="27" t="s">
        <v>7</v>
      </c>
      <c r="AO533" s="27" t="s">
        <v>8</v>
      </c>
      <c r="AP533" s="27" t="s">
        <v>7</v>
      </c>
      <c r="AQ533" s="27" t="s">
        <v>8</v>
      </c>
      <c r="AR533" s="27" t="s">
        <v>7</v>
      </c>
      <c r="CK533" s="27" t="s">
        <v>8</v>
      </c>
      <c r="CL533" s="27" t="s">
        <v>7</v>
      </c>
    </row>
    <row r="534" spans="1:148" x14ac:dyDescent="0.25">
      <c r="A534" s="7">
        <v>2.8563347491571447</v>
      </c>
      <c r="B534"/>
      <c r="C534"/>
      <c r="D534"/>
      <c r="E534" t="s">
        <v>8</v>
      </c>
      <c r="F534" s="27" t="s">
        <v>7</v>
      </c>
      <c r="G534" s="27" t="s">
        <v>8</v>
      </c>
      <c r="H534" s="27" t="s">
        <v>7</v>
      </c>
      <c r="I534" s="27" t="s">
        <v>8</v>
      </c>
      <c r="J534" s="27" t="s">
        <v>7</v>
      </c>
      <c r="K534" s="27" t="s">
        <v>8</v>
      </c>
      <c r="AF534" s="27" t="s">
        <v>7</v>
      </c>
      <c r="AK534" s="27" t="s">
        <v>8</v>
      </c>
      <c r="AL534" s="27" t="s">
        <v>7</v>
      </c>
      <c r="AM534" s="27" t="s">
        <v>8</v>
      </c>
      <c r="AN534" s="27" t="s">
        <v>7</v>
      </c>
      <c r="AO534" s="27" t="s">
        <v>8</v>
      </c>
      <c r="AP534" s="27" t="s">
        <v>7</v>
      </c>
      <c r="AQ534" s="27" t="s">
        <v>8</v>
      </c>
      <c r="AR534" s="27" t="s">
        <v>7</v>
      </c>
      <c r="AS534" s="27" t="s">
        <v>8</v>
      </c>
      <c r="CK534" s="27" t="s">
        <v>8</v>
      </c>
      <c r="CL534" s="27" t="s">
        <v>7</v>
      </c>
    </row>
    <row r="535" spans="1:148" x14ac:dyDescent="0.25">
      <c r="A535" s="7">
        <v>2.8003281854481812</v>
      </c>
      <c r="B535"/>
      <c r="C535"/>
      <c r="D535"/>
      <c r="E535" t="s">
        <v>8</v>
      </c>
      <c r="F535" s="27" t="s">
        <v>7</v>
      </c>
      <c r="G535" s="27" t="s">
        <v>8</v>
      </c>
      <c r="H535" s="27" t="s">
        <v>7</v>
      </c>
      <c r="I535" s="27" t="s">
        <v>8</v>
      </c>
      <c r="J535" s="27" t="s">
        <v>7</v>
      </c>
      <c r="K535" s="27" t="s">
        <v>8</v>
      </c>
      <c r="AF535" s="27" t="s">
        <v>7</v>
      </c>
      <c r="AK535" s="27" t="s">
        <v>8</v>
      </c>
      <c r="AL535" s="27" t="s">
        <v>7</v>
      </c>
      <c r="AM535" s="27" t="s">
        <v>8</v>
      </c>
      <c r="AN535" s="27" t="s">
        <v>7</v>
      </c>
      <c r="AO535" s="27" t="s">
        <v>8</v>
      </c>
      <c r="AP535" s="27" t="s">
        <v>7</v>
      </c>
      <c r="AQ535" s="27" t="s">
        <v>8</v>
      </c>
      <c r="AR535" s="27" t="s">
        <v>7</v>
      </c>
      <c r="AS535" s="27" t="s">
        <v>8</v>
      </c>
      <c r="AT535" s="27" t="s">
        <v>7</v>
      </c>
      <c r="AU535" s="27" t="s">
        <v>8</v>
      </c>
      <c r="CK535" s="27" t="s">
        <v>8</v>
      </c>
      <c r="CL535" s="27" t="s">
        <v>7</v>
      </c>
      <c r="DC535" s="27" t="s">
        <v>8</v>
      </c>
    </row>
    <row r="536" spans="1:148" x14ac:dyDescent="0.25">
      <c r="A536" s="7">
        <v>2.7454197896550796</v>
      </c>
      <c r="B536"/>
      <c r="C536"/>
      <c r="D536"/>
      <c r="E536" t="s">
        <v>8</v>
      </c>
      <c r="F536" s="27" t="s">
        <v>7</v>
      </c>
      <c r="G536" s="27" t="s">
        <v>8</v>
      </c>
      <c r="H536" s="27" t="s">
        <v>7</v>
      </c>
      <c r="I536" s="27" t="s">
        <v>8</v>
      </c>
      <c r="J536" s="27" t="s">
        <v>7</v>
      </c>
      <c r="AF536" s="27" t="s">
        <v>7</v>
      </c>
      <c r="AK536" s="27" t="s">
        <v>8</v>
      </c>
      <c r="AL536" s="27" t="s">
        <v>7</v>
      </c>
      <c r="AM536" s="27" t="s">
        <v>8</v>
      </c>
      <c r="AN536" s="27" t="s">
        <v>7</v>
      </c>
      <c r="AO536" s="27" t="s">
        <v>8</v>
      </c>
      <c r="AP536" s="27" t="s">
        <v>7</v>
      </c>
      <c r="AQ536" s="27" t="s">
        <v>8</v>
      </c>
      <c r="AR536" s="27" t="s">
        <v>7</v>
      </c>
      <c r="AS536" s="27" t="s">
        <v>8</v>
      </c>
      <c r="AT536" s="27" t="s">
        <v>7</v>
      </c>
      <c r="AU536" s="27" t="s">
        <v>8</v>
      </c>
      <c r="AV536" s="27" t="s">
        <v>7</v>
      </c>
      <c r="CK536" s="27" t="s">
        <v>8</v>
      </c>
      <c r="CL536" s="27" t="s">
        <v>7</v>
      </c>
      <c r="DC536" s="27" t="s">
        <v>8</v>
      </c>
      <c r="DD536" s="27" t="s">
        <v>7</v>
      </c>
    </row>
    <row r="537" spans="1:148" x14ac:dyDescent="0.25">
      <c r="A537" s="7">
        <v>2.6915880290736074</v>
      </c>
      <c r="B537"/>
      <c r="C537"/>
      <c r="D537"/>
      <c r="E537" t="s">
        <v>8</v>
      </c>
      <c r="F537" s="27" t="s">
        <v>7</v>
      </c>
      <c r="H537" s="27" t="s">
        <v>7</v>
      </c>
      <c r="I537" s="27" t="s">
        <v>8</v>
      </c>
      <c r="AF537" s="27" t="s">
        <v>7</v>
      </c>
      <c r="AK537" s="27" t="s">
        <v>8</v>
      </c>
      <c r="AL537" s="27" t="s">
        <v>7</v>
      </c>
      <c r="AM537" s="27" t="s">
        <v>8</v>
      </c>
      <c r="AN537" s="27" t="s">
        <v>7</v>
      </c>
      <c r="AP537" s="27" t="s">
        <v>7</v>
      </c>
      <c r="AQ537" s="27" t="s">
        <v>8</v>
      </c>
      <c r="AR537" s="27" t="s">
        <v>7</v>
      </c>
      <c r="AS537" s="27" t="s">
        <v>8</v>
      </c>
      <c r="AT537" s="27" t="s">
        <v>7</v>
      </c>
      <c r="AU537" s="27" t="s">
        <v>8</v>
      </c>
      <c r="AV537" s="27" t="s">
        <v>7</v>
      </c>
      <c r="CK537" s="27" t="s">
        <v>8</v>
      </c>
      <c r="CL537" s="27" t="s">
        <v>7</v>
      </c>
      <c r="CU537" s="27" t="s">
        <v>8</v>
      </c>
      <c r="DC537" s="27" t="s">
        <v>8</v>
      </c>
      <c r="DD537" s="27" t="s">
        <v>7</v>
      </c>
    </row>
    <row r="538" spans="1:148" x14ac:dyDescent="0.25">
      <c r="A538" s="7">
        <v>2.6388117932094191</v>
      </c>
      <c r="B538"/>
      <c r="C538"/>
      <c r="D538"/>
      <c r="E538" t="s">
        <v>8</v>
      </c>
      <c r="H538" s="27" t="s">
        <v>7</v>
      </c>
      <c r="I538" s="27" t="s">
        <v>8</v>
      </c>
      <c r="AF538" s="27" t="s">
        <v>7</v>
      </c>
      <c r="AK538" s="27" t="s">
        <v>8</v>
      </c>
      <c r="AL538" s="27" t="s">
        <v>7</v>
      </c>
      <c r="AM538" s="27" t="s">
        <v>8</v>
      </c>
      <c r="AP538" s="27" t="s">
        <v>7</v>
      </c>
      <c r="AQ538" s="27" t="s">
        <v>8</v>
      </c>
      <c r="AR538" s="27" t="s">
        <v>7</v>
      </c>
      <c r="AS538" s="27" t="s">
        <v>8</v>
      </c>
      <c r="AT538" s="27" t="s">
        <v>7</v>
      </c>
      <c r="AU538" s="27" t="s">
        <v>8</v>
      </c>
      <c r="AV538" s="27" t="s">
        <v>7</v>
      </c>
      <c r="CK538" s="27" t="s">
        <v>8</v>
      </c>
      <c r="CL538" s="27" t="s">
        <v>7</v>
      </c>
      <c r="CU538" s="27" t="s">
        <v>8</v>
      </c>
      <c r="CV538" s="27" t="s">
        <v>7</v>
      </c>
      <c r="CW538" s="27" t="s">
        <v>8</v>
      </c>
      <c r="DC538" s="27" t="s">
        <v>8</v>
      </c>
      <c r="DD538" s="27" t="s">
        <v>7</v>
      </c>
    </row>
    <row r="539" spans="1:148" x14ac:dyDescent="0.25">
      <c r="A539" s="7">
        <v>2.5870703854994304</v>
      </c>
      <c r="B539"/>
      <c r="C539"/>
      <c r="D539"/>
      <c r="E539" t="s">
        <v>8</v>
      </c>
      <c r="H539" s="27" t="s">
        <v>7</v>
      </c>
      <c r="AF539" s="27" t="s">
        <v>7</v>
      </c>
      <c r="AK539" s="27" t="s">
        <v>8</v>
      </c>
      <c r="AL539" s="27" t="s">
        <v>7</v>
      </c>
      <c r="AM539" s="27" t="s">
        <v>8</v>
      </c>
      <c r="AP539" s="27" t="s">
        <v>7</v>
      </c>
      <c r="AQ539" s="27" t="s">
        <v>8</v>
      </c>
      <c r="AR539" s="27" t="s">
        <v>7</v>
      </c>
      <c r="AS539" s="27" t="s">
        <v>8</v>
      </c>
      <c r="AT539" s="27" t="s">
        <v>7</v>
      </c>
      <c r="AU539" s="27" t="s">
        <v>8</v>
      </c>
      <c r="AV539" s="27" t="s">
        <v>7</v>
      </c>
      <c r="CK539" s="27" t="s">
        <v>8</v>
      </c>
      <c r="CL539" s="27" t="s">
        <v>7</v>
      </c>
      <c r="CU539" s="27" t="s">
        <v>8</v>
      </c>
      <c r="CV539" s="27" t="s">
        <v>7</v>
      </c>
      <c r="CW539" s="27" t="s">
        <v>8</v>
      </c>
      <c r="CX539" s="27" t="s">
        <v>7</v>
      </c>
      <c r="DC539" s="27" t="s">
        <v>8</v>
      </c>
      <c r="DD539" s="27" t="s">
        <v>7</v>
      </c>
    </row>
    <row r="540" spans="1:148" x14ac:dyDescent="0.25">
      <c r="A540" s="7">
        <v>2.53634351519552</v>
      </c>
      <c r="B540"/>
      <c r="C540"/>
      <c r="D540"/>
      <c r="E540" t="s">
        <v>8</v>
      </c>
      <c r="AF540" s="27" t="s">
        <v>7</v>
      </c>
      <c r="AG540" s="27" t="s">
        <v>8</v>
      </c>
      <c r="AK540" s="27" t="s">
        <v>8</v>
      </c>
      <c r="AL540" s="27" t="s">
        <v>7</v>
      </c>
      <c r="AM540" s="27" t="s">
        <v>8</v>
      </c>
      <c r="AP540" s="27" t="s">
        <v>7</v>
      </c>
      <c r="AQ540" s="27" t="s">
        <v>8</v>
      </c>
      <c r="AR540" s="27" t="s">
        <v>7</v>
      </c>
      <c r="AS540" s="27" t="s">
        <v>8</v>
      </c>
      <c r="AT540" s="27" t="s">
        <v>7</v>
      </c>
      <c r="AU540" s="27" t="s">
        <v>8</v>
      </c>
      <c r="AV540" s="27" t="s">
        <v>7</v>
      </c>
      <c r="CK540" s="27" t="s">
        <v>8</v>
      </c>
      <c r="CL540" s="27" t="s">
        <v>7</v>
      </c>
      <c r="CM540" s="27" t="s">
        <v>8</v>
      </c>
      <c r="CU540" s="27" t="s">
        <v>8</v>
      </c>
      <c r="CV540" s="27" t="s">
        <v>7</v>
      </c>
      <c r="CW540" s="27" t="s">
        <v>8</v>
      </c>
      <c r="CX540" s="27" t="s">
        <v>7</v>
      </c>
      <c r="CY540" s="27" t="s">
        <v>8</v>
      </c>
      <c r="DC540" s="27" t="s">
        <v>8</v>
      </c>
      <c r="DD540" s="27" t="s">
        <v>7</v>
      </c>
    </row>
    <row r="541" spans="1:148" x14ac:dyDescent="0.25">
      <c r="A541" s="7">
        <v>2.4866112894073726</v>
      </c>
      <c r="B541"/>
      <c r="C541"/>
      <c r="D541"/>
      <c r="E541" t="s">
        <v>8</v>
      </c>
      <c r="AF541" s="27" t="s">
        <v>7</v>
      </c>
      <c r="AG541" s="27" t="s">
        <v>8</v>
      </c>
      <c r="AH541" s="27" t="s">
        <v>7</v>
      </c>
      <c r="AK541" s="27" t="s">
        <v>8</v>
      </c>
      <c r="AL541" s="27" t="s">
        <v>7</v>
      </c>
      <c r="AM541" s="27" t="s">
        <v>8</v>
      </c>
      <c r="AP541" s="27" t="s">
        <v>7</v>
      </c>
      <c r="AQ541" s="27" t="s">
        <v>8</v>
      </c>
      <c r="AR541" s="27" t="s">
        <v>7</v>
      </c>
      <c r="AS541" s="27" t="s">
        <v>8</v>
      </c>
      <c r="AT541" s="27" t="s">
        <v>7</v>
      </c>
      <c r="AU541" s="27" t="s">
        <v>8</v>
      </c>
      <c r="AV541" s="27" t="s">
        <v>7</v>
      </c>
      <c r="CK541" s="27" t="s">
        <v>8</v>
      </c>
      <c r="CL541" s="27" t="s">
        <v>7</v>
      </c>
      <c r="CM541" s="27" t="s">
        <v>8</v>
      </c>
      <c r="CN541" s="27" t="s">
        <v>7</v>
      </c>
      <c r="CU541" s="27" t="s">
        <v>8</v>
      </c>
      <c r="CV541" s="27" t="s">
        <v>7</v>
      </c>
      <c r="CW541" s="27" t="s">
        <v>8</v>
      </c>
      <c r="CX541" s="27" t="s">
        <v>7</v>
      </c>
      <c r="CY541" s="27" t="s">
        <v>8</v>
      </c>
      <c r="CZ541" s="27" t="s">
        <v>7</v>
      </c>
      <c r="DC541" s="27" t="s">
        <v>8</v>
      </c>
      <c r="DD541" s="27" t="s">
        <v>7</v>
      </c>
      <c r="EI541" s="27" t="s">
        <v>8</v>
      </c>
      <c r="EQ541" s="27" t="s">
        <v>8</v>
      </c>
    </row>
    <row r="542" spans="1:148" x14ac:dyDescent="0.25">
      <c r="A542" s="7">
        <v>2.4378542053013459</v>
      </c>
      <c r="B542"/>
      <c r="C542"/>
      <c r="D542"/>
      <c r="E542" t="s">
        <v>8</v>
      </c>
      <c r="AF542" s="27" t="s">
        <v>7</v>
      </c>
      <c r="AG542" s="27" t="s">
        <v>8</v>
      </c>
      <c r="AH542" s="27" t="s">
        <v>7</v>
      </c>
      <c r="AK542" s="27" t="s">
        <v>8</v>
      </c>
      <c r="AL542" s="27" t="s">
        <v>7</v>
      </c>
      <c r="AM542" s="27" t="s">
        <v>8</v>
      </c>
      <c r="AP542" s="27" t="s">
        <v>7</v>
      </c>
      <c r="AQ542" s="27" t="s">
        <v>8</v>
      </c>
      <c r="AR542" s="27" t="s">
        <v>7</v>
      </c>
      <c r="AS542" s="27" t="s">
        <v>8</v>
      </c>
      <c r="AT542" s="27" t="s">
        <v>7</v>
      </c>
      <c r="AU542" s="27" t="s">
        <v>8</v>
      </c>
      <c r="AV542" s="27" t="s">
        <v>7</v>
      </c>
      <c r="CK542" s="27" t="s">
        <v>8</v>
      </c>
      <c r="CL542" s="27" t="s">
        <v>7</v>
      </c>
      <c r="CM542" s="27" t="s">
        <v>8</v>
      </c>
      <c r="CN542" s="27" t="s">
        <v>7</v>
      </c>
      <c r="CU542" s="27" t="s">
        <v>8</v>
      </c>
      <c r="CV542" s="27" t="s">
        <v>7</v>
      </c>
      <c r="CW542" s="27" t="s">
        <v>8</v>
      </c>
      <c r="CX542" s="27" t="s">
        <v>7</v>
      </c>
      <c r="CY542" s="27" t="s">
        <v>8</v>
      </c>
      <c r="CZ542" s="27" t="s">
        <v>7</v>
      </c>
      <c r="DC542" s="27" t="s">
        <v>8</v>
      </c>
      <c r="DD542" s="27" t="s">
        <v>7</v>
      </c>
      <c r="EI542" s="27" t="s">
        <v>8</v>
      </c>
      <c r="EJ542" s="27" t="s">
        <v>7</v>
      </c>
      <c r="EQ542" s="27" t="s">
        <v>8</v>
      </c>
      <c r="ER542" s="27" t="s">
        <v>7</v>
      </c>
    </row>
    <row r="543" spans="1:148" x14ac:dyDescent="0.25">
      <c r="A543" s="7">
        <v>2.3900531424522997</v>
      </c>
      <c r="B543"/>
      <c r="C543"/>
      <c r="D543"/>
      <c r="E543" t="s">
        <v>8</v>
      </c>
      <c r="AF543" s="27" t="s">
        <v>7</v>
      </c>
      <c r="AG543" s="27" t="s">
        <v>8</v>
      </c>
      <c r="AH543" s="27" t="s">
        <v>7</v>
      </c>
      <c r="AK543" s="27" t="s">
        <v>8</v>
      </c>
      <c r="AL543" s="27" t="s">
        <v>7</v>
      </c>
      <c r="AM543" s="27" t="s">
        <v>8</v>
      </c>
      <c r="AP543" s="27" t="s">
        <v>7</v>
      </c>
      <c r="AQ543" s="27" t="s">
        <v>8</v>
      </c>
      <c r="AR543" s="27" t="s">
        <v>7</v>
      </c>
      <c r="AS543" s="27" t="s">
        <v>8</v>
      </c>
      <c r="AT543" s="27" t="s">
        <v>7</v>
      </c>
      <c r="AU543" s="27" t="s">
        <v>8</v>
      </c>
      <c r="AV543" s="27" t="s">
        <v>7</v>
      </c>
      <c r="CK543" s="27" t="s">
        <v>8</v>
      </c>
      <c r="CL543" s="27" t="s">
        <v>7</v>
      </c>
      <c r="CM543" s="27" t="s">
        <v>8</v>
      </c>
      <c r="CN543" s="27" t="s">
        <v>7</v>
      </c>
      <c r="CQ543" s="27" t="s">
        <v>8</v>
      </c>
      <c r="CS543" s="27" t="s">
        <v>8</v>
      </c>
      <c r="CU543" s="27" t="s">
        <v>8</v>
      </c>
      <c r="CV543" s="27" t="s">
        <v>7</v>
      </c>
      <c r="CW543" s="27" t="s">
        <v>8</v>
      </c>
      <c r="CX543" s="27" t="s">
        <v>7</v>
      </c>
      <c r="CY543" s="27" t="s">
        <v>8</v>
      </c>
      <c r="CZ543" s="27" t="s">
        <v>7</v>
      </c>
      <c r="DC543" s="27" t="s">
        <v>8</v>
      </c>
      <c r="DD543" s="27" t="s">
        <v>7</v>
      </c>
      <c r="EI543" s="27" t="s">
        <v>8</v>
      </c>
      <c r="EJ543" s="27" t="s">
        <v>7</v>
      </c>
      <c r="EQ543" s="27" t="s">
        <v>8</v>
      </c>
      <c r="ER543" s="27" t="s">
        <v>7</v>
      </c>
    </row>
    <row r="544" spans="1:148" x14ac:dyDescent="0.25">
      <c r="A544" s="7">
        <v>2.343189355345392</v>
      </c>
      <c r="B544"/>
      <c r="C544"/>
      <c r="D544"/>
      <c r="E544" t="s">
        <v>8</v>
      </c>
      <c r="AF544" s="27" t="s">
        <v>7</v>
      </c>
      <c r="AG544" s="27" t="s">
        <v>8</v>
      </c>
      <c r="AH544" s="27" t="s">
        <v>7</v>
      </c>
      <c r="AK544" s="27" t="s">
        <v>8</v>
      </c>
      <c r="AL544" s="27" t="s">
        <v>7</v>
      </c>
      <c r="AM544" s="27" t="s">
        <v>8</v>
      </c>
      <c r="AP544" s="27" t="s">
        <v>7</v>
      </c>
      <c r="AQ544" s="27" t="s">
        <v>8</v>
      </c>
      <c r="AR544" s="27" t="s">
        <v>7</v>
      </c>
      <c r="AS544" s="27" t="s">
        <v>8</v>
      </c>
      <c r="AT544" s="27" t="s">
        <v>7</v>
      </c>
      <c r="AU544" s="27" t="s">
        <v>8</v>
      </c>
      <c r="AV544" s="27" t="s">
        <v>7</v>
      </c>
      <c r="CK544" s="27" t="s">
        <v>8</v>
      </c>
      <c r="CL544" s="27" t="s">
        <v>7</v>
      </c>
      <c r="CM544" s="27" t="s">
        <v>8</v>
      </c>
      <c r="CN544" s="27" t="s">
        <v>7</v>
      </c>
      <c r="CQ544" s="27" t="s">
        <v>8</v>
      </c>
      <c r="CR544" s="27" t="s">
        <v>7</v>
      </c>
      <c r="CS544" s="27" t="s">
        <v>8</v>
      </c>
      <c r="CT544" s="27" t="s">
        <v>7</v>
      </c>
      <c r="CU544" s="27" t="s">
        <v>8</v>
      </c>
      <c r="CV544" s="27" t="s">
        <v>7</v>
      </c>
      <c r="CW544" s="27" t="s">
        <v>8</v>
      </c>
      <c r="CX544" s="27" t="s">
        <v>7</v>
      </c>
      <c r="CY544" s="27" t="s">
        <v>8</v>
      </c>
      <c r="CZ544" s="27" t="s">
        <v>7</v>
      </c>
      <c r="DC544" s="27" t="s">
        <v>8</v>
      </c>
      <c r="DD544" s="27" t="s">
        <v>7</v>
      </c>
      <c r="EI544" s="27" t="s">
        <v>8</v>
      </c>
      <c r="EJ544" s="27" t="s">
        <v>7</v>
      </c>
      <c r="EQ544" s="27" t="s">
        <v>8</v>
      </c>
      <c r="ER544" s="27" t="s">
        <v>7</v>
      </c>
    </row>
    <row r="545" spans="1:152" x14ac:dyDescent="0.25">
      <c r="A545" s="7">
        <v>2.2972444660248938</v>
      </c>
      <c r="B545"/>
      <c r="C545"/>
      <c r="D545"/>
      <c r="E545" t="s">
        <v>8</v>
      </c>
      <c r="AF545" s="27" t="s">
        <v>7</v>
      </c>
      <c r="AG545" s="27" t="s">
        <v>8</v>
      </c>
      <c r="AH545" s="27" t="s">
        <v>7</v>
      </c>
      <c r="AK545" s="27" t="s">
        <v>8</v>
      </c>
      <c r="AL545" s="27" t="s">
        <v>7</v>
      </c>
      <c r="AM545" s="27" t="s">
        <v>8</v>
      </c>
      <c r="AP545" s="27" t="s">
        <v>7</v>
      </c>
      <c r="AQ545" s="27" t="s">
        <v>8</v>
      </c>
      <c r="AR545" s="27" t="s">
        <v>7</v>
      </c>
      <c r="AS545" s="27" t="s">
        <v>8</v>
      </c>
      <c r="AT545" s="27" t="s">
        <v>7</v>
      </c>
      <c r="AU545" s="27" t="s">
        <v>8</v>
      </c>
      <c r="AV545" s="27" t="s">
        <v>7</v>
      </c>
      <c r="CK545" s="27" t="s">
        <v>8</v>
      </c>
      <c r="CL545" s="27" t="s">
        <v>7</v>
      </c>
      <c r="CM545" s="27" t="s">
        <v>8</v>
      </c>
      <c r="CN545" s="27" t="s">
        <v>7</v>
      </c>
      <c r="CQ545" s="27" t="s">
        <v>8</v>
      </c>
      <c r="CR545" s="27" t="s">
        <v>7</v>
      </c>
      <c r="CS545" s="27" t="s">
        <v>8</v>
      </c>
      <c r="CT545" s="27" t="s">
        <v>7</v>
      </c>
      <c r="CU545" s="27" t="s">
        <v>8</v>
      </c>
      <c r="CV545" s="27" t="s">
        <v>7</v>
      </c>
      <c r="CW545" s="27" t="s">
        <v>8</v>
      </c>
      <c r="CX545" s="27" t="s">
        <v>7</v>
      </c>
      <c r="CY545" s="27" t="s">
        <v>8</v>
      </c>
      <c r="CZ545" s="27" t="s">
        <v>7</v>
      </c>
      <c r="DA545" s="27" t="s">
        <v>8</v>
      </c>
      <c r="DC545" s="27" t="s">
        <v>8</v>
      </c>
      <c r="DD545" s="27" t="s">
        <v>7</v>
      </c>
      <c r="EI545" s="27" t="s">
        <v>8</v>
      </c>
      <c r="EJ545" s="27" t="s">
        <v>7</v>
      </c>
      <c r="EQ545" s="27" t="s">
        <v>8</v>
      </c>
      <c r="ER545" s="27" t="s">
        <v>7</v>
      </c>
      <c r="ES545" s="27" t="s">
        <v>8</v>
      </c>
    </row>
    <row r="546" spans="1:152" x14ac:dyDescent="0.25">
      <c r="A546" s="7">
        <v>2.252200456887151</v>
      </c>
      <c r="B546"/>
      <c r="C546"/>
      <c r="D546"/>
      <c r="E546" t="s">
        <v>8</v>
      </c>
      <c r="AF546" s="27" t="s">
        <v>7</v>
      </c>
      <c r="AG546" s="27" t="s">
        <v>8</v>
      </c>
      <c r="AH546" s="27" t="s">
        <v>7</v>
      </c>
      <c r="AK546" s="27" t="s">
        <v>8</v>
      </c>
      <c r="AL546" s="27" t="s">
        <v>7</v>
      </c>
      <c r="AM546" s="27" t="s">
        <v>8</v>
      </c>
      <c r="AP546" s="27" t="s">
        <v>7</v>
      </c>
      <c r="AR546" s="27" t="s">
        <v>7</v>
      </c>
      <c r="AS546" s="27" t="s">
        <v>8</v>
      </c>
      <c r="AT546" s="27" t="s">
        <v>7</v>
      </c>
      <c r="AU546" s="27" t="s">
        <v>8</v>
      </c>
      <c r="AV546" s="27" t="s">
        <v>7</v>
      </c>
      <c r="CK546" s="27" t="s">
        <v>8</v>
      </c>
      <c r="CL546" s="27" t="s">
        <v>7</v>
      </c>
      <c r="CM546" s="27" t="s">
        <v>8</v>
      </c>
      <c r="CN546" s="27" t="s">
        <v>7</v>
      </c>
      <c r="CO546" s="27" t="s">
        <v>8</v>
      </c>
      <c r="CQ546" s="27" t="s">
        <v>8</v>
      </c>
      <c r="CR546" s="27" t="s">
        <v>7</v>
      </c>
      <c r="CS546" s="27" t="s">
        <v>8</v>
      </c>
      <c r="CT546" s="27" t="s">
        <v>7</v>
      </c>
      <c r="CU546" s="27" t="s">
        <v>8</v>
      </c>
      <c r="CV546" s="27" t="s">
        <v>7</v>
      </c>
      <c r="CW546" s="27" t="s">
        <v>8</v>
      </c>
      <c r="CX546" s="27" t="s">
        <v>7</v>
      </c>
      <c r="CZ546" s="27" t="s">
        <v>7</v>
      </c>
      <c r="DA546" s="27" t="s">
        <v>8</v>
      </c>
      <c r="DB546" s="27" t="s">
        <v>7</v>
      </c>
      <c r="DC546" s="27" t="s">
        <v>8</v>
      </c>
      <c r="DD546" s="27" t="s">
        <v>7</v>
      </c>
      <c r="DK546" s="27" t="s">
        <v>8</v>
      </c>
      <c r="EI546" s="27" t="s">
        <v>8</v>
      </c>
      <c r="EJ546" s="27" t="s">
        <v>7</v>
      </c>
      <c r="EQ546" s="27" t="s">
        <v>8</v>
      </c>
      <c r="ER546" s="27" t="s">
        <v>7</v>
      </c>
      <c r="ES546" s="27" t="s">
        <v>8</v>
      </c>
      <c r="ET546" s="27" t="s">
        <v>7</v>
      </c>
    </row>
    <row r="547" spans="1:152" x14ac:dyDescent="0.25">
      <c r="A547" s="7">
        <v>2.208039663614854</v>
      </c>
      <c r="B547"/>
      <c r="C547"/>
      <c r="D547"/>
      <c r="E547" t="s">
        <v>8</v>
      </c>
      <c r="AF547" s="27" t="s">
        <v>7</v>
      </c>
      <c r="AG547" s="27" t="s">
        <v>8</v>
      </c>
      <c r="AH547" s="27" t="s">
        <v>7</v>
      </c>
      <c r="AK547" s="27" t="s">
        <v>8</v>
      </c>
      <c r="AL547" s="27" t="s">
        <v>7</v>
      </c>
      <c r="AM547" s="27" t="s">
        <v>8</v>
      </c>
      <c r="AR547" s="27" t="s">
        <v>7</v>
      </c>
      <c r="AT547" s="27" t="s">
        <v>7</v>
      </c>
      <c r="AU547" s="27" t="s">
        <v>8</v>
      </c>
      <c r="AV547" s="27" t="s">
        <v>7</v>
      </c>
      <c r="CK547" s="27" t="s">
        <v>8</v>
      </c>
      <c r="CL547" s="27" t="s">
        <v>7</v>
      </c>
      <c r="CM547" s="27" t="s">
        <v>8</v>
      </c>
      <c r="CN547" s="27" t="s">
        <v>7</v>
      </c>
      <c r="CO547" s="27" t="s">
        <v>8</v>
      </c>
      <c r="CP547" s="27" t="s">
        <v>7</v>
      </c>
      <c r="CQ547" s="27" t="s">
        <v>8</v>
      </c>
      <c r="CR547" s="27" t="s">
        <v>7</v>
      </c>
      <c r="CS547" s="27" t="s">
        <v>8</v>
      </c>
      <c r="CT547" s="27" t="s">
        <v>7</v>
      </c>
      <c r="CU547" s="27" t="s">
        <v>8</v>
      </c>
      <c r="CV547" s="27" t="s">
        <v>7</v>
      </c>
      <c r="CW547" s="27" t="s">
        <v>8</v>
      </c>
      <c r="CZ547" s="27" t="s">
        <v>7</v>
      </c>
      <c r="DA547" s="27" t="s">
        <v>8</v>
      </c>
      <c r="DB547" s="27" t="s">
        <v>7</v>
      </c>
      <c r="DC547" s="27" t="s">
        <v>8</v>
      </c>
      <c r="DD547" s="27" t="s">
        <v>7</v>
      </c>
      <c r="DK547" s="27" t="s">
        <v>8</v>
      </c>
      <c r="DL547" s="27" t="s">
        <v>7</v>
      </c>
      <c r="EI547" s="27" t="s">
        <v>8</v>
      </c>
      <c r="EJ547" s="27" t="s">
        <v>7</v>
      </c>
      <c r="EQ547" s="27" t="s">
        <v>8</v>
      </c>
      <c r="ER547" s="27" t="s">
        <v>7</v>
      </c>
      <c r="ES547" s="27" t="s">
        <v>8</v>
      </c>
      <c r="ET547" s="27" t="s">
        <v>7</v>
      </c>
    </row>
    <row r="548" spans="1:152" x14ac:dyDescent="0.25">
      <c r="A548" s="7">
        <v>2.1647447682498568</v>
      </c>
      <c r="B548"/>
      <c r="C548"/>
      <c r="D548"/>
      <c r="E548" t="s">
        <v>8</v>
      </c>
      <c r="AF548" s="27" t="s">
        <v>7</v>
      </c>
      <c r="AG548" s="27" t="s">
        <v>8</v>
      </c>
      <c r="AH548" s="27" t="s">
        <v>7</v>
      </c>
      <c r="AK548" s="27" t="s">
        <v>8</v>
      </c>
      <c r="AL548" s="27" t="s">
        <v>7</v>
      </c>
      <c r="AT548" s="27" t="s">
        <v>7</v>
      </c>
      <c r="AU548" s="27" t="s">
        <v>8</v>
      </c>
      <c r="AV548" s="27" t="s">
        <v>7</v>
      </c>
      <c r="CK548" s="27" t="s">
        <v>8</v>
      </c>
      <c r="CL548" s="27" t="s">
        <v>7</v>
      </c>
      <c r="CM548" s="27" t="s">
        <v>8</v>
      </c>
      <c r="CN548" s="27" t="s">
        <v>7</v>
      </c>
      <c r="CO548" s="27" t="s">
        <v>8</v>
      </c>
      <c r="CP548" s="27" t="s">
        <v>7</v>
      </c>
      <c r="CQ548" s="27" t="s">
        <v>8</v>
      </c>
      <c r="CR548" s="27" t="s">
        <v>7</v>
      </c>
      <c r="CS548" s="27" t="s">
        <v>8</v>
      </c>
      <c r="CT548" s="27" t="s">
        <v>7</v>
      </c>
      <c r="CV548" s="27" t="s">
        <v>7</v>
      </c>
      <c r="CW548" s="27" t="s">
        <v>8</v>
      </c>
      <c r="CZ548" s="27" t="s">
        <v>7</v>
      </c>
      <c r="DA548" s="27" t="s">
        <v>8</v>
      </c>
      <c r="DB548" s="27" t="s">
        <v>7</v>
      </c>
      <c r="DD548" s="27" t="s">
        <v>7</v>
      </c>
      <c r="DK548" s="27" t="s">
        <v>8</v>
      </c>
      <c r="DL548" s="27" t="s">
        <v>7</v>
      </c>
      <c r="DY548" s="27" t="s">
        <v>8</v>
      </c>
      <c r="EI548" s="27" t="s">
        <v>8</v>
      </c>
      <c r="EJ548" s="27" t="s">
        <v>7</v>
      </c>
      <c r="EQ548" s="27" t="s">
        <v>8</v>
      </c>
      <c r="ER548" s="27" t="s">
        <v>7</v>
      </c>
      <c r="ES548" s="27" t="s">
        <v>8</v>
      </c>
      <c r="ET548" s="27" t="s">
        <v>7</v>
      </c>
    </row>
    <row r="549" spans="1:152" x14ac:dyDescent="0.25">
      <c r="A549" s="7">
        <v>2.1222987924018204</v>
      </c>
      <c r="B549"/>
      <c r="C549"/>
      <c r="D549"/>
      <c r="E549" t="s">
        <v>8</v>
      </c>
      <c r="AF549" s="27" t="s">
        <v>7</v>
      </c>
      <c r="AG549" s="27" t="s">
        <v>8</v>
      </c>
      <c r="AH549" s="27" t="s">
        <v>7</v>
      </c>
      <c r="AK549" s="27" t="s">
        <v>8</v>
      </c>
      <c r="AT549" s="27" t="s">
        <v>7</v>
      </c>
      <c r="AU549" s="27" t="s">
        <v>8</v>
      </c>
      <c r="AV549" s="27" t="s">
        <v>7</v>
      </c>
      <c r="CK549" s="27" t="s">
        <v>8</v>
      </c>
      <c r="CL549" s="27" t="s">
        <v>7</v>
      </c>
      <c r="CN549" s="27" t="s">
        <v>7</v>
      </c>
      <c r="CO549" s="27" t="s">
        <v>8</v>
      </c>
      <c r="CP549" s="27" t="s">
        <v>7</v>
      </c>
      <c r="CQ549" s="27" t="s">
        <v>8</v>
      </c>
      <c r="CR549" s="27" t="s">
        <v>7</v>
      </c>
      <c r="CV549" s="27" t="s">
        <v>7</v>
      </c>
      <c r="CW549" s="27" t="s">
        <v>8</v>
      </c>
      <c r="CZ549" s="27" t="s">
        <v>7</v>
      </c>
      <c r="DA549" s="27" t="s">
        <v>8</v>
      </c>
      <c r="DD549" s="27" t="s">
        <v>7</v>
      </c>
      <c r="DK549" s="27" t="s">
        <v>8</v>
      </c>
      <c r="DL549" s="27" t="s">
        <v>7</v>
      </c>
      <c r="DY549" s="27" t="s">
        <v>8</v>
      </c>
      <c r="DZ549" s="27" t="s">
        <v>7</v>
      </c>
      <c r="EI549" s="27" t="s">
        <v>8</v>
      </c>
      <c r="EJ549" s="27" t="s">
        <v>7</v>
      </c>
      <c r="EQ549" s="27" t="s">
        <v>8</v>
      </c>
      <c r="ER549" s="27" t="s">
        <v>7</v>
      </c>
      <c r="ES549" s="27" t="s">
        <v>8</v>
      </c>
      <c r="ET549" s="27" t="s">
        <v>7</v>
      </c>
    </row>
    <row r="550" spans="1:152" x14ac:dyDescent="0.25">
      <c r="A550" s="7">
        <v>2.0806850905900198</v>
      </c>
      <c r="B550"/>
      <c r="C550"/>
      <c r="D550"/>
      <c r="E550" t="s">
        <v>8</v>
      </c>
      <c r="AF550" s="27" t="s">
        <v>7</v>
      </c>
      <c r="AG550" s="27" t="s">
        <v>8</v>
      </c>
      <c r="AH550" s="27" t="s">
        <v>7</v>
      </c>
      <c r="AK550" s="27" t="s">
        <v>8</v>
      </c>
      <c r="AT550" s="27" t="s">
        <v>7</v>
      </c>
      <c r="AU550" s="27" t="s">
        <v>8</v>
      </c>
      <c r="AV550" s="27" t="s">
        <v>7</v>
      </c>
      <c r="CK550" s="27" t="s">
        <v>8</v>
      </c>
      <c r="CN550" s="27" t="s">
        <v>7</v>
      </c>
      <c r="CO550" s="27" t="s">
        <v>8</v>
      </c>
      <c r="CP550" s="27" t="s">
        <v>7</v>
      </c>
      <c r="CQ550" s="27" t="s">
        <v>8</v>
      </c>
      <c r="CV550" s="27" t="s">
        <v>7</v>
      </c>
      <c r="CW550" s="27" t="s">
        <v>8</v>
      </c>
      <c r="CZ550" s="27" t="s">
        <v>7</v>
      </c>
      <c r="DD550" s="27" t="s">
        <v>7</v>
      </c>
      <c r="DK550" s="27" t="s">
        <v>8</v>
      </c>
      <c r="DL550" s="27" t="s">
        <v>7</v>
      </c>
      <c r="DY550" s="27" t="s">
        <v>8</v>
      </c>
      <c r="DZ550" s="27" t="s">
        <v>7</v>
      </c>
      <c r="EI550" s="27" t="s">
        <v>8</v>
      </c>
      <c r="EJ550" s="27" t="s">
        <v>7</v>
      </c>
      <c r="EQ550" s="27" t="s">
        <v>8</v>
      </c>
      <c r="ER550" s="27" t="s">
        <v>7</v>
      </c>
      <c r="ES550" s="27" t="s">
        <v>8</v>
      </c>
      <c r="ET550" s="27" t="s">
        <v>7</v>
      </c>
    </row>
    <row r="551" spans="1:152" x14ac:dyDescent="0.25">
      <c r="A551" s="7">
        <v>2.0398873437157055</v>
      </c>
      <c r="B551"/>
      <c r="C551"/>
      <c r="D551"/>
      <c r="E551" t="s">
        <v>8</v>
      </c>
      <c r="AF551" s="27" t="s">
        <v>7</v>
      </c>
      <c r="AG551" s="27" t="s">
        <v>8</v>
      </c>
      <c r="AH551" s="27" t="s">
        <v>7</v>
      </c>
      <c r="AK551" s="27" t="s">
        <v>8</v>
      </c>
      <c r="AT551" s="27" t="s">
        <v>7</v>
      </c>
      <c r="AU551" s="27" t="s">
        <v>8</v>
      </c>
      <c r="AV551" s="27" t="s">
        <v>7</v>
      </c>
      <c r="CK551" s="27" t="s">
        <v>8</v>
      </c>
      <c r="CN551" s="27" t="s">
        <v>7</v>
      </c>
      <c r="CP551" s="27" t="s">
        <v>7</v>
      </c>
      <c r="CV551" s="27" t="s">
        <v>7</v>
      </c>
      <c r="DD551" s="27" t="s">
        <v>7</v>
      </c>
      <c r="DK551" s="27" t="s">
        <v>8</v>
      </c>
      <c r="DL551" s="27" t="s">
        <v>7</v>
      </c>
      <c r="DY551" s="27" t="s">
        <v>8</v>
      </c>
      <c r="DZ551" s="27" t="s">
        <v>7</v>
      </c>
      <c r="EC551" s="27" t="s">
        <v>8</v>
      </c>
      <c r="EI551" s="27" t="s">
        <v>8</v>
      </c>
      <c r="EJ551" s="27" t="s">
        <v>7</v>
      </c>
      <c r="EQ551" s="27" t="s">
        <v>8</v>
      </c>
      <c r="ER551" s="27" t="s">
        <v>7</v>
      </c>
      <c r="ES551" s="27" t="s">
        <v>8</v>
      </c>
      <c r="ET551" s="27" t="s">
        <v>7</v>
      </c>
    </row>
    <row r="552" spans="1:152" x14ac:dyDescent="0.25">
      <c r="A552" s="7">
        <v>1.9998895526624565</v>
      </c>
      <c r="B552"/>
      <c r="C552"/>
      <c r="D552"/>
      <c r="E552" t="s">
        <v>8</v>
      </c>
      <c r="AF552" s="27" t="s">
        <v>7</v>
      </c>
      <c r="AG552" s="27" t="s">
        <v>8</v>
      </c>
      <c r="AH552" s="27" t="s">
        <v>7</v>
      </c>
      <c r="AI552" s="27" t="s">
        <v>8</v>
      </c>
      <c r="AK552" s="27" t="s">
        <v>8</v>
      </c>
      <c r="AT552" s="27" t="s">
        <v>7</v>
      </c>
      <c r="AU552" s="27" t="s">
        <v>8</v>
      </c>
      <c r="AV552" s="27" t="s">
        <v>7</v>
      </c>
      <c r="CK552" s="27" t="s">
        <v>8</v>
      </c>
      <c r="DD552" s="27" t="s">
        <v>7</v>
      </c>
      <c r="DK552" s="27" t="s">
        <v>8</v>
      </c>
      <c r="DL552" s="27" t="s">
        <v>7</v>
      </c>
      <c r="DY552" s="27" t="s">
        <v>8</v>
      </c>
      <c r="DZ552" s="27" t="s">
        <v>7</v>
      </c>
      <c r="EC552" s="27" t="s">
        <v>8</v>
      </c>
      <c r="ED552" s="27" t="s">
        <v>7</v>
      </c>
      <c r="EI552" s="27" t="s">
        <v>8</v>
      </c>
      <c r="EJ552" s="27" t="s">
        <v>7</v>
      </c>
      <c r="EQ552" s="27" t="s">
        <v>8</v>
      </c>
      <c r="ER552" s="27" t="s">
        <v>7</v>
      </c>
      <c r="ES552" s="27" t="s">
        <v>8</v>
      </c>
      <c r="ET552" s="27" t="s">
        <v>7</v>
      </c>
    </row>
    <row r="553" spans="1:152" x14ac:dyDescent="0.25">
      <c r="A553" s="7">
        <v>1.9606760320220162</v>
      </c>
      <c r="B553"/>
      <c r="C553"/>
      <c r="D553"/>
      <c r="E553" t="s">
        <v>8</v>
      </c>
      <c r="AF553" s="27" t="s">
        <v>7</v>
      </c>
      <c r="AH553" s="27" t="s">
        <v>7</v>
      </c>
      <c r="AI553" s="27" t="s">
        <v>8</v>
      </c>
      <c r="AJ553" s="27" t="s">
        <v>7</v>
      </c>
      <c r="AK553" s="27" t="s">
        <v>8</v>
      </c>
      <c r="AT553" s="27" t="s">
        <v>7</v>
      </c>
      <c r="AU553" s="27" t="s">
        <v>8</v>
      </c>
      <c r="AV553" s="27" t="s">
        <v>7</v>
      </c>
      <c r="CK553" s="27" t="s">
        <v>8</v>
      </c>
      <c r="DD553" s="27" t="s">
        <v>7</v>
      </c>
      <c r="DK553" s="27" t="s">
        <v>8</v>
      </c>
      <c r="DL553" s="27" t="s">
        <v>7</v>
      </c>
      <c r="DY553" s="27" t="s">
        <v>8</v>
      </c>
      <c r="DZ553" s="27" t="s">
        <v>7</v>
      </c>
      <c r="EA553" s="27" t="s">
        <v>8</v>
      </c>
      <c r="EC553" s="27" t="s">
        <v>8</v>
      </c>
      <c r="ED553" s="27" t="s">
        <v>7</v>
      </c>
      <c r="EI553" s="27" t="s">
        <v>8</v>
      </c>
      <c r="EJ553" s="27" t="s">
        <v>7</v>
      </c>
      <c r="EQ553" s="27" t="s">
        <v>8</v>
      </c>
      <c r="ER553" s="27" t="s">
        <v>7</v>
      </c>
      <c r="ES553" s="27" t="s">
        <v>8</v>
      </c>
      <c r="ET553" s="27" t="s">
        <v>7</v>
      </c>
    </row>
    <row r="554" spans="1:152" x14ac:dyDescent="0.25">
      <c r="A554" s="7">
        <v>1.9222314039431532</v>
      </c>
      <c r="B554"/>
      <c r="C554"/>
      <c r="D554"/>
      <c r="E554" t="s">
        <v>8</v>
      </c>
      <c r="AH554" s="27" t="s">
        <v>7</v>
      </c>
      <c r="AI554" s="27" t="s">
        <v>8</v>
      </c>
      <c r="AJ554" s="27" t="s">
        <v>7</v>
      </c>
      <c r="AK554" s="27" t="s">
        <v>8</v>
      </c>
      <c r="AT554" s="27" t="s">
        <v>7</v>
      </c>
      <c r="AU554" s="27" t="s">
        <v>8</v>
      </c>
      <c r="AV554" s="27" t="s">
        <v>7</v>
      </c>
      <c r="CK554" s="27" t="s">
        <v>8</v>
      </c>
      <c r="DD554" s="27" t="s">
        <v>7</v>
      </c>
      <c r="DK554" s="27" t="s">
        <v>8</v>
      </c>
      <c r="DL554" s="27" t="s">
        <v>7</v>
      </c>
      <c r="DY554" s="27" t="s">
        <v>8</v>
      </c>
      <c r="DZ554" s="27" t="s">
        <v>7</v>
      </c>
      <c r="EA554" s="27" t="s">
        <v>8</v>
      </c>
      <c r="EB554" s="27" t="s">
        <v>7</v>
      </c>
      <c r="EC554" s="27" t="s">
        <v>8</v>
      </c>
      <c r="ED554" s="27" t="s">
        <v>7</v>
      </c>
      <c r="EE554" s="27" t="s">
        <v>8</v>
      </c>
      <c r="EI554" s="27" t="s">
        <v>8</v>
      </c>
      <c r="EJ554" s="27" t="s">
        <v>7</v>
      </c>
      <c r="EQ554" s="27" t="s">
        <v>8</v>
      </c>
      <c r="ER554" s="27" t="s">
        <v>7</v>
      </c>
      <c r="ES554" s="27" t="s">
        <v>8</v>
      </c>
      <c r="ET554" s="27" t="s">
        <v>7</v>
      </c>
    </row>
    <row r="555" spans="1:152" x14ac:dyDescent="0.25">
      <c r="A555" s="7">
        <v>1.8845405921011305</v>
      </c>
      <c r="B555"/>
      <c r="C555"/>
      <c r="D555"/>
      <c r="E555" t="s">
        <v>8</v>
      </c>
      <c r="AH555" s="27" t="s">
        <v>7</v>
      </c>
      <c r="AI555" s="27" t="s">
        <v>8</v>
      </c>
      <c r="AJ555" s="27" t="s">
        <v>7</v>
      </c>
      <c r="AK555" s="27" t="s">
        <v>8</v>
      </c>
      <c r="AT555" s="27" t="s">
        <v>7</v>
      </c>
      <c r="AU555" s="27" t="s">
        <v>8</v>
      </c>
      <c r="AV555" s="27" t="s">
        <v>7</v>
      </c>
      <c r="CK555" s="27" t="s">
        <v>8</v>
      </c>
      <c r="DD555" s="27" t="s">
        <v>7</v>
      </c>
      <c r="DK555" s="27" t="s">
        <v>8</v>
      </c>
      <c r="DL555" s="27" t="s">
        <v>7</v>
      </c>
      <c r="DY555" s="27" t="s">
        <v>8</v>
      </c>
      <c r="DZ555" s="27" t="s">
        <v>7</v>
      </c>
      <c r="EA555" s="27" t="s">
        <v>8</v>
      </c>
      <c r="EB555" s="27" t="s">
        <v>7</v>
      </c>
      <c r="EC555" s="27" t="s">
        <v>8</v>
      </c>
      <c r="ED555" s="27" t="s">
        <v>7</v>
      </c>
      <c r="EE555" s="27" t="s">
        <v>8</v>
      </c>
      <c r="EF555" s="27" t="s">
        <v>7</v>
      </c>
      <c r="EI555" s="27" t="s">
        <v>8</v>
      </c>
      <c r="EJ555" s="27" t="s">
        <v>7</v>
      </c>
      <c r="EQ555" s="27" t="s">
        <v>8</v>
      </c>
      <c r="ER555" s="27" t="s">
        <v>7</v>
      </c>
      <c r="ES555" s="27" t="s">
        <v>8</v>
      </c>
      <c r="ET555" s="27" t="s">
        <v>7</v>
      </c>
    </row>
    <row r="556" spans="1:152" x14ac:dyDescent="0.25">
      <c r="A556" s="7">
        <v>1.8475888157854219</v>
      </c>
      <c r="B556"/>
      <c r="C556"/>
      <c r="D556"/>
      <c r="E556" t="s">
        <v>8</v>
      </c>
      <c r="AH556" s="27" t="s">
        <v>7</v>
      </c>
      <c r="AI556" s="27" t="s">
        <v>8</v>
      </c>
      <c r="AJ556" s="27" t="s">
        <v>7</v>
      </c>
      <c r="AK556" s="27" t="s">
        <v>8</v>
      </c>
      <c r="AT556" s="27" t="s">
        <v>7</v>
      </c>
      <c r="AU556" s="27" t="s">
        <v>8</v>
      </c>
      <c r="AV556" s="27" t="s">
        <v>7</v>
      </c>
      <c r="CK556" s="27" t="s">
        <v>8</v>
      </c>
      <c r="DD556" s="27" t="s">
        <v>7</v>
      </c>
      <c r="DE556" s="27" t="s">
        <v>8</v>
      </c>
      <c r="DK556" s="27" t="s">
        <v>8</v>
      </c>
      <c r="DL556" s="27" t="s">
        <v>7</v>
      </c>
      <c r="DY556" s="27" t="s">
        <v>8</v>
      </c>
      <c r="DZ556" s="27" t="s">
        <v>7</v>
      </c>
      <c r="EA556" s="27" t="s">
        <v>8</v>
      </c>
      <c r="EB556" s="27" t="s">
        <v>7</v>
      </c>
      <c r="EC556" s="27" t="s">
        <v>8</v>
      </c>
      <c r="ED556" s="27" t="s">
        <v>7</v>
      </c>
      <c r="EE556" s="27" t="s">
        <v>8</v>
      </c>
      <c r="EF556" s="27" t="s">
        <v>7</v>
      </c>
      <c r="EI556" s="27" t="s">
        <v>8</v>
      </c>
      <c r="EJ556" s="27" t="s">
        <v>7</v>
      </c>
      <c r="EK556" s="27" t="s">
        <v>8</v>
      </c>
      <c r="EQ556" s="27" t="s">
        <v>8</v>
      </c>
      <c r="ER556" s="27" t="s">
        <v>7</v>
      </c>
      <c r="ES556" s="27" t="s">
        <v>8</v>
      </c>
      <c r="ET556" s="27" t="s">
        <v>7</v>
      </c>
    </row>
    <row r="557" spans="1:152" x14ac:dyDescent="0.25">
      <c r="A557" s="7">
        <v>1.8113615841033548</v>
      </c>
      <c r="B557"/>
      <c r="C557"/>
      <c r="D557"/>
      <c r="E557" t="s">
        <v>8</v>
      </c>
      <c r="AH557" s="27" t="s">
        <v>7</v>
      </c>
      <c r="AI557" s="27" t="s">
        <v>8</v>
      </c>
      <c r="AJ557" s="27" t="s">
        <v>7</v>
      </c>
      <c r="AK557" s="27" t="s">
        <v>8</v>
      </c>
      <c r="AT557" s="27" t="s">
        <v>7</v>
      </c>
      <c r="AU557" s="27" t="s">
        <v>8</v>
      </c>
      <c r="AV557" s="27" t="s">
        <v>7</v>
      </c>
      <c r="CK557" s="27" t="s">
        <v>8</v>
      </c>
      <c r="DD557" s="27" t="s">
        <v>7</v>
      </c>
      <c r="DE557" s="27" t="s">
        <v>8</v>
      </c>
      <c r="DF557" s="27" t="s">
        <v>7</v>
      </c>
      <c r="DK557" s="27" t="s">
        <v>8</v>
      </c>
      <c r="DL557" s="27" t="s">
        <v>7</v>
      </c>
      <c r="DW557" s="27" t="s">
        <v>8</v>
      </c>
      <c r="DY557" s="27" t="s">
        <v>8</v>
      </c>
      <c r="DZ557" s="27" t="s">
        <v>7</v>
      </c>
      <c r="EA557" s="27" t="s">
        <v>8</v>
      </c>
      <c r="EB557" s="27" t="s">
        <v>7</v>
      </c>
      <c r="EC557" s="27" t="s">
        <v>8</v>
      </c>
      <c r="ED557" s="27" t="s">
        <v>7</v>
      </c>
      <c r="EE557" s="27" t="s">
        <v>8</v>
      </c>
      <c r="EF557" s="27" t="s">
        <v>7</v>
      </c>
      <c r="EI557" s="27" t="s">
        <v>8</v>
      </c>
      <c r="EJ557" s="27" t="s">
        <v>7</v>
      </c>
      <c r="EK557" s="27" t="s">
        <v>8</v>
      </c>
      <c r="EL557" s="27" t="s">
        <v>7</v>
      </c>
      <c r="EQ557" s="27" t="s">
        <v>8</v>
      </c>
      <c r="ER557" s="27" t="s">
        <v>7</v>
      </c>
      <c r="ES557" s="27" t="s">
        <v>8</v>
      </c>
      <c r="ET557" s="27" t="s">
        <v>7</v>
      </c>
    </row>
    <row r="558" spans="1:152" x14ac:dyDescent="0.25">
      <c r="A558" s="7">
        <v>1.7758446902974065</v>
      </c>
      <c r="B558"/>
      <c r="C558"/>
      <c r="D558"/>
      <c r="E558" t="s">
        <v>8</v>
      </c>
      <c r="AH558" s="27" t="s">
        <v>7</v>
      </c>
      <c r="AI558" s="27" t="s">
        <v>8</v>
      </c>
      <c r="AJ558" s="27" t="s">
        <v>7</v>
      </c>
      <c r="AK558" s="27" t="s">
        <v>8</v>
      </c>
      <c r="AT558" s="27" t="s">
        <v>7</v>
      </c>
      <c r="AU558" s="27" t="s">
        <v>8</v>
      </c>
      <c r="AV558" s="27" t="s">
        <v>7</v>
      </c>
      <c r="CK558" s="27" t="s">
        <v>8</v>
      </c>
      <c r="DD558" s="27" t="s">
        <v>7</v>
      </c>
      <c r="DE558" s="27" t="s">
        <v>8</v>
      </c>
      <c r="DF558" s="27" t="s">
        <v>7</v>
      </c>
      <c r="DG558" s="27" t="s">
        <v>8</v>
      </c>
      <c r="DI558" s="27" t="s">
        <v>8</v>
      </c>
      <c r="DK558" s="27" t="s">
        <v>8</v>
      </c>
      <c r="DL558" s="27" t="s">
        <v>7</v>
      </c>
      <c r="DW558" s="27" t="s">
        <v>8</v>
      </c>
      <c r="DX558" s="27" t="s">
        <v>7</v>
      </c>
      <c r="DY558" s="27" t="s">
        <v>8</v>
      </c>
      <c r="DZ558" s="27" t="s">
        <v>7</v>
      </c>
      <c r="EA558" s="27" t="s">
        <v>8</v>
      </c>
      <c r="EB558" s="27" t="s">
        <v>7</v>
      </c>
      <c r="EC558" s="27" t="s">
        <v>8</v>
      </c>
      <c r="ED558" s="27" t="s">
        <v>7</v>
      </c>
      <c r="EF558" s="27" t="s">
        <v>7</v>
      </c>
      <c r="EI558" s="27" t="s">
        <v>8</v>
      </c>
      <c r="EJ558" s="27" t="s">
        <v>7</v>
      </c>
      <c r="EK558" s="27" t="s">
        <v>8</v>
      </c>
      <c r="EL558" s="27" t="s">
        <v>7</v>
      </c>
      <c r="EM558" s="27" t="s">
        <v>8</v>
      </c>
      <c r="EO558" s="27" t="s">
        <v>8</v>
      </c>
      <c r="EQ558" s="27" t="s">
        <v>8</v>
      </c>
      <c r="ER558" s="27" t="s">
        <v>7</v>
      </c>
      <c r="ES558" s="27" t="s">
        <v>8</v>
      </c>
      <c r="ET558" s="27" t="s">
        <v>7</v>
      </c>
    </row>
    <row r="559" spans="1:152" x14ac:dyDescent="0.25">
      <c r="A559" s="7">
        <v>1.7410242061739281</v>
      </c>
      <c r="B559"/>
      <c r="C559"/>
      <c r="D559"/>
      <c r="E559" t="s">
        <v>8</v>
      </c>
      <c r="AH559" s="27" t="s">
        <v>7</v>
      </c>
      <c r="AI559" s="27" t="s">
        <v>8</v>
      </c>
      <c r="AJ559" s="27" t="s">
        <v>7</v>
      </c>
      <c r="AK559" s="27" t="s">
        <v>8</v>
      </c>
      <c r="AT559" s="27" t="s">
        <v>7</v>
      </c>
      <c r="AU559" s="27" t="s">
        <v>8</v>
      </c>
      <c r="AV559" s="27" t="s">
        <v>7</v>
      </c>
      <c r="CK559" s="27" t="s">
        <v>8</v>
      </c>
      <c r="DD559" s="27" t="s">
        <v>7</v>
      </c>
      <c r="DE559" s="27" t="s">
        <v>8</v>
      </c>
      <c r="DF559" s="27" t="s">
        <v>7</v>
      </c>
      <c r="DG559" s="27" t="s">
        <v>8</v>
      </c>
      <c r="DH559" s="27" t="s">
        <v>7</v>
      </c>
      <c r="DI559" s="27" t="s">
        <v>8</v>
      </c>
      <c r="DJ559" s="27" t="s">
        <v>7</v>
      </c>
      <c r="DK559" s="27" t="s">
        <v>8</v>
      </c>
      <c r="DL559" s="27" t="s">
        <v>7</v>
      </c>
      <c r="DW559" s="27" t="s">
        <v>8</v>
      </c>
      <c r="DX559" s="27" t="s">
        <v>7</v>
      </c>
      <c r="DY559" s="27" t="s">
        <v>8</v>
      </c>
      <c r="DZ559" s="27" t="s">
        <v>7</v>
      </c>
      <c r="EA559" s="27" t="s">
        <v>8</v>
      </c>
      <c r="EB559" s="27" t="s">
        <v>7</v>
      </c>
      <c r="EC559" s="27" t="s">
        <v>8</v>
      </c>
      <c r="EF559" s="27" t="s">
        <v>7</v>
      </c>
      <c r="EG559" s="27" t="s">
        <v>8</v>
      </c>
      <c r="EI559" s="27" t="s">
        <v>8</v>
      </c>
      <c r="EJ559" s="27" t="s">
        <v>7</v>
      </c>
      <c r="EK559" s="27" t="s">
        <v>8</v>
      </c>
      <c r="EL559" s="27" t="s">
        <v>7</v>
      </c>
      <c r="EM559" s="27" t="s">
        <v>8</v>
      </c>
      <c r="EN559" s="27" t="s">
        <v>7</v>
      </c>
      <c r="EO559" s="27" t="s">
        <v>8</v>
      </c>
      <c r="EP559" s="27" t="s">
        <v>7</v>
      </c>
      <c r="EQ559" s="27" t="s">
        <v>8</v>
      </c>
      <c r="ER559" s="27" t="s">
        <v>7</v>
      </c>
      <c r="ES559" s="27" t="s">
        <v>8</v>
      </c>
      <c r="ET559" s="27" t="s">
        <v>7</v>
      </c>
      <c r="EU559" s="27" t="s">
        <v>8</v>
      </c>
    </row>
    <row r="560" spans="1:152" x14ac:dyDescent="0.25">
      <c r="A560" s="7">
        <v>1.7068864766411058</v>
      </c>
      <c r="B560"/>
      <c r="C560"/>
      <c r="D560"/>
      <c r="E560" t="s">
        <v>8</v>
      </c>
      <c r="AH560" s="27" t="s">
        <v>7</v>
      </c>
      <c r="AI560" s="27" t="s">
        <v>8</v>
      </c>
      <c r="AJ560" s="27" t="s">
        <v>7</v>
      </c>
      <c r="AK560" s="27" t="s">
        <v>8</v>
      </c>
      <c r="AT560" s="27" t="s">
        <v>7</v>
      </c>
      <c r="AU560" s="27" t="s">
        <v>8</v>
      </c>
      <c r="AV560" s="27" t="s">
        <v>7</v>
      </c>
      <c r="BC560" s="27" t="s">
        <v>8</v>
      </c>
      <c r="CK560" s="27" t="s">
        <v>8</v>
      </c>
      <c r="DD560" s="27" t="s">
        <v>7</v>
      </c>
      <c r="DE560" s="27" t="s">
        <v>8</v>
      </c>
      <c r="DF560" s="27" t="s">
        <v>7</v>
      </c>
      <c r="DG560" s="27" t="s">
        <v>8</v>
      </c>
      <c r="DH560" s="27" t="s">
        <v>7</v>
      </c>
      <c r="DI560" s="27" t="s">
        <v>8</v>
      </c>
      <c r="DJ560" s="27" t="s">
        <v>7</v>
      </c>
      <c r="DK560" s="27" t="s">
        <v>8</v>
      </c>
      <c r="DL560" s="27" t="s">
        <v>7</v>
      </c>
      <c r="DW560" s="27" t="s">
        <v>8</v>
      </c>
      <c r="DX560" s="27" t="s">
        <v>7</v>
      </c>
      <c r="DY560" s="27" t="s">
        <v>8</v>
      </c>
      <c r="DZ560" s="27" t="s">
        <v>7</v>
      </c>
      <c r="EA560" s="27" t="s">
        <v>8</v>
      </c>
      <c r="EB560" s="27" t="s">
        <v>7</v>
      </c>
      <c r="EC560" s="27" t="s">
        <v>8</v>
      </c>
      <c r="EF560" s="27" t="s">
        <v>7</v>
      </c>
      <c r="EG560" s="27" t="s">
        <v>8</v>
      </c>
      <c r="EH560" s="27" t="s">
        <v>7</v>
      </c>
      <c r="EI560" s="27" t="s">
        <v>8</v>
      </c>
      <c r="EJ560" s="27" t="s">
        <v>7</v>
      </c>
      <c r="EL560" s="27" t="s">
        <v>7</v>
      </c>
      <c r="EM560" s="27" t="s">
        <v>8</v>
      </c>
      <c r="EN560" s="27" t="s">
        <v>7</v>
      </c>
      <c r="EO560" s="27" t="s">
        <v>8</v>
      </c>
      <c r="EP560" s="27" t="s">
        <v>7</v>
      </c>
      <c r="EQ560" s="27" t="s">
        <v>8</v>
      </c>
      <c r="ER560" s="27" t="s">
        <v>7</v>
      </c>
      <c r="ES560" s="27" t="s">
        <v>8</v>
      </c>
      <c r="ET560" s="27" t="s">
        <v>7</v>
      </c>
      <c r="EU560" s="27" t="s">
        <v>8</v>
      </c>
      <c r="EV560" s="27" t="s">
        <v>7</v>
      </c>
    </row>
    <row r="561" spans="1:167" x14ac:dyDescent="0.25">
      <c r="A561" s="7">
        <v>1.6734181143540252</v>
      </c>
      <c r="B561"/>
      <c r="C561"/>
      <c r="D561"/>
      <c r="E561" t="s">
        <v>8</v>
      </c>
      <c r="AH561" s="27" t="s">
        <v>7</v>
      </c>
      <c r="AI561" s="27" t="s">
        <v>8</v>
      </c>
      <c r="AJ561" s="27" t="s">
        <v>7</v>
      </c>
      <c r="AT561" s="27" t="s">
        <v>7</v>
      </c>
      <c r="AU561" s="27" t="s">
        <v>8</v>
      </c>
      <c r="AV561" s="27" t="s">
        <v>7</v>
      </c>
      <c r="AW561" s="27" t="s">
        <v>8</v>
      </c>
      <c r="BC561" s="27" t="s">
        <v>8</v>
      </c>
      <c r="BD561" s="27" t="s">
        <v>7</v>
      </c>
      <c r="CK561" s="27" t="s">
        <v>8</v>
      </c>
      <c r="DD561" s="27" t="s">
        <v>7</v>
      </c>
      <c r="DE561" s="27" t="s">
        <v>8</v>
      </c>
      <c r="DF561" s="27" t="s">
        <v>7</v>
      </c>
      <c r="DG561" s="27" t="s">
        <v>8</v>
      </c>
      <c r="DH561" s="27" t="s">
        <v>7</v>
      </c>
      <c r="DI561" s="27" t="s">
        <v>8</v>
      </c>
      <c r="DJ561" s="27" t="s">
        <v>7</v>
      </c>
      <c r="DK561" s="27" t="s">
        <v>8</v>
      </c>
      <c r="DL561" s="27" t="s">
        <v>7</v>
      </c>
      <c r="DM561" s="27" t="s">
        <v>8</v>
      </c>
      <c r="DW561" s="27" t="s">
        <v>8</v>
      </c>
      <c r="DX561" s="27" t="s">
        <v>7</v>
      </c>
      <c r="DY561" s="27" t="s">
        <v>8</v>
      </c>
      <c r="DZ561" s="27" t="s">
        <v>7</v>
      </c>
      <c r="EA561" s="27" t="s">
        <v>8</v>
      </c>
      <c r="EB561" s="27" t="s">
        <v>7</v>
      </c>
      <c r="EF561" s="27" t="s">
        <v>7</v>
      </c>
      <c r="EG561" s="27" t="s">
        <v>8</v>
      </c>
      <c r="EH561" s="27" t="s">
        <v>7</v>
      </c>
      <c r="EI561" s="27" t="s">
        <v>8</v>
      </c>
      <c r="EL561" s="27" t="s">
        <v>7</v>
      </c>
      <c r="EM561" s="27" t="s">
        <v>8</v>
      </c>
      <c r="EN561" s="27" t="s">
        <v>7</v>
      </c>
      <c r="EP561" s="27" t="s">
        <v>7</v>
      </c>
      <c r="EQ561" s="27" t="s">
        <v>8</v>
      </c>
      <c r="ER561" s="27" t="s">
        <v>7</v>
      </c>
      <c r="ES561" s="27" t="s">
        <v>8</v>
      </c>
      <c r="ET561" s="27" t="s">
        <v>7</v>
      </c>
      <c r="EU561" s="27" t="s">
        <v>8</v>
      </c>
      <c r="EV561" s="27" t="s">
        <v>7</v>
      </c>
    </row>
    <row r="562" spans="1:167" x14ac:dyDescent="0.25">
      <c r="A562" s="7">
        <v>1.6406059944647307</v>
      </c>
      <c r="B562"/>
      <c r="C562"/>
      <c r="D562"/>
      <c r="E562" t="s">
        <v>8</v>
      </c>
      <c r="AH562" s="27" t="s">
        <v>7</v>
      </c>
      <c r="AI562" s="27" t="s">
        <v>8</v>
      </c>
      <c r="AT562" s="27" t="s">
        <v>7</v>
      </c>
      <c r="AU562" s="27" t="s">
        <v>8</v>
      </c>
      <c r="AV562" s="27" t="s">
        <v>7</v>
      </c>
      <c r="AW562" s="27" t="s">
        <v>8</v>
      </c>
      <c r="AX562" s="27" t="s">
        <v>7</v>
      </c>
      <c r="BC562" s="27" t="s">
        <v>8</v>
      </c>
      <c r="BD562" s="27" t="s">
        <v>7</v>
      </c>
      <c r="CK562" s="27" t="s">
        <v>8</v>
      </c>
      <c r="DD562" s="27" t="s">
        <v>7</v>
      </c>
      <c r="DE562" s="27" t="s">
        <v>8</v>
      </c>
      <c r="DF562" s="27" t="s">
        <v>7</v>
      </c>
      <c r="DG562" s="27" t="s">
        <v>8</v>
      </c>
      <c r="DH562" s="27" t="s">
        <v>7</v>
      </c>
      <c r="DI562" s="27" t="s">
        <v>8</v>
      </c>
      <c r="DJ562" s="27" t="s">
        <v>7</v>
      </c>
      <c r="DK562" s="27" t="s">
        <v>8</v>
      </c>
      <c r="DL562" s="27" t="s">
        <v>7</v>
      </c>
      <c r="DM562" s="27" t="s">
        <v>8</v>
      </c>
      <c r="DN562" s="27" t="s">
        <v>7</v>
      </c>
      <c r="DU562" s="27" t="s">
        <v>8</v>
      </c>
      <c r="DW562" s="27" t="s">
        <v>8</v>
      </c>
      <c r="DX562" s="27" t="s">
        <v>7</v>
      </c>
      <c r="DZ562" s="27" t="s">
        <v>7</v>
      </c>
      <c r="EA562" s="27" t="s">
        <v>8</v>
      </c>
      <c r="EF562" s="27" t="s">
        <v>7</v>
      </c>
      <c r="EG562" s="27" t="s">
        <v>8</v>
      </c>
      <c r="EH562" s="27" t="s">
        <v>7</v>
      </c>
      <c r="EL562" s="27" t="s">
        <v>7</v>
      </c>
      <c r="EP562" s="27" t="s">
        <v>7</v>
      </c>
      <c r="EQ562" s="27" t="s">
        <v>8</v>
      </c>
      <c r="ER562" s="27" t="s">
        <v>7</v>
      </c>
      <c r="ES562" s="27" t="s">
        <v>8</v>
      </c>
      <c r="ET562" s="27" t="s">
        <v>7</v>
      </c>
      <c r="EU562" s="27" t="s">
        <v>8</v>
      </c>
      <c r="EV562" s="27" t="s">
        <v>7</v>
      </c>
    </row>
    <row r="563" spans="1:167" x14ac:dyDescent="0.25">
      <c r="A563" s="7">
        <v>1.6084372494752261</v>
      </c>
      <c r="B563"/>
      <c r="C563"/>
      <c r="D563"/>
      <c r="E563" t="s">
        <v>8</v>
      </c>
      <c r="AH563" s="27" t="s">
        <v>7</v>
      </c>
      <c r="AI563" s="27" t="s">
        <v>8</v>
      </c>
      <c r="AT563" s="27" t="s">
        <v>7</v>
      </c>
      <c r="AU563" s="27" t="s">
        <v>8</v>
      </c>
      <c r="AV563" s="27" t="s">
        <v>7</v>
      </c>
      <c r="AW563" s="27" t="s">
        <v>8</v>
      </c>
      <c r="AX563" s="27" t="s">
        <v>7</v>
      </c>
      <c r="BC563" s="27" t="s">
        <v>8</v>
      </c>
      <c r="BD563" s="27" t="s">
        <v>7</v>
      </c>
      <c r="CK563" s="27" t="s">
        <v>8</v>
      </c>
      <c r="DD563" s="27" t="s">
        <v>7</v>
      </c>
      <c r="DE563" s="27" t="s">
        <v>8</v>
      </c>
      <c r="DF563" s="27" t="s">
        <v>7</v>
      </c>
      <c r="DG563" s="27" t="s">
        <v>8</v>
      </c>
      <c r="DH563" s="27" t="s">
        <v>7</v>
      </c>
      <c r="DI563" s="27" t="s">
        <v>8</v>
      </c>
      <c r="DJ563" s="27" t="s">
        <v>7</v>
      </c>
      <c r="DK563" s="27" t="s">
        <v>8</v>
      </c>
      <c r="DL563" s="27" t="s">
        <v>7</v>
      </c>
      <c r="DM563" s="27" t="s">
        <v>8</v>
      </c>
      <c r="DN563" s="27" t="s">
        <v>7</v>
      </c>
      <c r="DS563" s="27" t="s">
        <v>8</v>
      </c>
      <c r="DU563" s="27" t="s">
        <v>8</v>
      </c>
      <c r="DV563" s="27" t="s">
        <v>7</v>
      </c>
      <c r="DW563" s="27" t="s">
        <v>8</v>
      </c>
      <c r="DZ563" s="27" t="s">
        <v>7</v>
      </c>
      <c r="EA563" s="27" t="s">
        <v>8</v>
      </c>
      <c r="EF563" s="27" t="s">
        <v>7</v>
      </c>
      <c r="EG563" s="27" t="s">
        <v>8</v>
      </c>
      <c r="EP563" s="27" t="s">
        <v>7</v>
      </c>
      <c r="EQ563" s="27" t="s">
        <v>8</v>
      </c>
      <c r="ER563" s="27" t="s">
        <v>7</v>
      </c>
      <c r="ET563" s="27" t="s">
        <v>7</v>
      </c>
      <c r="EV563" s="27" t="s">
        <v>7</v>
      </c>
    </row>
    <row r="564" spans="1:167" x14ac:dyDescent="0.25">
      <c r="A564" s="7">
        <v>1.5768992641913981</v>
      </c>
      <c r="B564"/>
      <c r="C564"/>
      <c r="D564"/>
      <c r="E564" t="s">
        <v>8</v>
      </c>
      <c r="AH564" s="27" t="s">
        <v>7</v>
      </c>
      <c r="AT564" s="27" t="s">
        <v>7</v>
      </c>
      <c r="AU564" s="27" t="s">
        <v>8</v>
      </c>
      <c r="AV564" s="27" t="s">
        <v>7</v>
      </c>
      <c r="AW564" s="27" t="s">
        <v>8</v>
      </c>
      <c r="AX564" s="27" t="s">
        <v>7</v>
      </c>
      <c r="AY564" s="27" t="s">
        <v>8</v>
      </c>
      <c r="BC564" s="27" t="s">
        <v>8</v>
      </c>
      <c r="BD564" s="27" t="s">
        <v>7</v>
      </c>
      <c r="CK564" s="27" t="s">
        <v>8</v>
      </c>
      <c r="DD564" s="27" t="s">
        <v>7</v>
      </c>
      <c r="DE564" s="27" t="s">
        <v>8</v>
      </c>
      <c r="DF564" s="27" t="s">
        <v>7</v>
      </c>
      <c r="DG564" s="27" t="s">
        <v>8</v>
      </c>
      <c r="DH564" s="27" t="s">
        <v>7</v>
      </c>
      <c r="DI564" s="27" t="s">
        <v>8</v>
      </c>
      <c r="DJ564" s="27" t="s">
        <v>7</v>
      </c>
      <c r="DL564" s="27" t="s">
        <v>7</v>
      </c>
      <c r="DM564" s="27" t="s">
        <v>8</v>
      </c>
      <c r="DN564" s="27" t="s">
        <v>7</v>
      </c>
      <c r="DO564" s="27" t="s">
        <v>8</v>
      </c>
      <c r="DQ564" s="27" t="s">
        <v>8</v>
      </c>
      <c r="DS564" s="27" t="s">
        <v>8</v>
      </c>
      <c r="DT564" s="27" t="s">
        <v>7</v>
      </c>
      <c r="DU564" s="27" t="s">
        <v>8</v>
      </c>
      <c r="DV564" s="27" t="s">
        <v>7</v>
      </c>
      <c r="DW564" s="27" t="s">
        <v>8</v>
      </c>
      <c r="DZ564" s="27" t="s">
        <v>7</v>
      </c>
      <c r="EA564" s="27" t="s">
        <v>8</v>
      </c>
      <c r="EF564" s="27" t="s">
        <v>7</v>
      </c>
      <c r="EG564" s="27" t="s">
        <v>8</v>
      </c>
      <c r="EP564" s="27" t="s">
        <v>7</v>
      </c>
      <c r="EQ564" s="27" t="s">
        <v>8</v>
      </c>
      <c r="EV564" s="27" t="s">
        <v>7</v>
      </c>
    </row>
    <row r="565" spans="1:167" x14ac:dyDescent="0.25">
      <c r="A565" s="7">
        <v>1.5459796707758806</v>
      </c>
      <c r="B565"/>
      <c r="C565"/>
      <c r="D565"/>
      <c r="E565" t="s">
        <v>8</v>
      </c>
      <c r="AT565" s="27" t="s">
        <v>7</v>
      </c>
      <c r="AU565" s="27" t="s">
        <v>8</v>
      </c>
      <c r="AV565" s="27" t="s">
        <v>7</v>
      </c>
      <c r="AW565" s="27" t="s">
        <v>8</v>
      </c>
      <c r="AX565" s="27" t="s">
        <v>7</v>
      </c>
      <c r="AY565" s="27" t="s">
        <v>8</v>
      </c>
      <c r="AZ565" s="27" t="s">
        <v>7</v>
      </c>
      <c r="BC565" s="27" t="s">
        <v>8</v>
      </c>
      <c r="BD565" s="27" t="s">
        <v>7</v>
      </c>
      <c r="BE565" s="27" t="s">
        <v>8</v>
      </c>
      <c r="BG565" s="27" t="s">
        <v>8</v>
      </c>
      <c r="CK565" s="27" t="s">
        <v>8</v>
      </c>
      <c r="DD565" s="27" t="s">
        <v>7</v>
      </c>
      <c r="DF565" s="27" t="s">
        <v>7</v>
      </c>
      <c r="DG565" s="27" t="s">
        <v>8</v>
      </c>
      <c r="DH565" s="27" t="s">
        <v>7</v>
      </c>
      <c r="DI565" s="27" t="s">
        <v>8</v>
      </c>
      <c r="DL565" s="27" t="s">
        <v>7</v>
      </c>
      <c r="DM565" s="27" t="s">
        <v>8</v>
      </c>
      <c r="DN565" s="27" t="s">
        <v>7</v>
      </c>
      <c r="DO565" s="27" t="s">
        <v>8</v>
      </c>
      <c r="DP565" s="27" t="s">
        <v>7</v>
      </c>
      <c r="DQ565" s="27" t="s">
        <v>8</v>
      </c>
      <c r="DR565" s="27" t="s">
        <v>7</v>
      </c>
      <c r="DS565" s="27" t="s">
        <v>8</v>
      </c>
      <c r="DT565" s="27" t="s">
        <v>7</v>
      </c>
      <c r="DU565" s="27" t="s">
        <v>8</v>
      </c>
      <c r="DV565" s="27" t="s">
        <v>7</v>
      </c>
      <c r="DW565" s="27" t="s">
        <v>8</v>
      </c>
      <c r="DZ565" s="27" t="s">
        <v>7</v>
      </c>
      <c r="EF565" s="27" t="s">
        <v>7</v>
      </c>
      <c r="EG565" s="27" t="s">
        <v>8</v>
      </c>
      <c r="EP565" s="27" t="s">
        <v>7</v>
      </c>
      <c r="EQ565" s="27" t="s">
        <v>8</v>
      </c>
      <c r="EV565" s="27" t="s">
        <v>7</v>
      </c>
      <c r="EY565" s="27" t="s">
        <v>8</v>
      </c>
    </row>
    <row r="566" spans="1:167" x14ac:dyDescent="0.25">
      <c r="A566" s="7">
        <v>1.5156663438979221</v>
      </c>
      <c r="B566"/>
      <c r="C566"/>
      <c r="D566"/>
      <c r="E566" t="s">
        <v>8</v>
      </c>
      <c r="AT566" s="27" t="s">
        <v>7</v>
      </c>
      <c r="AU566" s="27" t="s">
        <v>8</v>
      </c>
      <c r="AV566" s="27" t="s">
        <v>7</v>
      </c>
      <c r="AW566" s="27" t="s">
        <v>8</v>
      </c>
      <c r="AX566" s="27" t="s">
        <v>7</v>
      </c>
      <c r="AY566" s="27" t="s">
        <v>8</v>
      </c>
      <c r="AZ566" s="27" t="s">
        <v>7</v>
      </c>
      <c r="BC566" s="27" t="s">
        <v>8</v>
      </c>
      <c r="BD566" s="27" t="s">
        <v>7</v>
      </c>
      <c r="BE566" s="27" t="s">
        <v>8</v>
      </c>
      <c r="BF566" s="27" t="s">
        <v>7</v>
      </c>
      <c r="BG566" s="27" t="s">
        <v>8</v>
      </c>
      <c r="BH566" s="27" t="s">
        <v>7</v>
      </c>
      <c r="CK566" s="27" t="s">
        <v>8</v>
      </c>
      <c r="DF566" s="27" t="s">
        <v>7</v>
      </c>
      <c r="DH566" s="27" t="s">
        <v>7</v>
      </c>
      <c r="DI566" s="27" t="s">
        <v>8</v>
      </c>
      <c r="DL566" s="27" t="s">
        <v>7</v>
      </c>
      <c r="DM566" s="27" t="s">
        <v>8</v>
      </c>
      <c r="DN566" s="27" t="s">
        <v>7</v>
      </c>
      <c r="DO566" s="27" t="s">
        <v>8</v>
      </c>
      <c r="DP566" s="27" t="s">
        <v>7</v>
      </c>
      <c r="DQ566" s="27" t="s">
        <v>8</v>
      </c>
      <c r="DR566" s="27" t="s">
        <v>7</v>
      </c>
      <c r="DS566" s="27" t="s">
        <v>8</v>
      </c>
      <c r="DT566" s="27" t="s">
        <v>7</v>
      </c>
      <c r="DU566" s="27" t="s">
        <v>8</v>
      </c>
      <c r="DV566" s="27" t="s">
        <v>7</v>
      </c>
      <c r="DW566" s="27" t="s">
        <v>8</v>
      </c>
      <c r="EF566" s="27" t="s">
        <v>7</v>
      </c>
      <c r="EP566" s="27" t="s">
        <v>7</v>
      </c>
      <c r="EQ566" s="27" t="s">
        <v>8</v>
      </c>
      <c r="EV566" s="27" t="s">
        <v>7</v>
      </c>
      <c r="EY566" s="27" t="s">
        <v>8</v>
      </c>
      <c r="EZ566" s="27" t="s">
        <v>7</v>
      </c>
    </row>
    <row r="567" spans="1:167" x14ac:dyDescent="0.25">
      <c r="A567" s="7">
        <v>1.4859473959783549</v>
      </c>
      <c r="B567"/>
      <c r="C567"/>
      <c r="D567"/>
      <c r="E567" t="s">
        <v>8</v>
      </c>
      <c r="AT567" s="27" t="s">
        <v>7</v>
      </c>
      <c r="AU567" s="27" t="s">
        <v>8</v>
      </c>
      <c r="AV567" s="27" t="s">
        <v>7</v>
      </c>
      <c r="AW567" s="27" t="s">
        <v>8</v>
      </c>
      <c r="AX567" s="27" t="s">
        <v>7</v>
      </c>
      <c r="AY567" s="27" t="s">
        <v>8</v>
      </c>
      <c r="AZ567" s="27" t="s">
        <v>7</v>
      </c>
      <c r="BC567" s="27" t="s">
        <v>8</v>
      </c>
      <c r="BD567" s="27" t="s">
        <v>7</v>
      </c>
      <c r="BE567" s="27" t="s">
        <v>8</v>
      </c>
      <c r="BF567" s="27" t="s">
        <v>7</v>
      </c>
      <c r="BG567" s="27" t="s">
        <v>8</v>
      </c>
      <c r="BH567" s="27" t="s">
        <v>7</v>
      </c>
      <c r="CK567" s="27" t="s">
        <v>8</v>
      </c>
      <c r="DH567" s="27" t="s">
        <v>7</v>
      </c>
      <c r="DI567" s="27" t="s">
        <v>8</v>
      </c>
      <c r="DL567" s="27" t="s">
        <v>7</v>
      </c>
      <c r="DM567" s="27" t="s">
        <v>8</v>
      </c>
      <c r="DN567" s="27" t="s">
        <v>7</v>
      </c>
      <c r="DO567" s="27" t="s">
        <v>8</v>
      </c>
      <c r="DP567" s="27" t="s">
        <v>7</v>
      </c>
      <c r="DQ567" s="27" t="s">
        <v>8</v>
      </c>
      <c r="DR567" s="27" t="s">
        <v>7</v>
      </c>
      <c r="DS567" s="27" t="s">
        <v>8</v>
      </c>
      <c r="DT567" s="27" t="s">
        <v>7</v>
      </c>
      <c r="DV567" s="27" t="s">
        <v>7</v>
      </c>
      <c r="DW567" s="27" t="s">
        <v>8</v>
      </c>
      <c r="EP567" s="27" t="s">
        <v>7</v>
      </c>
      <c r="EQ567" s="27" t="s">
        <v>8</v>
      </c>
      <c r="EV567" s="27" t="s">
        <v>7</v>
      </c>
      <c r="EY567" s="27" t="s">
        <v>8</v>
      </c>
      <c r="EZ567" s="27" t="s">
        <v>7</v>
      </c>
    </row>
    <row r="568" spans="1:167" x14ac:dyDescent="0.25">
      <c r="A568" s="7">
        <v>1.4568111725277988</v>
      </c>
      <c r="B568"/>
      <c r="C568"/>
      <c r="D568"/>
      <c r="E568" t="s">
        <v>8</v>
      </c>
      <c r="AT568" s="27" t="s">
        <v>7</v>
      </c>
      <c r="AU568" s="27" t="s">
        <v>8</v>
      </c>
      <c r="AV568" s="27" t="s">
        <v>7</v>
      </c>
      <c r="AW568" s="27" t="s">
        <v>8</v>
      </c>
      <c r="AX568" s="27" t="s">
        <v>7</v>
      </c>
      <c r="AY568" s="27" t="s">
        <v>8</v>
      </c>
      <c r="AZ568" s="27" t="s">
        <v>7</v>
      </c>
      <c r="BA568" s="27" t="s">
        <v>8</v>
      </c>
      <c r="BC568" s="27" t="s">
        <v>8</v>
      </c>
      <c r="BD568" s="27" t="s">
        <v>7</v>
      </c>
      <c r="BE568" s="27" t="s">
        <v>8</v>
      </c>
      <c r="BF568" s="27" t="s">
        <v>7</v>
      </c>
      <c r="BG568" s="27" t="s">
        <v>8</v>
      </c>
      <c r="BH568" s="27" t="s">
        <v>7</v>
      </c>
      <c r="CK568" s="27" t="s">
        <v>8</v>
      </c>
      <c r="DH568" s="27" t="s">
        <v>7</v>
      </c>
      <c r="DL568" s="27" t="s">
        <v>7</v>
      </c>
      <c r="DM568" s="27" t="s">
        <v>8</v>
      </c>
      <c r="DN568" s="27" t="s">
        <v>7</v>
      </c>
      <c r="DO568" s="27" t="s">
        <v>8</v>
      </c>
      <c r="DP568" s="27" t="s">
        <v>7</v>
      </c>
      <c r="DQ568" s="27" t="s">
        <v>8</v>
      </c>
      <c r="DR568" s="27" t="s">
        <v>7</v>
      </c>
      <c r="DS568" s="27" t="s">
        <v>8</v>
      </c>
      <c r="DV568" s="27" t="s">
        <v>7</v>
      </c>
      <c r="EP568" s="27" t="s">
        <v>7</v>
      </c>
      <c r="EQ568" s="27" t="s">
        <v>8</v>
      </c>
      <c r="EV568" s="27" t="s">
        <v>7</v>
      </c>
      <c r="EY568" s="27" t="s">
        <v>8</v>
      </c>
      <c r="EZ568" s="27" t="s">
        <v>7</v>
      </c>
      <c r="FI568" s="27" t="s">
        <v>8</v>
      </c>
    </row>
    <row r="569" spans="1:167" x14ac:dyDescent="0.25">
      <c r="A569" s="7">
        <v>1.4282462475762734</v>
      </c>
      <c r="B569"/>
      <c r="C569"/>
      <c r="D569"/>
      <c r="E569" t="s">
        <v>8</v>
      </c>
      <c r="AT569" s="27" t="s">
        <v>7</v>
      </c>
      <c r="AU569" s="27" t="s">
        <v>8</v>
      </c>
      <c r="AV569" s="27" t="s">
        <v>7</v>
      </c>
      <c r="AW569" s="27" t="s">
        <v>8</v>
      </c>
      <c r="AX569" s="27" t="s">
        <v>7</v>
      </c>
      <c r="AY569" s="27" t="s">
        <v>8</v>
      </c>
      <c r="AZ569" s="27" t="s">
        <v>7</v>
      </c>
      <c r="BA569" s="27" t="s">
        <v>8</v>
      </c>
      <c r="BB569" s="27" t="s">
        <v>7</v>
      </c>
      <c r="BC569" s="27" t="s">
        <v>8</v>
      </c>
      <c r="BD569" s="27" t="s">
        <v>7</v>
      </c>
      <c r="BE569" s="27" t="s">
        <v>8</v>
      </c>
      <c r="BF569" s="27" t="s">
        <v>7</v>
      </c>
      <c r="BG569" s="27" t="s">
        <v>8</v>
      </c>
      <c r="BH569" s="27" t="s">
        <v>7</v>
      </c>
      <c r="CK569" s="27" t="s">
        <v>8</v>
      </c>
      <c r="DL569" s="27" t="s">
        <v>7</v>
      </c>
      <c r="DM569" s="27" t="s">
        <v>8</v>
      </c>
      <c r="DN569" s="27" t="s">
        <v>7</v>
      </c>
      <c r="DO569" s="27" t="s">
        <v>8</v>
      </c>
      <c r="DP569" s="27" t="s">
        <v>7</v>
      </c>
      <c r="DQ569" s="27" t="s">
        <v>8</v>
      </c>
      <c r="DR569" s="27" t="s">
        <v>7</v>
      </c>
      <c r="DS569" s="27" t="s">
        <v>8</v>
      </c>
      <c r="EP569" s="27" t="s">
        <v>7</v>
      </c>
      <c r="EQ569" s="27" t="s">
        <v>8</v>
      </c>
      <c r="EV569" s="27" t="s">
        <v>7</v>
      </c>
      <c r="EY569" s="27" t="s">
        <v>8</v>
      </c>
      <c r="EZ569" s="27" t="s">
        <v>7</v>
      </c>
      <c r="FA569" s="27" t="s">
        <v>8</v>
      </c>
      <c r="FI569" s="27" t="s">
        <v>8</v>
      </c>
      <c r="FJ569" s="27" t="s">
        <v>7</v>
      </c>
    </row>
    <row r="570" spans="1:167" x14ac:dyDescent="0.25">
      <c r="A570" s="7">
        <v>1.4002414191924248</v>
      </c>
      <c r="B570"/>
      <c r="C570"/>
      <c r="D570"/>
      <c r="E570" t="s">
        <v>8</v>
      </c>
      <c r="AT570" s="27" t="s">
        <v>7</v>
      </c>
      <c r="AU570" s="27" t="s">
        <v>8</v>
      </c>
      <c r="AV570" s="27" t="s">
        <v>7</v>
      </c>
      <c r="AW570" s="27" t="s">
        <v>8</v>
      </c>
      <c r="AX570" s="27" t="s">
        <v>7</v>
      </c>
      <c r="AY570" s="27" t="s">
        <v>8</v>
      </c>
      <c r="AZ570" s="27" t="s">
        <v>7</v>
      </c>
      <c r="BA570" s="27" t="s">
        <v>8</v>
      </c>
      <c r="BB570" s="27" t="s">
        <v>7</v>
      </c>
      <c r="BC570" s="27" t="s">
        <v>8</v>
      </c>
      <c r="BD570" s="27" t="s">
        <v>7</v>
      </c>
      <c r="BE570" s="27" t="s">
        <v>8</v>
      </c>
      <c r="BF570" s="27" t="s">
        <v>7</v>
      </c>
      <c r="BG570" s="27" t="s">
        <v>8</v>
      </c>
      <c r="BH570" s="27" t="s">
        <v>7</v>
      </c>
      <c r="CK570" s="27" t="s">
        <v>8</v>
      </c>
      <c r="DL570" s="27" t="s">
        <v>7</v>
      </c>
      <c r="DM570" s="27" t="s">
        <v>8</v>
      </c>
      <c r="DN570" s="27" t="s">
        <v>7</v>
      </c>
      <c r="DO570" s="27" t="s">
        <v>8</v>
      </c>
      <c r="DP570" s="27" t="s">
        <v>7</v>
      </c>
      <c r="DQ570" s="27" t="s">
        <v>8</v>
      </c>
      <c r="DR570" s="27" t="s">
        <v>7</v>
      </c>
      <c r="DS570" s="27" t="s">
        <v>8</v>
      </c>
      <c r="EP570" s="27" t="s">
        <v>7</v>
      </c>
      <c r="EQ570" s="27" t="s">
        <v>8</v>
      </c>
      <c r="EV570" s="27" t="s">
        <v>7</v>
      </c>
      <c r="EY570" s="27" t="s">
        <v>8</v>
      </c>
      <c r="EZ570" s="27" t="s">
        <v>7</v>
      </c>
      <c r="FA570" s="27" t="s">
        <v>8</v>
      </c>
      <c r="FB570" s="27" t="s">
        <v>7</v>
      </c>
      <c r="FI570" s="27" t="s">
        <v>8</v>
      </c>
      <c r="FJ570" s="27" t="s">
        <v>7</v>
      </c>
    </row>
    <row r="571" spans="1:167" x14ac:dyDescent="0.25">
      <c r="A571" s="7">
        <v>1.3727857050906125</v>
      </c>
      <c r="B571"/>
      <c r="C571"/>
      <c r="D571"/>
      <c r="E571" t="s">
        <v>8</v>
      </c>
      <c r="AT571" s="27" t="s">
        <v>7</v>
      </c>
      <c r="AU571" s="27" t="s">
        <v>8</v>
      </c>
      <c r="AV571" s="27" t="s">
        <v>7</v>
      </c>
      <c r="AW571" s="27" t="s">
        <v>8</v>
      </c>
      <c r="AX571" s="27" t="s">
        <v>7</v>
      </c>
      <c r="AY571" s="27" t="s">
        <v>8</v>
      </c>
      <c r="AZ571" s="27" t="s">
        <v>7</v>
      </c>
      <c r="BA571" s="27" t="s">
        <v>8</v>
      </c>
      <c r="BB571" s="27" t="s">
        <v>7</v>
      </c>
      <c r="BC571" s="27" t="s">
        <v>8</v>
      </c>
      <c r="BD571" s="27" t="s">
        <v>7</v>
      </c>
      <c r="BE571" s="27" t="s">
        <v>8</v>
      </c>
      <c r="BF571" s="27" t="s">
        <v>7</v>
      </c>
      <c r="BG571" s="27" t="s">
        <v>8</v>
      </c>
      <c r="BH571" s="27" t="s">
        <v>7</v>
      </c>
      <c r="CK571" s="27" t="s">
        <v>8</v>
      </c>
      <c r="DL571" s="27" t="s">
        <v>7</v>
      </c>
      <c r="DM571" s="27" t="s">
        <v>8</v>
      </c>
      <c r="DN571" s="27" t="s">
        <v>7</v>
      </c>
      <c r="DO571" s="27" t="s">
        <v>8</v>
      </c>
      <c r="DP571" s="27" t="s">
        <v>7</v>
      </c>
      <c r="DQ571" s="27" t="s">
        <v>8</v>
      </c>
      <c r="DR571" s="27" t="s">
        <v>7</v>
      </c>
      <c r="EP571" s="27" t="s">
        <v>7</v>
      </c>
      <c r="EV571" s="27" t="s">
        <v>7</v>
      </c>
      <c r="EW571" s="27" t="s">
        <v>8</v>
      </c>
      <c r="EY571" s="27" t="s">
        <v>8</v>
      </c>
      <c r="EZ571" s="27" t="s">
        <v>7</v>
      </c>
      <c r="FA571" s="27" t="s">
        <v>8</v>
      </c>
      <c r="FB571" s="27" t="s">
        <v>7</v>
      </c>
      <c r="FI571" s="27" t="s">
        <v>8</v>
      </c>
      <c r="FJ571" s="27" t="s">
        <v>7</v>
      </c>
    </row>
    <row r="572" spans="1:167" x14ac:dyDescent="0.25">
      <c r="A572" s="7">
        <v>1.3458683383241299</v>
      </c>
      <c r="B572"/>
      <c r="C572"/>
      <c r="D572"/>
      <c r="E572" t="s">
        <v>8</v>
      </c>
      <c r="AT572" s="27" t="s">
        <v>7</v>
      </c>
      <c r="AU572" s="27" t="s">
        <v>8</v>
      </c>
      <c r="AV572" s="27" t="s">
        <v>7</v>
      </c>
      <c r="AW572" s="27" t="s">
        <v>8</v>
      </c>
      <c r="AX572" s="27" t="s">
        <v>7</v>
      </c>
      <c r="AY572" s="27" t="s">
        <v>8</v>
      </c>
      <c r="AZ572" s="27" t="s">
        <v>7</v>
      </c>
      <c r="BA572" s="27" t="s">
        <v>8</v>
      </c>
      <c r="BB572" s="27" t="s">
        <v>7</v>
      </c>
      <c r="BC572" s="27" t="s">
        <v>8</v>
      </c>
      <c r="BD572" s="27" t="s">
        <v>7</v>
      </c>
      <c r="BE572" s="27" t="s">
        <v>8</v>
      </c>
      <c r="BF572" s="27" t="s">
        <v>7</v>
      </c>
      <c r="BG572" s="27" t="s">
        <v>8</v>
      </c>
      <c r="BH572" s="27" t="s">
        <v>7</v>
      </c>
      <c r="BI572" s="27" t="s">
        <v>8</v>
      </c>
      <c r="CK572" s="27" t="s">
        <v>8</v>
      </c>
      <c r="DL572" s="27" t="s">
        <v>7</v>
      </c>
      <c r="DN572" s="27" t="s">
        <v>7</v>
      </c>
      <c r="DP572" s="27" t="s">
        <v>7</v>
      </c>
      <c r="EV572" s="27" t="s">
        <v>7</v>
      </c>
      <c r="EW572" s="27" t="s">
        <v>8</v>
      </c>
      <c r="EX572" s="27" t="s">
        <v>7</v>
      </c>
      <c r="EY572" s="27" t="s">
        <v>8</v>
      </c>
      <c r="EZ572" s="27" t="s">
        <v>7</v>
      </c>
      <c r="FA572" s="27" t="s">
        <v>8</v>
      </c>
      <c r="FB572" s="27" t="s">
        <v>7</v>
      </c>
      <c r="FI572" s="27" t="s">
        <v>8</v>
      </c>
      <c r="FJ572" s="27" t="s">
        <v>7</v>
      </c>
    </row>
    <row r="573" spans="1:167" x14ac:dyDescent="0.25">
      <c r="A573" s="7">
        <v>1.3194787630628724</v>
      </c>
      <c r="B573"/>
      <c r="C573"/>
      <c r="D573"/>
      <c r="E573" t="s">
        <v>8</v>
      </c>
      <c r="AT573" s="27" t="s">
        <v>7</v>
      </c>
      <c r="AU573" s="27" t="s">
        <v>8</v>
      </c>
      <c r="AV573" s="27" t="s">
        <v>7</v>
      </c>
      <c r="AW573" s="27" t="s">
        <v>8</v>
      </c>
      <c r="AX573" s="27" t="s">
        <v>7</v>
      </c>
      <c r="AY573" s="27" t="s">
        <v>8</v>
      </c>
      <c r="AZ573" s="27" t="s">
        <v>7</v>
      </c>
      <c r="BA573" s="27" t="s">
        <v>8</v>
      </c>
      <c r="BB573" s="27" t="s">
        <v>7</v>
      </c>
      <c r="BC573" s="27" t="s">
        <v>8</v>
      </c>
      <c r="BD573" s="27" t="s">
        <v>7</v>
      </c>
      <c r="BE573" s="27" t="s">
        <v>8</v>
      </c>
      <c r="BF573" s="27" t="s">
        <v>7</v>
      </c>
      <c r="BG573" s="27" t="s">
        <v>8</v>
      </c>
      <c r="BH573" s="27" t="s">
        <v>7</v>
      </c>
      <c r="BI573" s="27" t="s">
        <v>8</v>
      </c>
      <c r="BJ573" s="27" t="s">
        <v>7</v>
      </c>
      <c r="CK573" s="27" t="s">
        <v>8</v>
      </c>
      <c r="EV573" s="27" t="s">
        <v>7</v>
      </c>
      <c r="EW573" s="27" t="s">
        <v>8</v>
      </c>
      <c r="EX573" s="27" t="s">
        <v>7</v>
      </c>
      <c r="EY573" s="27" t="s">
        <v>8</v>
      </c>
      <c r="EZ573" s="27" t="s">
        <v>7</v>
      </c>
      <c r="FA573" s="27" t="s">
        <v>8</v>
      </c>
      <c r="FB573" s="27" t="s">
        <v>7</v>
      </c>
      <c r="FG573" s="27" t="s">
        <v>8</v>
      </c>
      <c r="FI573" s="27" t="s">
        <v>8</v>
      </c>
      <c r="FJ573" s="27" t="s">
        <v>7</v>
      </c>
    </row>
    <row r="574" spans="1:167" x14ac:dyDescent="0.25">
      <c r="A574" s="7">
        <v>1.2936066304537963</v>
      </c>
      <c r="B574"/>
      <c r="C574"/>
      <c r="D574"/>
      <c r="E574" t="s">
        <v>8</v>
      </c>
      <c r="AT574" s="27" t="s">
        <v>7</v>
      </c>
      <c r="AU574" s="27" t="s">
        <v>8</v>
      </c>
      <c r="AV574" s="27" t="s">
        <v>7</v>
      </c>
      <c r="AW574" s="27" t="s">
        <v>8</v>
      </c>
      <c r="AX574" s="27" t="s">
        <v>7</v>
      </c>
      <c r="AY574" s="27" t="s">
        <v>8</v>
      </c>
      <c r="AZ574" s="27" t="s">
        <v>7</v>
      </c>
      <c r="BA574" s="27" t="s">
        <v>8</v>
      </c>
      <c r="BB574" s="27" t="s">
        <v>7</v>
      </c>
      <c r="BC574" s="27" t="s">
        <v>8</v>
      </c>
      <c r="BD574" s="27" t="s">
        <v>7</v>
      </c>
      <c r="BE574" s="27" t="s">
        <v>8</v>
      </c>
      <c r="BF574" s="27" t="s">
        <v>7</v>
      </c>
      <c r="BG574" s="27" t="s">
        <v>8</v>
      </c>
      <c r="BH574" s="27" t="s">
        <v>7</v>
      </c>
      <c r="BI574" s="27" t="s">
        <v>8</v>
      </c>
      <c r="BJ574" s="27" t="s">
        <v>7</v>
      </c>
      <c r="CK574" s="27" t="s">
        <v>8</v>
      </c>
      <c r="EV574" s="27" t="s">
        <v>7</v>
      </c>
      <c r="EW574" s="27" t="s">
        <v>8</v>
      </c>
      <c r="EX574" s="27" t="s">
        <v>7</v>
      </c>
      <c r="EY574" s="27" t="s">
        <v>8</v>
      </c>
      <c r="EZ574" s="27" t="s">
        <v>7</v>
      </c>
      <c r="FA574" s="27" t="s">
        <v>8</v>
      </c>
      <c r="FB574" s="27" t="s">
        <v>7</v>
      </c>
      <c r="FG574" s="27" t="s">
        <v>8</v>
      </c>
      <c r="FH574" s="27" t="s">
        <v>7</v>
      </c>
      <c r="FI574" s="27" t="s">
        <v>8</v>
      </c>
      <c r="FJ574" s="27" t="s">
        <v>7</v>
      </c>
    </row>
    <row r="575" spans="1:167" x14ac:dyDescent="0.25">
      <c r="A575" s="7">
        <v>1.2682417945625455</v>
      </c>
      <c r="B575"/>
      <c r="C575"/>
      <c r="D575"/>
      <c r="E575" t="s">
        <v>8</v>
      </c>
      <c r="AT575" s="27" t="s">
        <v>7</v>
      </c>
      <c r="AV575" s="27" t="s">
        <v>7</v>
      </c>
      <c r="AW575" s="27" t="s">
        <v>8</v>
      </c>
      <c r="AX575" s="27" t="s">
        <v>7</v>
      </c>
      <c r="AY575" s="27" t="s">
        <v>8</v>
      </c>
      <c r="AZ575" s="27" t="s">
        <v>7</v>
      </c>
      <c r="BA575" s="27" t="s">
        <v>8</v>
      </c>
      <c r="BB575" s="27" t="s">
        <v>7</v>
      </c>
      <c r="BD575" s="27" t="s">
        <v>7</v>
      </c>
      <c r="BE575" s="27" t="s">
        <v>8</v>
      </c>
      <c r="BF575" s="27" t="s">
        <v>7</v>
      </c>
      <c r="BG575" s="27" t="s">
        <v>8</v>
      </c>
      <c r="BH575" s="27" t="s">
        <v>7</v>
      </c>
      <c r="BI575" s="27" t="s">
        <v>8</v>
      </c>
      <c r="BJ575" s="27" t="s">
        <v>7</v>
      </c>
      <c r="CK575" s="27" t="s">
        <v>8</v>
      </c>
      <c r="EV575" s="27" t="s">
        <v>7</v>
      </c>
      <c r="EW575" s="27" t="s">
        <v>8</v>
      </c>
      <c r="EX575" s="27" t="s">
        <v>7</v>
      </c>
      <c r="EY575" s="27" t="s">
        <v>8</v>
      </c>
      <c r="EZ575" s="27" t="s">
        <v>7</v>
      </c>
      <c r="FA575" s="27" t="s">
        <v>8</v>
      </c>
      <c r="FB575" s="27" t="s">
        <v>7</v>
      </c>
      <c r="FG575" s="27" t="s">
        <v>8</v>
      </c>
      <c r="FH575" s="27" t="s">
        <v>7</v>
      </c>
      <c r="FI575" s="27" t="s">
        <v>8</v>
      </c>
      <c r="FJ575" s="27" t="s">
        <v>7</v>
      </c>
    </row>
    <row r="576" spans="1:167" x14ac:dyDescent="0.25">
      <c r="A576" s="7">
        <v>1.2433743083946525</v>
      </c>
      <c r="B576"/>
      <c r="C576"/>
      <c r="D576"/>
      <c r="E576" t="s">
        <v>8</v>
      </c>
      <c r="AV576" s="27" t="s">
        <v>7</v>
      </c>
      <c r="AW576" s="27" t="s">
        <v>8</v>
      </c>
      <c r="AX576" s="27" t="s">
        <v>7</v>
      </c>
      <c r="AZ576" s="27" t="s">
        <v>7</v>
      </c>
      <c r="BA576" s="27" t="s">
        <v>8</v>
      </c>
      <c r="BD576" s="27" t="s">
        <v>7</v>
      </c>
      <c r="BE576" s="27" t="s">
        <v>8</v>
      </c>
      <c r="BF576" s="27" t="s">
        <v>7</v>
      </c>
      <c r="BG576" s="27" t="s">
        <v>8</v>
      </c>
      <c r="BH576" s="27" t="s">
        <v>7</v>
      </c>
      <c r="BI576" s="27" t="s">
        <v>8</v>
      </c>
      <c r="BJ576" s="27" t="s">
        <v>7</v>
      </c>
      <c r="BK576" s="27" t="s">
        <v>8</v>
      </c>
      <c r="CK576" s="27" t="s">
        <v>8</v>
      </c>
      <c r="EV576" s="27" t="s">
        <v>7</v>
      </c>
      <c r="EW576" s="27" t="s">
        <v>8</v>
      </c>
      <c r="EX576" s="27" t="s">
        <v>7</v>
      </c>
      <c r="EY576" s="27" t="s">
        <v>8</v>
      </c>
      <c r="EZ576" s="27" t="s">
        <v>7</v>
      </c>
      <c r="FA576" s="27" t="s">
        <v>8</v>
      </c>
      <c r="FB576" s="27" t="s">
        <v>7</v>
      </c>
      <c r="FG576" s="27" t="s">
        <v>8</v>
      </c>
      <c r="FH576" s="27" t="s">
        <v>7</v>
      </c>
      <c r="FJ576" s="27" t="s">
        <v>7</v>
      </c>
      <c r="FK576" s="27" t="s">
        <v>8</v>
      </c>
    </row>
    <row r="577" spans="1:176" x14ac:dyDescent="0.25">
      <c r="A577" s="7">
        <v>1.2189944199947573</v>
      </c>
      <c r="B577"/>
      <c r="C577"/>
      <c r="D577"/>
      <c r="E577" t="s">
        <v>8</v>
      </c>
      <c r="AV577" s="27" t="s">
        <v>7</v>
      </c>
      <c r="AW577" s="27" t="s">
        <v>8</v>
      </c>
      <c r="AZ577" s="27" t="s">
        <v>7</v>
      </c>
      <c r="BA577" s="27" t="s">
        <v>8</v>
      </c>
      <c r="BD577" s="27" t="s">
        <v>7</v>
      </c>
      <c r="BF577" s="27" t="s">
        <v>7</v>
      </c>
      <c r="BG577" s="27" t="s">
        <v>8</v>
      </c>
      <c r="BH577" s="27" t="s">
        <v>7</v>
      </c>
      <c r="BI577" s="27" t="s">
        <v>8</v>
      </c>
      <c r="BJ577" s="27" t="s">
        <v>7</v>
      </c>
      <c r="BK577" s="27" t="s">
        <v>8</v>
      </c>
      <c r="BL577" s="27" t="s">
        <v>7</v>
      </c>
      <c r="CK577" s="27" t="s">
        <v>8</v>
      </c>
      <c r="EV577" s="27" t="s">
        <v>7</v>
      </c>
      <c r="EW577" s="27" t="s">
        <v>8</v>
      </c>
      <c r="EX577" s="27" t="s">
        <v>7</v>
      </c>
      <c r="EY577" s="27" t="s">
        <v>8</v>
      </c>
      <c r="EZ577" s="27" t="s">
        <v>7</v>
      </c>
      <c r="FA577" s="27" t="s">
        <v>8</v>
      </c>
      <c r="FB577" s="27" t="s">
        <v>7</v>
      </c>
      <c r="FE577" s="27" t="s">
        <v>8</v>
      </c>
      <c r="FG577" s="27" t="s">
        <v>8</v>
      </c>
      <c r="FJ577" s="27" t="s">
        <v>7</v>
      </c>
      <c r="FK577" s="27" t="s">
        <v>8</v>
      </c>
      <c r="FL577" s="27" t="s">
        <v>7</v>
      </c>
      <c r="FM577" s="27" t="s">
        <v>8</v>
      </c>
    </row>
    <row r="578" spans="1:176" x14ac:dyDescent="0.25">
      <c r="A578" s="7">
        <v>1.1950925686223111</v>
      </c>
      <c r="B578"/>
      <c r="C578"/>
      <c r="D578"/>
      <c r="E578" t="s">
        <v>8</v>
      </c>
      <c r="AV578" s="27" t="s">
        <v>7</v>
      </c>
      <c r="AW578" s="27" t="s">
        <v>8</v>
      </c>
      <c r="AZ578" s="27" t="s">
        <v>7</v>
      </c>
      <c r="BA578" s="27" t="s">
        <v>8</v>
      </c>
      <c r="BF578" s="27" t="s">
        <v>7</v>
      </c>
      <c r="BG578" s="27" t="s">
        <v>8</v>
      </c>
      <c r="BH578" s="27" t="s">
        <v>7</v>
      </c>
      <c r="BI578" s="27" t="s">
        <v>8</v>
      </c>
      <c r="BJ578" s="27" t="s">
        <v>7</v>
      </c>
      <c r="BK578" s="27" t="s">
        <v>8</v>
      </c>
      <c r="BL578" s="27" t="s">
        <v>7</v>
      </c>
      <c r="CK578" s="27" t="s">
        <v>8</v>
      </c>
      <c r="EV578" s="27" t="s">
        <v>7</v>
      </c>
      <c r="EW578" s="27" t="s">
        <v>8</v>
      </c>
      <c r="EX578" s="27" t="s">
        <v>7</v>
      </c>
      <c r="EY578" s="27" t="s">
        <v>8</v>
      </c>
      <c r="EZ578" s="27" t="s">
        <v>7</v>
      </c>
      <c r="FA578" s="27" t="s">
        <v>8</v>
      </c>
      <c r="FB578" s="27" t="s">
        <v>7</v>
      </c>
      <c r="FE578" s="27" t="s">
        <v>8</v>
      </c>
      <c r="FF578" s="27" t="s">
        <v>7</v>
      </c>
      <c r="FG578" s="27" t="s">
        <v>8</v>
      </c>
      <c r="FJ578" s="27" t="s">
        <v>7</v>
      </c>
      <c r="FK578" s="27" t="s">
        <v>8</v>
      </c>
      <c r="FL578" s="27" t="s">
        <v>7</v>
      </c>
      <c r="FM578" s="27" t="s">
        <v>8</v>
      </c>
      <c r="FN578" s="27" t="s">
        <v>7</v>
      </c>
    </row>
    <row r="579" spans="1:176" x14ac:dyDescent="0.25">
      <c r="A579" s="7">
        <v>1.1716593810022657</v>
      </c>
      <c r="B579"/>
      <c r="C579"/>
      <c r="D579"/>
      <c r="E579" t="s">
        <v>8</v>
      </c>
      <c r="AV579" s="27" t="s">
        <v>7</v>
      </c>
      <c r="AW579" s="27" t="s">
        <v>8</v>
      </c>
      <c r="AZ579" s="27" t="s">
        <v>7</v>
      </c>
      <c r="BA579" s="27" t="s">
        <v>8</v>
      </c>
      <c r="BF579" s="27" t="s">
        <v>7</v>
      </c>
      <c r="BG579" s="27" t="s">
        <v>8</v>
      </c>
      <c r="BH579" s="27" t="s">
        <v>7</v>
      </c>
      <c r="BI579" s="27" t="s">
        <v>8</v>
      </c>
      <c r="BJ579" s="27" t="s">
        <v>7</v>
      </c>
      <c r="BK579" s="27" t="s">
        <v>8</v>
      </c>
      <c r="BL579" s="27" t="s">
        <v>7</v>
      </c>
      <c r="CK579" s="27" t="s">
        <v>8</v>
      </c>
      <c r="EV579" s="27" t="s">
        <v>7</v>
      </c>
      <c r="EW579" s="27" t="s">
        <v>8</v>
      </c>
      <c r="EX579" s="27" t="s">
        <v>7</v>
      </c>
      <c r="EY579" s="27" t="s">
        <v>8</v>
      </c>
      <c r="EZ579" s="27" t="s">
        <v>7</v>
      </c>
      <c r="FA579" s="27" t="s">
        <v>8</v>
      </c>
      <c r="FB579" s="27" t="s">
        <v>7</v>
      </c>
      <c r="FC579" s="27" t="s">
        <v>8</v>
      </c>
      <c r="FE579" s="27" t="s">
        <v>8</v>
      </c>
      <c r="FF579" s="27" t="s">
        <v>7</v>
      </c>
      <c r="FG579" s="27" t="s">
        <v>8</v>
      </c>
      <c r="FJ579" s="27" t="s">
        <v>7</v>
      </c>
      <c r="FK579" s="27" t="s">
        <v>8</v>
      </c>
      <c r="FL579" s="27" t="s">
        <v>7</v>
      </c>
      <c r="FM579" s="27" t="s">
        <v>8</v>
      </c>
      <c r="FN579" s="27" t="s">
        <v>7</v>
      </c>
    </row>
    <row r="580" spans="1:176" x14ac:dyDescent="0.25">
      <c r="A580" s="7">
        <v>1.14868566764928</v>
      </c>
      <c r="B580"/>
      <c r="C580"/>
      <c r="D580"/>
      <c r="E580" t="s">
        <v>8</v>
      </c>
      <c r="AV580" s="27" t="s">
        <v>7</v>
      </c>
      <c r="AW580" s="27" t="s">
        <v>8</v>
      </c>
      <c r="AZ580" s="27" t="s">
        <v>7</v>
      </c>
      <c r="BA580" s="27" t="s">
        <v>8</v>
      </c>
      <c r="BF580" s="27" t="s">
        <v>7</v>
      </c>
      <c r="BG580" s="27" t="s">
        <v>8</v>
      </c>
      <c r="BH580" s="27" t="s">
        <v>7</v>
      </c>
      <c r="BI580" s="27" t="s">
        <v>8</v>
      </c>
      <c r="BJ580" s="27" t="s">
        <v>7</v>
      </c>
      <c r="BK580" s="27" t="s">
        <v>8</v>
      </c>
      <c r="BL580" s="27" t="s">
        <v>7</v>
      </c>
      <c r="CK580" s="27" t="s">
        <v>8</v>
      </c>
      <c r="EV580" s="27" t="s">
        <v>7</v>
      </c>
      <c r="EW580" s="27" t="s">
        <v>8</v>
      </c>
      <c r="EX580" s="27" t="s">
        <v>7</v>
      </c>
      <c r="EY580" s="27" t="s">
        <v>8</v>
      </c>
      <c r="EZ580" s="27" t="s">
        <v>7</v>
      </c>
      <c r="FB580" s="27" t="s">
        <v>7</v>
      </c>
      <c r="FC580" s="27" t="s">
        <v>8</v>
      </c>
      <c r="FD580" s="27" t="s">
        <v>7</v>
      </c>
      <c r="FE580" s="27" t="s">
        <v>8</v>
      </c>
      <c r="FF580" s="27" t="s">
        <v>7</v>
      </c>
      <c r="FG580" s="27" t="s">
        <v>8</v>
      </c>
      <c r="FJ580" s="27" t="s">
        <v>7</v>
      </c>
      <c r="FK580" s="27" t="s">
        <v>8</v>
      </c>
      <c r="FL580" s="27" t="s">
        <v>7</v>
      </c>
      <c r="FN580" s="27" t="s">
        <v>7</v>
      </c>
    </row>
    <row r="581" spans="1:176" x14ac:dyDescent="0.25">
      <c r="A581" s="7">
        <v>1.1261624192640001</v>
      </c>
      <c r="B581"/>
      <c r="C581"/>
      <c r="D581"/>
      <c r="E581" t="s">
        <v>8</v>
      </c>
      <c r="AV581" s="27" t="s">
        <v>7</v>
      </c>
      <c r="AW581" s="27" t="s">
        <v>8</v>
      </c>
      <c r="AZ581" s="27" t="s">
        <v>7</v>
      </c>
      <c r="BA581" s="27" t="s">
        <v>8</v>
      </c>
      <c r="BF581" s="27" t="s">
        <v>7</v>
      </c>
      <c r="BG581" s="27" t="s">
        <v>8</v>
      </c>
      <c r="BH581" s="27" t="s">
        <v>7</v>
      </c>
      <c r="BJ581" s="27" t="s">
        <v>7</v>
      </c>
      <c r="BK581" s="27" t="s">
        <v>8</v>
      </c>
      <c r="BL581" s="27" t="s">
        <v>7</v>
      </c>
      <c r="CK581" s="27" t="s">
        <v>8</v>
      </c>
      <c r="EV581" s="27" t="s">
        <v>7</v>
      </c>
      <c r="EW581" s="27" t="s">
        <v>8</v>
      </c>
      <c r="EX581" s="27" t="s">
        <v>7</v>
      </c>
      <c r="EY581" s="27" t="s">
        <v>8</v>
      </c>
      <c r="FB581" s="27" t="s">
        <v>7</v>
      </c>
      <c r="FC581" s="27" t="s">
        <v>8</v>
      </c>
      <c r="FD581" s="27" t="s">
        <v>7</v>
      </c>
      <c r="FE581" s="27" t="s">
        <v>8</v>
      </c>
      <c r="FF581" s="27" t="s">
        <v>7</v>
      </c>
      <c r="FG581" s="27" t="s">
        <v>8</v>
      </c>
      <c r="FJ581" s="27" t="s">
        <v>7</v>
      </c>
      <c r="FN581" s="27" t="s">
        <v>7</v>
      </c>
    </row>
    <row r="582" spans="1:176" x14ac:dyDescent="0.25">
      <c r="A582" s="7">
        <v>1.1040808032</v>
      </c>
      <c r="B582"/>
      <c r="C582"/>
      <c r="D582"/>
      <c r="E582" t="s">
        <v>8</v>
      </c>
      <c r="AV582" s="27" t="s">
        <v>7</v>
      </c>
      <c r="AW582" s="27" t="s">
        <v>8</v>
      </c>
      <c r="AZ582" s="27" t="s">
        <v>7</v>
      </c>
      <c r="BA582" s="27" t="s">
        <v>8</v>
      </c>
      <c r="BF582" s="27" t="s">
        <v>7</v>
      </c>
      <c r="BG582" s="27" t="s">
        <v>8</v>
      </c>
      <c r="BJ582" s="27" t="s">
        <v>7</v>
      </c>
      <c r="BK582" s="27" t="s">
        <v>8</v>
      </c>
      <c r="BL582" s="27" t="s">
        <v>7</v>
      </c>
      <c r="CK582" s="27" t="s">
        <v>8</v>
      </c>
      <c r="EV582" s="27" t="s">
        <v>7</v>
      </c>
      <c r="EW582" s="27" t="s">
        <v>8</v>
      </c>
      <c r="EX582" s="27" t="s">
        <v>7</v>
      </c>
      <c r="FB582" s="27" t="s">
        <v>7</v>
      </c>
      <c r="FC582" s="27" t="s">
        <v>8</v>
      </c>
      <c r="FD582" s="27" t="s">
        <v>7</v>
      </c>
      <c r="FE582" s="27" t="s">
        <v>8</v>
      </c>
      <c r="FF582" s="27" t="s">
        <v>7</v>
      </c>
      <c r="FN582" s="27" t="s">
        <v>7</v>
      </c>
      <c r="FS582" s="27" t="s">
        <v>8</v>
      </c>
    </row>
    <row r="583" spans="1:176" x14ac:dyDescent="0.25">
      <c r="A583" s="7">
        <v>1.08243216</v>
      </c>
      <c r="B583"/>
      <c r="C583"/>
      <c r="D583"/>
      <c r="E583" t="s">
        <v>8</v>
      </c>
      <c r="AV583" s="27" t="s">
        <v>7</v>
      </c>
      <c r="AW583" s="27" t="s">
        <v>8</v>
      </c>
      <c r="AZ583" s="27" t="s">
        <v>7</v>
      </c>
      <c r="BF583" s="27" t="s">
        <v>7</v>
      </c>
      <c r="BG583" s="27" t="s">
        <v>8</v>
      </c>
      <c r="BJ583" s="27" t="s">
        <v>7</v>
      </c>
      <c r="BK583" s="27" t="s">
        <v>8</v>
      </c>
      <c r="BL583" s="27" t="s">
        <v>7</v>
      </c>
      <c r="CA583" s="27" t="s">
        <v>8</v>
      </c>
      <c r="CK583" s="27" t="s">
        <v>8</v>
      </c>
      <c r="EV583" s="27" t="s">
        <v>7</v>
      </c>
      <c r="FB583" s="27" t="s">
        <v>7</v>
      </c>
      <c r="FC583" s="27" t="s">
        <v>8</v>
      </c>
      <c r="FD583" s="27" t="s">
        <v>7</v>
      </c>
      <c r="FE583" s="27" t="s">
        <v>8</v>
      </c>
      <c r="FN583" s="27" t="s">
        <v>7</v>
      </c>
      <c r="FS583" s="27" t="s">
        <v>8</v>
      </c>
      <c r="FT583" s="27" t="s">
        <v>7</v>
      </c>
    </row>
    <row r="584" spans="1:176" x14ac:dyDescent="0.25">
      <c r="A584" s="7">
        <v>1.0612079999999999</v>
      </c>
      <c r="B584"/>
      <c r="C584"/>
      <c r="D584"/>
      <c r="E584" t="s">
        <v>8</v>
      </c>
      <c r="AV584" s="27" t="s">
        <v>7</v>
      </c>
      <c r="AW584" s="27" t="s">
        <v>8</v>
      </c>
      <c r="BF584" s="27" t="s">
        <v>7</v>
      </c>
      <c r="BG584" s="27" t="s">
        <v>8</v>
      </c>
      <c r="BJ584" s="27" t="s">
        <v>7</v>
      </c>
      <c r="BK584" s="27" t="s">
        <v>8</v>
      </c>
      <c r="BL584" s="27" t="s">
        <v>7</v>
      </c>
      <c r="CA584" s="27" t="s">
        <v>8</v>
      </c>
      <c r="CB584" s="27" t="s">
        <v>7</v>
      </c>
      <c r="CI584" s="27" t="s">
        <v>8</v>
      </c>
      <c r="CK584" s="27" t="s">
        <v>8</v>
      </c>
      <c r="FB584" s="27" t="s">
        <v>7</v>
      </c>
      <c r="FD584" s="27" t="s">
        <v>7</v>
      </c>
      <c r="FN584" s="27" t="s">
        <v>7</v>
      </c>
      <c r="FQ584" s="27" t="s">
        <v>8</v>
      </c>
      <c r="FS584" s="27" t="s">
        <v>8</v>
      </c>
      <c r="FT584" s="27" t="s">
        <v>7</v>
      </c>
    </row>
    <row r="585" spans="1:176" x14ac:dyDescent="0.25">
      <c r="A585" s="7">
        <v>1.0404</v>
      </c>
      <c r="B585"/>
      <c r="C585"/>
      <c r="D585"/>
      <c r="E585" t="s">
        <v>8</v>
      </c>
      <c r="AV585" s="27" t="s">
        <v>7</v>
      </c>
      <c r="AW585" s="27" t="s">
        <v>8</v>
      </c>
      <c r="BF585" s="27" t="s">
        <v>7</v>
      </c>
      <c r="BG585" s="27" t="s">
        <v>8</v>
      </c>
      <c r="BJ585" s="27" t="s">
        <v>7</v>
      </c>
      <c r="BL585" s="27" t="s">
        <v>7</v>
      </c>
      <c r="CA585" s="27" t="s">
        <v>8</v>
      </c>
      <c r="CB585" s="27" t="s">
        <v>7</v>
      </c>
      <c r="CI585" s="27" t="s">
        <v>8</v>
      </c>
      <c r="CJ585" s="27" t="s">
        <v>7</v>
      </c>
      <c r="CK585" s="27" t="s">
        <v>8</v>
      </c>
      <c r="FN585" s="27" t="s">
        <v>7</v>
      </c>
      <c r="FQ585" s="27" t="s">
        <v>8</v>
      </c>
      <c r="FR585" s="27" t="s">
        <v>7</v>
      </c>
      <c r="FS585" s="27" t="s">
        <v>8</v>
      </c>
      <c r="FT585" s="27" t="s">
        <v>7</v>
      </c>
    </row>
    <row r="586" spans="1:176" x14ac:dyDescent="0.25">
      <c r="A586" s="7">
        <v>1.02</v>
      </c>
      <c r="B586"/>
      <c r="C586"/>
      <c r="D586"/>
      <c r="E586" t="s">
        <v>8</v>
      </c>
      <c r="AV586" s="27" t="s">
        <v>7</v>
      </c>
      <c r="AW586" s="27" t="s">
        <v>8</v>
      </c>
      <c r="BF586" s="27" t="s">
        <v>7</v>
      </c>
      <c r="BL586" s="27" t="s">
        <v>7</v>
      </c>
      <c r="CA586" s="27" t="s">
        <v>8</v>
      </c>
      <c r="CB586" s="27" t="s">
        <v>7</v>
      </c>
      <c r="CI586" s="27" t="s">
        <v>8</v>
      </c>
      <c r="CJ586" s="27" t="s">
        <v>7</v>
      </c>
      <c r="CK586" s="27" t="s">
        <v>8</v>
      </c>
      <c r="FN586" s="27" t="s">
        <v>7</v>
      </c>
      <c r="FO586" s="27" t="s">
        <v>8</v>
      </c>
      <c r="FQ586" s="27" t="s">
        <v>8</v>
      </c>
      <c r="FR586" s="27" t="s">
        <v>7</v>
      </c>
      <c r="FS586" s="27" t="s">
        <v>8</v>
      </c>
      <c r="FT586" s="27" t="s">
        <v>7</v>
      </c>
    </row>
    <row r="587" spans="1:176" x14ac:dyDescent="0.25">
      <c r="A587" s="7">
        <v>1</v>
      </c>
      <c r="B587"/>
      <c r="C587"/>
      <c r="D587"/>
      <c r="E587" s="29" t="s">
        <v>8</v>
      </c>
      <c r="AV587" s="27" t="s">
        <v>7</v>
      </c>
      <c r="AW587" s="27" t="s">
        <v>8</v>
      </c>
      <c r="BL587" s="27" t="s">
        <v>7</v>
      </c>
      <c r="CA587" s="27" t="s">
        <v>8</v>
      </c>
      <c r="CB587" s="27" t="s">
        <v>7</v>
      </c>
      <c r="CI587" s="27" t="s">
        <v>8</v>
      </c>
      <c r="CJ587" s="27" t="s">
        <v>7</v>
      </c>
      <c r="CK587" s="27" t="s">
        <v>8</v>
      </c>
      <c r="FN587" s="27" t="s">
        <v>7</v>
      </c>
      <c r="FO587" s="27" t="s">
        <v>8</v>
      </c>
      <c r="FP587" s="27" t="s">
        <v>7</v>
      </c>
      <c r="FQ587" s="27" t="s">
        <v>8</v>
      </c>
      <c r="FR587" s="27" t="s">
        <v>7</v>
      </c>
      <c r="FS587" s="27" t="s">
        <v>8</v>
      </c>
      <c r="FT587" s="27" t="s">
        <v>7</v>
      </c>
    </row>
    <row r="588" spans="1:176" x14ac:dyDescent="0.25">
      <c r="A588" s="7">
        <v>0.98039215686274506</v>
      </c>
      <c r="B588"/>
      <c r="C588"/>
      <c r="D588"/>
      <c r="E588"/>
      <c r="AV588" s="27" t="s">
        <v>7</v>
      </c>
      <c r="BL588" s="27" t="s">
        <v>7</v>
      </c>
      <c r="CA588" s="27" t="s">
        <v>8</v>
      </c>
      <c r="CB588" s="27" t="s">
        <v>7</v>
      </c>
      <c r="CI588" s="27" t="s">
        <v>8</v>
      </c>
      <c r="CJ588" s="27" t="s">
        <v>7</v>
      </c>
      <c r="CK588" s="27" t="s">
        <v>8</v>
      </c>
      <c r="FN588" s="27" t="s">
        <v>7</v>
      </c>
      <c r="FO588" s="27" t="s">
        <v>8</v>
      </c>
      <c r="FP588" s="27" t="s">
        <v>7</v>
      </c>
      <c r="FQ588" s="27" t="s">
        <v>8</v>
      </c>
      <c r="FR588" s="27" t="s">
        <v>7</v>
      </c>
      <c r="FS588" s="27" t="s">
        <v>8</v>
      </c>
      <c r="FT588" s="27" t="s">
        <v>7</v>
      </c>
    </row>
    <row r="589" spans="1:176" x14ac:dyDescent="0.25">
      <c r="A589" s="7">
        <v>0.96116878123798544</v>
      </c>
      <c r="B589"/>
      <c r="C589"/>
      <c r="D589"/>
      <c r="E589"/>
      <c r="BL589" s="27" t="s">
        <v>7</v>
      </c>
      <c r="CA589" s="27" t="s">
        <v>8</v>
      </c>
      <c r="CB589" s="27" t="s">
        <v>7</v>
      </c>
      <c r="CI589" s="27" t="s">
        <v>8</v>
      </c>
      <c r="CJ589" s="27" t="s">
        <v>7</v>
      </c>
      <c r="CK589" s="27" t="s">
        <v>8</v>
      </c>
      <c r="FN589" s="27" t="s">
        <v>7</v>
      </c>
      <c r="FP589" s="27" t="s">
        <v>7</v>
      </c>
      <c r="FQ589" s="27" t="s">
        <v>8</v>
      </c>
      <c r="FR589" s="27" t="s">
        <v>7</v>
      </c>
      <c r="FT589" s="27" t="s">
        <v>7</v>
      </c>
    </row>
    <row r="590" spans="1:176" x14ac:dyDescent="0.25">
      <c r="A590" s="7">
        <v>0.94232233454704462</v>
      </c>
      <c r="B590"/>
      <c r="C590"/>
      <c r="D590"/>
      <c r="E590"/>
      <c r="BL590" s="27" t="s">
        <v>7</v>
      </c>
      <c r="CA590" s="27" t="s">
        <v>8</v>
      </c>
      <c r="CB590" s="27" t="s">
        <v>7</v>
      </c>
      <c r="CI590" s="27" t="s">
        <v>8</v>
      </c>
      <c r="CJ590" s="27" t="s">
        <v>7</v>
      </c>
      <c r="CK590" s="27" t="s">
        <v>8</v>
      </c>
      <c r="FP590" s="27" t="s">
        <v>7</v>
      </c>
      <c r="FQ590" s="27" t="s">
        <v>8</v>
      </c>
      <c r="FT590" s="27" t="s">
        <v>7</v>
      </c>
    </row>
    <row r="591" spans="1:176" x14ac:dyDescent="0.25">
      <c r="A591" s="7">
        <v>0.92384542602651432</v>
      </c>
      <c r="B591"/>
      <c r="C591"/>
      <c r="D591"/>
      <c r="E591"/>
      <c r="BL591" s="27" t="s">
        <v>7</v>
      </c>
      <c r="CA591" s="27" t="s">
        <v>8</v>
      </c>
      <c r="CB591" s="27" t="s">
        <v>7</v>
      </c>
      <c r="CI591" s="27" t="s">
        <v>8</v>
      </c>
      <c r="CJ591" s="27" t="s">
        <v>7</v>
      </c>
      <c r="CK591" s="27" t="s">
        <v>8</v>
      </c>
      <c r="FP591" s="27" t="s">
        <v>7</v>
      </c>
      <c r="FT591" s="27" t="s">
        <v>7</v>
      </c>
    </row>
    <row r="592" spans="1:176" x14ac:dyDescent="0.25">
      <c r="A592" s="7">
        <v>0.90573080982991594</v>
      </c>
      <c r="B592"/>
      <c r="C592"/>
      <c r="D592"/>
      <c r="E592"/>
      <c r="BL592" s="27" t="s">
        <v>7</v>
      </c>
      <c r="CA592" s="27" t="s">
        <v>8</v>
      </c>
      <c r="CB592" s="27" t="s">
        <v>7</v>
      </c>
      <c r="CI592" s="27" t="s">
        <v>8</v>
      </c>
      <c r="CJ592" s="27" t="s">
        <v>7</v>
      </c>
      <c r="CK592" s="27" t="s">
        <v>8</v>
      </c>
      <c r="FT592" s="27" t="s">
        <v>7</v>
      </c>
    </row>
    <row r="593" spans="1:180" x14ac:dyDescent="0.25">
      <c r="A593" s="7">
        <v>0.8879713821861922</v>
      </c>
      <c r="B593"/>
      <c r="C593"/>
      <c r="D593"/>
      <c r="E593"/>
      <c r="BL593" s="27" t="s">
        <v>7</v>
      </c>
      <c r="CA593" s="27" t="s">
        <v>8</v>
      </c>
      <c r="CB593" s="27" t="s">
        <v>7</v>
      </c>
      <c r="CE593" s="27" t="s">
        <v>8</v>
      </c>
      <c r="CI593" s="27" t="s">
        <v>8</v>
      </c>
      <c r="CJ593" s="27" t="s">
        <v>7</v>
      </c>
      <c r="CK593" s="27" t="s">
        <v>8</v>
      </c>
      <c r="FT593" s="27" t="s">
        <v>7</v>
      </c>
    </row>
    <row r="594" spans="1:180" x14ac:dyDescent="0.25">
      <c r="A594" s="7">
        <v>0.87056017861391399</v>
      </c>
      <c r="B594"/>
      <c r="C594"/>
      <c r="D594"/>
      <c r="E594"/>
      <c r="BL594" s="27" t="s">
        <v>7</v>
      </c>
      <c r="CA594" s="27" t="s">
        <v>8</v>
      </c>
      <c r="CB594" s="27" t="s">
        <v>7</v>
      </c>
      <c r="CE594" s="27" t="s">
        <v>8</v>
      </c>
      <c r="CF594" s="27" t="s">
        <v>7</v>
      </c>
      <c r="CI594" s="27" t="s">
        <v>8</v>
      </c>
      <c r="CJ594" s="27" t="s">
        <v>7</v>
      </c>
      <c r="FT594" s="27" t="s">
        <v>7</v>
      </c>
    </row>
    <row r="595" spans="1:180" x14ac:dyDescent="0.25">
      <c r="A595" s="7">
        <v>0.85349037119011173</v>
      </c>
      <c r="B595"/>
      <c r="C595"/>
      <c r="D595"/>
      <c r="E595"/>
      <c r="BL595" s="27" t="s">
        <v>7</v>
      </c>
      <c r="CA595" s="27" t="s">
        <v>8</v>
      </c>
      <c r="CB595" s="27" t="s">
        <v>7</v>
      </c>
      <c r="CE595" s="27" t="s">
        <v>8</v>
      </c>
      <c r="CF595" s="27" t="s">
        <v>7</v>
      </c>
      <c r="CI595" s="27" t="s">
        <v>8</v>
      </c>
      <c r="FT595" s="27" t="s">
        <v>7</v>
      </c>
    </row>
    <row r="596" spans="1:180" x14ac:dyDescent="0.25">
      <c r="A596" s="7">
        <v>0.83675526587265858</v>
      </c>
      <c r="B596"/>
      <c r="C596"/>
      <c r="D596"/>
      <c r="E596"/>
      <c r="BL596" s="27" t="s">
        <v>7</v>
      </c>
      <c r="BQ596" s="27" t="s">
        <v>8</v>
      </c>
      <c r="CA596" s="27" t="s">
        <v>8</v>
      </c>
      <c r="CB596" s="27" t="s">
        <v>7</v>
      </c>
      <c r="CE596" s="27" t="s">
        <v>8</v>
      </c>
      <c r="CF596" s="27" t="s">
        <v>7</v>
      </c>
      <c r="CG596" s="27" t="s">
        <v>8</v>
      </c>
      <c r="CI596" s="27" t="s">
        <v>8</v>
      </c>
      <c r="FT596" s="27" t="s">
        <v>7</v>
      </c>
    </row>
    <row r="597" spans="1:180" x14ac:dyDescent="0.25">
      <c r="A597" s="7">
        <v>0.82034829987515545</v>
      </c>
      <c r="B597"/>
      <c r="C597"/>
      <c r="D597"/>
      <c r="E597"/>
      <c r="BL597" s="27" t="s">
        <v>7</v>
      </c>
      <c r="BM597" s="27" t="s">
        <v>8</v>
      </c>
      <c r="BQ597" s="27" t="s">
        <v>8</v>
      </c>
      <c r="BR597" s="27" t="s">
        <v>7</v>
      </c>
      <c r="BW597" s="27" t="s">
        <v>8</v>
      </c>
      <c r="CA597" s="27" t="s">
        <v>8</v>
      </c>
      <c r="CB597" s="27" t="s">
        <v>7</v>
      </c>
      <c r="CE597" s="27" t="s">
        <v>8</v>
      </c>
      <c r="CF597" s="27" t="s">
        <v>7</v>
      </c>
      <c r="CG597" s="27" t="s">
        <v>8</v>
      </c>
      <c r="CH597" s="27" t="s">
        <v>7</v>
      </c>
      <c r="CI597" s="27" t="s">
        <v>8</v>
      </c>
      <c r="FT597" s="27" t="s">
        <v>7</v>
      </c>
    </row>
    <row r="598" spans="1:180" x14ac:dyDescent="0.25">
      <c r="A598" s="7">
        <v>0.80426303909328967</v>
      </c>
      <c r="B598"/>
      <c r="C598"/>
      <c r="D598"/>
      <c r="E598"/>
      <c r="BL598" s="27" t="s">
        <v>7</v>
      </c>
      <c r="BM598" s="27" t="s">
        <v>8</v>
      </c>
      <c r="BN598" s="27" t="s">
        <v>7</v>
      </c>
      <c r="BQ598" s="27" t="s">
        <v>8</v>
      </c>
      <c r="BR598" s="27" t="s">
        <v>7</v>
      </c>
      <c r="BU598" s="27" t="s">
        <v>8</v>
      </c>
      <c r="BW598" s="27" t="s">
        <v>8</v>
      </c>
      <c r="BX598" s="27" t="s">
        <v>7</v>
      </c>
      <c r="CA598" s="27" t="s">
        <v>8</v>
      </c>
      <c r="CB598" s="27" t="s">
        <v>7</v>
      </c>
      <c r="CE598" s="27" t="s">
        <v>8</v>
      </c>
      <c r="CF598" s="27" t="s">
        <v>7</v>
      </c>
      <c r="CG598" s="27" t="s">
        <v>8</v>
      </c>
      <c r="CH598" s="27" t="s">
        <v>7</v>
      </c>
      <c r="CI598" s="27" t="s">
        <v>8</v>
      </c>
      <c r="FT598" s="27" t="s">
        <v>7</v>
      </c>
      <c r="FW598" s="27" t="s">
        <v>8</v>
      </c>
    </row>
    <row r="599" spans="1:180" x14ac:dyDescent="0.25">
      <c r="A599" s="7">
        <v>0.78849317558165644</v>
      </c>
      <c r="B599"/>
      <c r="C599"/>
      <c r="D599"/>
      <c r="E599"/>
      <c r="BL599" s="27" t="s">
        <v>7</v>
      </c>
      <c r="BM599" s="27" t="s">
        <v>8</v>
      </c>
      <c r="BN599" s="27" t="s">
        <v>7</v>
      </c>
      <c r="BO599" s="27" t="s">
        <v>8</v>
      </c>
      <c r="BQ599" s="27" t="s">
        <v>8</v>
      </c>
      <c r="BR599" s="27" t="s">
        <v>7</v>
      </c>
      <c r="BU599" s="27" t="s">
        <v>8</v>
      </c>
      <c r="BV599" s="27" t="s">
        <v>7</v>
      </c>
      <c r="BW599" s="27" t="s">
        <v>8</v>
      </c>
      <c r="BX599" s="27" t="s">
        <v>7</v>
      </c>
      <c r="CA599" s="27" t="s">
        <v>8</v>
      </c>
      <c r="CB599" s="27" t="s">
        <v>7</v>
      </c>
      <c r="CE599" s="27" t="s">
        <v>8</v>
      </c>
      <c r="CF599" s="27" t="s">
        <v>7</v>
      </c>
      <c r="CG599" s="27" t="s">
        <v>8</v>
      </c>
      <c r="CH599" s="27" t="s">
        <v>7</v>
      </c>
      <c r="CI599" s="27" t="s">
        <v>8</v>
      </c>
      <c r="FT599" s="27" t="s">
        <v>7</v>
      </c>
      <c r="FW599" s="27" t="s">
        <v>8</v>
      </c>
      <c r="FX599" s="27" t="s">
        <v>7</v>
      </c>
    </row>
    <row r="600" spans="1:180" x14ac:dyDescent="0.25">
      <c r="A600" s="7">
        <v>0.77303252508005538</v>
      </c>
      <c r="B600"/>
      <c r="C600"/>
      <c r="D600"/>
      <c r="E600"/>
      <c r="BL600" s="27" t="s">
        <v>7</v>
      </c>
      <c r="BM600" s="27" t="s">
        <v>8</v>
      </c>
      <c r="BN600" s="27" t="s">
        <v>7</v>
      </c>
      <c r="BO600" s="27" t="s">
        <v>8</v>
      </c>
      <c r="BP600" s="27" t="s">
        <v>7</v>
      </c>
      <c r="BQ600" s="27" t="s">
        <v>8</v>
      </c>
      <c r="BR600" s="27" t="s">
        <v>7</v>
      </c>
      <c r="BU600" s="27" t="s">
        <v>8</v>
      </c>
      <c r="BV600" s="27" t="s">
        <v>7</v>
      </c>
      <c r="BW600" s="27" t="s">
        <v>8</v>
      </c>
      <c r="BX600" s="27" t="s">
        <v>7</v>
      </c>
      <c r="BY600" s="27" t="s">
        <v>8</v>
      </c>
      <c r="CA600" s="27" t="s">
        <v>8</v>
      </c>
      <c r="CB600" s="27" t="s">
        <v>7</v>
      </c>
      <c r="CE600" s="27" t="s">
        <v>8</v>
      </c>
      <c r="CF600" s="27" t="s">
        <v>7</v>
      </c>
      <c r="CG600" s="27" t="s">
        <v>8</v>
      </c>
      <c r="CH600" s="27" t="s">
        <v>7</v>
      </c>
      <c r="FT600" s="27" t="s">
        <v>7</v>
      </c>
      <c r="FW600" s="27" t="s">
        <v>8</v>
      </c>
      <c r="FX600" s="27" t="s">
        <v>7</v>
      </c>
    </row>
    <row r="601" spans="1:180" x14ac:dyDescent="0.25">
      <c r="A601" s="7">
        <v>0.75787502458828959</v>
      </c>
      <c r="B601"/>
      <c r="C601"/>
      <c r="D601"/>
      <c r="E601"/>
      <c r="BL601" s="27" t="s">
        <v>7</v>
      </c>
      <c r="BM601" s="27" t="s">
        <v>8</v>
      </c>
      <c r="BN601" s="27" t="s">
        <v>7</v>
      </c>
      <c r="BO601" s="27" t="s">
        <v>8</v>
      </c>
      <c r="BP601" s="27" t="s">
        <v>7</v>
      </c>
      <c r="BQ601" s="27" t="s">
        <v>8</v>
      </c>
      <c r="BR601" s="27" t="s">
        <v>7</v>
      </c>
      <c r="BS601" s="27" t="s">
        <v>8</v>
      </c>
      <c r="BU601" s="27" t="s">
        <v>8</v>
      </c>
      <c r="BV601" s="27" t="s">
        <v>7</v>
      </c>
      <c r="BW601" s="27" t="s">
        <v>8</v>
      </c>
      <c r="BX601" s="27" t="s">
        <v>7</v>
      </c>
      <c r="BY601" s="27" t="s">
        <v>8</v>
      </c>
      <c r="BZ601" s="27" t="s">
        <v>7</v>
      </c>
      <c r="CA601" s="27" t="s">
        <v>8</v>
      </c>
      <c r="CB601" s="27" t="s">
        <v>7</v>
      </c>
      <c r="CE601" s="27" t="s">
        <v>8</v>
      </c>
      <c r="CF601" s="27" t="s">
        <v>7</v>
      </c>
      <c r="CG601" s="27" t="s">
        <v>8</v>
      </c>
      <c r="FT601" s="27" t="s">
        <v>7</v>
      </c>
      <c r="FW601" s="27" t="s">
        <v>8</v>
      </c>
      <c r="FX601" s="27" t="s">
        <v>7</v>
      </c>
    </row>
    <row r="602" spans="1:180" x14ac:dyDescent="0.25">
      <c r="A602" s="7">
        <v>0.74301472998851925</v>
      </c>
      <c r="B602"/>
      <c r="C602"/>
      <c r="D602"/>
      <c r="E602"/>
      <c r="BL602" s="27" t="s">
        <v>7</v>
      </c>
      <c r="BM602" s="27" t="s">
        <v>8</v>
      </c>
      <c r="BN602" s="27" t="s">
        <v>7</v>
      </c>
      <c r="BO602" s="27" t="s">
        <v>8</v>
      </c>
      <c r="BP602" s="27" t="s">
        <v>7</v>
      </c>
      <c r="BQ602" s="27" t="s">
        <v>8</v>
      </c>
      <c r="BR602" s="27" t="s">
        <v>7</v>
      </c>
      <c r="BS602" s="27" t="s">
        <v>8</v>
      </c>
      <c r="BT602" s="27" t="s">
        <v>7</v>
      </c>
      <c r="BU602" s="27" t="s">
        <v>8</v>
      </c>
      <c r="BV602" s="27" t="s">
        <v>7</v>
      </c>
      <c r="BW602" s="27" t="s">
        <v>8</v>
      </c>
      <c r="BX602" s="27" t="s">
        <v>7</v>
      </c>
      <c r="BY602" s="27" t="s">
        <v>8</v>
      </c>
      <c r="BZ602" s="27" t="s">
        <v>7</v>
      </c>
      <c r="CA602" s="27" t="s">
        <v>8</v>
      </c>
      <c r="CB602" s="27" t="s">
        <v>7</v>
      </c>
      <c r="CE602" s="27" t="s">
        <v>8</v>
      </c>
      <c r="CF602" s="27" t="s">
        <v>7</v>
      </c>
      <c r="FT602" s="27" t="s">
        <v>7</v>
      </c>
      <c r="FU602" s="27" t="s">
        <v>8</v>
      </c>
      <c r="FW602" s="27" t="s">
        <v>8</v>
      </c>
      <c r="FX602" s="27" t="s">
        <v>7</v>
      </c>
    </row>
    <row r="603" spans="1:180" x14ac:dyDescent="0.25">
      <c r="A603" s="7">
        <v>0.72844581371423456</v>
      </c>
      <c r="B603"/>
      <c r="C603"/>
      <c r="D603"/>
      <c r="E603"/>
      <c r="BL603" s="27" t="s">
        <v>7</v>
      </c>
      <c r="BM603" s="27" t="s">
        <v>8</v>
      </c>
      <c r="BN603" s="27" t="s">
        <v>7</v>
      </c>
      <c r="BO603" s="27" t="s">
        <v>8</v>
      </c>
      <c r="BP603" s="27" t="s">
        <v>7</v>
      </c>
      <c r="BQ603" s="27" t="s">
        <v>8</v>
      </c>
      <c r="BR603" s="27" t="s">
        <v>7</v>
      </c>
      <c r="BS603" s="27" t="s">
        <v>8</v>
      </c>
      <c r="BT603" s="27" t="s">
        <v>7</v>
      </c>
      <c r="BU603" s="27" t="s">
        <v>8</v>
      </c>
      <c r="BV603" s="27" t="s">
        <v>7</v>
      </c>
      <c r="BW603" s="27" t="s">
        <v>8</v>
      </c>
      <c r="BX603" s="27" t="s">
        <v>7</v>
      </c>
      <c r="BY603" s="27" t="s">
        <v>8</v>
      </c>
      <c r="BZ603" s="27" t="s">
        <v>7</v>
      </c>
      <c r="CA603" s="27" t="s">
        <v>8</v>
      </c>
      <c r="CB603" s="27" t="s">
        <v>7</v>
      </c>
      <c r="CC603" s="27" t="s">
        <v>8</v>
      </c>
      <c r="CE603" s="27" t="s">
        <v>8</v>
      </c>
      <c r="FT603" s="27" t="s">
        <v>7</v>
      </c>
      <c r="FU603" s="27" t="s">
        <v>8</v>
      </c>
      <c r="FV603" s="27" t="s">
        <v>7</v>
      </c>
      <c r="FW603" s="27" t="s">
        <v>8</v>
      </c>
      <c r="FX603" s="27" t="s">
        <v>7</v>
      </c>
    </row>
    <row r="604" spans="1:180" x14ac:dyDescent="0.25">
      <c r="A604" s="7">
        <v>0.71416256246493581</v>
      </c>
      <c r="B604"/>
      <c r="C604"/>
      <c r="D604"/>
      <c r="E604"/>
      <c r="BL604" s="27" t="s">
        <v>7</v>
      </c>
      <c r="BM604" s="27" t="s">
        <v>8</v>
      </c>
      <c r="BN604" s="27" t="s">
        <v>7</v>
      </c>
      <c r="BO604" s="27" t="s">
        <v>8</v>
      </c>
      <c r="BP604" s="27" t="s">
        <v>7</v>
      </c>
      <c r="BQ604" s="27" t="s">
        <v>8</v>
      </c>
      <c r="BR604" s="27" t="s">
        <v>7</v>
      </c>
      <c r="BS604" s="27" t="s">
        <v>8</v>
      </c>
      <c r="BT604" s="27" t="s">
        <v>7</v>
      </c>
      <c r="BU604" s="27" t="s">
        <v>8</v>
      </c>
      <c r="BV604" s="27" t="s">
        <v>7</v>
      </c>
      <c r="BX604" s="27" t="s">
        <v>7</v>
      </c>
      <c r="BY604" s="27" t="s">
        <v>8</v>
      </c>
      <c r="BZ604" s="27" t="s">
        <v>7</v>
      </c>
      <c r="CA604" s="27" t="s">
        <v>8</v>
      </c>
      <c r="CB604" s="27" t="s">
        <v>7</v>
      </c>
      <c r="CC604" s="27" t="s">
        <v>8</v>
      </c>
      <c r="CD604" s="27" t="s">
        <v>7</v>
      </c>
      <c r="CE604" s="27" t="s">
        <v>8</v>
      </c>
      <c r="FT604" s="27" t="s">
        <v>7</v>
      </c>
      <c r="FU604" s="27" t="s">
        <v>8</v>
      </c>
      <c r="FV604" s="27" t="s">
        <v>7</v>
      </c>
      <c r="FW604" s="27" t="s">
        <v>8</v>
      </c>
      <c r="FX604" s="27" t="s">
        <v>7</v>
      </c>
    </row>
    <row r="605" spans="1:180" x14ac:dyDescent="0.25">
      <c r="A605" s="7">
        <v>0.7001593749656233</v>
      </c>
      <c r="B605"/>
      <c r="C605"/>
      <c r="D605"/>
      <c r="E605"/>
      <c r="BL605" s="27" t="s">
        <v>7</v>
      </c>
      <c r="BM605" s="27" t="s">
        <v>8</v>
      </c>
      <c r="BN605" s="27" t="s">
        <v>7</v>
      </c>
      <c r="BO605" s="27" t="s">
        <v>8</v>
      </c>
      <c r="BP605" s="27" t="s">
        <v>7</v>
      </c>
      <c r="BQ605" s="27" t="s">
        <v>8</v>
      </c>
      <c r="BR605" s="27" t="s">
        <v>7</v>
      </c>
      <c r="BS605" s="27" t="s">
        <v>8</v>
      </c>
      <c r="BT605" s="27" t="s">
        <v>7</v>
      </c>
      <c r="BX605" s="27" t="s">
        <v>7</v>
      </c>
      <c r="BY605" s="27" t="s">
        <v>8</v>
      </c>
      <c r="BZ605" s="27" t="s">
        <v>7</v>
      </c>
      <c r="CA605" s="27" t="s">
        <v>8</v>
      </c>
      <c r="CB605" s="27" t="s">
        <v>7</v>
      </c>
      <c r="CC605" s="27" t="s">
        <v>8</v>
      </c>
      <c r="CD605" s="27" t="s">
        <v>7</v>
      </c>
      <c r="CE605" s="27" t="s">
        <v>8</v>
      </c>
      <c r="FT605" s="27" t="s">
        <v>7</v>
      </c>
      <c r="FU605" s="27" t="s">
        <v>8</v>
      </c>
      <c r="FV605" s="27" t="s">
        <v>7</v>
      </c>
      <c r="FW605" s="27" t="s">
        <v>8</v>
      </c>
      <c r="FX605" s="27" t="s">
        <v>7</v>
      </c>
    </row>
    <row r="606" spans="1:180" x14ac:dyDescent="0.25">
      <c r="A606" s="7">
        <v>0.68643075977021883</v>
      </c>
      <c r="B606"/>
      <c r="C606"/>
      <c r="D606"/>
      <c r="E606"/>
      <c r="BL606" s="27" t="s">
        <v>7</v>
      </c>
      <c r="BM606" s="27" t="s">
        <v>8</v>
      </c>
      <c r="BN606" s="27" t="s">
        <v>7</v>
      </c>
      <c r="BO606" s="27" t="s">
        <v>8</v>
      </c>
      <c r="BP606" s="27" t="s">
        <v>7</v>
      </c>
      <c r="BQ606" s="27" t="s">
        <v>8</v>
      </c>
      <c r="BR606" s="27" t="s">
        <v>7</v>
      </c>
      <c r="BS606" s="27" t="s">
        <v>8</v>
      </c>
      <c r="BX606" s="27" t="s">
        <v>7</v>
      </c>
      <c r="BY606" s="27" t="s">
        <v>8</v>
      </c>
      <c r="BZ606" s="27" t="s">
        <v>7</v>
      </c>
      <c r="CA606" s="27" t="s">
        <v>8</v>
      </c>
      <c r="CB606" s="27" t="s">
        <v>7</v>
      </c>
      <c r="CC606" s="27" t="s">
        <v>8</v>
      </c>
      <c r="CD606" s="27" t="s">
        <v>7</v>
      </c>
      <c r="FT606" s="27" t="s">
        <v>7</v>
      </c>
      <c r="FU606" s="27" t="s">
        <v>8</v>
      </c>
      <c r="FV606" s="27" t="s">
        <v>7</v>
      </c>
      <c r="FW606" s="27" t="s">
        <v>8</v>
      </c>
      <c r="FX606" s="27" t="s">
        <v>7</v>
      </c>
    </row>
    <row r="607" spans="1:180" x14ac:dyDescent="0.25">
      <c r="A607" s="7">
        <v>0.67297133310805768</v>
      </c>
      <c r="B607"/>
      <c r="C607"/>
      <c r="D607"/>
      <c r="E607"/>
      <c r="BL607" s="27" t="s">
        <v>7</v>
      </c>
      <c r="BM607" s="27" t="s">
        <v>8</v>
      </c>
      <c r="BN607" s="27" t="s">
        <v>7</v>
      </c>
      <c r="BO607" s="27" t="s">
        <v>8</v>
      </c>
      <c r="BP607" s="27" t="s">
        <v>7</v>
      </c>
      <c r="BQ607" s="27" t="s">
        <v>8</v>
      </c>
      <c r="BR607" s="27" t="s">
        <v>7</v>
      </c>
      <c r="BX607" s="27" t="s">
        <v>7</v>
      </c>
      <c r="BZ607" s="27" t="s">
        <v>7</v>
      </c>
      <c r="CB607" s="27" t="s">
        <v>7</v>
      </c>
      <c r="CC607" s="27" t="s">
        <v>8</v>
      </c>
      <c r="FT607" s="27" t="s">
        <v>7</v>
      </c>
      <c r="FU607" s="27" t="s">
        <v>8</v>
      </c>
      <c r="FV607" s="27" t="s">
        <v>7</v>
      </c>
      <c r="FW607" s="27" t="s">
        <v>8</v>
      </c>
    </row>
    <row r="608" spans="1:180" x14ac:dyDescent="0.25">
      <c r="A608" s="7">
        <v>0.65977581677260566</v>
      </c>
      <c r="B608"/>
      <c r="C608"/>
      <c r="D608"/>
      <c r="E608"/>
      <c r="BL608" s="27" t="s">
        <v>7</v>
      </c>
      <c r="BM608" s="27" t="s">
        <v>8</v>
      </c>
      <c r="BN608" s="27" t="s">
        <v>7</v>
      </c>
      <c r="BO608" s="27" t="s">
        <v>8</v>
      </c>
      <c r="BP608" s="27" t="s">
        <v>7</v>
      </c>
      <c r="BQ608" s="27" t="s">
        <v>8</v>
      </c>
      <c r="CB608" s="18" t="s">
        <v>7</v>
      </c>
      <c r="CC608" s="27" t="s">
        <v>8</v>
      </c>
      <c r="FT608" s="27" t="s">
        <v>7</v>
      </c>
      <c r="FU608" s="27" t="s">
        <v>8</v>
      </c>
      <c r="FV608" s="27" t="s">
        <v>7</v>
      </c>
      <c r="FW608" s="27" t="s">
        <v>8</v>
      </c>
    </row>
    <row r="609" spans="1:179" x14ac:dyDescent="0.25">
      <c r="A609" s="7">
        <v>0.64683903605157422</v>
      </c>
      <c r="B609"/>
      <c r="C609"/>
      <c r="D609"/>
      <c r="E609"/>
      <c r="BL609" s="27" t="s">
        <v>7</v>
      </c>
      <c r="BM609" s="27" t="s">
        <v>8</v>
      </c>
      <c r="BN609" s="27" t="s">
        <v>7</v>
      </c>
      <c r="BO609" s="27" t="s">
        <v>8</v>
      </c>
      <c r="BP609" s="27" t="s">
        <v>7</v>
      </c>
      <c r="CB609" s="27" t="s">
        <v>7</v>
      </c>
      <c r="CC609" s="27" t="s">
        <v>8</v>
      </c>
      <c r="FT609" s="27" t="s">
        <v>7</v>
      </c>
      <c r="FU609" s="27" t="s">
        <v>8</v>
      </c>
      <c r="FV609" s="27" t="s">
        <v>7</v>
      </c>
      <c r="FW609" s="27" t="s">
        <v>8</v>
      </c>
    </row>
    <row r="610" spans="1:179" x14ac:dyDescent="0.25">
      <c r="A610" s="7">
        <v>0.63415591769762181</v>
      </c>
      <c r="B610"/>
      <c r="C610"/>
      <c r="D610"/>
      <c r="E610"/>
      <c r="BL610" s="27" t="s">
        <v>7</v>
      </c>
      <c r="BM610" s="27" t="s">
        <v>8</v>
      </c>
      <c r="BN610" s="27" t="s">
        <v>7</v>
      </c>
      <c r="BO610" s="27" t="s">
        <v>8</v>
      </c>
      <c r="CB610" s="27" t="s">
        <v>7</v>
      </c>
      <c r="CC610" s="27" t="s">
        <v>8</v>
      </c>
      <c r="FT610" s="27" t="s">
        <v>7</v>
      </c>
      <c r="FU610" s="27" t="s">
        <v>8</v>
      </c>
      <c r="FV610" s="27" t="s">
        <v>7</v>
      </c>
      <c r="FW610" s="27" t="s">
        <v>8</v>
      </c>
    </row>
    <row r="611" spans="1:179" x14ac:dyDescent="0.25">
      <c r="A611" s="7">
        <v>0.62172148793884496</v>
      </c>
      <c r="B611"/>
      <c r="C611"/>
      <c r="D611"/>
      <c r="E611"/>
      <c r="BL611" s="27" t="s">
        <v>7</v>
      </c>
      <c r="BN611" s="27" t="s">
        <v>7</v>
      </c>
      <c r="BO611" s="27" t="s">
        <v>8</v>
      </c>
      <c r="CB611" s="27" t="s">
        <v>7</v>
      </c>
      <c r="CC611" s="27" t="s">
        <v>8</v>
      </c>
      <c r="FT611" s="27" t="s">
        <v>7</v>
      </c>
      <c r="FU611" s="27" t="s">
        <v>8</v>
      </c>
      <c r="FV611" s="27" t="s">
        <v>7</v>
      </c>
    </row>
    <row r="612" spans="1:179" x14ac:dyDescent="0.25">
      <c r="A612" s="7">
        <v>0.60953087052827937</v>
      </c>
      <c r="B612"/>
      <c r="C612"/>
      <c r="D612"/>
      <c r="E612"/>
      <c r="BN612" s="27" t="s">
        <v>7</v>
      </c>
      <c r="BO612" s="27" t="s">
        <v>8</v>
      </c>
      <c r="CB612" s="27" t="s">
        <v>7</v>
      </c>
      <c r="CC612" s="27" t="s">
        <v>8</v>
      </c>
      <c r="FT612" s="27" t="s">
        <v>7</v>
      </c>
    </row>
    <row r="613" spans="1:179" x14ac:dyDescent="0.25">
      <c r="A613" s="7">
        <v>0.59757928483164646</v>
      </c>
      <c r="B613"/>
      <c r="C613"/>
      <c r="D613"/>
      <c r="E613"/>
      <c r="BN613" s="27" t="s">
        <v>7</v>
      </c>
      <c r="CB613" s="27" t="s">
        <v>7</v>
      </c>
    </row>
    <row r="614" spans="1:179" x14ac:dyDescent="0.25">
      <c r="A614" s="7">
        <v>0.58586204395259456</v>
      </c>
      <c r="B614"/>
      <c r="C614"/>
      <c r="D614"/>
      <c r="E614"/>
    </row>
    <row r="615" spans="1:179" x14ac:dyDescent="0.25">
      <c r="A615" s="7">
        <v>0.57437455289470052</v>
      </c>
      <c r="B615"/>
      <c r="C615"/>
      <c r="D615"/>
      <c r="E615"/>
    </row>
    <row r="616" spans="1:179" x14ac:dyDescent="0.25">
      <c r="A616" s="7">
        <v>0.56311230675951029</v>
      </c>
      <c r="B616"/>
      <c r="C616"/>
      <c r="D616"/>
      <c r="E616"/>
    </row>
    <row r="617" spans="1:179" x14ac:dyDescent="0.25">
      <c r="A617" s="7">
        <v>0.55207088897991208</v>
      </c>
      <c r="B617"/>
      <c r="C617"/>
      <c r="D617"/>
      <c r="E617"/>
    </row>
    <row r="618" spans="1:179" x14ac:dyDescent="0.25">
      <c r="A618" s="7">
        <v>0.54124596958814908</v>
      </c>
      <c r="B618"/>
      <c r="C618"/>
      <c r="D618"/>
      <c r="E618"/>
    </row>
    <row r="619" spans="1:179" x14ac:dyDescent="0.25">
      <c r="A619" s="7">
        <v>0.53063330351779314</v>
      </c>
      <c r="B619"/>
      <c r="C619"/>
      <c r="D619"/>
      <c r="E619"/>
    </row>
    <row r="620" spans="1:179" x14ac:dyDescent="0.25">
      <c r="A620" s="7">
        <v>0.52022872893901284</v>
      </c>
      <c r="B620"/>
      <c r="C620"/>
      <c r="D620"/>
      <c r="E620"/>
    </row>
    <row r="621" spans="1:179" x14ac:dyDescent="0.25">
      <c r="A621" s="7">
        <v>0.51002816562648323</v>
      </c>
      <c r="B621"/>
      <c r="C621"/>
      <c r="D621"/>
      <c r="E621"/>
    </row>
    <row r="622" spans="1:179" x14ac:dyDescent="0.25">
      <c r="A622" s="7">
        <v>0.50002761335929735</v>
      </c>
      <c r="B622"/>
      <c r="C622"/>
      <c r="D622"/>
      <c r="E622"/>
    </row>
    <row r="623" spans="1:179" x14ac:dyDescent="0.25">
      <c r="A623" s="7">
        <v>0.49022315035225228</v>
      </c>
      <c r="B623"/>
      <c r="C623"/>
      <c r="D623"/>
      <c r="E623"/>
    </row>
    <row r="624" spans="1:179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736" operator="equal">
      <formula>$U$1</formula>
    </cfRule>
    <cfRule type="cellIs" dxfId="89" priority="737" operator="equal">
      <formula>$S$1</formula>
    </cfRule>
  </conditionalFormatting>
  <conditionalFormatting sqref="D27">
    <cfRule type="cellIs" dxfId="88" priority="734" operator="equal">
      <formula>$S$1</formula>
    </cfRule>
    <cfRule type="cellIs" dxfId="87" priority="735" operator="equal">
      <formula>$U$1</formula>
    </cfRule>
  </conditionalFormatting>
  <conditionalFormatting sqref="C164">
    <cfRule type="cellIs" dxfId="86" priority="732" operator="equal">
      <formula>$U$1</formula>
    </cfRule>
    <cfRule type="cellIs" dxfId="85" priority="733" operator="equal">
      <formula>$S$1</formula>
    </cfRule>
  </conditionalFormatting>
  <conditionalFormatting sqref="D164">
    <cfRule type="cellIs" dxfId="84" priority="730" operator="equal">
      <formula>$S$1</formula>
    </cfRule>
    <cfRule type="cellIs" dxfId="83" priority="731" operator="equal">
      <formula>$U$1</formula>
    </cfRule>
  </conditionalFormatting>
  <conditionalFormatting sqref="C55">
    <cfRule type="cellIs" dxfId="82" priority="728" operator="equal">
      <formula>$U$1</formula>
    </cfRule>
    <cfRule type="cellIs" dxfId="81" priority="729" operator="equal">
      <formula>$S$1</formula>
    </cfRule>
  </conditionalFormatting>
  <conditionalFormatting sqref="D55">
    <cfRule type="cellIs" dxfId="80" priority="726" operator="equal">
      <formula>$S$1</formula>
    </cfRule>
    <cfRule type="cellIs" dxfId="79" priority="727" operator="equal">
      <formula>$U$1</formula>
    </cfRule>
  </conditionalFormatting>
  <conditionalFormatting sqref="C89">
    <cfRule type="cellIs" dxfId="78" priority="724" operator="equal">
      <formula>$U$1</formula>
    </cfRule>
    <cfRule type="cellIs" dxfId="77" priority="725" operator="equal">
      <formula>$S$1</formula>
    </cfRule>
  </conditionalFormatting>
  <conditionalFormatting sqref="D89">
    <cfRule type="cellIs" dxfId="76" priority="722" operator="equal">
      <formula>$S$1</formula>
    </cfRule>
    <cfRule type="cellIs" dxfId="75" priority="723" operator="equal">
      <formula>$U$1</formula>
    </cfRule>
  </conditionalFormatting>
  <conditionalFormatting sqref="C136">
    <cfRule type="cellIs" dxfId="74" priority="720" operator="equal">
      <formula>$U$1</formula>
    </cfRule>
    <cfRule type="cellIs" dxfId="73" priority="721" operator="equal">
      <formula>$S$1</formula>
    </cfRule>
  </conditionalFormatting>
  <conditionalFormatting sqref="D136">
    <cfRule type="cellIs" dxfId="72" priority="718" operator="equal">
      <formula>$S$1</formula>
    </cfRule>
    <cfRule type="cellIs" dxfId="71" priority="719" operator="equal">
      <formula>$U$1</formula>
    </cfRule>
  </conditionalFormatting>
  <conditionalFormatting sqref="C1">
    <cfRule type="cellIs" dxfId="70" priority="717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DK245" sqref="DK245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$A$244</v>
      </c>
      <c r="D111" s="1" t="str">
        <f>ADDRESS(C121-1,D121,1,1)</f>
        <v>$DK$244</v>
      </c>
      <c r="E111"/>
    </row>
    <row r="112" spans="1:5" x14ac:dyDescent="0.25">
      <c r="A112" s="30">
        <v>515.50191262726139</v>
      </c>
      <c r="C112" s="1" t="str">
        <f>ADDRESS(C121,1,1,1)</f>
        <v>$A$245</v>
      </c>
      <c r="D112" s="1" t="str">
        <f>ADDRESS(C121,D121-1,1,1)</f>
        <v>$DJ$245</v>
      </c>
      <c r="E112"/>
    </row>
    <row r="113" spans="1:5" x14ac:dyDescent="0.25">
      <c r="A113" s="30">
        <v>490.95420250215363</v>
      </c>
      <c r="C113" s="1" t="str">
        <f>ADDRESS(C121+1,1,1,1)</f>
        <v>$A$246</v>
      </c>
      <c r="D113" s="1" t="str">
        <f>ADDRESS(C121-1,D121+1,1,1)</f>
        <v>$DL$244</v>
      </c>
    </row>
    <row r="114" spans="1:5" x14ac:dyDescent="0.25">
      <c r="A114" s="30">
        <v>467.57543095443202</v>
      </c>
      <c r="C114" s="1" t="str">
        <f>ADDRESS(C121,D121,1,1)</f>
        <v>$DK$245</v>
      </c>
      <c r="D114" s="1" t="str">
        <f>ADDRESS(C121+1,D121+1,1,1)</f>
        <v>$DL$246</v>
      </c>
    </row>
    <row r="115" spans="1:5" x14ac:dyDescent="0.25">
      <c r="A115" s="30">
        <v>445.30993424231622</v>
      </c>
      <c r="C115" s="1" t="str">
        <f>ADDRESS(C121+1,D121,1,1)</f>
        <v>$DK$246</v>
      </c>
    </row>
    <row r="116" spans="1:5" x14ac:dyDescent="0.25">
      <c r="A116" s="30">
        <v>424.10469927839637</v>
      </c>
      <c r="C116" s="1">
        <f>C117-1</f>
        <v>244</v>
      </c>
    </row>
    <row r="117" spans="1:5" x14ac:dyDescent="0.25">
      <c r="A117" s="30">
        <v>403.9092374079965</v>
      </c>
      <c r="C117" s="1">
        <f>C121</f>
        <v>245</v>
      </c>
      <c r="D117" s="1">
        <f>D121</f>
        <v>115</v>
      </c>
    </row>
    <row r="118" spans="1:5" x14ac:dyDescent="0.25">
      <c r="A118" s="30">
        <v>384.6754641980919</v>
      </c>
      <c r="C118" s="1">
        <f>C117+1</f>
        <v>246</v>
      </c>
      <c r="D118" s="1">
        <f>D117+1</f>
        <v>116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245</v>
      </c>
      <c r="D121" s="19">
        <v>115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R245</v>
      </c>
      <c r="D123" s="1" t="str">
        <f>"C"&amp;D121</f>
        <v>C115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0.78352616646845741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13" x14ac:dyDescent="0.25">
      <c r="A193" s="30">
        <v>9.9059710923258422</v>
      </c>
      <c r="E193"/>
    </row>
    <row r="194" spans="1:13" x14ac:dyDescent="0.25">
      <c r="A194" s="30">
        <v>9.4342581831674686</v>
      </c>
      <c r="E194"/>
    </row>
    <row r="195" spans="1:13" x14ac:dyDescent="0.25">
      <c r="A195" s="30">
        <v>8.9850077934928265</v>
      </c>
      <c r="E195"/>
    </row>
    <row r="196" spans="1:13" x14ac:dyDescent="0.25">
      <c r="A196" s="30">
        <v>8.5571502795169767</v>
      </c>
      <c r="E196"/>
    </row>
    <row r="197" spans="1:13" x14ac:dyDescent="0.25">
      <c r="A197" s="30">
        <v>8.1496669328733109</v>
      </c>
      <c r="E197"/>
    </row>
    <row r="198" spans="1:13" x14ac:dyDescent="0.25">
      <c r="A198" s="30">
        <v>7.7615875551174378</v>
      </c>
      <c r="E198"/>
    </row>
    <row r="199" spans="1:13" x14ac:dyDescent="0.25">
      <c r="A199" s="30">
        <v>7.3919881477308929</v>
      </c>
      <c r="E199"/>
    </row>
    <row r="200" spans="1:13" x14ac:dyDescent="0.25">
      <c r="A200" s="30">
        <v>7.0399887121246598</v>
      </c>
      <c r="E200"/>
    </row>
    <row r="201" spans="1:13" x14ac:dyDescent="0.25">
      <c r="A201" s="30">
        <v>6.7047511544044376</v>
      </c>
      <c r="E201"/>
    </row>
    <row r="202" spans="1:13" x14ac:dyDescent="0.25">
      <c r="A202" s="30">
        <v>6.3854772899089882</v>
      </c>
      <c r="E202"/>
    </row>
    <row r="203" spans="1:13" x14ac:dyDescent="0.25">
      <c r="A203" s="30">
        <v>6.0814069427704647</v>
      </c>
      <c r="C203" s="7"/>
      <c r="D203"/>
      <c r="E203"/>
    </row>
    <row r="204" spans="1:13" x14ac:dyDescent="0.25">
      <c r="A204" s="30">
        <v>5.7918161359718709</v>
      </c>
      <c r="E204"/>
    </row>
    <row r="205" spans="1:13" x14ac:dyDescent="0.25">
      <c r="A205" s="30">
        <v>5.5160153675922574</v>
      </c>
      <c r="E205"/>
    </row>
    <row r="206" spans="1:13" x14ac:dyDescent="0.25">
      <c r="A206" s="30">
        <v>5.2533479691354827</v>
      </c>
      <c r="C206"/>
      <c r="D206"/>
      <c r="E206"/>
    </row>
    <row r="207" spans="1:13" x14ac:dyDescent="0.25">
      <c r="A207" s="30">
        <v>5.0031885420337927</v>
      </c>
      <c r="E207"/>
    </row>
    <row r="208" spans="1:13" x14ac:dyDescent="0.25">
      <c r="A208" s="30">
        <v>4.7649414686036122</v>
      </c>
      <c r="E208"/>
      <c r="M208" s="27" t="s">
        <v>8</v>
      </c>
    </row>
    <row r="209" spans="1:100" x14ac:dyDescent="0.25">
      <c r="A209" s="30">
        <v>4.5380394939082018</v>
      </c>
      <c r="E209"/>
      <c r="M209" s="27" t="s">
        <v>8</v>
      </c>
      <c r="N209" s="27" t="s">
        <v>7</v>
      </c>
      <c r="O209" s="27" t="s">
        <v>8</v>
      </c>
      <c r="AA209" s="27" t="s">
        <v>8</v>
      </c>
    </row>
    <row r="210" spans="1:100" x14ac:dyDescent="0.25">
      <c r="A210" s="30">
        <v>4.3219423751506678</v>
      </c>
      <c r="C210"/>
      <c r="E210"/>
      <c r="M210" s="27" t="s">
        <v>8</v>
      </c>
      <c r="N210" s="27" t="s">
        <v>7</v>
      </c>
      <c r="O210" s="27" t="s">
        <v>8</v>
      </c>
      <c r="P210" s="27" t="s">
        <v>7</v>
      </c>
      <c r="Q210" s="27" t="s">
        <v>8</v>
      </c>
      <c r="AA210" s="27" t="s">
        <v>8</v>
      </c>
      <c r="AB210" s="27" t="s">
        <v>7</v>
      </c>
    </row>
    <row r="211" spans="1:100" x14ac:dyDescent="0.25">
      <c r="A211" s="30">
        <v>4.1161355953815884</v>
      </c>
      <c r="E211"/>
      <c r="K211" s="27" t="s">
        <v>8</v>
      </c>
      <c r="M211" s="27" t="s">
        <v>8</v>
      </c>
      <c r="N211" s="27" t="s">
        <v>7</v>
      </c>
      <c r="O211" s="27" t="s">
        <v>8</v>
      </c>
      <c r="P211" s="27" t="s">
        <v>7</v>
      </c>
      <c r="Q211" s="27" t="s">
        <v>8</v>
      </c>
      <c r="R211" s="27" t="s">
        <v>7</v>
      </c>
      <c r="AA211" s="27" t="s">
        <v>8</v>
      </c>
      <c r="AB211" s="27" t="s">
        <v>7</v>
      </c>
    </row>
    <row r="212" spans="1:100" x14ac:dyDescent="0.25">
      <c r="A212" s="30">
        <v>3.9201291384586554</v>
      </c>
      <c r="E212"/>
      <c r="I212" s="27" t="s">
        <v>8</v>
      </c>
      <c r="K212" s="27" t="s">
        <v>8</v>
      </c>
      <c r="L212" s="27" t="s">
        <v>7</v>
      </c>
      <c r="M212" s="27" t="s">
        <v>8</v>
      </c>
      <c r="N212" s="27" t="s">
        <v>7</v>
      </c>
      <c r="P212" s="27" t="s">
        <v>7</v>
      </c>
      <c r="Q212" s="27" t="s">
        <v>8</v>
      </c>
      <c r="R212" s="27" t="s">
        <v>7</v>
      </c>
      <c r="S212" s="27" t="s">
        <v>8</v>
      </c>
      <c r="AA212" s="27" t="s">
        <v>8</v>
      </c>
      <c r="AB212" s="27" t="s">
        <v>7</v>
      </c>
      <c r="BQ212" s="27" t="s">
        <v>8</v>
      </c>
    </row>
    <row r="213" spans="1:100" x14ac:dyDescent="0.25">
      <c r="A213" s="30">
        <v>3.7334563223415764</v>
      </c>
      <c r="E213"/>
      <c r="I213" s="27" t="s">
        <v>8</v>
      </c>
      <c r="J213" s="27" t="s">
        <v>7</v>
      </c>
      <c r="K213" s="27" t="s">
        <v>8</v>
      </c>
      <c r="L213" s="27" t="s">
        <v>7</v>
      </c>
      <c r="M213" s="27" t="s">
        <v>8</v>
      </c>
      <c r="P213" s="27" t="s">
        <v>7</v>
      </c>
      <c r="Q213" s="27" t="s">
        <v>8</v>
      </c>
      <c r="R213" s="27" t="s">
        <v>7</v>
      </c>
      <c r="S213" s="27" t="s">
        <v>8</v>
      </c>
      <c r="T213" s="27" t="s">
        <v>7</v>
      </c>
      <c r="AA213" s="27" t="s">
        <v>8</v>
      </c>
      <c r="AB213" s="27" t="s">
        <v>7</v>
      </c>
      <c r="BQ213" s="27" t="s">
        <v>8</v>
      </c>
      <c r="BR213" s="27" t="s">
        <v>7</v>
      </c>
    </row>
    <row r="214" spans="1:100" x14ac:dyDescent="0.25">
      <c r="A214" s="30">
        <v>3.5556726879443583</v>
      </c>
      <c r="E214"/>
      <c r="I214" s="27" t="s">
        <v>8</v>
      </c>
      <c r="J214" s="27" t="s">
        <v>7</v>
      </c>
      <c r="K214" s="27" t="s">
        <v>8</v>
      </c>
      <c r="L214" s="27" t="s">
        <v>7</v>
      </c>
      <c r="M214" s="27" t="s">
        <v>8</v>
      </c>
      <c r="P214" s="27" t="s">
        <v>7</v>
      </c>
      <c r="R214" s="27" t="s">
        <v>7</v>
      </c>
      <c r="S214" s="27" t="s">
        <v>8</v>
      </c>
      <c r="T214" s="27" t="s">
        <v>7</v>
      </c>
      <c r="AA214" s="27" t="s">
        <v>8</v>
      </c>
      <c r="AB214" s="27" t="s">
        <v>7</v>
      </c>
      <c r="AC214" s="27" t="s">
        <v>8</v>
      </c>
      <c r="BQ214" s="27" t="s">
        <v>8</v>
      </c>
      <c r="BR214" s="27" t="s">
        <v>7</v>
      </c>
    </row>
    <row r="215" spans="1:100" x14ac:dyDescent="0.25">
      <c r="A215" s="30">
        <v>3.3863549408993889</v>
      </c>
      <c r="E215"/>
      <c r="I215" s="27" t="s">
        <v>8</v>
      </c>
      <c r="J215" s="27" t="s">
        <v>7</v>
      </c>
      <c r="K215" s="27" t="s">
        <v>8</v>
      </c>
      <c r="L215" s="27" t="s">
        <v>7</v>
      </c>
      <c r="R215" s="27" t="s">
        <v>7</v>
      </c>
      <c r="S215" s="27" t="s">
        <v>8</v>
      </c>
      <c r="T215" s="27" t="s">
        <v>7</v>
      </c>
      <c r="AA215" s="27" t="s">
        <v>8</v>
      </c>
      <c r="AB215" s="27" t="s">
        <v>7</v>
      </c>
      <c r="AC215" s="27" t="s">
        <v>8</v>
      </c>
      <c r="AD215" s="27" t="s">
        <v>7</v>
      </c>
      <c r="AE215" s="27" t="s">
        <v>8</v>
      </c>
      <c r="BQ215" s="27" t="s">
        <v>8</v>
      </c>
      <c r="BR215" s="27" t="s">
        <v>7</v>
      </c>
    </row>
    <row r="216" spans="1:100" x14ac:dyDescent="0.25">
      <c r="A216" s="30">
        <v>3.2250999437137038</v>
      </c>
      <c r="E216" t="s">
        <v>8</v>
      </c>
      <c r="G216" s="27" t="s">
        <v>8</v>
      </c>
      <c r="I216" s="27" t="s">
        <v>8</v>
      </c>
      <c r="J216" s="27" t="s">
        <v>7</v>
      </c>
      <c r="R216" s="27" t="s">
        <v>7</v>
      </c>
      <c r="T216" s="27" t="s">
        <v>7</v>
      </c>
      <c r="AA216" s="27" t="s">
        <v>8</v>
      </c>
      <c r="AB216" s="27" t="s">
        <v>7</v>
      </c>
      <c r="AC216" s="27" t="s">
        <v>8</v>
      </c>
      <c r="AD216" s="27" t="s">
        <v>7</v>
      </c>
      <c r="AE216" s="27" t="s">
        <v>8</v>
      </c>
      <c r="AF216" s="27" t="s">
        <v>7</v>
      </c>
      <c r="BQ216" s="27" t="s">
        <v>8</v>
      </c>
      <c r="BR216" s="27" t="s">
        <v>7</v>
      </c>
    </row>
    <row r="217" spans="1:100" x14ac:dyDescent="0.25">
      <c r="A217" s="30">
        <v>3.0715237559178128</v>
      </c>
      <c r="E217" t="s">
        <v>8</v>
      </c>
      <c r="F217" s="27" t="s">
        <v>7</v>
      </c>
      <c r="G217" s="27" t="s">
        <v>8</v>
      </c>
      <c r="H217" s="27" t="s">
        <v>7</v>
      </c>
      <c r="I217" s="27" t="s">
        <v>8</v>
      </c>
      <c r="T217" s="27" t="s">
        <v>7</v>
      </c>
      <c r="AA217" s="27" t="s">
        <v>8</v>
      </c>
      <c r="AB217" s="27" t="s">
        <v>7</v>
      </c>
      <c r="AC217" s="27" t="s">
        <v>8</v>
      </c>
      <c r="AD217" s="27" t="s">
        <v>7</v>
      </c>
      <c r="AE217" s="27" t="s">
        <v>8</v>
      </c>
      <c r="AF217" s="27" t="s">
        <v>7</v>
      </c>
      <c r="AG217" s="27" t="s">
        <v>8</v>
      </c>
      <c r="BQ217" s="27" t="s">
        <v>8</v>
      </c>
      <c r="BR217" s="27" t="s">
        <v>7</v>
      </c>
    </row>
    <row r="218" spans="1:100" x14ac:dyDescent="0.25">
      <c r="A218" s="30">
        <v>2.9252607199217264</v>
      </c>
      <c r="E218" t="s">
        <v>8</v>
      </c>
      <c r="F218" s="27" t="s">
        <v>7</v>
      </c>
      <c r="G218" s="27" t="s">
        <v>8</v>
      </c>
      <c r="H218" s="27" t="s">
        <v>7</v>
      </c>
      <c r="I218" s="27" t="s">
        <v>8</v>
      </c>
      <c r="T218" s="27" t="s">
        <v>7</v>
      </c>
      <c r="Y218" s="27" t="s">
        <v>8</v>
      </c>
      <c r="AA218" s="27" t="s">
        <v>8</v>
      </c>
      <c r="AB218" s="27" t="s">
        <v>7</v>
      </c>
      <c r="AC218" s="27" t="s">
        <v>8</v>
      </c>
      <c r="AD218" s="27" t="s">
        <v>7</v>
      </c>
      <c r="AE218" s="27" t="s">
        <v>8</v>
      </c>
      <c r="AF218" s="27" t="s">
        <v>7</v>
      </c>
      <c r="AG218" s="27" t="s">
        <v>8</v>
      </c>
      <c r="AH218" s="27" t="s">
        <v>7</v>
      </c>
      <c r="BQ218" s="27" t="s">
        <v>8</v>
      </c>
      <c r="BR218" s="27" t="s">
        <v>7</v>
      </c>
    </row>
    <row r="219" spans="1:100" x14ac:dyDescent="0.25">
      <c r="A219" s="30">
        <v>2.7859625904016441</v>
      </c>
      <c r="E219" t="s">
        <v>8</v>
      </c>
      <c r="F219" s="27" t="s">
        <v>7</v>
      </c>
      <c r="G219" s="27" t="s">
        <v>8</v>
      </c>
      <c r="H219" s="27" t="s">
        <v>7</v>
      </c>
      <c r="T219" s="27" t="s">
        <v>7</v>
      </c>
      <c r="Y219" s="27" t="s">
        <v>8</v>
      </c>
      <c r="Z219" s="27" t="s">
        <v>7</v>
      </c>
      <c r="AA219" s="27" t="s">
        <v>8</v>
      </c>
      <c r="AB219" s="27" t="s">
        <v>7</v>
      </c>
      <c r="AD219" s="27" t="s">
        <v>7</v>
      </c>
      <c r="AF219" s="27" t="s">
        <v>7</v>
      </c>
      <c r="AG219" s="27" t="s">
        <v>8</v>
      </c>
      <c r="AH219" s="27" t="s">
        <v>7</v>
      </c>
      <c r="AI219" s="27" t="s">
        <v>8</v>
      </c>
      <c r="AK219" s="27" t="s">
        <v>8</v>
      </c>
      <c r="BQ219" s="27" t="s">
        <v>8</v>
      </c>
      <c r="BR219" s="27" t="s">
        <v>7</v>
      </c>
      <c r="BS219" s="27" t="s">
        <v>8</v>
      </c>
      <c r="BY219" s="27" t="s">
        <v>8</v>
      </c>
    </row>
    <row r="220" spans="1:100" x14ac:dyDescent="0.25">
      <c r="A220" s="30">
        <v>2.6532977051444226</v>
      </c>
      <c r="E220" t="s">
        <v>8</v>
      </c>
      <c r="F220" s="27" t="s">
        <v>7</v>
      </c>
      <c r="T220" s="27" t="s">
        <v>7</v>
      </c>
      <c r="Y220" s="27" t="s">
        <v>8</v>
      </c>
      <c r="Z220" s="27" t="s">
        <v>7</v>
      </c>
      <c r="AA220" s="27" t="s">
        <v>8</v>
      </c>
      <c r="AF220" s="27" t="s">
        <v>7</v>
      </c>
      <c r="AG220" s="27" t="s">
        <v>8</v>
      </c>
      <c r="AH220" s="27" t="s">
        <v>7</v>
      </c>
      <c r="AI220" s="27" t="s">
        <v>8</v>
      </c>
      <c r="AJ220" s="27" t="s">
        <v>7</v>
      </c>
      <c r="AK220" s="27" t="s">
        <v>8</v>
      </c>
      <c r="AL220" s="27" t="s">
        <v>7</v>
      </c>
      <c r="BQ220" s="27" t="s">
        <v>8</v>
      </c>
      <c r="BR220" s="27" t="s">
        <v>7</v>
      </c>
      <c r="BS220" s="27" t="s">
        <v>8</v>
      </c>
      <c r="BT220" s="27" t="s">
        <v>7</v>
      </c>
      <c r="BU220" s="27" t="s">
        <v>8</v>
      </c>
      <c r="BW220" s="27" t="s">
        <v>8</v>
      </c>
      <c r="BY220" s="27" t="s">
        <v>8</v>
      </c>
      <c r="BZ220" s="27" t="s">
        <v>7</v>
      </c>
    </row>
    <row r="221" spans="1:100" x14ac:dyDescent="0.25">
      <c r="A221" s="30">
        <v>2.5269501953756404</v>
      </c>
      <c r="E221" t="s">
        <v>8</v>
      </c>
      <c r="T221" s="27" t="s">
        <v>7</v>
      </c>
      <c r="U221" s="27" t="s">
        <v>8</v>
      </c>
      <c r="Y221" s="27" t="s">
        <v>8</v>
      </c>
      <c r="Z221" s="27" t="s">
        <v>7</v>
      </c>
      <c r="AA221" s="27" t="s">
        <v>8</v>
      </c>
      <c r="AF221" s="27" t="s">
        <v>7</v>
      </c>
      <c r="AG221" s="27" t="s">
        <v>8</v>
      </c>
      <c r="AH221" s="27" t="s">
        <v>7</v>
      </c>
      <c r="AI221" s="27" t="s">
        <v>8</v>
      </c>
      <c r="AJ221" s="27" t="s">
        <v>7</v>
      </c>
      <c r="AK221" s="27" t="s">
        <v>8</v>
      </c>
      <c r="AL221" s="27" t="s">
        <v>7</v>
      </c>
      <c r="BQ221" s="27" t="s">
        <v>8</v>
      </c>
      <c r="BR221" s="27" t="s">
        <v>7</v>
      </c>
      <c r="BS221" s="27" t="s">
        <v>8</v>
      </c>
      <c r="BT221" s="27" t="s">
        <v>7</v>
      </c>
      <c r="BU221" s="27" t="s">
        <v>8</v>
      </c>
      <c r="BV221" s="27" t="s">
        <v>7</v>
      </c>
      <c r="BW221" s="27" t="s">
        <v>8</v>
      </c>
      <c r="BX221" s="27" t="s">
        <v>7</v>
      </c>
      <c r="BY221" s="27" t="s">
        <v>8</v>
      </c>
      <c r="BZ221" s="27" t="s">
        <v>7</v>
      </c>
      <c r="CQ221" s="27" t="s">
        <v>8</v>
      </c>
      <c r="CS221" s="27" t="s">
        <v>8</v>
      </c>
    </row>
    <row r="222" spans="1:100" x14ac:dyDescent="0.25">
      <c r="A222" s="30">
        <v>2.4066192336910861</v>
      </c>
      <c r="E222" t="s">
        <v>8</v>
      </c>
      <c r="T222" s="27" t="s">
        <v>7</v>
      </c>
      <c r="U222" s="27" t="s">
        <v>8</v>
      </c>
      <c r="V222" s="27" t="s">
        <v>7</v>
      </c>
      <c r="Y222" s="27" t="s">
        <v>8</v>
      </c>
      <c r="Z222" s="27" t="s">
        <v>7</v>
      </c>
      <c r="AA222" s="27" t="s">
        <v>8</v>
      </c>
      <c r="AF222" s="27" t="s">
        <v>7</v>
      </c>
      <c r="AG222" s="27" t="s">
        <v>8</v>
      </c>
      <c r="AH222" s="27" t="s">
        <v>7</v>
      </c>
      <c r="AI222" s="27" t="s">
        <v>8</v>
      </c>
      <c r="AJ222" s="27" t="s">
        <v>7</v>
      </c>
      <c r="AK222" s="27" t="s">
        <v>8</v>
      </c>
      <c r="AL222" s="27" t="s">
        <v>7</v>
      </c>
      <c r="BQ222" s="27" t="s">
        <v>8</v>
      </c>
      <c r="BR222" s="27" t="s">
        <v>7</v>
      </c>
      <c r="BS222" s="27" t="s">
        <v>8</v>
      </c>
      <c r="BT222" s="27" t="s">
        <v>7</v>
      </c>
      <c r="BU222" s="27" t="s">
        <v>8</v>
      </c>
      <c r="BV222" s="27" t="s">
        <v>7</v>
      </c>
      <c r="BW222" s="27" t="s">
        <v>8</v>
      </c>
      <c r="BX222" s="27" t="s">
        <v>7</v>
      </c>
      <c r="BY222" s="27" t="s">
        <v>8</v>
      </c>
      <c r="BZ222" s="27" t="s">
        <v>7</v>
      </c>
      <c r="CQ222" s="27" t="s">
        <v>8</v>
      </c>
      <c r="CR222" s="27" t="s">
        <v>7</v>
      </c>
      <c r="CS222" s="27" t="s">
        <v>8</v>
      </c>
      <c r="CT222" s="27" t="s">
        <v>7</v>
      </c>
    </row>
    <row r="223" spans="1:100" x14ac:dyDescent="0.25">
      <c r="A223" s="30">
        <v>2.2920183178010345</v>
      </c>
      <c r="E223" t="s">
        <v>8</v>
      </c>
      <c r="T223" s="27" t="s">
        <v>7</v>
      </c>
      <c r="U223" s="27" t="s">
        <v>8</v>
      </c>
      <c r="V223" s="27" t="s">
        <v>7</v>
      </c>
      <c r="Y223" s="27" t="s">
        <v>8</v>
      </c>
      <c r="Z223" s="27" t="s">
        <v>7</v>
      </c>
      <c r="AA223" s="27" t="s">
        <v>8</v>
      </c>
      <c r="AF223" s="27" t="s">
        <v>7</v>
      </c>
      <c r="AH223" s="27" t="s">
        <v>7</v>
      </c>
      <c r="AJ223" s="27" t="s">
        <v>7</v>
      </c>
      <c r="AK223" s="27" t="s">
        <v>8</v>
      </c>
      <c r="AL223" s="27" t="s">
        <v>7</v>
      </c>
      <c r="BQ223" s="27" t="s">
        <v>8</v>
      </c>
      <c r="BR223" s="27" t="s">
        <v>7</v>
      </c>
      <c r="BS223" s="27" t="s">
        <v>8</v>
      </c>
      <c r="BT223" s="27" t="s">
        <v>7</v>
      </c>
      <c r="BU223" s="27" t="s">
        <v>8</v>
      </c>
      <c r="BV223" s="27" t="s">
        <v>7</v>
      </c>
      <c r="BW223" s="27" t="s">
        <v>8</v>
      </c>
      <c r="BX223" s="27" t="s">
        <v>7</v>
      </c>
      <c r="BY223" s="27" t="s">
        <v>8</v>
      </c>
      <c r="BZ223" s="27" t="s">
        <v>7</v>
      </c>
      <c r="CQ223" s="27" t="s">
        <v>8</v>
      </c>
      <c r="CR223" s="27" t="s">
        <v>7</v>
      </c>
      <c r="CS223" s="27" t="s">
        <v>8</v>
      </c>
      <c r="CT223" s="27" t="s">
        <v>7</v>
      </c>
      <c r="CU223" s="27" t="s">
        <v>8</v>
      </c>
    </row>
    <row r="224" spans="1:100" x14ac:dyDescent="0.25">
      <c r="A224" s="30">
        <v>2.1828745883819374</v>
      </c>
      <c r="E224" t="s">
        <v>8</v>
      </c>
      <c r="T224" s="27" t="s">
        <v>7</v>
      </c>
      <c r="U224" s="27" t="s">
        <v>8</v>
      </c>
      <c r="V224" s="27" t="s">
        <v>7</v>
      </c>
      <c r="Y224" s="27" t="s">
        <v>8</v>
      </c>
      <c r="Z224" s="27" t="s">
        <v>7</v>
      </c>
      <c r="AJ224" s="27" t="s">
        <v>7</v>
      </c>
      <c r="AK224" s="27" t="s">
        <v>8</v>
      </c>
      <c r="AL224" s="27" t="s">
        <v>7</v>
      </c>
      <c r="BQ224" s="27" t="s">
        <v>8</v>
      </c>
      <c r="BR224" s="27" t="s">
        <v>7</v>
      </c>
      <c r="BT224" s="27" t="s">
        <v>7</v>
      </c>
      <c r="BU224" s="27" t="s">
        <v>8</v>
      </c>
      <c r="BV224" s="27" t="s">
        <v>7</v>
      </c>
      <c r="BW224" s="27" t="s">
        <v>8</v>
      </c>
      <c r="BX224" s="27" t="s">
        <v>7</v>
      </c>
      <c r="BZ224" s="27" t="s">
        <v>7</v>
      </c>
      <c r="CE224" s="27" t="s">
        <v>8</v>
      </c>
      <c r="CK224" s="27" t="s">
        <v>8</v>
      </c>
      <c r="CQ224" s="27" t="s">
        <v>8</v>
      </c>
      <c r="CR224" s="27" t="s">
        <v>7</v>
      </c>
      <c r="CS224" s="27" t="s">
        <v>8</v>
      </c>
      <c r="CT224" s="27" t="s">
        <v>7</v>
      </c>
      <c r="CU224" s="27" t="s">
        <v>8</v>
      </c>
      <c r="CV224" s="27" t="s">
        <v>7</v>
      </c>
    </row>
    <row r="225" spans="1:112" x14ac:dyDescent="0.25">
      <c r="A225" s="30">
        <v>2.0789281794113688</v>
      </c>
      <c r="E225" t="s">
        <v>8</v>
      </c>
      <c r="T225" s="27" t="s">
        <v>7</v>
      </c>
      <c r="U225" s="27" t="s">
        <v>8</v>
      </c>
      <c r="V225" s="27" t="s">
        <v>7</v>
      </c>
      <c r="Y225" s="27" t="s">
        <v>8</v>
      </c>
      <c r="AJ225" s="27" t="s">
        <v>7</v>
      </c>
      <c r="AK225" s="27" t="s">
        <v>8</v>
      </c>
      <c r="AL225" s="27" t="s">
        <v>7</v>
      </c>
      <c r="BQ225" s="27" t="s">
        <v>8</v>
      </c>
      <c r="BT225" s="27" t="s">
        <v>7</v>
      </c>
      <c r="BV225" s="27" t="s">
        <v>7</v>
      </c>
      <c r="BZ225" s="27" t="s">
        <v>7</v>
      </c>
      <c r="CE225" s="27" t="s">
        <v>8</v>
      </c>
      <c r="CF225" s="27" t="s">
        <v>7</v>
      </c>
      <c r="CK225" s="27" t="s">
        <v>8</v>
      </c>
      <c r="CL225" s="27" t="s">
        <v>7</v>
      </c>
      <c r="CQ225" s="27" t="s">
        <v>8</v>
      </c>
      <c r="CR225" s="27" t="s">
        <v>7</v>
      </c>
      <c r="CS225" s="27" t="s">
        <v>8</v>
      </c>
      <c r="CT225" s="27" t="s">
        <v>7</v>
      </c>
      <c r="CU225" s="27" t="s">
        <v>8</v>
      </c>
      <c r="CV225" s="27" t="s">
        <v>7</v>
      </c>
    </row>
    <row r="226" spans="1:112" x14ac:dyDescent="0.25">
      <c r="A226" s="30">
        <v>1.9799315994393987</v>
      </c>
      <c r="E226" t="s">
        <v>8</v>
      </c>
      <c r="T226" s="27" t="s">
        <v>7</v>
      </c>
      <c r="V226" s="27" t="s">
        <v>7</v>
      </c>
      <c r="W226" s="27" t="s">
        <v>8</v>
      </c>
      <c r="Y226" s="27" t="s">
        <v>8</v>
      </c>
      <c r="AJ226" s="27" t="s">
        <v>7</v>
      </c>
      <c r="AK226" s="27" t="s">
        <v>8</v>
      </c>
      <c r="AL226" s="27" t="s">
        <v>7</v>
      </c>
      <c r="BQ226" s="27" t="s">
        <v>8</v>
      </c>
      <c r="BZ226" s="27" t="s">
        <v>7</v>
      </c>
      <c r="CE226" s="27" t="s">
        <v>8</v>
      </c>
      <c r="CF226" s="27" t="s">
        <v>7</v>
      </c>
      <c r="CK226" s="27" t="s">
        <v>8</v>
      </c>
      <c r="CL226" s="27" t="s">
        <v>7</v>
      </c>
      <c r="CM226" s="27" t="s">
        <v>8</v>
      </c>
      <c r="CO226" s="27" t="s">
        <v>8</v>
      </c>
      <c r="CQ226" s="27" t="s">
        <v>8</v>
      </c>
      <c r="CR226" s="27" t="s">
        <v>7</v>
      </c>
      <c r="CS226" s="27" t="s">
        <v>8</v>
      </c>
      <c r="CT226" s="27" t="s">
        <v>7</v>
      </c>
      <c r="CU226" s="27" t="s">
        <v>8</v>
      </c>
      <c r="CV226" s="27" t="s">
        <v>7</v>
      </c>
    </row>
    <row r="227" spans="1:112" x14ac:dyDescent="0.25">
      <c r="A227" s="30">
        <v>1.8856491423232367</v>
      </c>
      <c r="E227" t="s">
        <v>8</v>
      </c>
      <c r="V227" s="27" t="s">
        <v>7</v>
      </c>
      <c r="W227" s="27" t="s">
        <v>8</v>
      </c>
      <c r="X227" s="27" t="s">
        <v>7</v>
      </c>
      <c r="Y227" s="27" t="s">
        <v>8</v>
      </c>
      <c r="AJ227" s="27" t="s">
        <v>7</v>
      </c>
      <c r="AK227" s="27" t="s">
        <v>8</v>
      </c>
      <c r="AL227" s="27" t="s">
        <v>7</v>
      </c>
      <c r="BQ227" s="27" t="s">
        <v>8</v>
      </c>
      <c r="BZ227" s="27" t="s">
        <v>7</v>
      </c>
      <c r="CE227" s="27" t="s">
        <v>8</v>
      </c>
      <c r="CF227" s="27" t="s">
        <v>7</v>
      </c>
      <c r="CK227" s="27" t="s">
        <v>8</v>
      </c>
      <c r="CL227" s="27" t="s">
        <v>7</v>
      </c>
      <c r="CM227" s="27" t="s">
        <v>8</v>
      </c>
      <c r="CN227" s="27" t="s">
        <v>7</v>
      </c>
      <c r="CO227" s="27" t="s">
        <v>8</v>
      </c>
      <c r="CP227" s="27" t="s">
        <v>7</v>
      </c>
      <c r="CQ227" s="27" t="s">
        <v>8</v>
      </c>
      <c r="CR227" s="27" t="s">
        <v>7</v>
      </c>
      <c r="CS227" s="27" t="s">
        <v>8</v>
      </c>
      <c r="CT227" s="27" t="s">
        <v>7</v>
      </c>
      <c r="CU227" s="27" t="s">
        <v>8</v>
      </c>
      <c r="CV227" s="27" t="s">
        <v>7</v>
      </c>
    </row>
    <row r="228" spans="1:112" x14ac:dyDescent="0.25">
      <c r="A228" s="30">
        <v>1.7958563260221301</v>
      </c>
      <c r="C228" s="7"/>
      <c r="D228"/>
      <c r="E228" t="s">
        <v>8</v>
      </c>
      <c r="V228" s="27" t="s">
        <v>7</v>
      </c>
      <c r="W228" s="27" t="s">
        <v>8</v>
      </c>
      <c r="X228" s="27" t="s">
        <v>7</v>
      </c>
      <c r="Y228" s="27" t="s">
        <v>8</v>
      </c>
      <c r="AJ228" s="27" t="s">
        <v>7</v>
      </c>
      <c r="AK228" s="27" t="s">
        <v>8</v>
      </c>
      <c r="AL228" s="27" t="s">
        <v>7</v>
      </c>
      <c r="BQ228" s="27" t="s">
        <v>8</v>
      </c>
      <c r="BZ228" s="27" t="s">
        <v>7</v>
      </c>
      <c r="CA228" s="27" t="s">
        <v>8</v>
      </c>
      <c r="CC228" s="27" t="s">
        <v>8</v>
      </c>
      <c r="CE228" s="27" t="s">
        <v>8</v>
      </c>
      <c r="CF228" s="27" t="s">
        <v>7</v>
      </c>
      <c r="CK228" s="27" t="s">
        <v>8</v>
      </c>
      <c r="CL228" s="27" t="s">
        <v>7</v>
      </c>
      <c r="CM228" s="27" t="s">
        <v>8</v>
      </c>
      <c r="CN228" s="27" t="s">
        <v>7</v>
      </c>
      <c r="CO228" s="27" t="s">
        <v>8</v>
      </c>
      <c r="CP228" s="27" t="s">
        <v>7</v>
      </c>
      <c r="CQ228" s="27" t="s">
        <v>8</v>
      </c>
      <c r="CR228" s="27" t="s">
        <v>7</v>
      </c>
      <c r="CS228" s="27" t="s">
        <v>8</v>
      </c>
      <c r="CT228" s="27" t="s">
        <v>7</v>
      </c>
      <c r="CU228" s="27" t="s">
        <v>8</v>
      </c>
      <c r="CV228" s="27" t="s">
        <v>7</v>
      </c>
    </row>
    <row r="229" spans="1:112" x14ac:dyDescent="0.25">
      <c r="A229" s="30">
        <v>1.7103393581163142</v>
      </c>
      <c r="E229" t="s">
        <v>8</v>
      </c>
      <c r="V229" s="27" t="s">
        <v>7</v>
      </c>
      <c r="W229" s="27" t="s">
        <v>8</v>
      </c>
      <c r="X229" s="27" t="s">
        <v>7</v>
      </c>
      <c r="AJ229" s="27" t="s">
        <v>7</v>
      </c>
      <c r="AK229" s="27" t="s">
        <v>8</v>
      </c>
      <c r="AL229" s="27" t="s">
        <v>7</v>
      </c>
      <c r="AQ229" s="27" t="s">
        <v>8</v>
      </c>
      <c r="BQ229" s="27" t="s">
        <v>8</v>
      </c>
      <c r="BZ229" s="27" t="s">
        <v>7</v>
      </c>
      <c r="CA229" s="27" t="s">
        <v>8</v>
      </c>
      <c r="CB229" s="27" t="s">
        <v>7</v>
      </c>
      <c r="CC229" s="27" t="s">
        <v>8</v>
      </c>
      <c r="CD229" s="27" t="s">
        <v>7</v>
      </c>
      <c r="CE229" s="27" t="s">
        <v>8</v>
      </c>
      <c r="CF229" s="27" t="s">
        <v>7</v>
      </c>
      <c r="CK229" s="27" t="s">
        <v>8</v>
      </c>
      <c r="CL229" s="27" t="s">
        <v>7</v>
      </c>
      <c r="CM229" s="27" t="s">
        <v>8</v>
      </c>
      <c r="CN229" s="27" t="s">
        <v>7</v>
      </c>
      <c r="CP229" s="27" t="s">
        <v>7</v>
      </c>
      <c r="CQ229" s="27" t="s">
        <v>8</v>
      </c>
      <c r="CR229" s="27" t="s">
        <v>7</v>
      </c>
      <c r="CS229" s="27" t="s">
        <v>8</v>
      </c>
      <c r="CT229" s="27" t="s">
        <v>7</v>
      </c>
      <c r="CU229" s="27" t="s">
        <v>8</v>
      </c>
      <c r="CV229" s="27" t="s">
        <v>7</v>
      </c>
    </row>
    <row r="230" spans="1:112" x14ac:dyDescent="0.25">
      <c r="A230" s="30">
        <v>1.628894626777442</v>
      </c>
      <c r="E230" t="s">
        <v>8</v>
      </c>
      <c r="V230" s="27" t="s">
        <v>7</v>
      </c>
      <c r="AJ230" s="27" t="s">
        <v>7</v>
      </c>
      <c r="AK230" s="27" t="s">
        <v>8</v>
      </c>
      <c r="AL230" s="27" t="s">
        <v>7</v>
      </c>
      <c r="AM230" s="27" t="s">
        <v>8</v>
      </c>
      <c r="AQ230" s="27" t="s">
        <v>8</v>
      </c>
      <c r="AR230" s="27" t="s">
        <v>7</v>
      </c>
      <c r="BQ230" s="27" t="s">
        <v>8</v>
      </c>
      <c r="BZ230" s="27" t="s">
        <v>7</v>
      </c>
      <c r="CA230" s="27" t="s">
        <v>8</v>
      </c>
      <c r="CB230" s="27" t="s">
        <v>7</v>
      </c>
      <c r="CC230" s="27" t="s">
        <v>8</v>
      </c>
      <c r="CD230" s="27" t="s">
        <v>7</v>
      </c>
      <c r="CE230" s="27" t="s">
        <v>8</v>
      </c>
      <c r="CF230" s="27" t="s">
        <v>7</v>
      </c>
      <c r="CG230" s="27" t="s">
        <v>8</v>
      </c>
      <c r="CK230" s="27" t="s">
        <v>8</v>
      </c>
      <c r="CL230" s="27" t="s">
        <v>7</v>
      </c>
      <c r="CM230" s="27" t="s">
        <v>8</v>
      </c>
      <c r="CP230" s="27" t="s">
        <v>7</v>
      </c>
      <c r="CQ230" s="27" t="s">
        <v>8</v>
      </c>
      <c r="CR230" s="27" t="s">
        <v>7</v>
      </c>
      <c r="CS230" s="27" t="s">
        <v>8</v>
      </c>
      <c r="CT230" s="27" t="s">
        <v>7</v>
      </c>
      <c r="CV230" s="27" t="s">
        <v>7</v>
      </c>
      <c r="DC230" s="27" t="s">
        <v>8</v>
      </c>
    </row>
    <row r="231" spans="1:112" x14ac:dyDescent="0.25">
      <c r="A231" s="30">
        <v>1.5513282159785162</v>
      </c>
      <c r="C231"/>
      <c r="D231"/>
      <c r="E231" t="s">
        <v>8</v>
      </c>
      <c r="AJ231" s="27" t="s">
        <v>7</v>
      </c>
      <c r="AK231" s="27" t="s">
        <v>8</v>
      </c>
      <c r="AL231" s="27" t="s">
        <v>7</v>
      </c>
      <c r="AM231" s="27" t="s">
        <v>8</v>
      </c>
      <c r="AN231" s="27" t="s">
        <v>7</v>
      </c>
      <c r="AO231" s="27" t="s">
        <v>8</v>
      </c>
      <c r="AQ231" s="27" t="s">
        <v>8</v>
      </c>
      <c r="AR231" s="27" t="s">
        <v>7</v>
      </c>
      <c r="AS231" s="27" t="s">
        <v>8</v>
      </c>
      <c r="BQ231" s="27" t="s">
        <v>8</v>
      </c>
      <c r="BZ231" s="27" t="s">
        <v>7</v>
      </c>
      <c r="CB231" s="27" t="s">
        <v>7</v>
      </c>
      <c r="CD231" s="27" t="s">
        <v>7</v>
      </c>
      <c r="CE231" s="27" t="s">
        <v>8</v>
      </c>
      <c r="CF231" s="27" t="s">
        <v>7</v>
      </c>
      <c r="CG231" s="27" t="s">
        <v>8</v>
      </c>
      <c r="CH231" s="27" t="s">
        <v>7</v>
      </c>
      <c r="CI231" s="27" t="s">
        <v>8</v>
      </c>
      <c r="CK231" s="27" t="s">
        <v>8</v>
      </c>
      <c r="CL231" s="27" t="s">
        <v>7</v>
      </c>
      <c r="CP231" s="27" t="s">
        <v>7</v>
      </c>
      <c r="CR231" s="27" t="s">
        <v>7</v>
      </c>
      <c r="CS231" s="27" t="s">
        <v>8</v>
      </c>
      <c r="CV231" s="27" t="s">
        <v>7</v>
      </c>
      <c r="CY231" s="27" t="s">
        <v>8</v>
      </c>
      <c r="DC231" s="27" t="s">
        <v>8</v>
      </c>
      <c r="DD231" s="27" t="s">
        <v>7</v>
      </c>
    </row>
    <row r="232" spans="1:112" x14ac:dyDescent="0.25">
      <c r="A232" s="30">
        <v>1.477455443789063</v>
      </c>
      <c r="E232" t="s">
        <v>8</v>
      </c>
      <c r="AJ232" s="27" t="s">
        <v>7</v>
      </c>
      <c r="AK232" s="27" t="s">
        <v>8</v>
      </c>
      <c r="AL232" s="27" t="s">
        <v>7</v>
      </c>
      <c r="AM232" s="27" t="s">
        <v>8</v>
      </c>
      <c r="AN232" s="27" t="s">
        <v>7</v>
      </c>
      <c r="AO232" s="27" t="s">
        <v>8</v>
      </c>
      <c r="AP232" s="27" t="s">
        <v>7</v>
      </c>
      <c r="AQ232" s="27" t="s">
        <v>8</v>
      </c>
      <c r="AR232" s="27" t="s">
        <v>7</v>
      </c>
      <c r="AS232" s="27" t="s">
        <v>8</v>
      </c>
      <c r="AT232" s="27" t="s">
        <v>7</v>
      </c>
      <c r="AU232" s="27" t="s">
        <v>8</v>
      </c>
      <c r="AW232" s="27" t="s">
        <v>8</v>
      </c>
      <c r="BQ232" s="27" t="s">
        <v>8</v>
      </c>
      <c r="CD232" s="27" t="s">
        <v>7</v>
      </c>
      <c r="CF232" s="27" t="s">
        <v>7</v>
      </c>
      <c r="CG232" s="27" t="s">
        <v>8</v>
      </c>
      <c r="CH232" s="27" t="s">
        <v>7</v>
      </c>
      <c r="CI232" s="27" t="s">
        <v>8</v>
      </c>
      <c r="CJ232" s="27" t="s">
        <v>7</v>
      </c>
      <c r="CK232" s="27" t="s">
        <v>8</v>
      </c>
      <c r="CR232" s="27" t="s">
        <v>7</v>
      </c>
      <c r="CS232" s="27" t="s">
        <v>8</v>
      </c>
      <c r="CV232" s="27" t="s">
        <v>7</v>
      </c>
      <c r="CY232" s="27" t="s">
        <v>8</v>
      </c>
      <c r="CZ232" s="27" t="s">
        <v>7</v>
      </c>
      <c r="DC232" s="27" t="s">
        <v>8</v>
      </c>
      <c r="DD232" s="27" t="s">
        <v>7</v>
      </c>
      <c r="DE232" s="27" t="s">
        <v>8</v>
      </c>
    </row>
    <row r="233" spans="1:112" x14ac:dyDescent="0.25">
      <c r="A233" s="30">
        <v>1.4071004226562505</v>
      </c>
      <c r="E233" t="s">
        <v>8</v>
      </c>
      <c r="AJ233" s="27" t="s">
        <v>7</v>
      </c>
      <c r="AK233" s="27" t="s">
        <v>8</v>
      </c>
      <c r="AL233" s="27" t="s">
        <v>7</v>
      </c>
      <c r="AM233" s="27" t="s">
        <v>8</v>
      </c>
      <c r="AN233" s="27" t="s">
        <v>7</v>
      </c>
      <c r="AO233" s="27" t="s">
        <v>8</v>
      </c>
      <c r="AP233" s="27" t="s">
        <v>7</v>
      </c>
      <c r="AQ233" s="27" t="s">
        <v>8</v>
      </c>
      <c r="AR233" s="27" t="s">
        <v>7</v>
      </c>
      <c r="AS233" s="27" t="s">
        <v>8</v>
      </c>
      <c r="AT233" s="27" t="s">
        <v>7</v>
      </c>
      <c r="AU233" s="27" t="s">
        <v>8</v>
      </c>
      <c r="AV233" s="27" t="s">
        <v>7</v>
      </c>
      <c r="AW233" s="27" t="s">
        <v>8</v>
      </c>
      <c r="AX233" s="27" t="s">
        <v>7</v>
      </c>
      <c r="BQ233" s="27" t="s">
        <v>8</v>
      </c>
      <c r="CF233" s="27" t="s">
        <v>7</v>
      </c>
      <c r="CG233" s="27" t="s">
        <v>8</v>
      </c>
      <c r="CH233" s="27" t="s">
        <v>7</v>
      </c>
      <c r="CI233" s="27" t="s">
        <v>8</v>
      </c>
      <c r="CJ233" s="27" t="s">
        <v>7</v>
      </c>
      <c r="CK233" s="27" t="s">
        <v>8</v>
      </c>
      <c r="CR233" s="27" t="s">
        <v>7</v>
      </c>
      <c r="CV233" s="27" t="s">
        <v>7</v>
      </c>
      <c r="CY233" s="27" t="s">
        <v>8</v>
      </c>
      <c r="CZ233" s="27" t="s">
        <v>7</v>
      </c>
      <c r="DA233" s="27" t="s">
        <v>8</v>
      </c>
      <c r="DC233" s="27" t="s">
        <v>8</v>
      </c>
      <c r="DD233" s="27" t="s">
        <v>7</v>
      </c>
      <c r="DE233" s="27" t="s">
        <v>8</v>
      </c>
      <c r="DF233" s="27" t="s">
        <v>7</v>
      </c>
    </row>
    <row r="234" spans="1:112" x14ac:dyDescent="0.25">
      <c r="A234" s="30">
        <v>1.3400956406250004</v>
      </c>
      <c r="E234" t="s">
        <v>8</v>
      </c>
      <c r="AJ234" s="27" t="s">
        <v>7</v>
      </c>
      <c r="AK234" s="27" t="s">
        <v>8</v>
      </c>
      <c r="AL234" s="27" t="s">
        <v>7</v>
      </c>
      <c r="AM234" s="27" t="s">
        <v>8</v>
      </c>
      <c r="AN234" s="27" t="s">
        <v>7</v>
      </c>
      <c r="AO234" s="27" t="s">
        <v>8</v>
      </c>
      <c r="AP234" s="27" t="s">
        <v>7</v>
      </c>
      <c r="AQ234" s="27" t="s">
        <v>8</v>
      </c>
      <c r="AR234" s="27" t="s">
        <v>7</v>
      </c>
      <c r="AS234" s="27" t="s">
        <v>8</v>
      </c>
      <c r="AT234" s="27" t="s">
        <v>7</v>
      </c>
      <c r="AU234" s="27" t="s">
        <v>8</v>
      </c>
      <c r="AV234" s="27" t="s">
        <v>7</v>
      </c>
      <c r="AW234" s="27" t="s">
        <v>8</v>
      </c>
      <c r="AX234" s="27" t="s">
        <v>7</v>
      </c>
      <c r="AY234" s="27" t="s">
        <v>8</v>
      </c>
      <c r="BQ234" s="27" t="s">
        <v>8</v>
      </c>
      <c r="CF234" s="27" t="s">
        <v>7</v>
      </c>
      <c r="CH234" s="27" t="s">
        <v>7</v>
      </c>
      <c r="CI234" s="27" t="s">
        <v>8</v>
      </c>
      <c r="CJ234" s="27" t="s">
        <v>7</v>
      </c>
      <c r="CV234" s="27" t="s">
        <v>7</v>
      </c>
      <c r="CW234" s="27" t="s">
        <v>8</v>
      </c>
      <c r="CY234" s="27" t="s">
        <v>8</v>
      </c>
      <c r="CZ234" s="27" t="s">
        <v>7</v>
      </c>
      <c r="DA234" s="27" t="s">
        <v>8</v>
      </c>
      <c r="DB234" s="27" t="s">
        <v>7</v>
      </c>
      <c r="DC234" s="27" t="s">
        <v>8</v>
      </c>
      <c r="DD234" s="27" t="s">
        <v>7</v>
      </c>
      <c r="DE234" s="27" t="s">
        <v>8</v>
      </c>
      <c r="DF234" s="27" t="s">
        <v>7</v>
      </c>
    </row>
    <row r="235" spans="1:112" x14ac:dyDescent="0.25">
      <c r="A235" s="30">
        <v>1.2762815625000004</v>
      </c>
      <c r="C235"/>
      <c r="E235" t="s">
        <v>8</v>
      </c>
      <c r="AJ235" s="27" t="s">
        <v>7</v>
      </c>
      <c r="AL235" s="27" t="s">
        <v>7</v>
      </c>
      <c r="AM235" s="27" t="s">
        <v>8</v>
      </c>
      <c r="AN235" s="27" t="s">
        <v>7</v>
      </c>
      <c r="AP235" s="27" t="s">
        <v>7</v>
      </c>
      <c r="AQ235" s="27" t="s">
        <v>8</v>
      </c>
      <c r="AR235" s="27" t="s">
        <v>7</v>
      </c>
      <c r="AT235" s="27" t="s">
        <v>7</v>
      </c>
      <c r="AU235" s="27" t="s">
        <v>8</v>
      </c>
      <c r="AV235" s="27" t="s">
        <v>7</v>
      </c>
      <c r="AW235" s="27" t="s">
        <v>8</v>
      </c>
      <c r="AX235" s="27" t="s">
        <v>7</v>
      </c>
      <c r="AY235" s="27" t="s">
        <v>8</v>
      </c>
      <c r="AZ235" s="27" t="s">
        <v>7</v>
      </c>
      <c r="BQ235" s="27" t="s">
        <v>8</v>
      </c>
      <c r="CH235" s="27" t="s">
        <v>7</v>
      </c>
      <c r="CI235" s="27" t="s">
        <v>8</v>
      </c>
      <c r="CV235" s="27" t="s">
        <v>7</v>
      </c>
      <c r="CW235" s="27" t="s">
        <v>8</v>
      </c>
      <c r="CX235" s="27" t="s">
        <v>7</v>
      </c>
      <c r="CY235" s="27" t="s">
        <v>8</v>
      </c>
      <c r="CZ235" s="27" t="s">
        <v>7</v>
      </c>
      <c r="DA235" s="27" t="s">
        <v>8</v>
      </c>
      <c r="DB235" s="27" t="s">
        <v>7</v>
      </c>
      <c r="DC235" s="27" t="s">
        <v>8</v>
      </c>
      <c r="DD235" s="27" t="s">
        <v>7</v>
      </c>
      <c r="DE235" s="27" t="s">
        <v>8</v>
      </c>
      <c r="DF235" s="27" t="s">
        <v>7</v>
      </c>
    </row>
    <row r="236" spans="1:112" x14ac:dyDescent="0.25">
      <c r="A236" s="30">
        <v>1.2155062500000002</v>
      </c>
      <c r="E236" t="s">
        <v>8</v>
      </c>
      <c r="AL236" s="27" t="s">
        <v>7</v>
      </c>
      <c r="AM236" s="27" t="s">
        <v>8</v>
      </c>
      <c r="AP236" s="27" t="s">
        <v>7</v>
      </c>
      <c r="AQ236" s="27" t="s">
        <v>8</v>
      </c>
      <c r="AT236" s="27" t="s">
        <v>7</v>
      </c>
      <c r="AU236" s="27" t="s">
        <v>8</v>
      </c>
      <c r="AV236" s="27" t="s">
        <v>7</v>
      </c>
      <c r="AW236" s="27" t="s">
        <v>8</v>
      </c>
      <c r="AX236" s="27" t="s">
        <v>7</v>
      </c>
      <c r="AY236" s="27" t="s">
        <v>8</v>
      </c>
      <c r="AZ236" s="27" t="s">
        <v>7</v>
      </c>
      <c r="BA236" s="27" t="s">
        <v>8</v>
      </c>
      <c r="BQ236" s="27" t="s">
        <v>8</v>
      </c>
      <c r="CH236" s="27" t="s">
        <v>7</v>
      </c>
      <c r="CV236" s="27" t="s">
        <v>7</v>
      </c>
      <c r="CW236" s="27" t="s">
        <v>8</v>
      </c>
      <c r="CX236" s="27" t="s">
        <v>7</v>
      </c>
      <c r="CY236" s="27" t="s">
        <v>8</v>
      </c>
      <c r="CZ236" s="27" t="s">
        <v>7</v>
      </c>
      <c r="DA236" s="27" t="s">
        <v>8</v>
      </c>
      <c r="DB236" s="27" t="s">
        <v>7</v>
      </c>
      <c r="DC236" s="27" t="s">
        <v>8</v>
      </c>
      <c r="DD236" s="27" t="s">
        <v>7</v>
      </c>
      <c r="DE236" s="27" t="s">
        <v>8</v>
      </c>
      <c r="DF236" s="27" t="s">
        <v>7</v>
      </c>
    </row>
    <row r="237" spans="1:112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  <c r="AL237" s="27" t="s">
        <v>7</v>
      </c>
      <c r="AM237" s="27" t="s">
        <v>8</v>
      </c>
      <c r="AP237" s="27" t="s">
        <v>7</v>
      </c>
      <c r="AQ237" s="27" t="s">
        <v>8</v>
      </c>
      <c r="AT237" s="27" t="s">
        <v>7</v>
      </c>
      <c r="AU237" s="27" t="s">
        <v>8</v>
      </c>
      <c r="AV237" s="27" t="s">
        <v>7</v>
      </c>
      <c r="AX237" s="27" t="s">
        <v>7</v>
      </c>
      <c r="AZ237" s="27" t="s">
        <v>7</v>
      </c>
      <c r="BA237" s="27" t="s">
        <v>8</v>
      </c>
      <c r="BB237" s="27" t="s">
        <v>7</v>
      </c>
      <c r="BQ237" s="27" t="s">
        <v>8</v>
      </c>
      <c r="CV237" s="27" t="s">
        <v>7</v>
      </c>
      <c r="CW237" s="27" t="s">
        <v>8</v>
      </c>
      <c r="CX237" s="27" t="s">
        <v>7</v>
      </c>
      <c r="CY237" s="27" t="s">
        <v>8</v>
      </c>
      <c r="CZ237" s="27" t="s">
        <v>7</v>
      </c>
      <c r="DB237" s="27" t="s">
        <v>7</v>
      </c>
      <c r="DC237" s="27" t="s">
        <v>8</v>
      </c>
      <c r="DD237" s="27" t="s">
        <v>7</v>
      </c>
      <c r="DE237" s="27" t="s">
        <v>8</v>
      </c>
      <c r="DF237" s="27" t="s">
        <v>7</v>
      </c>
    </row>
    <row r="238" spans="1:112" x14ac:dyDescent="0.25">
      <c r="A238" s="30">
        <v>1.1025</v>
      </c>
      <c r="E238" t="s">
        <v>8</v>
      </c>
      <c r="AL238" s="27" t="s">
        <v>7</v>
      </c>
      <c r="AM238" s="27" t="s">
        <v>8</v>
      </c>
      <c r="AP238" s="27" t="s">
        <v>7</v>
      </c>
      <c r="AT238" s="27" t="s">
        <v>7</v>
      </c>
      <c r="AU238" s="27" t="s">
        <v>8</v>
      </c>
      <c r="AZ238" s="27" t="s">
        <v>7</v>
      </c>
      <c r="BA238" s="27" t="s">
        <v>8</v>
      </c>
      <c r="BB238" s="27" t="s">
        <v>7</v>
      </c>
      <c r="BQ238" s="27" t="s">
        <v>8</v>
      </c>
      <c r="CV238" s="27" t="s">
        <v>7</v>
      </c>
      <c r="CX238" s="27" t="s">
        <v>7</v>
      </c>
      <c r="DB238" s="27" t="s">
        <v>7</v>
      </c>
      <c r="DD238" s="27" t="s">
        <v>7</v>
      </c>
      <c r="DF238" s="27" t="s">
        <v>7</v>
      </c>
      <c r="DG238" s="27" t="s">
        <v>8</v>
      </c>
    </row>
    <row r="239" spans="1:112" x14ac:dyDescent="0.25">
      <c r="A239" s="30">
        <v>1.05</v>
      </c>
      <c r="E239" t="s">
        <v>8</v>
      </c>
      <c r="AL239" s="27" t="s">
        <v>7</v>
      </c>
      <c r="AM239" s="27" t="s">
        <v>8</v>
      </c>
      <c r="AT239" s="27" t="s">
        <v>7</v>
      </c>
      <c r="AZ239" s="27" t="s">
        <v>7</v>
      </c>
      <c r="BB239" s="27" t="s">
        <v>7</v>
      </c>
      <c r="BK239" s="27" t="s">
        <v>8</v>
      </c>
      <c r="BO239" s="27" t="s">
        <v>8</v>
      </c>
      <c r="BQ239" s="27" t="s">
        <v>8</v>
      </c>
      <c r="DF239" s="27" t="s">
        <v>7</v>
      </c>
      <c r="DG239" s="27" t="s">
        <v>8</v>
      </c>
      <c r="DH239" s="27" t="s">
        <v>7</v>
      </c>
    </row>
    <row r="240" spans="1:112" x14ac:dyDescent="0.25">
      <c r="A240" s="30">
        <v>1</v>
      </c>
      <c r="E240" s="29" t="s">
        <v>8</v>
      </c>
      <c r="AL240" s="27" t="s">
        <v>7</v>
      </c>
      <c r="BB240" s="27" t="s">
        <v>7</v>
      </c>
      <c r="BK240" s="27" t="s">
        <v>8</v>
      </c>
      <c r="BL240" s="27" t="s">
        <v>7</v>
      </c>
      <c r="BO240" s="27" t="s">
        <v>8</v>
      </c>
      <c r="BP240" s="27" t="s">
        <v>7</v>
      </c>
      <c r="BQ240" s="27" t="s">
        <v>8</v>
      </c>
      <c r="DF240" s="27" t="s">
        <v>7</v>
      </c>
      <c r="DG240" s="27" t="s">
        <v>8</v>
      </c>
      <c r="DH240" s="27" t="s">
        <v>7</v>
      </c>
    </row>
    <row r="241" spans="1:115" x14ac:dyDescent="0.25">
      <c r="A241" s="30">
        <v>0.952380952380952</v>
      </c>
      <c r="B241"/>
      <c r="C241"/>
      <c r="D241"/>
      <c r="E241"/>
      <c r="BB241" s="27" t="s">
        <v>7</v>
      </c>
      <c r="BK241" s="27" t="s">
        <v>8</v>
      </c>
      <c r="BL241" s="27" t="s">
        <v>7</v>
      </c>
      <c r="BO241" s="27" t="s">
        <v>8</v>
      </c>
      <c r="BP241" s="27" t="s">
        <v>7</v>
      </c>
      <c r="BQ241" s="27" t="s">
        <v>8</v>
      </c>
      <c r="DF241" s="27" t="s">
        <v>7</v>
      </c>
      <c r="DG241" s="27" t="s">
        <v>8</v>
      </c>
      <c r="DH241" s="27" t="s">
        <v>7</v>
      </c>
    </row>
    <row r="242" spans="1:115" x14ac:dyDescent="0.25">
      <c r="A242" s="30">
        <v>0.90702947845804915</v>
      </c>
      <c r="B242"/>
      <c r="C242"/>
      <c r="D242"/>
      <c r="E242"/>
      <c r="BB242" s="27" t="s">
        <v>7</v>
      </c>
      <c r="BK242" s="27" t="s">
        <v>8</v>
      </c>
      <c r="BL242" s="27" t="s">
        <v>7</v>
      </c>
      <c r="BO242" s="27" t="s">
        <v>8</v>
      </c>
      <c r="BP242" s="27" t="s">
        <v>7</v>
      </c>
      <c r="DF242" s="27" t="s">
        <v>7</v>
      </c>
      <c r="DH242" s="27" t="s">
        <v>7</v>
      </c>
    </row>
    <row r="243" spans="1:115" x14ac:dyDescent="0.25">
      <c r="A243" s="30">
        <v>0.86383759853147501</v>
      </c>
      <c r="B243"/>
      <c r="C243"/>
      <c r="D243"/>
      <c r="E243"/>
      <c r="BB243" s="27" t="s">
        <v>7</v>
      </c>
      <c r="BK243" s="27" t="s">
        <v>8</v>
      </c>
      <c r="BL243" s="27" t="s">
        <v>7</v>
      </c>
      <c r="BM243" s="27" t="s">
        <v>8</v>
      </c>
      <c r="BO243" s="27" t="s">
        <v>8</v>
      </c>
      <c r="DH243" s="27" t="s">
        <v>7</v>
      </c>
    </row>
    <row r="244" spans="1:115" x14ac:dyDescent="0.25">
      <c r="A244" s="30">
        <v>0.82270247479188063</v>
      </c>
      <c r="B244"/>
      <c r="C244"/>
      <c r="D244"/>
      <c r="E244"/>
      <c r="BB244" s="27" t="s">
        <v>7</v>
      </c>
      <c r="BC244" s="27" t="s">
        <v>8</v>
      </c>
      <c r="BG244" s="27" t="s">
        <v>8</v>
      </c>
      <c r="BI244" s="27" t="s">
        <v>8</v>
      </c>
      <c r="BK244" s="27" t="s">
        <v>8</v>
      </c>
      <c r="BL244" s="27" t="s">
        <v>7</v>
      </c>
      <c r="BM244" s="27" t="s">
        <v>8</v>
      </c>
      <c r="BN244" s="27" t="s">
        <v>7</v>
      </c>
      <c r="BO244" s="27" t="s">
        <v>8</v>
      </c>
      <c r="DH244" s="27" t="s">
        <v>7</v>
      </c>
    </row>
    <row r="245" spans="1:115" x14ac:dyDescent="0.25">
      <c r="A245" s="30">
        <v>0.78352616646845741</v>
      </c>
      <c r="B245"/>
      <c r="C245"/>
      <c r="D245"/>
      <c r="E245"/>
      <c r="BB245" s="27" t="s">
        <v>7</v>
      </c>
      <c r="BC245" s="27" t="s">
        <v>8</v>
      </c>
      <c r="BD245" s="27" t="s">
        <v>7</v>
      </c>
      <c r="BE245" s="27" t="s">
        <v>8</v>
      </c>
      <c r="BG245" s="27" t="s">
        <v>8</v>
      </c>
      <c r="BH245" s="27" t="s">
        <v>7</v>
      </c>
      <c r="BI245" s="27" t="s">
        <v>8</v>
      </c>
      <c r="BJ245" s="27" t="s">
        <v>7</v>
      </c>
      <c r="BK245" s="27" t="s">
        <v>8</v>
      </c>
      <c r="BL245" s="27" t="s">
        <v>7</v>
      </c>
      <c r="BM245" s="27" t="s">
        <v>8</v>
      </c>
      <c r="BN245" s="27" t="s">
        <v>7</v>
      </c>
      <c r="BO245" s="27" t="s">
        <v>8</v>
      </c>
      <c r="DH245" s="27" t="s">
        <v>7</v>
      </c>
      <c r="DK245" s="27" t="s">
        <v>8</v>
      </c>
    </row>
    <row r="246" spans="1:115" x14ac:dyDescent="0.25">
      <c r="A246" s="30">
        <v>0.74621539663662584</v>
      </c>
      <c r="B246"/>
      <c r="C246"/>
      <c r="D246"/>
      <c r="E246"/>
      <c r="BB246" s="27" t="s">
        <v>7</v>
      </c>
      <c r="BC246" s="27" t="s">
        <v>8</v>
      </c>
      <c r="BD246" s="27" t="s">
        <v>7</v>
      </c>
      <c r="BE246" s="27" t="s">
        <v>8</v>
      </c>
      <c r="BF246" s="27" t="s">
        <v>7</v>
      </c>
      <c r="BG246" s="27" t="s">
        <v>8</v>
      </c>
      <c r="BH246" s="27" t="s">
        <v>7</v>
      </c>
      <c r="BI246" s="27" t="s">
        <v>8</v>
      </c>
      <c r="BJ246" s="27" t="s">
        <v>7</v>
      </c>
      <c r="BK246" s="27" t="s">
        <v>8</v>
      </c>
      <c r="BL246" s="27" t="s">
        <v>7</v>
      </c>
      <c r="BM246" s="27" t="s">
        <v>8</v>
      </c>
      <c r="BN246" s="27" t="s">
        <v>7</v>
      </c>
      <c r="DH246" s="27" t="s">
        <v>7</v>
      </c>
      <c r="DI246" s="27" t="s">
        <v>8</v>
      </c>
      <c r="DK246" s="27" t="s">
        <v>8</v>
      </c>
    </row>
    <row r="247" spans="1:115" x14ac:dyDescent="0.25">
      <c r="A247" s="30">
        <v>0.71068133013011958</v>
      </c>
      <c r="B247"/>
      <c r="C247"/>
      <c r="D247"/>
      <c r="E247"/>
      <c r="BB247" s="27" t="s">
        <v>7</v>
      </c>
      <c r="BC247" s="27" t="s">
        <v>8</v>
      </c>
      <c r="BD247" s="27" t="s">
        <v>7</v>
      </c>
      <c r="BE247" s="27" t="s">
        <v>8</v>
      </c>
      <c r="BF247" s="27" t="s">
        <v>7</v>
      </c>
      <c r="BG247" s="27" t="s">
        <v>8</v>
      </c>
      <c r="BH247" s="27" t="s">
        <v>7</v>
      </c>
      <c r="BI247" s="27" t="s">
        <v>8</v>
      </c>
      <c r="BJ247" s="27" t="s">
        <v>7</v>
      </c>
      <c r="BK247" s="27" t="s">
        <v>8</v>
      </c>
      <c r="BL247" s="27" t="s">
        <v>7</v>
      </c>
      <c r="BM247" s="27" t="s">
        <v>8</v>
      </c>
      <c r="DH247" s="27" t="s">
        <v>7</v>
      </c>
      <c r="DI247" s="27" t="s">
        <v>8</v>
      </c>
      <c r="DJ247" s="27" t="s">
        <v>7</v>
      </c>
      <c r="DK247" s="27" t="s">
        <v>8</v>
      </c>
    </row>
    <row r="248" spans="1:115" x14ac:dyDescent="0.25">
      <c r="A248" s="30">
        <v>0.676839362028685</v>
      </c>
      <c r="B248"/>
      <c r="C248"/>
      <c r="D248"/>
      <c r="E248"/>
      <c r="BB248" s="27" t="s">
        <v>7</v>
      </c>
      <c r="BC248" s="27" t="s">
        <v>8</v>
      </c>
      <c r="BD248" s="27" t="s">
        <v>7</v>
      </c>
      <c r="BE248" s="27" t="s">
        <v>8</v>
      </c>
      <c r="BF248" s="27" t="s">
        <v>7</v>
      </c>
      <c r="BH248" s="27" t="s">
        <v>7</v>
      </c>
      <c r="BJ248" s="27" t="s">
        <v>7</v>
      </c>
      <c r="BL248" s="18" t="s">
        <v>7</v>
      </c>
      <c r="BM248" s="27" t="s">
        <v>8</v>
      </c>
      <c r="DH248" s="27" t="s">
        <v>7</v>
      </c>
      <c r="DI248" s="27" t="s">
        <v>8</v>
      </c>
      <c r="DJ248" s="27" t="s">
        <v>7</v>
      </c>
      <c r="DK248" s="27" t="s">
        <v>8</v>
      </c>
    </row>
    <row r="249" spans="1:115" x14ac:dyDescent="0.25">
      <c r="A249" s="30">
        <v>0.64460891621779492</v>
      </c>
      <c r="B249"/>
      <c r="C249"/>
      <c r="D249"/>
      <c r="E249"/>
      <c r="BB249" s="27" t="s">
        <v>7</v>
      </c>
      <c r="BD249" s="27" t="s">
        <v>7</v>
      </c>
      <c r="BE249" s="27" t="s">
        <v>8</v>
      </c>
      <c r="BL249" s="27" t="s">
        <v>7</v>
      </c>
      <c r="BM249" s="27" t="s">
        <v>8</v>
      </c>
      <c r="DH249" s="27" t="s">
        <v>7</v>
      </c>
      <c r="DI249" s="27" t="s">
        <v>8</v>
      </c>
      <c r="DJ249" s="27" t="s">
        <v>7</v>
      </c>
      <c r="DK249" s="27" t="s">
        <v>8</v>
      </c>
    </row>
    <row r="250" spans="1:115" x14ac:dyDescent="0.25">
      <c r="A250" s="30">
        <v>0.61391325354075688</v>
      </c>
      <c r="B250"/>
      <c r="C250"/>
      <c r="D250"/>
      <c r="E250"/>
      <c r="BD250" s="27" t="s">
        <v>7</v>
      </c>
      <c r="BL250" s="27" t="s">
        <v>7</v>
      </c>
      <c r="DH250" s="27" t="s">
        <v>7</v>
      </c>
      <c r="DJ250" s="27" t="s">
        <v>7</v>
      </c>
    </row>
    <row r="251" spans="1:115" x14ac:dyDescent="0.25">
      <c r="A251" s="30">
        <v>0.58467928908643485</v>
      </c>
      <c r="B251"/>
      <c r="C251"/>
      <c r="D251"/>
      <c r="E251"/>
    </row>
    <row r="252" spans="1:115" x14ac:dyDescent="0.25">
      <c r="A252" s="30">
        <v>0.55683741817755672</v>
      </c>
      <c r="B252"/>
      <c r="C252"/>
      <c r="D252"/>
      <c r="E252"/>
    </row>
    <row r="253" spans="1:115" x14ac:dyDescent="0.25">
      <c r="A253" s="30">
        <v>0.53032135064529184</v>
      </c>
      <c r="B253"/>
      <c r="C253"/>
      <c r="D253"/>
      <c r="E253"/>
    </row>
    <row r="254" spans="1:115" x14ac:dyDescent="0.25">
      <c r="A254" s="30">
        <v>0.50506795299551588</v>
      </c>
      <c r="B254"/>
      <c r="C254"/>
      <c r="D254"/>
      <c r="E254"/>
    </row>
    <row r="255" spans="1:115" x14ac:dyDescent="0.25">
      <c r="A255" s="30">
        <v>0.48101709809096732</v>
      </c>
      <c r="E255"/>
    </row>
    <row r="256" spans="1:11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751" operator="equal">
      <formula>$U$1</formula>
    </cfRule>
    <cfRule type="cellIs" dxfId="67" priority="752" operator="equal">
      <formula>$S$1</formula>
    </cfRule>
  </conditionalFormatting>
  <conditionalFormatting sqref="D136">
    <cfRule type="cellIs" dxfId="66" priority="749" operator="equal">
      <formula>$S$1</formula>
    </cfRule>
    <cfRule type="cellIs" dxfId="65" priority="750" operator="equal">
      <formula>$U$1</formula>
    </cfRule>
  </conditionalFormatting>
  <conditionalFormatting sqref="C162">
    <cfRule type="cellIs" dxfId="64" priority="747" operator="equal">
      <formula>$U$1</formula>
    </cfRule>
    <cfRule type="cellIs" dxfId="63" priority="748" operator="equal">
      <formula>$S$1</formula>
    </cfRule>
  </conditionalFormatting>
  <conditionalFormatting sqref="D162">
    <cfRule type="cellIs" dxfId="62" priority="745" operator="equal">
      <formula>$S$1</formula>
    </cfRule>
    <cfRule type="cellIs" dxfId="61" priority="746" operator="equal">
      <formula>$U$1</formula>
    </cfRule>
  </conditionalFormatting>
  <conditionalFormatting sqref="C187">
    <cfRule type="cellIs" dxfId="60" priority="743" operator="equal">
      <formula>$U$1</formula>
    </cfRule>
    <cfRule type="cellIs" dxfId="59" priority="744" operator="equal">
      <formula>$S$1</formula>
    </cfRule>
  </conditionalFormatting>
  <conditionalFormatting sqref="D187">
    <cfRule type="cellIs" dxfId="58" priority="741" operator="equal">
      <formula>$S$1</formula>
    </cfRule>
    <cfRule type="cellIs" dxfId="57" priority="742" operator="equal">
      <formula>$U$1</formula>
    </cfRule>
  </conditionalFormatting>
  <conditionalFormatting sqref="C212">
    <cfRule type="cellIs" dxfId="56" priority="739" operator="equal">
      <formula>$U$1</formula>
    </cfRule>
    <cfRule type="cellIs" dxfId="55" priority="740" operator="equal">
      <formula>$S$1</formula>
    </cfRule>
  </conditionalFormatting>
  <conditionalFormatting sqref="D212">
    <cfRule type="cellIs" dxfId="54" priority="737" operator="equal">
      <formula>$S$1</formula>
    </cfRule>
    <cfRule type="cellIs" dxfId="53" priority="738" operator="equal">
      <formula>$U$1</formula>
    </cfRule>
  </conditionalFormatting>
  <conditionalFormatting sqref="C237">
    <cfRule type="cellIs" dxfId="52" priority="735" operator="equal">
      <formula>$U$1</formula>
    </cfRule>
    <cfRule type="cellIs" dxfId="51" priority="736" operator="equal">
      <formula>$S$1</formula>
    </cfRule>
  </conditionalFormatting>
  <conditionalFormatting sqref="D237">
    <cfRule type="cellIs" dxfId="50" priority="733" operator="equal">
      <formula>$S$1</formula>
    </cfRule>
    <cfRule type="cellIs" dxfId="49" priority="734" operator="equal">
      <formula>$U$1</formula>
    </cfRule>
  </conditionalFormatting>
  <conditionalFormatting sqref="C106">
    <cfRule type="cellIs" dxfId="48" priority="731" operator="equal">
      <formula>$U$1</formula>
    </cfRule>
    <cfRule type="cellIs" dxfId="47" priority="732" operator="equal">
      <formula>$S$1</formula>
    </cfRule>
  </conditionalFormatting>
  <conditionalFormatting sqref="D106">
    <cfRule type="cellIs" dxfId="46" priority="729" operator="equal">
      <formula>$S$1</formula>
    </cfRule>
    <cfRule type="cellIs" dxfId="45" priority="730" operator="equal">
      <formula>$U$1</formula>
    </cfRule>
  </conditionalFormatting>
  <conditionalFormatting sqref="C81">
    <cfRule type="cellIs" dxfId="44" priority="727" operator="equal">
      <formula>$U$1</formula>
    </cfRule>
    <cfRule type="cellIs" dxfId="43" priority="728" operator="equal">
      <formula>$S$1</formula>
    </cfRule>
  </conditionalFormatting>
  <conditionalFormatting sqref="D81">
    <cfRule type="cellIs" dxfId="42" priority="725" operator="equal">
      <formula>$S$1</formula>
    </cfRule>
    <cfRule type="cellIs" dxfId="41" priority="726" operator="equal">
      <formula>$U$1</formula>
    </cfRule>
  </conditionalFormatting>
  <conditionalFormatting sqref="C56">
    <cfRule type="cellIs" dxfId="40" priority="723" operator="equal">
      <formula>$U$1</formula>
    </cfRule>
    <cfRule type="cellIs" dxfId="39" priority="724" operator="equal">
      <formula>$S$1</formula>
    </cfRule>
  </conditionalFormatting>
  <conditionalFormatting sqref="D56">
    <cfRule type="cellIs" dxfId="38" priority="721" operator="equal">
      <formula>$S$1</formula>
    </cfRule>
    <cfRule type="cellIs" dxfId="37" priority="722" operator="equal">
      <formula>$U$1</formula>
    </cfRule>
  </conditionalFormatting>
  <conditionalFormatting sqref="C31">
    <cfRule type="cellIs" dxfId="36" priority="719" operator="equal">
      <formula>$U$1</formula>
    </cfRule>
    <cfRule type="cellIs" dxfId="35" priority="720" operator="equal">
      <formula>$S$1</formula>
    </cfRule>
  </conditionalFormatting>
  <conditionalFormatting sqref="D31">
    <cfRule type="cellIs" dxfId="34" priority="717" operator="equal">
      <formula>$S$1</formula>
    </cfRule>
    <cfRule type="cellIs" dxfId="33" priority="718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R126" sqref="AR126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35" x14ac:dyDescent="0.25">
      <c r="A97" s="30">
        <v>9.849732675807628</v>
      </c>
      <c r="E97"/>
    </row>
    <row r="98" spans="1:35" x14ac:dyDescent="0.25">
      <c r="A98" s="30">
        <v>8.9543024325523888</v>
      </c>
      <c r="C98" s="1" t="s">
        <v>13</v>
      </c>
      <c r="E98"/>
    </row>
    <row r="99" spans="1:35" x14ac:dyDescent="0.25">
      <c r="A99" s="30">
        <v>8.140274938683989</v>
      </c>
      <c r="C99" s="1">
        <f>C88</f>
        <v>0</v>
      </c>
      <c r="E99"/>
    </row>
    <row r="100" spans="1:35" x14ac:dyDescent="0.25">
      <c r="A100" s="30">
        <v>7.4002499442581717</v>
      </c>
      <c r="C100"/>
      <c r="D100"/>
      <c r="E100"/>
    </row>
    <row r="101" spans="1:35" x14ac:dyDescent="0.25">
      <c r="A101" s="30">
        <v>6.72749994932561</v>
      </c>
      <c r="C101" s="1" t="s">
        <v>14</v>
      </c>
      <c r="E101"/>
    </row>
    <row r="102" spans="1:3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35" x14ac:dyDescent="0.25">
      <c r="A103" s="30">
        <v>5.5599173134922388</v>
      </c>
      <c r="E103"/>
    </row>
    <row r="104" spans="1:35" x14ac:dyDescent="0.25">
      <c r="A104" s="30">
        <v>5.0544702849929442</v>
      </c>
      <c r="E104"/>
    </row>
    <row r="105" spans="1:35" x14ac:dyDescent="0.25">
      <c r="A105" s="30">
        <v>4.594972986357222</v>
      </c>
      <c r="E105" t="s">
        <v>8</v>
      </c>
      <c r="I105" s="27" t="s">
        <v>8</v>
      </c>
    </row>
    <row r="106" spans="1:35" x14ac:dyDescent="0.25">
      <c r="A106" s="30">
        <v>4.1772481694156562</v>
      </c>
      <c r="E106" t="s">
        <v>8</v>
      </c>
      <c r="F106" s="27" t="s">
        <v>7</v>
      </c>
      <c r="I106" s="27" t="s">
        <v>8</v>
      </c>
      <c r="J106" s="27" t="s">
        <v>7</v>
      </c>
    </row>
    <row r="107" spans="1:35" x14ac:dyDescent="0.25">
      <c r="A107" s="30">
        <v>3.7974983358324148</v>
      </c>
      <c r="E107" t="s">
        <v>8</v>
      </c>
      <c r="F107" s="27" t="s">
        <v>7</v>
      </c>
      <c r="I107" s="27" t="s">
        <v>8</v>
      </c>
      <c r="J107" s="27" t="s">
        <v>7</v>
      </c>
      <c r="Y107" s="27" t="s">
        <v>8</v>
      </c>
    </row>
    <row r="108" spans="1:35" x14ac:dyDescent="0.25">
      <c r="A108" s="30">
        <v>3.4522712143931042</v>
      </c>
      <c r="E108" t="s">
        <v>8</v>
      </c>
      <c r="F108" s="27" t="s">
        <v>7</v>
      </c>
      <c r="I108" s="27" t="s">
        <v>8</v>
      </c>
      <c r="J108" s="27" t="s">
        <v>7</v>
      </c>
      <c r="Y108" s="27" t="s">
        <v>8</v>
      </c>
      <c r="Z108" s="27" t="s">
        <v>7</v>
      </c>
    </row>
    <row r="109" spans="1:35" x14ac:dyDescent="0.25">
      <c r="A109" s="30">
        <v>3.1384283767210035</v>
      </c>
      <c r="E109" t="s">
        <v>8</v>
      </c>
      <c r="F109" s="27" t="s">
        <v>7</v>
      </c>
      <c r="I109" s="27" t="s">
        <v>8</v>
      </c>
      <c r="J109" s="27" t="s">
        <v>7</v>
      </c>
      <c r="K109" s="27" t="s">
        <v>8</v>
      </c>
      <c r="Y109" s="27" t="s">
        <v>8</v>
      </c>
      <c r="Z109" s="27" t="s">
        <v>7</v>
      </c>
    </row>
    <row r="110" spans="1:35" x14ac:dyDescent="0.25">
      <c r="A110" s="30">
        <v>2.8531167061100029</v>
      </c>
      <c r="E110" t="s">
        <v>8</v>
      </c>
      <c r="F110" s="27" t="s">
        <v>7</v>
      </c>
      <c r="G110" s="27" t="s">
        <v>8</v>
      </c>
      <c r="I110" s="27" t="s">
        <v>8</v>
      </c>
      <c r="J110" s="27" t="s">
        <v>7</v>
      </c>
      <c r="K110" s="27" t="s">
        <v>8</v>
      </c>
      <c r="L110" s="27" t="s">
        <v>7</v>
      </c>
      <c r="Y110" s="27" t="s">
        <v>8</v>
      </c>
      <c r="Z110" s="27" t="s">
        <v>7</v>
      </c>
      <c r="AA110" s="27" t="s">
        <v>8</v>
      </c>
    </row>
    <row r="111" spans="1:35" x14ac:dyDescent="0.25">
      <c r="A111" s="30">
        <v>2.5937424601000023</v>
      </c>
      <c r="C111" s="1" t="str">
        <f>ADDRESS(C121-1,1,1,1)</f>
        <v>$A$125</v>
      </c>
      <c r="D111" s="1" t="str">
        <f>ADDRESS(C121-1,D121,1,1)</f>
        <v>$AR$125</v>
      </c>
      <c r="E111" t="s">
        <v>8</v>
      </c>
      <c r="F111" s="27" t="s">
        <v>7</v>
      </c>
      <c r="G111" s="27" t="s">
        <v>8</v>
      </c>
      <c r="H111" s="27" t="s">
        <v>7</v>
      </c>
      <c r="I111" s="27" t="s">
        <v>8</v>
      </c>
      <c r="J111" s="27" t="s">
        <v>7</v>
      </c>
      <c r="K111" s="27" t="s">
        <v>8</v>
      </c>
      <c r="L111" s="27" t="s">
        <v>7</v>
      </c>
      <c r="M111" s="27" t="s">
        <v>8</v>
      </c>
      <c r="Y111" s="27" t="s">
        <v>8</v>
      </c>
      <c r="Z111" s="27" t="s">
        <v>7</v>
      </c>
      <c r="AA111" s="27" t="s">
        <v>8</v>
      </c>
      <c r="AB111" s="27" t="s">
        <v>7</v>
      </c>
    </row>
    <row r="112" spans="1:35" x14ac:dyDescent="0.25">
      <c r="A112" s="30">
        <v>2.3579476910000019</v>
      </c>
      <c r="C112" s="1" t="str">
        <f>ADDRESS(C121,1,1,1)</f>
        <v>$A$126</v>
      </c>
      <c r="D112" s="1" t="str">
        <f>ADDRESS(C121,D121-1,1,1)</f>
        <v>$AQ$126</v>
      </c>
      <c r="E112" t="s">
        <v>8</v>
      </c>
      <c r="F112" s="27" t="s">
        <v>7</v>
      </c>
      <c r="G112" s="27" t="s">
        <v>8</v>
      </c>
      <c r="H112" s="27" t="s">
        <v>7</v>
      </c>
      <c r="I112" s="27" t="s">
        <v>8</v>
      </c>
      <c r="J112" s="27" t="s">
        <v>7</v>
      </c>
      <c r="L112" s="27" t="s">
        <v>7</v>
      </c>
      <c r="M112" s="27" t="s">
        <v>8</v>
      </c>
      <c r="N112" s="27" t="s">
        <v>7</v>
      </c>
      <c r="Y112" s="27" t="s">
        <v>8</v>
      </c>
      <c r="Z112" s="27" t="s">
        <v>7</v>
      </c>
      <c r="AA112" s="27" t="s">
        <v>8</v>
      </c>
      <c r="AB112" s="27" t="s">
        <v>7</v>
      </c>
      <c r="AG112" s="27" t="s">
        <v>8</v>
      </c>
      <c r="AI112" s="27" t="s">
        <v>8</v>
      </c>
    </row>
    <row r="113" spans="1:44" x14ac:dyDescent="0.25">
      <c r="A113" s="30">
        <v>2.1435888100000016</v>
      </c>
      <c r="C113" s="1" t="str">
        <f>ADDRESS(C121+1,1,1,1)</f>
        <v>$A$127</v>
      </c>
      <c r="D113" s="1" t="str">
        <f>ADDRESS(C121-1,D121+1,1,1)</f>
        <v>$AS$125</v>
      </c>
      <c r="E113" s="1" t="s">
        <v>8</v>
      </c>
      <c r="F113" s="27" t="s">
        <v>7</v>
      </c>
      <c r="G113" s="27" t="s">
        <v>8</v>
      </c>
      <c r="H113" s="27" t="s">
        <v>7</v>
      </c>
      <c r="L113" s="27" t="s">
        <v>7</v>
      </c>
      <c r="M113" s="27" t="s">
        <v>8</v>
      </c>
      <c r="N113" s="27" t="s">
        <v>7</v>
      </c>
      <c r="Y113" s="27" t="s">
        <v>8</v>
      </c>
      <c r="Z113" s="27" t="s">
        <v>7</v>
      </c>
      <c r="AB113" s="27" t="s">
        <v>7</v>
      </c>
      <c r="AC113" s="27" t="s">
        <v>8</v>
      </c>
      <c r="AE113" s="27" t="s">
        <v>8</v>
      </c>
      <c r="AG113" s="27" t="s">
        <v>8</v>
      </c>
      <c r="AH113" s="27" t="s">
        <v>7</v>
      </c>
      <c r="AI113" s="27" t="s">
        <v>8</v>
      </c>
      <c r="AJ113" s="27" t="s">
        <v>7</v>
      </c>
      <c r="AK113" s="27" t="s">
        <v>8</v>
      </c>
    </row>
    <row r="114" spans="1:44" x14ac:dyDescent="0.25">
      <c r="A114" s="30">
        <v>1.9487171000000014</v>
      </c>
      <c r="C114" s="1" t="str">
        <f>ADDRESS(C121,D121,1,1)</f>
        <v>$AR$126</v>
      </c>
      <c r="D114" s="1" t="str">
        <f>ADDRESS(C121+1,D121+1,1,1)</f>
        <v>$AS$127</v>
      </c>
      <c r="E114" s="1" t="s">
        <v>8</v>
      </c>
      <c r="F114" s="27" t="s">
        <v>7</v>
      </c>
      <c r="G114" s="27" t="s">
        <v>8</v>
      </c>
      <c r="L114" s="27" t="s">
        <v>7</v>
      </c>
      <c r="M114" s="27" t="s">
        <v>8</v>
      </c>
      <c r="N114" s="27" t="s">
        <v>7</v>
      </c>
      <c r="Y114" s="27" t="s">
        <v>8</v>
      </c>
      <c r="AB114" s="27" t="s">
        <v>7</v>
      </c>
      <c r="AC114" s="27" t="s">
        <v>8</v>
      </c>
      <c r="AD114" s="27" t="s">
        <v>7</v>
      </c>
      <c r="AE114" s="27" t="s">
        <v>8</v>
      </c>
      <c r="AF114" s="27" t="s">
        <v>7</v>
      </c>
      <c r="AG114" s="27" t="s">
        <v>8</v>
      </c>
      <c r="AH114" s="27" t="s">
        <v>7</v>
      </c>
      <c r="AI114" s="27" t="s">
        <v>8</v>
      </c>
      <c r="AJ114" s="27" t="s">
        <v>7</v>
      </c>
      <c r="AK114" s="27" t="s">
        <v>8</v>
      </c>
      <c r="AL114" s="27" t="s">
        <v>7</v>
      </c>
    </row>
    <row r="115" spans="1:44" x14ac:dyDescent="0.25">
      <c r="A115" s="30">
        <v>1.7715610000000011</v>
      </c>
      <c r="C115" s="1" t="str">
        <f>ADDRESS(C121+1,D121,1,1)</f>
        <v>$AR$127</v>
      </c>
      <c r="E115" s="1" t="s">
        <v>8</v>
      </c>
      <c r="F115" s="27" t="s">
        <v>7</v>
      </c>
      <c r="G115" s="27" t="s">
        <v>8</v>
      </c>
      <c r="L115" s="27" t="s">
        <v>7</v>
      </c>
      <c r="M115" s="27" t="s">
        <v>8</v>
      </c>
      <c r="N115" s="27" t="s">
        <v>7</v>
      </c>
      <c r="Y115" s="27" t="s">
        <v>8</v>
      </c>
      <c r="AB115" s="27" t="s">
        <v>7</v>
      </c>
      <c r="AC115" s="27" t="s">
        <v>8</v>
      </c>
      <c r="AD115" s="27" t="s">
        <v>7</v>
      </c>
      <c r="AE115" s="27" t="s">
        <v>8</v>
      </c>
      <c r="AF115" s="27" t="s">
        <v>7</v>
      </c>
      <c r="AG115" s="27" t="s">
        <v>8</v>
      </c>
      <c r="AH115" s="27" t="s">
        <v>7</v>
      </c>
      <c r="AI115" s="27" t="s">
        <v>8</v>
      </c>
      <c r="AJ115" s="27" t="s">
        <v>7</v>
      </c>
      <c r="AK115" s="27" t="s">
        <v>8</v>
      </c>
      <c r="AL115" s="27" t="s">
        <v>7</v>
      </c>
    </row>
    <row r="116" spans="1:44" x14ac:dyDescent="0.25">
      <c r="A116" s="30">
        <v>1.6105100000000008</v>
      </c>
      <c r="C116" s="1">
        <f>C117-1</f>
        <v>125</v>
      </c>
      <c r="E116" s="1" t="s">
        <v>8</v>
      </c>
      <c r="F116" s="27" t="s">
        <v>7</v>
      </c>
      <c r="L116" s="27" t="s">
        <v>7</v>
      </c>
      <c r="M116" s="27" t="s">
        <v>8</v>
      </c>
      <c r="N116" s="27" t="s">
        <v>7</v>
      </c>
      <c r="O116" s="27" t="s">
        <v>8</v>
      </c>
      <c r="Q116" s="27" t="s">
        <v>8</v>
      </c>
      <c r="Y116" s="27" t="s">
        <v>8</v>
      </c>
      <c r="AB116" s="27" t="s">
        <v>7</v>
      </c>
      <c r="AC116" s="27" t="s">
        <v>8</v>
      </c>
      <c r="AD116" s="27" t="s">
        <v>7</v>
      </c>
      <c r="AE116" s="27" t="s">
        <v>8</v>
      </c>
      <c r="AF116" s="27" t="s">
        <v>7</v>
      </c>
      <c r="AH116" s="27" t="s">
        <v>7</v>
      </c>
      <c r="AI116" s="27" t="s">
        <v>8</v>
      </c>
      <c r="AJ116" s="27" t="s">
        <v>7</v>
      </c>
      <c r="AL116" s="27" t="s">
        <v>7</v>
      </c>
      <c r="AO116" s="27" t="s">
        <v>8</v>
      </c>
    </row>
    <row r="117" spans="1:44" x14ac:dyDescent="0.25">
      <c r="A117" s="30">
        <v>1.4641000000000006</v>
      </c>
      <c r="C117" s="1">
        <f>C121</f>
        <v>126</v>
      </c>
      <c r="D117" s="1">
        <f>D121</f>
        <v>44</v>
      </c>
      <c r="E117" s="1" t="s">
        <v>8</v>
      </c>
      <c r="L117" s="27" t="s">
        <v>7</v>
      </c>
      <c r="M117" s="27" t="s">
        <v>8</v>
      </c>
      <c r="N117" s="27" t="s">
        <v>7</v>
      </c>
      <c r="O117" s="27" t="s">
        <v>8</v>
      </c>
      <c r="P117" s="27" t="s">
        <v>7</v>
      </c>
      <c r="Q117" s="27" t="s">
        <v>8</v>
      </c>
      <c r="R117" s="27" t="s">
        <v>7</v>
      </c>
      <c r="S117" s="27" t="s">
        <v>8</v>
      </c>
      <c r="Y117" s="27" t="s">
        <v>8</v>
      </c>
      <c r="AB117" s="27" t="s">
        <v>7</v>
      </c>
      <c r="AD117" s="27" t="s">
        <v>7</v>
      </c>
      <c r="AE117" s="27" t="s">
        <v>8</v>
      </c>
      <c r="AH117" s="27" t="s">
        <v>7</v>
      </c>
      <c r="AL117" s="27" t="s">
        <v>7</v>
      </c>
      <c r="AM117" s="27" t="s">
        <v>8</v>
      </c>
      <c r="AO117" s="27" t="s">
        <v>8</v>
      </c>
      <c r="AP117" s="27" t="s">
        <v>7</v>
      </c>
      <c r="AQ117" s="27" t="s">
        <v>8</v>
      </c>
    </row>
    <row r="118" spans="1:44" x14ac:dyDescent="0.25">
      <c r="A118" s="30">
        <v>1.3310000000000004</v>
      </c>
      <c r="C118" s="1">
        <f>C117+1</f>
        <v>127</v>
      </c>
      <c r="D118" s="1">
        <f>D117+1</f>
        <v>45</v>
      </c>
      <c r="E118" s="1" t="s">
        <v>8</v>
      </c>
      <c r="L118" s="27" t="s">
        <v>7</v>
      </c>
      <c r="N118" s="27" t="s">
        <v>7</v>
      </c>
      <c r="O118" s="27" t="s">
        <v>8</v>
      </c>
      <c r="P118" s="27" t="s">
        <v>7</v>
      </c>
      <c r="Q118" s="27" t="s">
        <v>8</v>
      </c>
      <c r="R118" s="27" t="s">
        <v>7</v>
      </c>
      <c r="S118" s="27" t="s">
        <v>8</v>
      </c>
      <c r="T118" s="27" t="s">
        <v>7</v>
      </c>
      <c r="Y118" s="27" t="s">
        <v>8</v>
      </c>
      <c r="AD118" s="27" t="s">
        <v>7</v>
      </c>
      <c r="AE118" s="27" t="s">
        <v>8</v>
      </c>
      <c r="AL118" s="27" t="s">
        <v>7</v>
      </c>
      <c r="AM118" s="27" t="s">
        <v>8</v>
      </c>
      <c r="AN118" s="27" t="s">
        <v>7</v>
      </c>
      <c r="AO118" s="27" t="s">
        <v>8</v>
      </c>
      <c r="AP118" s="27" t="s">
        <v>7</v>
      </c>
      <c r="AQ118" s="27" t="s">
        <v>8</v>
      </c>
      <c r="AR118" s="27" t="s">
        <v>7</v>
      </c>
    </row>
    <row r="119" spans="1:44" x14ac:dyDescent="0.25">
      <c r="A119" s="30">
        <v>1.2100000000000002</v>
      </c>
      <c r="E119" s="1" t="s">
        <v>8</v>
      </c>
      <c r="N119" s="27" t="s">
        <v>7</v>
      </c>
      <c r="O119" s="27" t="s">
        <v>8</v>
      </c>
      <c r="P119" s="27" t="s">
        <v>7</v>
      </c>
      <c r="Q119" s="27" t="s">
        <v>8</v>
      </c>
      <c r="R119" s="27" t="s">
        <v>7</v>
      </c>
      <c r="S119" s="27" t="s">
        <v>8</v>
      </c>
      <c r="T119" s="27" t="s">
        <v>7</v>
      </c>
      <c r="Y119" s="27" t="s">
        <v>8</v>
      </c>
      <c r="AD119" s="27" t="s">
        <v>7</v>
      </c>
      <c r="AL119" s="27" t="s">
        <v>7</v>
      </c>
      <c r="AM119" s="27" t="s">
        <v>8</v>
      </c>
      <c r="AN119" s="27" t="s">
        <v>7</v>
      </c>
      <c r="AO119" s="27" t="s">
        <v>8</v>
      </c>
      <c r="AP119" s="27" t="s">
        <v>7</v>
      </c>
      <c r="AQ119" s="27" t="s">
        <v>8</v>
      </c>
      <c r="AR119" s="27" t="s">
        <v>7</v>
      </c>
    </row>
    <row r="120" spans="1:44" x14ac:dyDescent="0.25">
      <c r="A120" s="30">
        <v>1.1000000000000001</v>
      </c>
      <c r="C120" s="1" t="s">
        <v>9</v>
      </c>
      <c r="E120" s="1" t="s">
        <v>8</v>
      </c>
      <c r="N120" s="27" t="s">
        <v>7</v>
      </c>
      <c r="O120" s="27" t="s">
        <v>8</v>
      </c>
      <c r="P120" s="27" t="s">
        <v>7</v>
      </c>
      <c r="R120" s="27" t="s">
        <v>7</v>
      </c>
      <c r="T120" s="27" t="s">
        <v>7</v>
      </c>
      <c r="Y120" s="27" t="s">
        <v>8</v>
      </c>
      <c r="AL120" s="27" t="s">
        <v>7</v>
      </c>
      <c r="AN120" s="27" t="s">
        <v>7</v>
      </c>
      <c r="AP120" s="27" t="s">
        <v>7</v>
      </c>
      <c r="AR120" s="27" t="s">
        <v>7</v>
      </c>
    </row>
    <row r="121" spans="1:44" x14ac:dyDescent="0.25">
      <c r="A121" s="30">
        <v>1</v>
      </c>
      <c r="C121" s="18">
        <v>126</v>
      </c>
      <c r="D121" s="19">
        <v>44</v>
      </c>
      <c r="E121" s="18" t="s">
        <v>8</v>
      </c>
      <c r="N121" s="27" t="s">
        <v>7</v>
      </c>
      <c r="T121" s="27" t="s">
        <v>7</v>
      </c>
      <c r="W121" s="27" t="s">
        <v>8</v>
      </c>
      <c r="Y121" s="27" t="s">
        <v>8</v>
      </c>
      <c r="AR121" s="27" t="s">
        <v>7</v>
      </c>
    </row>
    <row r="122" spans="1:44" x14ac:dyDescent="0.25">
      <c r="A122" s="30">
        <v>0.90909090909090895</v>
      </c>
      <c r="C122" s="1" t="str">
        <f>INDEX(1:1048576,C117,D117)</f>
        <v>O</v>
      </c>
      <c r="T122" s="27" t="s">
        <v>7</v>
      </c>
      <c r="W122" s="27" t="s">
        <v>8</v>
      </c>
      <c r="X122" s="27" t="s">
        <v>7</v>
      </c>
      <c r="Y122" s="27" t="s">
        <v>8</v>
      </c>
      <c r="AR122" s="27" t="s">
        <v>7</v>
      </c>
    </row>
    <row r="123" spans="1:44" x14ac:dyDescent="0.25">
      <c r="A123" s="30">
        <v>0.82644628099173523</v>
      </c>
      <c r="C123" s="1" t="str">
        <f>"R"&amp;C121</f>
        <v>R126</v>
      </c>
      <c r="D123" s="1" t="str">
        <f>"C"&amp;D121</f>
        <v>C44</v>
      </c>
      <c r="T123" s="27" t="s">
        <v>7</v>
      </c>
      <c r="U123" s="27" t="s">
        <v>8</v>
      </c>
      <c r="W123" s="27" t="s">
        <v>8</v>
      </c>
      <c r="X123" s="27" t="s">
        <v>7</v>
      </c>
      <c r="Y123" s="27" t="s">
        <v>8</v>
      </c>
      <c r="AR123" s="27" t="s">
        <v>7</v>
      </c>
    </row>
    <row r="124" spans="1:44" x14ac:dyDescent="0.25">
      <c r="A124" s="30">
        <v>0.75131480090157732</v>
      </c>
      <c r="C124" s="1">
        <f>SUM(C130:D130)</f>
        <v>0</v>
      </c>
      <c r="D124" s="1">
        <f>IF(C124=0,0,1)</f>
        <v>0</v>
      </c>
      <c r="T124" s="27" t="s">
        <v>7</v>
      </c>
      <c r="U124" s="27" t="s">
        <v>8</v>
      </c>
      <c r="V124" s="27" t="s">
        <v>7</v>
      </c>
      <c r="W124" s="27" t="s">
        <v>8</v>
      </c>
      <c r="X124" s="27" t="s">
        <v>7</v>
      </c>
      <c r="Y124" s="27" t="s">
        <v>8</v>
      </c>
      <c r="AR124" s="27" t="s">
        <v>7</v>
      </c>
    </row>
    <row r="125" spans="1:44" x14ac:dyDescent="0.25">
      <c r="A125" s="30">
        <v>0.68301345536507019</v>
      </c>
      <c r="T125" s="27" t="s">
        <v>7</v>
      </c>
      <c r="U125" s="27" t="s">
        <v>8</v>
      </c>
      <c r="V125" s="27" t="s">
        <v>7</v>
      </c>
      <c r="W125" s="27" t="s">
        <v>8</v>
      </c>
      <c r="X125" s="18" t="s">
        <v>7</v>
      </c>
      <c r="Y125" s="27" t="s">
        <v>8</v>
      </c>
      <c r="AR125" s="27" t="s">
        <v>7</v>
      </c>
    </row>
    <row r="126" spans="1:44" x14ac:dyDescent="0.25">
      <c r="A126" s="30">
        <v>0.6209213230591546</v>
      </c>
      <c r="C126" s="1" t="s">
        <v>10</v>
      </c>
      <c r="T126" s="27" t="s">
        <v>7</v>
      </c>
      <c r="V126" s="27" t="s">
        <v>7</v>
      </c>
      <c r="X126" s="27" t="s">
        <v>7</v>
      </c>
      <c r="AR126" s="27" t="s">
        <v>7</v>
      </c>
    </row>
    <row r="127" spans="1:44" x14ac:dyDescent="0.25">
      <c r="A127" s="30">
        <v>0.56447393005377677</v>
      </c>
      <c r="C127" s="30">
        <v>0.6209213230591546</v>
      </c>
      <c r="D127"/>
    </row>
    <row r="128" spans="1:44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735" operator="equal">
      <formula>$U$1</formula>
    </cfRule>
    <cfRule type="cellIs" dxfId="30" priority="736" operator="equal">
      <formula>$S$1</formula>
    </cfRule>
  </conditionalFormatting>
  <conditionalFormatting sqref="D136">
    <cfRule type="cellIs" dxfId="29" priority="733" operator="equal">
      <formula>$S$1</formula>
    </cfRule>
    <cfRule type="cellIs" dxfId="28" priority="734" operator="equal">
      <formula>$U$1</formula>
    </cfRule>
  </conditionalFormatting>
  <conditionalFormatting sqref="C102">
    <cfRule type="cellIs" dxfId="27" priority="731" operator="equal">
      <formula>$U$1</formula>
    </cfRule>
    <cfRule type="cellIs" dxfId="26" priority="732" operator="equal">
      <formula>$S$1</formula>
    </cfRule>
  </conditionalFormatting>
  <conditionalFormatting sqref="D102">
    <cfRule type="cellIs" dxfId="25" priority="729" operator="equal">
      <formula>$S$1</formula>
    </cfRule>
    <cfRule type="cellIs" dxfId="24" priority="730" operator="equal">
      <formula>$U$1</formula>
    </cfRule>
  </conditionalFormatting>
  <conditionalFormatting sqref="C77">
    <cfRule type="cellIs" dxfId="23" priority="727" operator="equal">
      <formula>$U$1</formula>
    </cfRule>
    <cfRule type="cellIs" dxfId="22" priority="728" operator="equal">
      <formula>$S$1</formula>
    </cfRule>
  </conditionalFormatting>
  <conditionalFormatting sqref="D77">
    <cfRule type="cellIs" dxfId="21" priority="725" operator="equal">
      <formula>$S$1</formula>
    </cfRule>
    <cfRule type="cellIs" dxfId="20" priority="726" operator="equal">
      <formula>$U$1</formula>
    </cfRule>
  </conditionalFormatting>
  <conditionalFormatting sqref="C52">
    <cfRule type="cellIs" dxfId="19" priority="723" operator="equal">
      <formula>$U$1</formula>
    </cfRule>
    <cfRule type="cellIs" dxfId="18" priority="724" operator="equal">
      <formula>$S$1</formula>
    </cfRule>
  </conditionalFormatting>
  <conditionalFormatting sqref="D52">
    <cfRule type="cellIs" dxfId="17" priority="721" operator="equal">
      <formula>$S$1</formula>
    </cfRule>
    <cfRule type="cellIs" dxfId="16" priority="722" operator="equal">
      <formula>$U$1</formula>
    </cfRule>
  </conditionalFormatting>
  <conditionalFormatting sqref="C26">
    <cfRule type="cellIs" dxfId="15" priority="719" operator="equal">
      <formula>$U$1</formula>
    </cfRule>
    <cfRule type="cellIs" dxfId="14" priority="720" operator="equal">
      <formula>$S$1</formula>
    </cfRule>
  </conditionalFormatting>
  <conditionalFormatting sqref="D26">
    <cfRule type="cellIs" dxfId="13" priority="717" operator="equal">
      <formula>$S$1</formula>
    </cfRule>
    <cfRule type="cellIs" dxfId="12" priority="718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2022-01-28T01:16:39Z</dcterms:modified>
</cp:coreProperties>
</file>