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3E603C4-3778-4FEE-973D-A1B6AAB78D4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28" i="1"/>
  <c r="Q1028" i="1" s="1"/>
  <c r="R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28" i="1"/>
  <c r="T1028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C136" i="5" s="1"/>
  <c r="C118" i="5"/>
  <c r="C116" i="4"/>
  <c r="C118" i="4"/>
  <c r="R1027" i="1"/>
  <c r="C122" i="3"/>
  <c r="C133" i="3" s="1"/>
  <c r="C136" i="3" s="1"/>
  <c r="C118" i="3"/>
  <c r="D136" i="4" l="1"/>
  <c r="C138" i="4" s="1"/>
  <c r="D136" i="5"/>
  <c r="C138" i="5" s="1"/>
  <c r="R1026" i="1"/>
  <c r="S1027" i="1"/>
  <c r="T1027" i="1" s="1"/>
  <c r="D136" i="3"/>
  <c r="C138" i="3" s="1"/>
  <c r="R1025" i="1" l="1"/>
  <c r="S1026" i="1"/>
  <c r="T1026" i="1" s="1"/>
  <c r="S1025" i="1" l="1"/>
  <c r="T1025" i="1" s="1"/>
  <c r="R1024" i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S1016" i="1" l="1"/>
  <c r="T1016" i="1" s="1"/>
  <c r="R1015" i="1"/>
  <c r="R1014" i="1" l="1"/>
  <c r="S1015" i="1"/>
  <c r="T1015" i="1" s="1"/>
  <c r="R1013" i="1" l="1"/>
  <c r="S1014" i="1"/>
  <c r="T1014" i="1" s="1"/>
  <c r="S1013" i="1" l="1"/>
  <c r="T1013" i="1" s="1"/>
  <c r="R1012" i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S1006" i="1" l="1"/>
  <c r="T1006" i="1" s="1"/>
  <c r="R1005" i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S1001" i="1" l="1"/>
  <c r="T1001" i="1" s="1"/>
  <c r="R1000" i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S996" i="1" l="1"/>
  <c r="T996" i="1" s="1"/>
  <c r="R995" i="1"/>
  <c r="R994" i="1" l="1"/>
  <c r="S995" i="1"/>
  <c r="T995" i="1" s="1"/>
  <c r="S994" i="1" l="1"/>
  <c r="T994" i="1" s="1"/>
  <c r="R993" i="1"/>
  <c r="S993" i="1" l="1"/>
  <c r="T993" i="1" s="1"/>
  <c r="R992" i="1"/>
  <c r="S992" i="1" l="1"/>
  <c r="T992" i="1" s="1"/>
  <c r="R991" i="1"/>
  <c r="R990" i="1" l="1"/>
  <c r="S991" i="1"/>
  <c r="T991" i="1" s="1"/>
  <c r="R989" i="1" l="1"/>
  <c r="S990" i="1"/>
  <c r="T990" i="1" s="1"/>
  <c r="R988" i="1" l="1"/>
  <c r="S989" i="1"/>
  <c r="T989" i="1" s="1"/>
  <c r="S988" i="1" l="1"/>
  <c r="T988" i="1" s="1"/>
  <c r="R987" i="1"/>
  <c r="S987" i="1" l="1"/>
  <c r="T987" i="1" s="1"/>
  <c r="R986" i="1"/>
  <c r="S986" i="1" l="1"/>
  <c r="T986" i="1" s="1"/>
  <c r="R985" i="1"/>
  <c r="S985" i="1" l="1"/>
  <c r="T985" i="1" s="1"/>
  <c r="R984" i="1"/>
  <c r="S984" i="1" l="1"/>
  <c r="T984" i="1" s="1"/>
  <c r="R983" i="1"/>
  <c r="S983" i="1" l="1"/>
  <c r="T983" i="1" s="1"/>
  <c r="R982" i="1"/>
  <c r="S982" i="1" l="1"/>
  <c r="T982" i="1" s="1"/>
  <c r="R981" i="1"/>
  <c r="R980" i="1" l="1"/>
  <c r="S981" i="1"/>
  <c r="T981" i="1" s="1"/>
  <c r="R979" i="1" l="1"/>
  <c r="S980" i="1"/>
  <c r="T980" i="1" s="1"/>
  <c r="R978" i="1" l="1"/>
  <c r="S979" i="1"/>
  <c r="T979" i="1" s="1"/>
  <c r="S978" i="1" l="1"/>
  <c r="T978" i="1" s="1"/>
  <c r="R977" i="1"/>
  <c r="S977" i="1" l="1"/>
  <c r="T977" i="1" s="1"/>
  <c r="R976" i="1"/>
  <c r="S976" i="1" l="1"/>
  <c r="T976" i="1" s="1"/>
  <c r="R975" i="1"/>
  <c r="R974" i="1" l="1"/>
  <c r="S975" i="1"/>
  <c r="T975" i="1" s="1"/>
  <c r="R973" i="1" l="1"/>
  <c r="S974" i="1"/>
  <c r="T974" i="1" s="1"/>
  <c r="R972" i="1" l="1"/>
  <c r="S973" i="1"/>
  <c r="T973" i="1" s="1"/>
  <c r="S972" i="1" l="1"/>
  <c r="T972" i="1" s="1"/>
  <c r="R971" i="1"/>
  <c r="R970" i="1" l="1"/>
  <c r="S971" i="1"/>
  <c r="T971" i="1" s="1"/>
  <c r="S970" i="1" l="1"/>
  <c r="T970" i="1" s="1"/>
  <c r="R969" i="1"/>
  <c r="R968" i="1" l="1"/>
  <c r="S969" i="1"/>
  <c r="T969" i="1" s="1"/>
  <c r="S968" i="1" l="1"/>
  <c r="T968" i="1" s="1"/>
  <c r="R967" i="1"/>
  <c r="R966" i="1" l="1"/>
  <c r="S967" i="1"/>
  <c r="T967" i="1" s="1"/>
  <c r="R965" i="1" l="1"/>
  <c r="S966" i="1"/>
  <c r="T966" i="1" s="1"/>
  <c r="S965" i="1" l="1"/>
  <c r="T965" i="1" s="1"/>
  <c r="R964" i="1"/>
  <c r="R963" i="1" l="1"/>
  <c r="S964" i="1"/>
  <c r="T964" i="1" s="1"/>
  <c r="S963" i="1" l="1"/>
  <c r="T963" i="1" s="1"/>
  <c r="R962" i="1"/>
  <c r="R961" i="1" l="1"/>
  <c r="S962" i="1"/>
  <c r="T962" i="1" s="1"/>
  <c r="R960" i="1" l="1"/>
  <c r="S961" i="1"/>
  <c r="T961" i="1" s="1"/>
  <c r="R959" i="1" l="1"/>
  <c r="S960" i="1"/>
  <c r="T960" i="1" s="1"/>
  <c r="S959" i="1" l="1"/>
  <c r="T959" i="1" s="1"/>
  <c r="R958" i="1"/>
  <c r="S958" i="1" l="1"/>
  <c r="T958" i="1" s="1"/>
  <c r="R957" i="1"/>
  <c r="S957" i="1" l="1"/>
  <c r="T957" i="1" s="1"/>
  <c r="R956" i="1"/>
  <c r="R955" i="1" l="1"/>
  <c r="S956" i="1"/>
  <c r="T956" i="1" s="1"/>
  <c r="S955" i="1" l="1"/>
  <c r="T955" i="1" s="1"/>
  <c r="R954" i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S950" i="1" l="1"/>
  <c r="T950" i="1" s="1"/>
  <c r="R949" i="1"/>
  <c r="S949" i="1" l="1"/>
  <c r="T949" i="1" s="1"/>
  <c r="R948" i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S938" i="1" l="1"/>
  <c r="T938" i="1" s="1"/>
  <c r="R937" i="1"/>
  <c r="S937" i="1" l="1"/>
  <c r="T937" i="1" s="1"/>
  <c r="R936" i="1"/>
  <c r="S936" i="1" l="1"/>
  <c r="T936" i="1" s="1"/>
  <c r="R935" i="1"/>
  <c r="R934" i="1" l="1"/>
  <c r="S935" i="1"/>
  <c r="T935" i="1" s="1"/>
  <c r="S934" i="1" l="1"/>
  <c r="T934" i="1" s="1"/>
  <c r="R933" i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S929" i="1" l="1"/>
  <c r="T929" i="1" s="1"/>
  <c r="R928" i="1"/>
  <c r="S928" i="1" l="1"/>
  <c r="T928" i="1" s="1"/>
  <c r="R927" i="1"/>
  <c r="S927" i="1" l="1"/>
  <c r="T927" i="1" s="1"/>
  <c r="R926" i="1"/>
  <c r="R925" i="1" l="1"/>
  <c r="S926" i="1"/>
  <c r="T926" i="1" s="1"/>
  <c r="S925" i="1" l="1"/>
  <c r="T925" i="1" s="1"/>
  <c r="R924" i="1"/>
  <c r="S924" i="1" l="1"/>
  <c r="T924" i="1" s="1"/>
  <c r="R923" i="1"/>
  <c r="S923" i="1" l="1"/>
  <c r="T923" i="1" s="1"/>
  <c r="R922" i="1"/>
  <c r="R921" i="1" l="1"/>
  <c r="S922" i="1"/>
  <c r="T922" i="1" s="1"/>
  <c r="R920" i="1" l="1"/>
  <c r="S921" i="1"/>
  <c r="T921" i="1" s="1"/>
  <c r="R919" i="1" l="1"/>
  <c r="S920" i="1"/>
  <c r="T920" i="1" s="1"/>
  <c r="S919" i="1" l="1"/>
  <c r="T919" i="1" s="1"/>
  <c r="R918" i="1"/>
  <c r="R917" i="1" l="1"/>
  <c r="S918" i="1"/>
  <c r="T918" i="1" s="1"/>
  <c r="S917" i="1" l="1"/>
  <c r="T917" i="1" s="1"/>
  <c r="R916" i="1"/>
  <c r="R915" i="1" l="1"/>
  <c r="S916" i="1"/>
  <c r="T916" i="1" s="1"/>
  <c r="S915" i="1" l="1"/>
  <c r="T915" i="1" s="1"/>
  <c r="R914" i="1"/>
  <c r="R913" i="1" l="1"/>
  <c r="S914" i="1"/>
  <c r="T914" i="1" s="1"/>
  <c r="S913" i="1" l="1"/>
  <c r="T913" i="1" s="1"/>
  <c r="R912" i="1"/>
  <c r="S912" i="1" l="1"/>
  <c r="T912" i="1" s="1"/>
  <c r="R911" i="1"/>
  <c r="S911" i="1" l="1"/>
  <c r="T911" i="1" s="1"/>
  <c r="R910" i="1"/>
  <c r="R909" i="1" l="1"/>
  <c r="S910" i="1"/>
  <c r="T910" i="1" s="1"/>
  <c r="R908" i="1" l="1"/>
  <c r="S909" i="1"/>
  <c r="T909" i="1" s="1"/>
  <c r="R907" i="1" l="1"/>
  <c r="S908" i="1"/>
  <c r="T908" i="1" s="1"/>
  <c r="S907" i="1" l="1"/>
  <c r="T907" i="1" s="1"/>
  <c r="R906" i="1"/>
  <c r="S906" i="1" l="1"/>
  <c r="T906" i="1" s="1"/>
  <c r="R905" i="1"/>
  <c r="R904" i="1" l="1"/>
  <c r="S905" i="1"/>
  <c r="T905" i="1" s="1"/>
  <c r="R903" i="1" l="1"/>
  <c r="S904" i="1"/>
  <c r="T904" i="1" s="1"/>
  <c r="R902" i="1" l="1"/>
  <c r="S903" i="1"/>
  <c r="T903" i="1" s="1"/>
  <c r="S902" i="1" l="1"/>
  <c r="T902" i="1" s="1"/>
  <c r="R901" i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S895" i="1" l="1"/>
  <c r="T895" i="1" s="1"/>
  <c r="R894" i="1"/>
  <c r="S894" i="1" l="1"/>
  <c r="T894" i="1" s="1"/>
  <c r="R893" i="1"/>
  <c r="S893" i="1" l="1"/>
  <c r="T893" i="1" s="1"/>
  <c r="R892" i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S888" i="1" l="1"/>
  <c r="T888" i="1" s="1"/>
  <c r="R887" i="1"/>
  <c r="S887" i="1" l="1"/>
  <c r="T887" i="1" s="1"/>
  <c r="R886" i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S879" i="1" l="1"/>
  <c r="T879" i="1" s="1"/>
  <c r="R878" i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S873" i="1" l="1"/>
  <c r="T873" i="1" s="1"/>
  <c r="R872" i="1"/>
  <c r="S872" i="1" l="1"/>
  <c r="T872" i="1" s="1"/>
  <c r="R871" i="1"/>
  <c r="S871" i="1" l="1"/>
  <c r="T871" i="1" s="1"/>
  <c r="R870" i="1"/>
  <c r="R869" i="1" l="1"/>
  <c r="S870" i="1"/>
  <c r="T870" i="1" s="1"/>
  <c r="R868" i="1" l="1"/>
  <c r="S869" i="1"/>
  <c r="T869" i="1" s="1"/>
  <c r="R867" i="1" l="1"/>
  <c r="S868" i="1"/>
  <c r="T868" i="1" s="1"/>
  <c r="S867" i="1" l="1"/>
  <c r="T867" i="1" s="1"/>
  <c r="R866" i="1"/>
  <c r="S866" i="1" l="1"/>
  <c r="T866" i="1" s="1"/>
  <c r="R865" i="1"/>
  <c r="R864" i="1" l="1"/>
  <c r="S865" i="1"/>
  <c r="T865" i="1" s="1"/>
  <c r="R863" i="1" l="1"/>
  <c r="S864" i="1"/>
  <c r="T864" i="1" s="1"/>
  <c r="R862" i="1" l="1"/>
  <c r="S863" i="1"/>
  <c r="T863" i="1" s="1"/>
  <c r="S862" i="1" l="1"/>
  <c r="T862" i="1" s="1"/>
  <c r="R861" i="1"/>
  <c r="S861" i="1" l="1"/>
  <c r="T861" i="1" s="1"/>
  <c r="R860" i="1"/>
  <c r="R859" i="1" l="1"/>
  <c r="S860" i="1"/>
  <c r="T860" i="1" s="1"/>
  <c r="R858" i="1" l="1"/>
  <c r="S859" i="1"/>
  <c r="T859" i="1" s="1"/>
  <c r="R857" i="1" l="1"/>
  <c r="S858" i="1"/>
  <c r="T858" i="1" s="1"/>
  <c r="S857" i="1" l="1"/>
  <c r="T857" i="1" s="1"/>
  <c r="R856" i="1"/>
  <c r="S856" i="1" l="1"/>
  <c r="T856" i="1" s="1"/>
  <c r="R855" i="1"/>
  <c r="R854" i="1" l="1"/>
  <c r="S855" i="1"/>
  <c r="T855" i="1" s="1"/>
  <c r="R853" i="1" l="1"/>
  <c r="S854" i="1"/>
  <c r="T854" i="1" s="1"/>
  <c r="S853" i="1" l="1"/>
  <c r="T853" i="1" s="1"/>
  <c r="R852" i="1"/>
  <c r="S852" i="1" l="1"/>
  <c r="T852" i="1" s="1"/>
  <c r="R851" i="1"/>
  <c r="S851" i="1" l="1"/>
  <c r="T851" i="1" s="1"/>
  <c r="R850" i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S846" i="1" l="1"/>
  <c r="T846" i="1" s="1"/>
  <c r="R845" i="1"/>
  <c r="R844" i="1" l="1"/>
  <c r="S845" i="1"/>
  <c r="T845" i="1" s="1"/>
  <c r="S844" i="1" l="1"/>
  <c r="T844" i="1" s="1"/>
  <c r="R843" i="1"/>
  <c r="S843" i="1" l="1"/>
  <c r="T843" i="1" s="1"/>
  <c r="R842" i="1"/>
  <c r="S842" i="1" l="1"/>
  <c r="T842" i="1" s="1"/>
  <c r="R841" i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S837" i="1" l="1"/>
  <c r="T837" i="1" s="1"/>
  <c r="R836" i="1"/>
  <c r="S836" i="1" l="1"/>
  <c r="T836" i="1" s="1"/>
  <c r="R835" i="1"/>
  <c r="S835" i="1" l="1"/>
  <c r="T835" i="1" s="1"/>
  <c r="R834" i="1"/>
  <c r="R833" i="1" l="1"/>
  <c r="S834" i="1"/>
  <c r="T834" i="1" s="1"/>
  <c r="R832" i="1" l="1"/>
  <c r="S833" i="1"/>
  <c r="T833" i="1" s="1"/>
  <c r="R831" i="1" l="1"/>
  <c r="S832" i="1"/>
  <c r="T832" i="1" s="1"/>
  <c r="S831" i="1" l="1"/>
  <c r="T831" i="1" s="1"/>
  <c r="R830" i="1"/>
  <c r="R829" i="1" l="1"/>
  <c r="S830" i="1"/>
  <c r="T830" i="1" s="1"/>
  <c r="R828" i="1" l="1"/>
  <c r="S829" i="1"/>
  <c r="T829" i="1" s="1"/>
  <c r="R827" i="1" l="1"/>
  <c r="S828" i="1"/>
  <c r="T828" i="1" s="1"/>
  <c r="S827" i="1" l="1"/>
  <c r="T827" i="1" s="1"/>
  <c r="R826" i="1"/>
  <c r="R825" i="1" l="1"/>
  <c r="S826" i="1"/>
  <c r="T826" i="1" s="1"/>
  <c r="R824" i="1" l="1"/>
  <c r="S825" i="1"/>
  <c r="T825" i="1" s="1"/>
  <c r="R823" i="1" l="1"/>
  <c r="S824" i="1"/>
  <c r="T824" i="1" s="1"/>
  <c r="S823" i="1" l="1"/>
  <c r="T823" i="1" s="1"/>
  <c r="R822" i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S818" i="1" l="1"/>
  <c r="T818" i="1" s="1"/>
  <c r="R817" i="1"/>
  <c r="S817" i="1" l="1"/>
  <c r="T817" i="1" s="1"/>
  <c r="R816" i="1"/>
  <c r="R815" i="1" l="1"/>
  <c r="S816" i="1"/>
  <c r="T816" i="1" s="1"/>
  <c r="R814" i="1" l="1"/>
  <c r="S815" i="1"/>
  <c r="T815" i="1" s="1"/>
  <c r="R813" i="1" l="1"/>
  <c r="S814" i="1"/>
  <c r="T814" i="1" s="1"/>
  <c r="S813" i="1" l="1"/>
  <c r="T813" i="1" s="1"/>
  <c r="R812" i="1"/>
  <c r="S812" i="1" l="1"/>
  <c r="T812" i="1" s="1"/>
  <c r="R811" i="1"/>
  <c r="R810" i="1" l="1"/>
  <c r="S811" i="1"/>
  <c r="T811" i="1" s="1"/>
  <c r="R809" i="1" l="1"/>
  <c r="S810" i="1"/>
  <c r="T810" i="1" s="1"/>
  <c r="R808" i="1" l="1"/>
  <c r="S809" i="1"/>
  <c r="T809" i="1" s="1"/>
  <c r="S808" i="1" l="1"/>
  <c r="T808" i="1" s="1"/>
  <c r="R807" i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S802" i="1" l="1"/>
  <c r="T802" i="1" s="1"/>
  <c r="R801" i="1"/>
  <c r="R800" i="1" l="1"/>
  <c r="S801" i="1"/>
  <c r="T801" i="1" s="1"/>
  <c r="R799" i="1" l="1"/>
  <c r="S800" i="1"/>
  <c r="T800" i="1" s="1"/>
  <c r="R798" i="1" l="1"/>
  <c r="S799" i="1"/>
  <c r="T799" i="1" s="1"/>
  <c r="S798" i="1" l="1"/>
  <c r="T798" i="1" s="1"/>
  <c r="R797" i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S791" i="1" l="1"/>
  <c r="T791" i="1" s="1"/>
  <c r="R790" i="1"/>
  <c r="S790" i="1" l="1"/>
  <c r="T790" i="1" s="1"/>
  <c r="R789" i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S784" i="1" l="1"/>
  <c r="T784" i="1" s="1"/>
  <c r="R783" i="1"/>
  <c r="R782" i="1" l="1"/>
  <c r="S783" i="1"/>
  <c r="T783" i="1" s="1"/>
  <c r="R781" i="1" l="1"/>
  <c r="S782" i="1"/>
  <c r="T782" i="1" s="1"/>
  <c r="R780" i="1" l="1"/>
  <c r="S781" i="1"/>
  <c r="T781" i="1" s="1"/>
  <c r="S780" i="1" l="1"/>
  <c r="T780" i="1" s="1"/>
  <c r="R779" i="1"/>
  <c r="R778" i="1" l="1"/>
  <c r="S779" i="1"/>
  <c r="T779" i="1" s="1"/>
  <c r="S778" i="1" l="1"/>
  <c r="T778" i="1" s="1"/>
  <c r="R777" i="1"/>
  <c r="R776" i="1" l="1"/>
  <c r="S777" i="1"/>
  <c r="T777" i="1" s="1"/>
  <c r="S776" i="1" l="1"/>
  <c r="T776" i="1" s="1"/>
  <c r="R775" i="1"/>
  <c r="S775" i="1" l="1"/>
  <c r="T775" i="1" s="1"/>
  <c r="R774" i="1"/>
  <c r="S774" i="1" l="1"/>
  <c r="T774" i="1" s="1"/>
  <c r="R773" i="1"/>
  <c r="R772" i="1" l="1"/>
  <c r="S773" i="1"/>
  <c r="T773" i="1" s="1"/>
  <c r="S772" i="1" l="1"/>
  <c r="T772" i="1" s="1"/>
  <c r="R771" i="1"/>
  <c r="R770" i="1" l="1"/>
  <c r="S771" i="1"/>
  <c r="T771" i="1" s="1"/>
  <c r="S770" i="1" l="1"/>
  <c r="T770" i="1" s="1"/>
  <c r="R769" i="1"/>
  <c r="R768" i="1" l="1"/>
  <c r="S769" i="1"/>
  <c r="T769" i="1" s="1"/>
  <c r="S768" i="1" l="1"/>
  <c r="T768" i="1" s="1"/>
  <c r="R767" i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S763" i="1" l="1"/>
  <c r="T763" i="1" s="1"/>
  <c r="R762" i="1"/>
  <c r="S762" i="1" l="1"/>
  <c r="T762" i="1" s="1"/>
  <c r="R761" i="1"/>
  <c r="S761" i="1" l="1"/>
  <c r="T761" i="1" s="1"/>
  <c r="R760" i="1"/>
  <c r="R759" i="1" l="1"/>
  <c r="S760" i="1"/>
  <c r="T760" i="1" s="1"/>
  <c r="S759" i="1" l="1"/>
  <c r="T759" i="1" s="1"/>
  <c r="R758" i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S750" i="1" l="1"/>
  <c r="T750" i="1" s="1"/>
  <c r="R749" i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S745" i="1" l="1"/>
  <c r="T745" i="1" s="1"/>
  <c r="R744" i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S737" i="1" l="1"/>
  <c r="T737" i="1" s="1"/>
  <c r="R736" i="1"/>
  <c r="R735" i="1" l="1"/>
  <c r="S736" i="1"/>
  <c r="T736" i="1" s="1"/>
  <c r="S735" i="1" l="1"/>
  <c r="T735" i="1" s="1"/>
  <c r="R734" i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S728" i="1" l="1"/>
  <c r="T728" i="1" s="1"/>
  <c r="R727" i="1"/>
  <c r="R726" i="1" l="1"/>
  <c r="S727" i="1"/>
  <c r="T727" i="1" s="1"/>
  <c r="S726" i="1" l="1"/>
  <c r="T726" i="1" s="1"/>
  <c r="R725" i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S701" i="1" l="1"/>
  <c r="T701" i="1" s="1"/>
  <c r="R700" i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R680" i="1" l="1"/>
  <c r="S681" i="1"/>
  <c r="T681" i="1" s="1"/>
  <c r="S680" i="1" l="1"/>
  <c r="T680" i="1" s="1"/>
  <c r="R679" i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S654" i="1" l="1"/>
  <c r="T654" i="1" s="1"/>
  <c r="R653" i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R626" i="1" l="1"/>
  <c r="S627" i="1"/>
  <c r="T627" i="1" s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S619" i="1" l="1"/>
  <c r="T619" i="1" s="1"/>
  <c r="R618" i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S603" i="1" l="1"/>
  <c r="T603" i="1" s="1"/>
  <c r="R602" i="1"/>
  <c r="R601" i="1" l="1"/>
  <c r="S602" i="1"/>
  <c r="T602" i="1" s="1"/>
  <c r="S601" i="1" l="1"/>
  <c r="T601" i="1" s="1"/>
  <c r="R600" i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S593" i="1" l="1"/>
  <c r="T593" i="1" s="1"/>
  <c r="R592" i="1"/>
  <c r="S592" i="1" l="1"/>
  <c r="T592" i="1" s="1"/>
  <c r="R591" i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R571" i="1" l="1"/>
  <c r="S572" i="1"/>
  <c r="T572" i="1" s="1"/>
  <c r="S571" i="1" l="1"/>
  <c r="T571" i="1" s="1"/>
  <c r="R570" i="1"/>
  <c r="S570" i="1" l="1"/>
  <c r="T570" i="1" s="1"/>
  <c r="R569" i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R518" i="1" l="1"/>
  <c r="S519" i="1"/>
  <c r="T519" i="1" s="1"/>
  <c r="S518" i="1" l="1"/>
  <c r="T518" i="1" s="1"/>
  <c r="R517" i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S508" i="1" l="1"/>
  <c r="T508" i="1" s="1"/>
  <c r="R507" i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S456" i="1" l="1"/>
  <c r="T456" i="1" s="1"/>
  <c r="R455" i="1"/>
  <c r="S455" i="1" l="1"/>
  <c r="T455" i="1" s="1"/>
  <c r="R454" i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S426" i="1" l="1"/>
  <c r="T426" i="1" s="1"/>
  <c r="R425" i="1"/>
  <c r="S425" i="1" l="1"/>
  <c r="T425" i="1" s="1"/>
  <c r="R424" i="1"/>
  <c r="S424" i="1" l="1"/>
  <c r="T424" i="1" s="1"/>
  <c r="R423" i="1"/>
  <c r="S423" i="1" l="1"/>
  <c r="T423" i="1" s="1"/>
  <c r="R422" i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S413" i="1" l="1"/>
  <c r="T413" i="1" s="1"/>
  <c r="R412" i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R392" i="1" l="1"/>
  <c r="S393" i="1"/>
  <c r="T393" i="1" s="1"/>
  <c r="S392" i="1" l="1"/>
  <c r="T392" i="1" s="1"/>
  <c r="R391" i="1"/>
  <c r="S391" i="1" l="1"/>
  <c r="T391" i="1" s="1"/>
  <c r="R390" i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S383" i="1" l="1"/>
  <c r="T383" i="1" s="1"/>
  <c r="R382" i="1"/>
  <c r="S382" i="1" l="1"/>
  <c r="T382" i="1" s="1"/>
  <c r="R381" i="1"/>
  <c r="S381" i="1" l="1"/>
  <c r="T381" i="1" s="1"/>
  <c r="R380" i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S338" i="1" l="1"/>
  <c r="T338" i="1" s="1"/>
  <c r="R337" i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S282" i="1" l="1"/>
  <c r="T282" i="1" s="1"/>
  <c r="R281" i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S263" i="1" l="1"/>
  <c r="T263" i="1" s="1"/>
  <c r="R262" i="1"/>
  <c r="S262" i="1" l="1"/>
  <c r="T262" i="1" s="1"/>
  <c r="R261" i="1"/>
  <c r="S261" i="1" l="1"/>
  <c r="T261" i="1" s="1"/>
  <c r="R260" i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S241" i="1" l="1"/>
  <c r="T241" i="1" s="1"/>
  <c r="R240" i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S212" i="1" l="1"/>
  <c r="T212" i="1" s="1"/>
  <c r="R211" i="1"/>
  <c r="R210" i="1" l="1"/>
  <c r="S211" i="1"/>
  <c r="T211" i="1" s="1"/>
  <c r="S210" i="1" l="1"/>
  <c r="T210" i="1" s="1"/>
  <c r="R209" i="1"/>
  <c r="S209" i="1" l="1"/>
  <c r="T209" i="1" s="1"/>
  <c r="R208" i="1"/>
  <c r="S208" i="1" l="1"/>
  <c r="T208" i="1" s="1"/>
  <c r="R207" i="1"/>
  <c r="R206" i="1" l="1"/>
  <c r="S207" i="1"/>
  <c r="T207" i="1" s="1"/>
  <c r="R205" i="1" l="1"/>
  <c r="S206" i="1"/>
  <c r="T206" i="1" s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S187" i="1" l="1"/>
  <c r="T187" i="1" s="1"/>
  <c r="R186" i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S79" i="1" l="1"/>
  <c r="T79" i="1" s="1"/>
  <c r="R78" i="1"/>
  <c r="S78" i="1" l="1"/>
  <c r="T78" i="1" s="1"/>
  <c r="R77" i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S53" i="1" l="1"/>
  <c r="T53" i="1" s="1"/>
  <c r="R52" i="1"/>
  <c r="R51" i="1" l="1"/>
  <c r="S52" i="1"/>
  <c r="T52" i="1" s="1"/>
  <c r="S51" i="1" l="1"/>
  <c r="T51" i="1" s="1"/>
  <c r="R50" i="1"/>
  <c r="S50" i="1" l="1"/>
  <c r="T50" i="1" s="1"/>
  <c r="R49" i="1"/>
  <c r="S49" i="1" l="1"/>
  <c r="T49" i="1" s="1"/>
  <c r="R48" i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<sst xmlns="http://schemas.openxmlformats.org/spreadsheetml/2006/main" count="9595" uniqueCount="34">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</sst>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2.8039999999999998</c:v>
                </c:pt>
                <c:pt idx="1">
                  <c:v>2.8119999999999998</c:v>
                </c:pt>
                <c:pt idx="2">
                  <c:v>2.605</c:v>
                </c:pt>
                <c:pt idx="3">
                  <c:v>2.597</c:v>
                </c:pt>
                <c:pt idx="4">
                  <c:v>2.7839999999999998</c:v>
                </c:pt>
                <c:pt idx="5">
                  <c:v>2.758</c:v>
                </c:pt>
                <c:pt idx="6">
                  <c:v>3.411</c:v>
                </c:pt>
                <c:pt idx="7">
                  <c:v>4.093</c:v>
                </c:pt>
                <c:pt idx="8">
                  <c:v>4.3339999999999996</c:v>
                </c:pt>
                <c:pt idx="9">
                  <c:v>4.2119999999999997</c:v>
                </c:pt>
                <c:pt idx="10">
                  <c:v>3.9569999999999999</c:v>
                </c:pt>
                <c:pt idx="11">
                  <c:v>4.2050000000000001</c:v>
                </c:pt>
                <c:pt idx="12">
                  <c:v>4.0919999999999996</c:v>
                </c:pt>
                <c:pt idx="13">
                  <c:v>4.1360000000000001</c:v>
                </c:pt>
                <c:pt idx="14">
                  <c:v>3.9790000000000001</c:v>
                </c:pt>
                <c:pt idx="15">
                  <c:v>4.2720000000000002</c:v>
                </c:pt>
                <c:pt idx="16">
                  <c:v>4.0960000000000001</c:v>
                </c:pt>
                <c:pt idx="17">
                  <c:v>3.84</c:v>
                </c:pt>
                <c:pt idx="18">
                  <c:v>4.0359999999999996</c:v>
                </c:pt>
                <c:pt idx="19">
                  <c:v>3.972</c:v>
                </c:pt>
                <c:pt idx="20">
                  <c:v>4.1890000000000001</c:v>
                </c:pt>
                <c:pt idx="21">
                  <c:v>4.3840000000000003</c:v>
                </c:pt>
                <c:pt idx="22">
                  <c:v>4.4109999999999996</c:v>
                </c:pt>
                <c:pt idx="23">
                  <c:v>4.7240000000000002</c:v>
                </c:pt>
                <c:pt idx="24">
                  <c:v>4.7030000000000003</c:v>
                </c:pt>
                <c:pt idx="25">
                  <c:v>4.883</c:v>
                </c:pt>
                <c:pt idx="26">
                  <c:v>4.9420000000000002</c:v>
                </c:pt>
                <c:pt idx="27">
                  <c:v>4.71</c:v>
                </c:pt>
                <c:pt idx="28">
                  <c:v>4.8120000000000003</c:v>
                </c:pt>
                <c:pt idx="29">
                  <c:v>4.9130000000000003</c:v>
                </c:pt>
                <c:pt idx="30">
                  <c:v>5.0830000000000002</c:v>
                </c:pt>
                <c:pt idx="31">
                  <c:v>5.4809999999999999</c:v>
                </c:pt>
                <c:pt idx="32">
                  <c:v>5.4829999999999997</c:v>
                </c:pt>
                <c:pt idx="33">
                  <c:v>5.016</c:v>
                </c:pt>
                <c:pt idx="34">
                  <c:v>4.7149999999999999</c:v>
                </c:pt>
                <c:pt idx="35">
                  <c:v>4.7649999999999997</c:v>
                </c:pt>
                <c:pt idx="36">
                  <c:v>4.4370000000000003</c:v>
                </c:pt>
                <c:pt idx="37">
                  <c:v>4.1509999999999998</c:v>
                </c:pt>
                <c:pt idx="38">
                  <c:v>3.9980000000000002</c:v>
                </c:pt>
                <c:pt idx="39">
                  <c:v>4.1360000000000001</c:v>
                </c:pt>
                <c:pt idx="40">
                  <c:v>4.0869999999999997</c:v>
                </c:pt>
                <c:pt idx="41">
                  <c:v>4.0380000000000003</c:v>
                </c:pt>
                <c:pt idx="42">
                  <c:v>4.25</c:v>
                </c:pt>
                <c:pt idx="43">
                  <c:v>4.3920000000000003</c:v>
                </c:pt>
                <c:pt idx="44">
                  <c:v>4.0359999999999996</c:v>
                </c:pt>
                <c:pt idx="45">
                  <c:v>3.9020000000000001</c:v>
                </c:pt>
                <c:pt idx="46">
                  <c:v>4.4219999999999997</c:v>
                </c:pt>
                <c:pt idx="47">
                  <c:v>4.3109999999999999</c:v>
                </c:pt>
                <c:pt idx="48">
                  <c:v>4.2649999999999997</c:v>
                </c:pt>
                <c:pt idx="49">
                  <c:v>4.4050000000000002</c:v>
                </c:pt>
                <c:pt idx="50">
                  <c:v>4.9180000000000001</c:v>
                </c:pt>
                <c:pt idx="51">
                  <c:v>4.681</c:v>
                </c:pt>
                <c:pt idx="52">
                  <c:v>4.7779999999999996</c:v>
                </c:pt>
                <c:pt idx="53">
                  <c:v>4.7389999999999999</c:v>
                </c:pt>
                <c:pt idx="54">
                  <c:v>5.1310000000000002</c:v>
                </c:pt>
                <c:pt idx="55">
                  <c:v>6.1509999999999998</c:v>
                </c:pt>
                <c:pt idx="56">
                  <c:v>6.375</c:v>
                </c:pt>
                <c:pt idx="57">
                  <c:v>6.5250000000000004</c:v>
                </c:pt>
                <c:pt idx="58">
                  <c:v>6.6139999999999999</c:v>
                </c:pt>
                <c:pt idx="59">
                  <c:v>6.657</c:v>
                </c:pt>
                <c:pt idx="60">
                  <c:v>6.6079999999999997</c:v>
                </c:pt>
                <c:pt idx="61">
                  <c:v>6.5419999999999998</c:v>
                </c:pt>
                <c:pt idx="62">
                  <c:v>6.5389999999999997</c:v>
                </c:pt>
                <c:pt idx="63">
                  <c:v>7.3929999999999998</c:v>
                </c:pt>
                <c:pt idx="64">
                  <c:v>6.75</c:v>
                </c:pt>
                <c:pt idx="65">
                  <c:v>6.8680000000000003</c:v>
                </c:pt>
                <c:pt idx="66">
                  <c:v>6.5090000000000003</c:v>
                </c:pt>
                <c:pt idx="67">
                  <c:v>7.1059999999999999</c:v>
                </c:pt>
                <c:pt idx="68">
                  <c:v>6.7110000000000003</c:v>
                </c:pt>
                <c:pt idx="69">
                  <c:v>6.3419999999999996</c:v>
                </c:pt>
                <c:pt idx="70">
                  <c:v>5.976</c:v>
                </c:pt>
                <c:pt idx="71">
                  <c:v>6.5890000000000004</c:v>
                </c:pt>
                <c:pt idx="72">
                  <c:v>6.2519999999999998</c:v>
                </c:pt>
                <c:pt idx="73">
                  <c:v>6.798</c:v>
                </c:pt>
                <c:pt idx="74">
                  <c:v>7.0469999999999997</c:v>
                </c:pt>
                <c:pt idx="75">
                  <c:v>7.1859999999999999</c:v>
                </c:pt>
                <c:pt idx="76">
                  <c:v>7.1760000000000002</c:v>
                </c:pt>
                <c:pt idx="77">
                  <c:v>7.36</c:v>
                </c:pt>
                <c:pt idx="78">
                  <c:v>7.3239999999999998</c:v>
                </c:pt>
                <c:pt idx="79">
                  <c:v>7.9109999999999996</c:v>
                </c:pt>
                <c:pt idx="80">
                  <c:v>7.8689999999999998</c:v>
                </c:pt>
                <c:pt idx="81">
                  <c:v>7.4530000000000003</c:v>
                </c:pt>
                <c:pt idx="82">
                  <c:v>7.4720000000000004</c:v>
                </c:pt>
                <c:pt idx="83">
                  <c:v>7.5620000000000003</c:v>
                </c:pt>
                <c:pt idx="84">
                  <c:v>7.7149999999999999</c:v>
                </c:pt>
                <c:pt idx="85">
                  <c:v>7.4080000000000004</c:v>
                </c:pt>
                <c:pt idx="86">
                  <c:v>7.62</c:v>
                </c:pt>
                <c:pt idx="87">
                  <c:v>7.3109999999999999</c:v>
                </c:pt>
                <c:pt idx="88">
                  <c:v>7.22</c:v>
                </c:pt>
                <c:pt idx="89">
                  <c:v>8.2080000000000002</c:v>
                </c:pt>
                <c:pt idx="90">
                  <c:v>6.9989999999999997</c:v>
                </c:pt>
                <c:pt idx="91">
                  <c:v>6.4550000000000001</c:v>
                </c:pt>
                <c:pt idx="92">
                  <c:v>6.1550000000000002</c:v>
                </c:pt>
                <c:pt idx="93">
                  <c:v>7.0179999999999998</c:v>
                </c:pt>
                <c:pt idx="94">
                  <c:v>6.8019999999999996</c:v>
                </c:pt>
                <c:pt idx="95">
                  <c:v>6.4429999999999996</c:v>
                </c:pt>
                <c:pt idx="96">
                  <c:v>6.5339999999999998</c:v>
                </c:pt>
                <c:pt idx="97">
                  <c:v>6.6669999999999998</c:v>
                </c:pt>
                <c:pt idx="98">
                  <c:v>5.9859999999999998</c:v>
                </c:pt>
                <c:pt idx="99">
                  <c:v>6.23</c:v>
                </c:pt>
                <c:pt idx="100">
                  <c:v>5.9329999999999998</c:v>
                </c:pt>
                <c:pt idx="101">
                  <c:v>5.8479999999999999</c:v>
                </c:pt>
                <c:pt idx="102">
                  <c:v>5.9660000000000002</c:v>
                </c:pt>
                <c:pt idx="103">
                  <c:v>6.1440000000000001</c:v>
                </c:pt>
                <c:pt idx="104">
                  <c:v>6.2709999999999999</c:v>
                </c:pt>
                <c:pt idx="105">
                  <c:v>6.0709999999999997</c:v>
                </c:pt>
                <c:pt idx="106">
                  <c:v>6.09</c:v>
                </c:pt>
                <c:pt idx="107">
                  <c:v>5.915</c:v>
                </c:pt>
                <c:pt idx="108">
                  <c:v>6.1669999999999998</c:v>
                </c:pt>
                <c:pt idx="109">
                  <c:v>6.327</c:v>
                </c:pt>
                <c:pt idx="110">
                  <c:v>6.94</c:v>
                </c:pt>
                <c:pt idx="111">
                  <c:v>6.4630000000000001</c:v>
                </c:pt>
                <c:pt idx="112">
                  <c:v>6.5119999999999996</c:v>
                </c:pt>
                <c:pt idx="113">
                  <c:v>6.4169999999999998</c:v>
                </c:pt>
                <c:pt idx="114">
                  <c:v>6.7290000000000001</c:v>
                </c:pt>
                <c:pt idx="115">
                  <c:v>6.0030000000000001</c:v>
                </c:pt>
                <c:pt idx="116">
                  <c:v>6.0979999999999999</c:v>
                </c:pt>
                <c:pt idx="117">
                  <c:v>6.0510000000000002</c:v>
                </c:pt>
                <c:pt idx="118">
                  <c:v>5.9829999999999997</c:v>
                </c:pt>
                <c:pt idx="119">
                  <c:v>5.048</c:v>
                </c:pt>
                <c:pt idx="120">
                  <c:v>4.827</c:v>
                </c:pt>
                <c:pt idx="121">
                  <c:v>4.6900000000000004</c:v>
                </c:pt>
                <c:pt idx="122">
                  <c:v>4.9240000000000004</c:v>
                </c:pt>
                <c:pt idx="123">
                  <c:v>5.0990000000000002</c:v>
                </c:pt>
                <c:pt idx="124">
                  <c:v>5.0979999999999999</c:v>
                </c:pt>
                <c:pt idx="125">
                  <c:v>5.181</c:v>
                </c:pt>
                <c:pt idx="126">
                  <c:v>5.7069999999999999</c:v>
                </c:pt>
                <c:pt idx="127">
                  <c:v>5.5750000000000002</c:v>
                </c:pt>
                <c:pt idx="128">
                  <c:v>5.016</c:v>
                </c:pt>
                <c:pt idx="129">
                  <c:v>5.5149999999999997</c:v>
                </c:pt>
                <c:pt idx="130">
                  <c:v>6.0990000000000002</c:v>
                </c:pt>
                <c:pt idx="131">
                  <c:v>6.367</c:v>
                </c:pt>
                <c:pt idx="132">
                  <c:v>6.319</c:v>
                </c:pt>
                <c:pt idx="133">
                  <c:v>6.6529999999999996</c:v>
                </c:pt>
                <c:pt idx="134">
                  <c:v>6.867</c:v>
                </c:pt>
                <c:pt idx="135">
                  <c:v>6.4660000000000002</c:v>
                </c:pt>
                <c:pt idx="136">
                  <c:v>6.125</c:v>
                </c:pt>
                <c:pt idx="137">
                  <c:v>6.5880000000000001</c:v>
                </c:pt>
                <c:pt idx="138">
                  <c:v>6.45</c:v>
                </c:pt>
                <c:pt idx="139">
                  <c:v>6.4550000000000001</c:v>
                </c:pt>
                <c:pt idx="140">
                  <c:v>6.9880000000000004</c:v>
                </c:pt>
                <c:pt idx="141">
                  <c:v>6.8129999999999997</c:v>
                </c:pt>
                <c:pt idx="142">
                  <c:v>7.032</c:v>
                </c:pt>
                <c:pt idx="143">
                  <c:v>9.2149999999999999</c:v>
                </c:pt>
                <c:pt idx="144">
                  <c:v>8.1880000000000006</c:v>
                </c:pt>
                <c:pt idx="145">
                  <c:v>7.5170000000000003</c:v>
                </c:pt>
                <c:pt idx="146">
                  <c:v>7.2560000000000002</c:v>
                </c:pt>
                <c:pt idx="147">
                  <c:v>7.024</c:v>
                </c:pt>
                <c:pt idx="148">
                  <c:v>7.109</c:v>
                </c:pt>
                <c:pt idx="149">
                  <c:v>6.6609999999999996</c:v>
                </c:pt>
                <c:pt idx="150">
                  <c:v>6.5830000000000002</c:v>
                </c:pt>
                <c:pt idx="151">
                  <c:v>6.9139999999999997</c:v>
                </c:pt>
                <c:pt idx="152">
                  <c:v>6.9180000000000001</c:v>
                </c:pt>
                <c:pt idx="153">
                  <c:v>6.9509999999999996</c:v>
                </c:pt>
                <c:pt idx="154">
                  <c:v>6.5250000000000004</c:v>
                </c:pt>
                <c:pt idx="155">
                  <c:v>7.2069999999999999</c:v>
                </c:pt>
                <c:pt idx="156">
                  <c:v>7.0570000000000004</c:v>
                </c:pt>
                <c:pt idx="157">
                  <c:v>7.8289999999999997</c:v>
                </c:pt>
                <c:pt idx="158">
                  <c:v>7.3860000000000001</c:v>
                </c:pt>
                <c:pt idx="159">
                  <c:v>7.2640000000000002</c:v>
                </c:pt>
                <c:pt idx="160">
                  <c:v>7.2759999999999998</c:v>
                </c:pt>
                <c:pt idx="161">
                  <c:v>7.1509999999999998</c:v>
                </c:pt>
                <c:pt idx="162">
                  <c:v>6.843</c:v>
                </c:pt>
                <c:pt idx="163">
                  <c:v>6.98</c:v>
                </c:pt>
                <c:pt idx="164">
                  <c:v>7.6050000000000004</c:v>
                </c:pt>
                <c:pt idx="165">
                  <c:v>7.4619999999999997</c:v>
                </c:pt>
                <c:pt idx="166">
                  <c:v>7.2169999999999996</c:v>
                </c:pt>
                <c:pt idx="167">
                  <c:v>7.1619999999999999</c:v>
                </c:pt>
                <c:pt idx="168">
                  <c:v>6.7720000000000002</c:v>
                </c:pt>
                <c:pt idx="169">
                  <c:v>7.1520000000000001</c:v>
                </c:pt>
                <c:pt idx="170">
                  <c:v>6.9379999999999997</c:v>
                </c:pt>
                <c:pt idx="171">
                  <c:v>6.7670000000000003</c:v>
                </c:pt>
                <c:pt idx="172">
                  <c:v>6.4080000000000004</c:v>
                </c:pt>
                <c:pt idx="173">
                  <c:v>6.9359999999999999</c:v>
                </c:pt>
                <c:pt idx="174">
                  <c:v>6.8869999999999996</c:v>
                </c:pt>
                <c:pt idx="175">
                  <c:v>7.1349999999999998</c:v>
                </c:pt>
                <c:pt idx="176">
                  <c:v>6.069</c:v>
                </c:pt>
                <c:pt idx="177">
                  <c:v>5.915</c:v>
                </c:pt>
                <c:pt idx="178">
                  <c:v>5.8250000000000002</c:v>
                </c:pt>
                <c:pt idx="179">
                  <c:v>5.75</c:v>
                </c:pt>
                <c:pt idx="180">
                  <c:v>6.1020000000000003</c:v>
                </c:pt>
                <c:pt idx="181">
                  <c:v>5.98</c:v>
                </c:pt>
                <c:pt idx="182">
                  <c:v>6.0359999999999996</c:v>
                </c:pt>
                <c:pt idx="183">
                  <c:v>5.8049999999999997</c:v>
                </c:pt>
                <c:pt idx="184">
                  <c:v>5.968</c:v>
                </c:pt>
                <c:pt idx="185">
                  <c:v>5.6379999999999999</c:v>
                </c:pt>
                <c:pt idx="186">
                  <c:v>6.1269999999999998</c:v>
                </c:pt>
                <c:pt idx="187">
                  <c:v>5.6079999999999997</c:v>
                </c:pt>
                <c:pt idx="188">
                  <c:v>5.0129999999999999</c:v>
                </c:pt>
                <c:pt idx="189">
                  <c:v>4.8419999999999996</c:v>
                </c:pt>
                <c:pt idx="190">
                  <c:v>4.4180000000000001</c:v>
                </c:pt>
                <c:pt idx="191">
                  <c:v>3.6579999999999999</c:v>
                </c:pt>
                <c:pt idx="192">
                  <c:v>4.0709999999999997</c:v>
                </c:pt>
                <c:pt idx="193">
                  <c:v>4.4329999999999998</c:v>
                </c:pt>
                <c:pt idx="194">
                  <c:v>4.4370000000000003</c:v>
                </c:pt>
                <c:pt idx="195">
                  <c:v>4.4160000000000004</c:v>
                </c:pt>
                <c:pt idx="196">
                  <c:v>4.8760000000000003</c:v>
                </c:pt>
                <c:pt idx="197">
                  <c:v>5.1660000000000004</c:v>
                </c:pt>
                <c:pt idx="198">
                  <c:v>5.2839999999999998</c:v>
                </c:pt>
                <c:pt idx="199">
                  <c:v>5.56</c:v>
                </c:pt>
                <c:pt idx="200">
                  <c:v>5.94</c:v>
                </c:pt>
                <c:pt idx="201">
                  <c:v>5.9</c:v>
                </c:pt>
                <c:pt idx="202">
                  <c:v>6.069</c:v>
                </c:pt>
                <c:pt idx="203">
                  <c:v>6.1369999999999996</c:v>
                </c:pt>
                <c:pt idx="204">
                  <c:v>6.3689999999999998</c:v>
                </c:pt>
                <c:pt idx="205">
                  <c:v>6.1230000000000002</c:v>
                </c:pt>
                <c:pt idx="206">
                  <c:v>5.9379999999999997</c:v>
                </c:pt>
                <c:pt idx="207">
                  <c:v>6.34</c:v>
                </c:pt>
                <c:pt idx="208">
                  <c:v>6.2720000000000002</c:v>
                </c:pt>
                <c:pt idx="209">
                  <c:v>6.2430000000000003</c:v>
                </c:pt>
                <c:pt idx="210">
                  <c:v>6.2969999999999997</c:v>
                </c:pt>
                <c:pt idx="211">
                  <c:v>6.9169999999999998</c:v>
                </c:pt>
                <c:pt idx="212">
                  <c:v>7.1219999999999999</c:v>
                </c:pt>
                <c:pt idx="213">
                  <c:v>6.9290000000000003</c:v>
                </c:pt>
                <c:pt idx="214">
                  <c:v>6.9180000000000001</c:v>
                </c:pt>
                <c:pt idx="215">
                  <c:v>6.5570000000000004</c:v>
                </c:pt>
                <c:pt idx="216">
                  <c:v>6.6769999999999996</c:v>
                </c:pt>
                <c:pt idx="217">
                  <c:v>7.3040000000000003</c:v>
                </c:pt>
                <c:pt idx="218">
                  <c:v>6.9180000000000001</c:v>
                </c:pt>
                <c:pt idx="219">
                  <c:v>6.4880000000000004</c:v>
                </c:pt>
                <c:pt idx="220">
                  <c:v>6.5179999999999998</c:v>
                </c:pt>
                <c:pt idx="221">
                  <c:v>8.6999999999999993</c:v>
                </c:pt>
                <c:pt idx="222">
                  <c:v>8.8109999999999999</c:v>
                </c:pt>
                <c:pt idx="223">
                  <c:v>9.0109999999999992</c:v>
                </c:pt>
                <c:pt idx="224">
                  <c:v>9.5190000000000001</c:v>
                </c:pt>
                <c:pt idx="225">
                  <c:v>8.9730000000000008</c:v>
                </c:pt>
                <c:pt idx="226">
                  <c:v>8.9149999999999991</c:v>
                </c:pt>
                <c:pt idx="227">
                  <c:v>9.0619999999999994</c:v>
                </c:pt>
                <c:pt idx="228">
                  <c:v>8.7710000000000008</c:v>
                </c:pt>
                <c:pt idx="229">
                  <c:v>7.8079999999999998</c:v>
                </c:pt>
                <c:pt idx="230">
                  <c:v>7.9429999999999996</c:v>
                </c:pt>
                <c:pt idx="231">
                  <c:v>8.7319999999999993</c:v>
                </c:pt>
                <c:pt idx="232">
                  <c:v>9.3849999999999998</c:v>
                </c:pt>
                <c:pt idx="233">
                  <c:v>8.92</c:v>
                </c:pt>
                <c:pt idx="234">
                  <c:v>8.7289999999999992</c:v>
                </c:pt>
                <c:pt idx="235">
                  <c:v>8.8439999999999994</c:v>
                </c:pt>
                <c:pt idx="236">
                  <c:v>8.9499999999999993</c:v>
                </c:pt>
                <c:pt idx="237">
                  <c:v>8.8409999999999993</c:v>
                </c:pt>
                <c:pt idx="238">
                  <c:v>9.5730000000000004</c:v>
                </c:pt>
                <c:pt idx="239">
                  <c:v>7.944</c:v>
                </c:pt>
                <c:pt idx="240">
                  <c:v>7.5039999999999996</c:v>
                </c:pt>
                <c:pt idx="241">
                  <c:v>7.1059999999999999</c:v>
                </c:pt>
                <c:pt idx="242">
                  <c:v>6.5119999999999996</c:v>
                </c:pt>
                <c:pt idx="243">
                  <c:v>6.3419999999999996</c:v>
                </c:pt>
                <c:pt idx="244">
                  <c:v>6.5570000000000004</c:v>
                </c:pt>
                <c:pt idx="245">
                  <c:v>7.8789999999999996</c:v>
                </c:pt>
                <c:pt idx="246">
                  <c:v>7.6470000000000002</c:v>
                </c:pt>
                <c:pt idx="247">
                  <c:v>6.8959999999999999</c:v>
                </c:pt>
                <c:pt idx="248">
                  <c:v>6.7560000000000002</c:v>
                </c:pt>
                <c:pt idx="249">
                  <c:v>5.9020000000000001</c:v>
                </c:pt>
                <c:pt idx="250">
                  <c:v>6.8840000000000003</c:v>
                </c:pt>
                <c:pt idx="251">
                  <c:v>6.3620000000000001</c:v>
                </c:pt>
                <c:pt idx="252">
                  <c:v>7.2869999999999999</c:v>
                </c:pt>
                <c:pt idx="253">
                  <c:v>5.8440000000000003</c:v>
                </c:pt>
                <c:pt idx="254">
                  <c:v>9.7750000000000004</c:v>
                </c:pt>
                <c:pt idx="255">
                  <c:v>9.6880000000000006</c:v>
                </c:pt>
                <c:pt idx="256">
                  <c:v>9.4329999999999998</c:v>
                </c:pt>
                <c:pt idx="257">
                  <c:v>9.3379999999999992</c:v>
                </c:pt>
                <c:pt idx="258">
                  <c:v>10.005000000000001</c:v>
                </c:pt>
                <c:pt idx="259">
                  <c:v>9.7799999999999994</c:v>
                </c:pt>
                <c:pt idx="260">
                  <c:v>9.16</c:v>
                </c:pt>
                <c:pt idx="261">
                  <c:v>10.842000000000001</c:v>
                </c:pt>
                <c:pt idx="262">
                  <c:v>10.491</c:v>
                </c:pt>
                <c:pt idx="263">
                  <c:v>11.956</c:v>
                </c:pt>
                <c:pt idx="264">
                  <c:v>12.297000000000001</c:v>
                </c:pt>
                <c:pt idx="265">
                  <c:v>11.507</c:v>
                </c:pt>
                <c:pt idx="266">
                  <c:v>10.868</c:v>
                </c:pt>
                <c:pt idx="267">
                  <c:v>10.992000000000001</c:v>
                </c:pt>
                <c:pt idx="268">
                  <c:v>10.211</c:v>
                </c:pt>
                <c:pt idx="269">
                  <c:v>11.497999999999999</c:v>
                </c:pt>
                <c:pt idx="270">
                  <c:v>10.946</c:v>
                </c:pt>
                <c:pt idx="271">
                  <c:v>11.484999999999999</c:v>
                </c:pt>
                <c:pt idx="272">
                  <c:v>11.183999999999999</c:v>
                </c:pt>
                <c:pt idx="273">
                  <c:v>10.896000000000001</c:v>
                </c:pt>
                <c:pt idx="274">
                  <c:v>11.041</c:v>
                </c:pt>
                <c:pt idx="275">
                  <c:v>11.265000000000001</c:v>
                </c:pt>
                <c:pt idx="276">
                  <c:v>10.759</c:v>
                </c:pt>
                <c:pt idx="277">
                  <c:v>9.1669999999999998</c:v>
                </c:pt>
                <c:pt idx="278">
                  <c:v>8.6601700000000008</c:v>
                </c:pt>
                <c:pt idx="279">
                  <c:v>9.9452800000000003</c:v>
                </c:pt>
                <c:pt idx="280">
                  <c:v>9.9040800000000004</c:v>
                </c:pt>
                <c:pt idx="281">
                  <c:v>11.013590000000001</c:v>
                </c:pt>
                <c:pt idx="282">
                  <c:v>11.751860000000001</c:v>
                </c:pt>
                <c:pt idx="283">
                  <c:v>10.79894</c:v>
                </c:pt>
                <c:pt idx="284">
                  <c:v>11.765129999999999</c:v>
                </c:pt>
                <c:pt idx="285">
                  <c:v>13.289149999999999</c:v>
                </c:pt>
                <c:pt idx="286">
                  <c:v>14.20003</c:v>
                </c:pt>
                <c:pt idx="287">
                  <c:v>12.565799999999999</c:v>
                </c:pt>
                <c:pt idx="288">
                  <c:v>12.147220000000001</c:v>
                </c:pt>
                <c:pt idx="289">
                  <c:v>12.423080000000001</c:v>
                </c:pt>
                <c:pt idx="290">
                  <c:v>12.132860000000001</c:v>
                </c:pt>
                <c:pt idx="291">
                  <c:v>12.19659</c:v>
                </c:pt>
                <c:pt idx="292">
                  <c:v>12.37453</c:v>
                </c:pt>
                <c:pt idx="293">
                  <c:v>12.63749</c:v>
                </c:pt>
                <c:pt idx="294">
                  <c:v>12.913360000000001</c:v>
                </c:pt>
                <c:pt idx="295">
                  <c:v>12.287699999999999</c:v>
                </c:pt>
                <c:pt idx="296">
                  <c:v>11.71977</c:v>
                </c:pt>
                <c:pt idx="297">
                  <c:v>11.604419999999999</c:v>
                </c:pt>
                <c:pt idx="298">
                  <c:v>11.787269999999999</c:v>
                </c:pt>
                <c:pt idx="299">
                  <c:v>11.390420000000001</c:v>
                </c:pt>
                <c:pt idx="300">
                  <c:v>11.67188</c:v>
                </c:pt>
                <c:pt idx="301">
                  <c:v>11.518140000000001</c:v>
                </c:pt>
                <c:pt idx="302">
                  <c:v>12.32709</c:v>
                </c:pt>
                <c:pt idx="303">
                  <c:v>12.882110000000001</c:v>
                </c:pt>
                <c:pt idx="304">
                  <c:v>13.132820000000001</c:v>
                </c:pt>
                <c:pt idx="305">
                  <c:v>12.863020000000001</c:v>
                </c:pt>
                <c:pt idx="306">
                  <c:v>11.813750000000001</c:v>
                </c:pt>
                <c:pt idx="307">
                  <c:v>12.61731</c:v>
                </c:pt>
                <c:pt idx="308">
                  <c:v>13.12322</c:v>
                </c:pt>
                <c:pt idx="309">
                  <c:v>11.223599999999999</c:v>
                </c:pt>
                <c:pt idx="310">
                  <c:v>12.9</c:v>
                </c:pt>
                <c:pt idx="311">
                  <c:v>10.006220000000001</c:v>
                </c:pt>
                <c:pt idx="312">
                  <c:v>9.6251599999999993</c:v>
                </c:pt>
                <c:pt idx="313">
                  <c:v>8.3018099999999997</c:v>
                </c:pt>
                <c:pt idx="314">
                  <c:v>8.2102299999999993</c:v>
                </c:pt>
                <c:pt idx="315">
                  <c:v>8.4047199999999993</c:v>
                </c:pt>
                <c:pt idx="316">
                  <c:v>7.87</c:v>
                </c:pt>
                <c:pt idx="317">
                  <c:v>7.0216599999999998</c:v>
                </c:pt>
                <c:pt idx="318">
                  <c:v>6.7529199999999996</c:v>
                </c:pt>
                <c:pt idx="319">
                  <c:v>7.3378800000000002</c:v>
                </c:pt>
                <c:pt idx="320">
                  <c:v>6.83</c:v>
                </c:pt>
                <c:pt idx="321">
                  <c:v>6.9264900000000003</c:v>
                </c:pt>
                <c:pt idx="322">
                  <c:v>7.0307899999999997</c:v>
                </c:pt>
                <c:pt idx="323">
                  <c:v>6.49261</c:v>
                </c:pt>
                <c:pt idx="324">
                  <c:v>5.3642599999999998</c:v>
                </c:pt>
                <c:pt idx="325">
                  <c:v>4.9283599999999996</c:v>
                </c:pt>
                <c:pt idx="326">
                  <c:v>4.33521</c:v>
                </c:pt>
                <c:pt idx="327">
                  <c:v>4.1567499999999997</c:v>
                </c:pt>
                <c:pt idx="328">
                  <c:v>4.1289600000000002</c:v>
                </c:pt>
                <c:pt idx="329">
                  <c:v>4.45092</c:v>
                </c:pt>
                <c:pt idx="330">
                  <c:v>3.9903499999999998</c:v>
                </c:pt>
                <c:pt idx="331">
                  <c:v>3.70038</c:v>
                </c:pt>
                <c:pt idx="332">
                  <c:v>3.2819400000000001</c:v>
                </c:pt>
                <c:pt idx="333">
                  <c:v>3.1347499999999999</c:v>
                </c:pt>
                <c:pt idx="334">
                  <c:v>3.1564100000000002</c:v>
                </c:pt>
                <c:pt idx="335">
                  <c:v>3.0550799999999998</c:v>
                </c:pt>
                <c:pt idx="336">
                  <c:v>2.9926900000000001</c:v>
                </c:pt>
                <c:pt idx="337">
                  <c:v>3.32063</c:v>
                </c:pt>
                <c:pt idx="338">
                  <c:v>3.0597500000000002</c:v>
                </c:pt>
                <c:pt idx="339">
                  <c:v>3.3358599999999998</c:v>
                </c:pt>
                <c:pt idx="340">
                  <c:v>3.56677</c:v>
                </c:pt>
                <c:pt idx="341">
                  <c:v>3.68594</c:v>
                </c:pt>
                <c:pt idx="342">
                  <c:v>3.7093699999999998</c:v>
                </c:pt>
                <c:pt idx="343">
                  <c:v>3.5666899999999999</c:v>
                </c:pt>
                <c:pt idx="344">
                  <c:v>3.5079899999999999</c:v>
                </c:pt>
                <c:pt idx="345">
                  <c:v>3.4084300000000001</c:v>
                </c:pt>
                <c:pt idx="346">
                  <c:v>3.38903</c:v>
                </c:pt>
                <c:pt idx="347">
                  <c:v>3.1831800000000001</c:v>
                </c:pt>
                <c:pt idx="348">
                  <c:v>3.3486899999999999</c:v>
                </c:pt>
                <c:pt idx="349">
                  <c:v>2.99681</c:v>
                </c:pt>
                <c:pt idx="350">
                  <c:v>2.9256199999999999</c:v>
                </c:pt>
                <c:pt idx="351">
                  <c:v>2.8309899999999999</c:v>
                </c:pt>
                <c:pt idx="352">
                  <c:v>2.90652</c:v>
                </c:pt>
                <c:pt idx="353">
                  <c:v>2.9094899999999999</c:v>
                </c:pt>
                <c:pt idx="354">
                  <c:v>2.2906900000000001</c:v>
                </c:pt>
                <c:pt idx="355">
                  <c:v>2.27908</c:v>
                </c:pt>
                <c:pt idx="356">
                  <c:v>2.4286599999999998</c:v>
                </c:pt>
                <c:pt idx="357">
                  <c:v>2.129</c:v>
                </c:pt>
                <c:pt idx="358">
                  <c:v>2.1875100000000001</c:v>
                </c:pt>
                <c:pt idx="359">
                  <c:v>2.1533000000000002</c:v>
                </c:pt>
                <c:pt idx="360">
                  <c:v>2.04053</c:v>
                </c:pt>
                <c:pt idx="361">
                  <c:v>1.91015</c:v>
                </c:pt>
                <c:pt idx="362">
                  <c:v>2.00197</c:v>
                </c:pt>
                <c:pt idx="363">
                  <c:v>2.0564100000000001</c:v>
                </c:pt>
                <c:pt idx="364">
                  <c:v>1.99193</c:v>
                </c:pt>
                <c:pt idx="365">
                  <c:v>1.9930699999999999</c:v>
                </c:pt>
                <c:pt idx="366">
                  <c:v>2.2869999999999999</c:v>
                </c:pt>
                <c:pt idx="367">
                  <c:v>2.0752899999999999</c:v>
                </c:pt>
                <c:pt idx="368">
                  <c:v>1.95055</c:v>
                </c:pt>
                <c:pt idx="369">
                  <c:v>1.9288000000000001</c:v>
                </c:pt>
                <c:pt idx="370">
                  <c:v>1.89757</c:v>
                </c:pt>
                <c:pt idx="371">
                  <c:v>1.7418</c:v>
                </c:pt>
                <c:pt idx="372">
                  <c:v>2.03281</c:v>
                </c:pt>
                <c:pt idx="373">
                  <c:v>1.998</c:v>
                </c:pt>
                <c:pt idx="374">
                  <c:v>2.0469499999999998</c:v>
                </c:pt>
                <c:pt idx="375">
                  <c:v>2.00854</c:v>
                </c:pt>
                <c:pt idx="376">
                  <c:v>2.04406</c:v>
                </c:pt>
                <c:pt idx="377">
                  <c:v>2.0554899999999998</c:v>
                </c:pt>
                <c:pt idx="378">
                  <c:v>2.1914600000000002</c:v>
                </c:pt>
                <c:pt idx="379">
                  <c:v>2.0952199999999999</c:v>
                </c:pt>
                <c:pt idx="380">
                  <c:v>1.8214999999999999</c:v>
                </c:pt>
                <c:pt idx="381">
                  <c:v>1.81684</c:v>
                </c:pt>
                <c:pt idx="382">
                  <c:v>1.98621</c:v>
                </c:pt>
                <c:pt idx="383">
                  <c:v>2.0410300000000001</c:v>
                </c:pt>
                <c:pt idx="384">
                  <c:v>1.99427</c:v>
                </c:pt>
                <c:pt idx="385">
                  <c:v>1.9879100000000001</c:v>
                </c:pt>
                <c:pt idx="386">
                  <c:v>2.16676</c:v>
                </c:pt>
                <c:pt idx="387">
                  <c:v>2.1319300000000001</c:v>
                </c:pt>
                <c:pt idx="388">
                  <c:v>1.96868</c:v>
                </c:pt>
                <c:pt idx="389">
                  <c:v>2.1259700000000001</c:v>
                </c:pt>
                <c:pt idx="390">
                  <c:v>2.4002400000000002</c:v>
                </c:pt>
                <c:pt idx="391">
                  <c:v>1.96621</c:v>
                </c:pt>
                <c:pt idx="392">
                  <c:v>1.8622399999999999</c:v>
                </c:pt>
                <c:pt idx="393">
                  <c:v>1.5969199999999999</c:v>
                </c:pt>
                <c:pt idx="394">
                  <c:v>1.4320600000000001</c:v>
                </c:pt>
                <c:pt idx="395">
                  <c:v>1.55606</c:v>
                </c:pt>
                <c:pt idx="396">
                  <c:v>1.3504499999999999</c:v>
                </c:pt>
                <c:pt idx="397">
                  <c:v>1.66866</c:v>
                </c:pt>
                <c:pt idx="398">
                  <c:v>1.28291</c:v>
                </c:pt>
                <c:pt idx="399">
                  <c:v>1.18574</c:v>
                </c:pt>
                <c:pt idx="400">
                  <c:v>1.0691200000000001</c:v>
                </c:pt>
                <c:pt idx="401">
                  <c:v>1.0861799999999999</c:v>
                </c:pt>
                <c:pt idx="402">
                  <c:v>0.92725000000000002</c:v>
                </c:pt>
                <c:pt idx="403">
                  <c:v>0.91500000000000004</c:v>
                </c:pt>
                <c:pt idx="404">
                  <c:v>0.90017000000000003</c:v>
                </c:pt>
                <c:pt idx="405">
                  <c:v>0.90712999999999999</c:v>
                </c:pt>
                <c:pt idx="406">
                  <c:v>0.81540000000000001</c:v>
                </c:pt>
                <c:pt idx="407">
                  <c:v>0.85623000000000005</c:v>
                </c:pt>
                <c:pt idx="408">
                  <c:v>0.76353000000000004</c:v>
                </c:pt>
                <c:pt idx="409">
                  <c:v>0.75209000000000004</c:v>
                </c:pt>
                <c:pt idx="410">
                  <c:v>0.72938000000000003</c:v>
                </c:pt>
                <c:pt idx="411">
                  <c:v>0.69225000000000003</c:v>
                </c:pt>
                <c:pt idx="412">
                  <c:v>0.68052000000000001</c:v>
                </c:pt>
                <c:pt idx="413">
                  <c:v>0.67991999999999997</c:v>
                </c:pt>
                <c:pt idx="414">
                  <c:v>0.72396000000000005</c:v>
                </c:pt>
                <c:pt idx="415">
                  <c:v>0.745</c:v>
                </c:pt>
                <c:pt idx="416">
                  <c:v>0.68215999999999999</c:v>
                </c:pt>
                <c:pt idx="417">
                  <c:v>0.69940999999999998</c:v>
                </c:pt>
                <c:pt idx="418">
                  <c:v>0.73777999999999999</c:v>
                </c:pt>
                <c:pt idx="419">
                  <c:v>0.66647999999999996</c:v>
                </c:pt>
                <c:pt idx="420">
                  <c:v>0.66364999999999996</c:v>
                </c:pt>
                <c:pt idx="421">
                  <c:v>0.63197999999999999</c:v>
                </c:pt>
                <c:pt idx="422">
                  <c:v>0.61372000000000004</c:v>
                </c:pt>
                <c:pt idx="423">
                  <c:v>0.64280000000000004</c:v>
                </c:pt>
                <c:pt idx="424">
                  <c:v>0.61777000000000004</c:v>
                </c:pt>
                <c:pt idx="425">
                  <c:v>0.62438000000000005</c:v>
                </c:pt>
                <c:pt idx="426">
                  <c:v>0.60687999999999998</c:v>
                </c:pt>
                <c:pt idx="427">
                  <c:v>0.62041000000000002</c:v>
                </c:pt>
                <c:pt idx="428">
                  <c:v>0.69374000000000002</c:v>
                </c:pt>
                <c:pt idx="429">
                  <c:v>0.69194</c:v>
                </c:pt>
                <c:pt idx="430">
                  <c:v>0.66535</c:v>
                </c:pt>
                <c:pt idx="431">
                  <c:v>0.64934000000000003</c:v>
                </c:pt>
                <c:pt idx="432">
                  <c:v>0.70206999999999997</c:v>
                </c:pt>
                <c:pt idx="433">
                  <c:v>0.64344999999999997</c:v>
                </c:pt>
                <c:pt idx="434">
                  <c:v>0.62244999999999995</c:v>
                </c:pt>
                <c:pt idx="435">
                  <c:v>0.62258999999999998</c:v>
                </c:pt>
                <c:pt idx="436">
                  <c:v>0.65410999999999997</c:v>
                </c:pt>
                <c:pt idx="437">
                  <c:v>0.61960999999999999</c:v>
                </c:pt>
                <c:pt idx="438">
                  <c:v>0.60341</c:v>
                </c:pt>
                <c:pt idx="439">
                  <c:v>0.61226000000000003</c:v>
                </c:pt>
                <c:pt idx="440">
                  <c:v>0.63124999999999998</c:v>
                </c:pt>
                <c:pt idx="441">
                  <c:v>0.60068999999999995</c:v>
                </c:pt>
                <c:pt idx="442">
                  <c:v>0.61131999999999997</c:v>
                </c:pt>
                <c:pt idx="443">
                  <c:v>0.64041000000000003</c:v>
                </c:pt>
                <c:pt idx="444">
                  <c:v>0.64278000000000002</c:v>
                </c:pt>
                <c:pt idx="445">
                  <c:v>0.66452</c:v>
                </c:pt>
                <c:pt idx="446">
                  <c:v>0.63819999999999999</c:v>
                </c:pt>
                <c:pt idx="447">
                  <c:v>0.67759000000000003</c:v>
                </c:pt>
                <c:pt idx="448">
                  <c:v>0.62873000000000001</c:v>
                </c:pt>
                <c:pt idx="449">
                  <c:v>0.59119999999999995</c:v>
                </c:pt>
                <c:pt idx="450">
                  <c:v>0.58274999999999999</c:v>
                </c:pt>
                <c:pt idx="451">
                  <c:v>0.58875</c:v>
                </c:pt>
                <c:pt idx="452">
                  <c:v>0.61156999999999995</c:v>
                </c:pt>
                <c:pt idx="453">
                  <c:v>0.61053999999999997</c:v>
                </c:pt>
                <c:pt idx="454">
                  <c:v>0.61075999999999997</c:v>
                </c:pt>
                <c:pt idx="455">
                  <c:v>0.59394999999999998</c:v>
                </c:pt>
                <c:pt idx="456">
                  <c:v>0.62366999999999995</c:v>
                </c:pt>
                <c:pt idx="457">
                  <c:v>0.65888999999999998</c:v>
                </c:pt>
                <c:pt idx="458">
                  <c:v>0.65422999999999998</c:v>
                </c:pt>
                <c:pt idx="459">
                  <c:v>0.69501999999999997</c:v>
                </c:pt>
                <c:pt idx="460">
                  <c:v>0.72109000000000001</c:v>
                </c:pt>
                <c:pt idx="461">
                  <c:v>0.64431000000000005</c:v>
                </c:pt>
                <c:pt idx="462">
                  <c:v>0.65471999999999997</c:v>
                </c:pt>
                <c:pt idx="463">
                  <c:v>0.63729999999999998</c:v>
                </c:pt>
                <c:pt idx="464">
                  <c:v>0.59840000000000004</c:v>
                </c:pt>
                <c:pt idx="465">
                  <c:v>0.63117999999999996</c:v>
                </c:pt>
                <c:pt idx="466">
                  <c:v>0.66983000000000004</c:v>
                </c:pt>
                <c:pt idx="467">
                  <c:v>0.62436999999999998</c:v>
                </c:pt>
                <c:pt idx="468">
                  <c:v>0.66164999999999996</c:v>
                </c:pt>
                <c:pt idx="469">
                  <c:v>0.6885</c:v>
                </c:pt>
                <c:pt idx="470">
                  <c:v>0.73438000000000003</c:v>
                </c:pt>
                <c:pt idx="471">
                  <c:v>0.754</c:v>
                </c:pt>
                <c:pt idx="472">
                  <c:v>0.73336000000000001</c:v>
                </c:pt>
                <c:pt idx="473">
                  <c:v>0.74500999999999995</c:v>
                </c:pt>
                <c:pt idx="474">
                  <c:v>0.76602000000000003</c:v>
                </c:pt>
                <c:pt idx="475">
                  <c:v>0.71523999999999999</c:v>
                </c:pt>
                <c:pt idx="476">
                  <c:v>0.71955000000000002</c:v>
                </c:pt>
                <c:pt idx="477">
                  <c:v>0.73953999999999998</c:v>
                </c:pt>
                <c:pt idx="478">
                  <c:v>0.68625000000000003</c:v>
                </c:pt>
                <c:pt idx="479">
                  <c:v>0.74280000000000002</c:v>
                </c:pt>
                <c:pt idx="480">
                  <c:v>0.77239999999999998</c:v>
                </c:pt>
                <c:pt idx="481">
                  <c:v>0.75199000000000005</c:v>
                </c:pt>
                <c:pt idx="482">
                  <c:v>0.69901999999999997</c:v>
                </c:pt>
                <c:pt idx="483">
                  <c:v>0.72770000000000001</c:v>
                </c:pt>
                <c:pt idx="484">
                  <c:v>0.74858999999999998</c:v>
                </c:pt>
                <c:pt idx="485">
                  <c:v>0.77832999999999997</c:v>
                </c:pt>
                <c:pt idx="486">
                  <c:v>0.71582999999999997</c:v>
                </c:pt>
                <c:pt idx="487">
                  <c:v>0.74922999999999995</c:v>
                </c:pt>
                <c:pt idx="488">
                  <c:v>0.69650000000000001</c:v>
                </c:pt>
                <c:pt idx="489">
                  <c:v>0.66532999999999998</c:v>
                </c:pt>
                <c:pt idx="490">
                  <c:v>0.63897000000000004</c:v>
                </c:pt>
                <c:pt idx="491">
                  <c:v>0.55481999999999998</c:v>
                </c:pt>
                <c:pt idx="492">
                  <c:v>0.57472000000000001</c:v>
                </c:pt>
                <c:pt idx="493">
                  <c:v>0.57113999999999998</c:v>
                </c:pt>
                <c:pt idx="494">
                  <c:v>0.55705000000000005</c:v>
                </c:pt>
                <c:pt idx="495">
                  <c:v>0.57862000000000002</c:v>
                </c:pt>
                <c:pt idx="496">
                  <c:v>0.57489000000000001</c:v>
                </c:pt>
                <c:pt idx="497">
                  <c:v>0.55972</c:v>
                </c:pt>
                <c:pt idx="498">
                  <c:v>0.52668000000000004</c:v>
                </c:pt>
                <c:pt idx="499">
                  <c:v>0.53595999999999999</c:v>
                </c:pt>
                <c:pt idx="500">
                  <c:v>0.52978999999999998</c:v>
                </c:pt>
                <c:pt idx="501">
                  <c:v>0.54237999999999997</c:v>
                </c:pt>
                <c:pt idx="502">
                  <c:v>0.54873000000000005</c:v>
                </c:pt>
                <c:pt idx="503">
                  <c:v>0.50007999999999997</c:v>
                </c:pt>
                <c:pt idx="504">
                  <c:v>0.48698000000000002</c:v>
                </c:pt>
                <c:pt idx="505">
                  <c:v>0.47727000000000003</c:v>
                </c:pt>
                <c:pt idx="506">
                  <c:v>0.39839999999999998</c:v>
                </c:pt>
                <c:pt idx="507">
                  <c:v>0.41566999999999998</c:v>
                </c:pt>
                <c:pt idx="508">
                  <c:v>0.42602000000000001</c:v>
                </c:pt>
                <c:pt idx="509">
                  <c:v>0.39345999999999998</c:v>
                </c:pt>
                <c:pt idx="510">
                  <c:v>0.42421999999999999</c:v>
                </c:pt>
                <c:pt idx="511">
                  <c:v>0.40189999999999998</c:v>
                </c:pt>
                <c:pt idx="512">
                  <c:v>0.47499000000000002</c:v>
                </c:pt>
                <c:pt idx="513">
                  <c:v>0.48899999999999999</c:v>
                </c:pt>
                <c:pt idx="514">
                  <c:v>0.47619</c:v>
                </c:pt>
                <c:pt idx="515">
                  <c:v>0.49811</c:v>
                </c:pt>
                <c:pt idx="516">
                  <c:v>0.50517999999999996</c:v>
                </c:pt>
                <c:pt idx="517">
                  <c:v>0.47443000000000002</c:v>
                </c:pt>
                <c:pt idx="518">
                  <c:v>0.44932</c:v>
                </c:pt>
                <c:pt idx="519">
                  <c:v>0.49529000000000001</c:v>
                </c:pt>
                <c:pt idx="520">
                  <c:v>0.50751000000000002</c:v>
                </c:pt>
                <c:pt idx="521">
                  <c:v>0.55198999999999998</c:v>
                </c:pt>
                <c:pt idx="522">
                  <c:v>0.48402000000000001</c:v>
                </c:pt>
                <c:pt idx="523">
                  <c:v>0.44905</c:v>
                </c:pt>
                <c:pt idx="524">
                  <c:v>0.42093000000000003</c:v>
                </c:pt>
                <c:pt idx="525">
                  <c:v>0.45499000000000001</c:v>
                </c:pt>
                <c:pt idx="526">
                  <c:v>0.40443000000000001</c:v>
                </c:pt>
                <c:pt idx="527">
                  <c:v>0.43525999999999998</c:v>
                </c:pt>
                <c:pt idx="528">
                  <c:v>0.38679000000000002</c:v>
                </c:pt>
                <c:pt idx="529">
                  <c:v>0.39646999999999999</c:v>
                </c:pt>
                <c:pt idx="530">
                  <c:v>0.38413000000000003</c:v>
                </c:pt>
                <c:pt idx="531">
                  <c:v>0.40127000000000002</c:v>
                </c:pt>
                <c:pt idx="532">
                  <c:v>0.39628000000000002</c:v>
                </c:pt>
                <c:pt idx="533">
                  <c:v>0.40377000000000002</c:v>
                </c:pt>
                <c:pt idx="534">
                  <c:v>0.35598000000000002</c:v>
                </c:pt>
                <c:pt idx="535">
                  <c:v>0.37230999999999997</c:v>
                </c:pt>
                <c:pt idx="536">
                  <c:v>0.32145000000000001</c:v>
                </c:pt>
                <c:pt idx="537">
                  <c:v>0.33063999999999999</c:v>
                </c:pt>
                <c:pt idx="538">
                  <c:v>0.30778</c:v>
                </c:pt>
                <c:pt idx="539">
                  <c:v>0.31719000000000003</c:v>
                </c:pt>
                <c:pt idx="540">
                  <c:v>0.31381999999999999</c:v>
                </c:pt>
                <c:pt idx="541">
                  <c:v>0.33184999999999998</c:v>
                </c:pt>
                <c:pt idx="542">
                  <c:v>0.28687000000000001</c:v>
                </c:pt>
                <c:pt idx="543">
                  <c:v>0.27994999999999998</c:v>
                </c:pt>
                <c:pt idx="544">
                  <c:v>0.31646999999999997</c:v>
                </c:pt>
                <c:pt idx="545">
                  <c:v>0.26938000000000001</c:v>
                </c:pt>
                <c:pt idx="546">
                  <c:v>0.25745000000000001</c:v>
                </c:pt>
                <c:pt idx="547">
                  <c:v>0.24782999999999999</c:v>
                </c:pt>
                <c:pt idx="548">
                  <c:v>0.25112000000000001</c:v>
                </c:pt>
                <c:pt idx="549">
                  <c:v>0.2424</c:v>
                </c:pt>
                <c:pt idx="550">
                  <c:v>0.25083</c:v>
                </c:pt>
                <c:pt idx="551">
                  <c:v>0.25877</c:v>
                </c:pt>
                <c:pt idx="552">
                  <c:v>0.25072</c:v>
                </c:pt>
                <c:pt idx="553">
                  <c:v>0.25890000000000002</c:v>
                </c:pt>
                <c:pt idx="554">
                  <c:v>0.25575999999999999</c:v>
                </c:pt>
                <c:pt idx="555">
                  <c:v>0.23951</c:v>
                </c:pt>
                <c:pt idx="556">
                  <c:v>0.23594999999999999</c:v>
                </c:pt>
                <c:pt idx="557">
                  <c:v>0.2412</c:v>
                </c:pt>
                <c:pt idx="558">
                  <c:v>0.24893999999999999</c:v>
                </c:pt>
                <c:pt idx="559">
                  <c:v>0.24131</c:v>
                </c:pt>
                <c:pt idx="560">
                  <c:v>0.23463999999999999</c:v>
                </c:pt>
                <c:pt idx="561">
                  <c:v>0.23719999999999999</c:v>
                </c:pt>
                <c:pt idx="562">
                  <c:v>0.24127000000000001</c:v>
                </c:pt>
                <c:pt idx="563">
                  <c:v>0.24542</c:v>
                </c:pt>
                <c:pt idx="564">
                  <c:v>0.28050000000000003</c:v>
                </c:pt>
                <c:pt idx="565">
                  <c:v>0.25334000000000001</c:v>
                </c:pt>
                <c:pt idx="566">
                  <c:v>0.24307000000000001</c:v>
                </c:pt>
                <c:pt idx="567">
                  <c:v>0.24106</c:v>
                </c:pt>
                <c:pt idx="568">
                  <c:v>0.25102000000000002</c:v>
                </c:pt>
                <c:pt idx="569">
                  <c:v>0.25795000000000001</c:v>
                </c:pt>
                <c:pt idx="570">
                  <c:v>0.23022999999999999</c:v>
                </c:pt>
                <c:pt idx="571">
                  <c:v>0.21596000000000001</c:v>
                </c:pt>
                <c:pt idx="572">
                  <c:v>0.22306999999999999</c:v>
                </c:pt>
                <c:pt idx="573">
                  <c:v>0.21607000000000001</c:v>
                </c:pt>
                <c:pt idx="574">
                  <c:v>0.21889</c:v>
                </c:pt>
                <c:pt idx="575">
                  <c:v>0.22173000000000001</c:v>
                </c:pt>
                <c:pt idx="576">
                  <c:v>0.22173000000000001</c:v>
                </c:pt>
                <c:pt idx="577">
                  <c:v>0.22600000000000001</c:v>
                </c:pt>
                <c:pt idx="578">
                  <c:v>0.22442999999999999</c:v>
                </c:pt>
                <c:pt idx="579">
                  <c:v>0.20985999999999999</c:v>
                </c:pt>
                <c:pt idx="580">
                  <c:v>0.23130000000000001</c:v>
                </c:pt>
                <c:pt idx="581">
                  <c:v>0.23649000000000001</c:v>
                </c:pt>
                <c:pt idx="582">
                  <c:v>0.24507999999999999</c:v>
                </c:pt>
                <c:pt idx="583">
                  <c:v>0.25746999999999998</c:v>
                </c:pt>
                <c:pt idx="584">
                  <c:v>0.24201</c:v>
                </c:pt>
                <c:pt idx="585">
                  <c:v>0.22056999999999999</c:v>
                </c:pt>
                <c:pt idx="586">
                  <c:v>0.22137999999999999</c:v>
                </c:pt>
                <c:pt idx="587">
                  <c:v>0.22406000000000001</c:v>
                </c:pt>
                <c:pt idx="588">
                  <c:v>0.22312000000000001</c:v>
                </c:pt>
                <c:pt idx="589">
                  <c:v>0.23479</c:v>
                </c:pt>
                <c:pt idx="590">
                  <c:v>0.23413999999999999</c:v>
                </c:pt>
                <c:pt idx="591">
                  <c:v>0.23446</c:v>
                </c:pt>
                <c:pt idx="592">
                  <c:v>0.23149</c:v>
                </c:pt>
                <c:pt idx="593">
                  <c:v>0.25153999999999999</c:v>
                </c:pt>
                <c:pt idx="594">
                  <c:v>0.25263999999999998</c:v>
                </c:pt>
                <c:pt idx="595">
                  <c:v>0.20451</c:v>
                </c:pt>
                <c:pt idx="596">
                  <c:v>0.2392</c:v>
                </c:pt>
                <c:pt idx="597">
                  <c:v>0.25235000000000002</c:v>
                </c:pt>
                <c:pt idx="598">
                  <c:v>0.25491999999999998</c:v>
                </c:pt>
                <c:pt idx="599">
                  <c:v>0.26517000000000002</c:v>
                </c:pt>
                <c:pt idx="600">
                  <c:v>0.27057999999999999</c:v>
                </c:pt>
                <c:pt idx="601">
                  <c:v>0.27883000000000002</c:v>
                </c:pt>
                <c:pt idx="602">
                  <c:v>0.28491</c:v>
                </c:pt>
                <c:pt idx="603">
                  <c:v>0.27606999999999998</c:v>
                </c:pt>
                <c:pt idx="604">
                  <c:v>0.25468000000000002</c:v>
                </c:pt>
                <c:pt idx="605">
                  <c:v>0.27107999999999999</c:v>
                </c:pt>
                <c:pt idx="606">
                  <c:v>0.24692</c:v>
                </c:pt>
                <c:pt idx="607">
                  <c:v>0.28649999999999998</c:v>
                </c:pt>
                <c:pt idx="608">
                  <c:v>0.30947999999999998</c:v>
                </c:pt>
                <c:pt idx="609">
                  <c:v>0.31117</c:v>
                </c:pt>
                <c:pt idx="610">
                  <c:v>0.32401999999999997</c:v>
                </c:pt>
                <c:pt idx="611">
                  <c:v>0.40300999999999998</c:v>
                </c:pt>
                <c:pt idx="612">
                  <c:v>0.35326999999999997</c:v>
                </c:pt>
                <c:pt idx="613">
                  <c:v>0.34231</c:v>
                </c:pt>
                <c:pt idx="614">
                  <c:v>0.30170000000000002</c:v>
                </c:pt>
                <c:pt idx="615">
                  <c:v>0.26799000000000001</c:v>
                </c:pt>
                <c:pt idx="616">
                  <c:v>0.26400000000000001</c:v>
                </c:pt>
                <c:pt idx="617">
                  <c:v>0.27894999999999998</c:v>
                </c:pt>
                <c:pt idx="618">
                  <c:v>0.218</c:v>
                </c:pt>
                <c:pt idx="619">
                  <c:v>0.19439999999999999</c:v>
                </c:pt>
                <c:pt idx="620">
                  <c:v>0.19206000000000001</c:v>
                </c:pt>
                <c:pt idx="621">
                  <c:v>0.18354999999999999</c:v>
                </c:pt>
                <c:pt idx="622">
                  <c:v>0.19186</c:v>
                </c:pt>
                <c:pt idx="623">
                  <c:v>0.16808999999999999</c:v>
                </c:pt>
                <c:pt idx="624">
                  <c:v>0.17177000000000001</c:v>
                </c:pt>
                <c:pt idx="625">
                  <c:v>0.17893999999999999</c:v>
                </c:pt>
                <c:pt idx="626">
                  <c:v>0.14692</c:v>
                </c:pt>
                <c:pt idx="627">
                  <c:v>0.14191000000000001</c:v>
                </c:pt>
                <c:pt idx="628">
                  <c:v>0.15758</c:v>
                </c:pt>
                <c:pt idx="629">
                  <c:v>0.16302</c:v>
                </c:pt>
                <c:pt idx="630">
                  <c:v>0.16445000000000001</c:v>
                </c:pt>
                <c:pt idx="631">
                  <c:v>0.15461</c:v>
                </c:pt>
                <c:pt idx="632">
                  <c:v>0.15590999999999999</c:v>
                </c:pt>
                <c:pt idx="633">
                  <c:v>0.14638999999999999</c:v>
                </c:pt>
                <c:pt idx="634">
                  <c:v>0.14434</c:v>
                </c:pt>
                <c:pt idx="635">
                  <c:v>0.13927999999999999</c:v>
                </c:pt>
                <c:pt idx="636">
                  <c:v>0.12734999999999999</c:v>
                </c:pt>
                <c:pt idx="637">
                  <c:v>0.12033000000000001</c:v>
                </c:pt>
                <c:pt idx="638">
                  <c:v>0.11645</c:v>
                </c:pt>
                <c:pt idx="639">
                  <c:v>0.109</c:v>
                </c:pt>
                <c:pt idx="640">
                  <c:v>0.10775</c:v>
                </c:pt>
                <c:pt idx="641">
                  <c:v>0.11209</c:v>
                </c:pt>
                <c:pt idx="642">
                  <c:v>0.10681</c:v>
                </c:pt>
                <c:pt idx="643">
                  <c:v>0.10163</c:v>
                </c:pt>
                <c:pt idx="644">
                  <c:v>0.10075000000000001</c:v>
                </c:pt>
                <c:pt idx="645">
                  <c:v>9.1740000000000002E-2</c:v>
                </c:pt>
                <c:pt idx="646">
                  <c:v>8.5779999999999995E-2</c:v>
                </c:pt>
                <c:pt idx="647">
                  <c:v>8.3229999999999998E-2</c:v>
                </c:pt>
                <c:pt idx="648">
                  <c:v>8.1739999999999993E-2</c:v>
                </c:pt>
                <c:pt idx="649">
                  <c:v>8.1250000000000003E-2</c:v>
                </c:pt>
                <c:pt idx="650">
                  <c:v>7.7619999999999995E-2</c:v>
                </c:pt>
                <c:pt idx="651">
                  <c:v>7.8880000000000006E-2</c:v>
                </c:pt>
                <c:pt idx="652">
                  <c:v>7.4429999999999996E-2</c:v>
                </c:pt>
                <c:pt idx="653">
                  <c:v>7.8009999999999996E-2</c:v>
                </c:pt>
                <c:pt idx="654">
                  <c:v>7.7160000000000006E-2</c:v>
                </c:pt>
                <c:pt idx="655">
                  <c:v>7.8939999999999996E-2</c:v>
                </c:pt>
                <c:pt idx="656">
                  <c:v>7.8990000000000005E-2</c:v>
                </c:pt>
                <c:pt idx="657">
                  <c:v>7.9619999999999996E-2</c:v>
                </c:pt>
                <c:pt idx="658">
                  <c:v>8.6980000000000002E-2</c:v>
                </c:pt>
                <c:pt idx="659">
                  <c:v>8.7749999999999995E-2</c:v>
                </c:pt>
                <c:pt idx="660">
                  <c:v>8.4790000000000004E-2</c:v>
                </c:pt>
                <c:pt idx="661">
                  <c:v>8.7179999999999994E-2</c:v>
                </c:pt>
                <c:pt idx="662">
                  <c:v>8.0149999999999999E-2</c:v>
                </c:pt>
                <c:pt idx="663">
                  <c:v>7.8700000000000006E-2</c:v>
                </c:pt>
                <c:pt idx="664">
                  <c:v>7.5999999999999998E-2</c:v>
                </c:pt>
                <c:pt idx="665">
                  <c:v>7.8109999999999999E-2</c:v>
                </c:pt>
                <c:pt idx="666">
                  <c:v>7.4069999999999997E-2</c:v>
                </c:pt>
                <c:pt idx="667">
                  <c:v>7.4209999999999998E-2</c:v>
                </c:pt>
                <c:pt idx="668">
                  <c:v>7.2650000000000006E-2</c:v>
                </c:pt>
                <c:pt idx="669">
                  <c:v>6.5369999999999998E-2</c:v>
                </c:pt>
                <c:pt idx="670">
                  <c:v>7.0000000000000007E-2</c:v>
                </c:pt>
                <c:pt idx="671">
                  <c:v>7.1800000000000003E-2</c:v>
                </c:pt>
                <c:pt idx="672">
                  <c:v>7.2309999999999999E-2</c:v>
                </c:pt>
                <c:pt idx="673">
                  <c:v>6.9559999999999997E-2</c:v>
                </c:pt>
                <c:pt idx="674">
                  <c:v>7.1220000000000006E-2</c:v>
                </c:pt>
                <c:pt idx="675">
                  <c:v>6.9769999999999999E-2</c:v>
                </c:pt>
                <c:pt idx="676">
                  <c:v>6.3420000000000004E-2</c:v>
                </c:pt>
                <c:pt idx="677">
                  <c:v>7.2830000000000006E-2</c:v>
                </c:pt>
                <c:pt idx="678">
                  <c:v>7.2239999999999999E-2</c:v>
                </c:pt>
                <c:pt idx="679">
                  <c:v>6.5570000000000003E-2</c:v>
                </c:pt>
                <c:pt idx="680">
                  <c:v>5.6669999999999998E-2</c:v>
                </c:pt>
                <c:pt idx="681">
                  <c:v>5.6669999999999998E-2</c:v>
                </c:pt>
                <c:pt idx="682">
                  <c:v>5.3069999999999999E-2</c:v>
                </c:pt>
                <c:pt idx="683">
                  <c:v>6.1990000000000003E-2</c:v>
                </c:pt>
                <c:pt idx="684">
                  <c:v>6.0999999999999999E-2</c:v>
                </c:pt>
                <c:pt idx="685">
                  <c:v>6.1510000000000002E-2</c:v>
                </c:pt>
                <c:pt idx="686">
                  <c:v>5.1670000000000001E-2</c:v>
                </c:pt>
                <c:pt idx="687">
                  <c:v>9.894E-2</c:v>
                </c:pt>
                <c:pt idx="688">
                  <c:v>0.11022</c:v>
                </c:pt>
                <c:pt idx="689">
                  <c:v>0.10849</c:v>
                </c:pt>
                <c:pt idx="690">
                  <c:v>0.11028</c:v>
                </c:pt>
                <c:pt idx="691">
                  <c:v>0.13575000000000001</c:v>
                </c:pt>
                <c:pt idx="692">
                  <c:v>0.13477</c:v>
                </c:pt>
                <c:pt idx="693">
                  <c:v>0.14122999999999999</c:v>
                </c:pt>
                <c:pt idx="694">
                  <c:v>0.13181999999999999</c:v>
                </c:pt>
                <c:pt idx="695">
                  <c:v>0.13170000000000001</c:v>
                </c:pt>
                <c:pt idx="696">
                  <c:v>0.12839999999999999</c:v>
                </c:pt>
                <c:pt idx="697">
                  <c:v>0.11706999999999999</c:v>
                </c:pt>
                <c:pt idx="698">
                  <c:v>0.11712</c:v>
                </c:pt>
                <c:pt idx="699">
                  <c:v>0.12082</c:v>
                </c:pt>
                <c:pt idx="700">
                  <c:v>0.12192</c:v>
                </c:pt>
                <c:pt idx="701">
                  <c:v>0.11839</c:v>
                </c:pt>
                <c:pt idx="702">
                  <c:v>0.13481000000000001</c:v>
                </c:pt>
                <c:pt idx="703">
                  <c:v>0.14835999999999999</c:v>
                </c:pt>
                <c:pt idx="704">
                  <c:v>0.14149</c:v>
                </c:pt>
                <c:pt idx="705">
                  <c:v>0.12845999999999999</c:v>
                </c:pt>
                <c:pt idx="706">
                  <c:v>0.12776000000000001</c:v>
                </c:pt>
                <c:pt idx="707">
                  <c:v>0.13247</c:v>
                </c:pt>
                <c:pt idx="708">
                  <c:v>0.12664</c:v>
                </c:pt>
                <c:pt idx="709">
                  <c:v>0.14133999999999999</c:v>
                </c:pt>
                <c:pt idx="710">
                  <c:v>0.13716</c:v>
                </c:pt>
                <c:pt idx="711">
                  <c:v>0.13453999999999999</c:v>
                </c:pt>
                <c:pt idx="712">
                  <c:v>0.14693999999999999</c:v>
                </c:pt>
                <c:pt idx="713">
                  <c:v>0.15826999999999999</c:v>
                </c:pt>
                <c:pt idx="714">
                  <c:v>0.17191999999999999</c:v>
                </c:pt>
                <c:pt idx="715">
                  <c:v>0.13827</c:v>
                </c:pt>
                <c:pt idx="716">
                  <c:v>0.12814</c:v>
                </c:pt>
                <c:pt idx="717">
                  <c:v>0.13064000000000001</c:v>
                </c:pt>
                <c:pt idx="718">
                  <c:v>0.12284</c:v>
                </c:pt>
                <c:pt idx="719">
                  <c:v>0.1164</c:v>
                </c:pt>
                <c:pt idx="720">
                  <c:v>0.1245</c:v>
                </c:pt>
                <c:pt idx="721">
                  <c:v>0.12425</c:v>
                </c:pt>
                <c:pt idx="722">
                  <c:v>0.122</c:v>
                </c:pt>
                <c:pt idx="723">
                  <c:v>0.122</c:v>
                </c:pt>
                <c:pt idx="724">
                  <c:v>0.10829</c:v>
                </c:pt>
                <c:pt idx="725">
                  <c:v>0.10545</c:v>
                </c:pt>
                <c:pt idx="726">
                  <c:v>0.10527</c:v>
                </c:pt>
                <c:pt idx="727">
                  <c:v>0.10638</c:v>
                </c:pt>
                <c:pt idx="728">
                  <c:v>0.10431</c:v>
                </c:pt>
                <c:pt idx="729">
                  <c:v>0.10434</c:v>
                </c:pt>
                <c:pt idx="730">
                  <c:v>0.10936</c:v>
                </c:pt>
                <c:pt idx="731">
                  <c:v>0.10459</c:v>
                </c:pt>
                <c:pt idx="732">
                  <c:v>0.10222000000000001</c:v>
                </c:pt>
                <c:pt idx="733">
                  <c:v>0.10188999999999999</c:v>
                </c:pt>
                <c:pt idx="734">
                  <c:v>0.10494000000000001</c:v>
                </c:pt>
                <c:pt idx="735">
                  <c:v>0.10858</c:v>
                </c:pt>
                <c:pt idx="736">
                  <c:v>0.11899999999999999</c:v>
                </c:pt>
                <c:pt idx="737">
                  <c:v>0.11136</c:v>
                </c:pt>
                <c:pt idx="738">
                  <c:v>0.10997999999999999</c:v>
                </c:pt>
                <c:pt idx="739">
                  <c:v>0.11260000000000001</c:v>
                </c:pt>
                <c:pt idx="740">
                  <c:v>0.10876</c:v>
                </c:pt>
                <c:pt idx="741">
                  <c:v>0.11193</c:v>
                </c:pt>
                <c:pt idx="742">
                  <c:v>0.10367999999999999</c:v>
                </c:pt>
                <c:pt idx="743">
                  <c:v>0.10438</c:v>
                </c:pt>
                <c:pt idx="744">
                  <c:v>0.10598</c:v>
                </c:pt>
                <c:pt idx="745">
                  <c:v>9.7030000000000005E-2</c:v>
                </c:pt>
                <c:pt idx="746">
                  <c:v>9.5890000000000003E-2</c:v>
                </c:pt>
                <c:pt idx="747">
                  <c:v>9.4369999999999996E-2</c:v>
                </c:pt>
                <c:pt idx="748">
                  <c:v>9.5089999999999994E-2</c:v>
                </c:pt>
                <c:pt idx="749">
                  <c:v>9.2939999999999995E-2</c:v>
                </c:pt>
                <c:pt idx="750">
                  <c:v>9.8729999999999998E-2</c:v>
                </c:pt>
                <c:pt idx="751">
                  <c:v>9.6079999999999999E-2</c:v>
                </c:pt>
                <c:pt idx="752">
                  <c:v>9.987E-2</c:v>
                </c:pt>
                <c:pt idx="753">
                  <c:v>9.4210000000000002E-2</c:v>
                </c:pt>
                <c:pt idx="754">
                  <c:v>9.3939999999999996E-2</c:v>
                </c:pt>
                <c:pt idx="755">
                  <c:v>8.7709999999999996E-2</c:v>
                </c:pt>
                <c:pt idx="756">
                  <c:v>8.4430000000000005E-2</c:v>
                </c:pt>
                <c:pt idx="757">
                  <c:v>8.6559999999999998E-2</c:v>
                </c:pt>
                <c:pt idx="758">
                  <c:v>8.6840000000000001E-2</c:v>
                </c:pt>
                <c:pt idx="759">
                  <c:v>9.0399999999999994E-2</c:v>
                </c:pt>
                <c:pt idx="760">
                  <c:v>8.72E-2</c:v>
                </c:pt>
                <c:pt idx="761">
                  <c:v>8.9099999999999999E-2</c:v>
                </c:pt>
                <c:pt idx="762">
                  <c:v>8.5349999999999995E-2</c:v>
                </c:pt>
                <c:pt idx="763">
                  <c:v>8.6959999999999996E-2</c:v>
                </c:pt>
                <c:pt idx="764">
                  <c:v>9.0630000000000002E-2</c:v>
                </c:pt>
                <c:pt idx="765">
                  <c:v>9.2450000000000004E-2</c:v>
                </c:pt>
                <c:pt idx="766">
                  <c:v>8.9800000000000005E-2</c:v>
                </c:pt>
                <c:pt idx="767">
                  <c:v>9.6920000000000006E-2</c:v>
                </c:pt>
                <c:pt idx="768">
                  <c:v>9.9229999999999999E-2</c:v>
                </c:pt>
                <c:pt idx="769">
                  <c:v>0.10506</c:v>
                </c:pt>
                <c:pt idx="770">
                  <c:v>0.10679</c:v>
                </c:pt>
                <c:pt idx="771">
                  <c:v>0.10129000000000001</c:v>
                </c:pt>
                <c:pt idx="772">
                  <c:v>9.4780000000000003E-2</c:v>
                </c:pt>
                <c:pt idx="773">
                  <c:v>9.1560000000000002E-2</c:v>
                </c:pt>
                <c:pt idx="774">
                  <c:v>9.5549999999999996E-2</c:v>
                </c:pt>
                <c:pt idx="775">
                  <c:v>8.8620000000000004E-2</c:v>
                </c:pt>
                <c:pt idx="776">
                  <c:v>9.017E-2</c:v>
                </c:pt>
                <c:pt idx="777">
                  <c:v>8.5080000000000003E-2</c:v>
                </c:pt>
                <c:pt idx="778">
                  <c:v>8.3140000000000006E-2</c:v>
                </c:pt>
                <c:pt idx="779">
                  <c:v>7.6170000000000002E-2</c:v>
                </c:pt>
                <c:pt idx="780">
                  <c:v>8.5559999999999997E-2</c:v>
                </c:pt>
                <c:pt idx="781">
                  <c:v>8.3299999999999999E-2</c:v>
                </c:pt>
                <c:pt idx="782">
                  <c:v>7.8969999999999999E-2</c:v>
                </c:pt>
                <c:pt idx="783">
                  <c:v>7.9939999999999997E-2</c:v>
                </c:pt>
                <c:pt idx="784">
                  <c:v>7.8030000000000002E-2</c:v>
                </c:pt>
                <c:pt idx="785">
                  <c:v>7.2069999999999995E-2</c:v>
                </c:pt>
                <c:pt idx="786">
                  <c:v>7.3590000000000003E-2</c:v>
                </c:pt>
                <c:pt idx="787">
                  <c:v>7.1440000000000003E-2</c:v>
                </c:pt>
                <c:pt idx="788">
                  <c:v>7.4700000000000003E-2</c:v>
                </c:pt>
                <c:pt idx="789">
                  <c:v>7.0150000000000004E-2</c:v>
                </c:pt>
                <c:pt idx="790">
                  <c:v>7.7189999999999995E-2</c:v>
                </c:pt>
                <c:pt idx="791">
                  <c:v>7.6670000000000002E-2</c:v>
                </c:pt>
                <c:pt idx="792">
                  <c:v>7.5700000000000003E-2</c:v>
                </c:pt>
                <c:pt idx="793">
                  <c:v>7.3169999999999999E-2</c:v>
                </c:pt>
                <c:pt idx="794">
                  <c:v>7.1230000000000002E-2</c:v>
                </c:pt>
                <c:pt idx="795">
                  <c:v>6.8599999999999994E-2</c:v>
                </c:pt>
                <c:pt idx="796">
                  <c:v>7.4980000000000005E-2</c:v>
                </c:pt>
                <c:pt idx="797">
                  <c:v>7.6219999999999996E-2</c:v>
                </c:pt>
                <c:pt idx="798">
                  <c:v>8.2049999999999998E-2</c:v>
                </c:pt>
                <c:pt idx="799">
                  <c:v>8.8749999999999996E-2</c:v>
                </c:pt>
                <c:pt idx="800">
                  <c:v>9.3700000000000006E-2</c:v>
                </c:pt>
                <c:pt idx="801">
                  <c:v>9.2350000000000002E-2</c:v>
                </c:pt>
                <c:pt idx="802">
                  <c:v>8.8359999999999994E-2</c:v>
                </c:pt>
                <c:pt idx="803">
                  <c:v>8.9340000000000003E-2</c:v>
                </c:pt>
                <c:pt idx="804">
                  <c:v>9.257E-2</c:v>
                </c:pt>
                <c:pt idx="805">
                  <c:v>8.763E-2</c:v>
                </c:pt>
                <c:pt idx="806">
                  <c:v>0.09</c:v>
                </c:pt>
                <c:pt idx="807">
                  <c:v>9.035E-2</c:v>
                </c:pt>
                <c:pt idx="808">
                  <c:v>8.8940000000000005E-2</c:v>
                </c:pt>
                <c:pt idx="809">
                  <c:v>8.9539999999999995E-2</c:v>
                </c:pt>
                <c:pt idx="810">
                  <c:v>9.042E-2</c:v>
                </c:pt>
                <c:pt idx="811">
                  <c:v>8.8370000000000004E-2</c:v>
                </c:pt>
                <c:pt idx="812">
                  <c:v>9.153E-2</c:v>
                </c:pt>
                <c:pt idx="813">
                  <c:v>9.4600000000000004E-2</c:v>
                </c:pt>
                <c:pt idx="814">
                  <c:v>9.3439999999999995E-2</c:v>
                </c:pt>
                <c:pt idx="815">
                  <c:v>9.3280000000000002E-2</c:v>
                </c:pt>
                <c:pt idx="816">
                  <c:v>9.2810000000000004E-2</c:v>
                </c:pt>
                <c:pt idx="817">
                  <c:v>9.3410000000000007E-2</c:v>
                </c:pt>
                <c:pt idx="818">
                  <c:v>9.4E-2</c:v>
                </c:pt>
                <c:pt idx="819">
                  <c:v>9.2969999999999997E-2</c:v>
                </c:pt>
                <c:pt idx="820">
                  <c:v>9.529E-2</c:v>
                </c:pt>
                <c:pt idx="821">
                  <c:v>0.10082000000000001</c:v>
                </c:pt>
                <c:pt idx="822">
                  <c:v>9.8470000000000002E-2</c:v>
                </c:pt>
                <c:pt idx="823">
                  <c:v>9.64E-2</c:v>
                </c:pt>
                <c:pt idx="824">
                  <c:v>9.2740000000000003E-2</c:v>
                </c:pt>
                <c:pt idx="825">
                  <c:v>9.7780000000000006E-2</c:v>
                </c:pt>
                <c:pt idx="826">
                  <c:v>9.2710000000000001E-2</c:v>
                </c:pt>
                <c:pt idx="827">
                  <c:v>9.5750000000000002E-2</c:v>
                </c:pt>
                <c:pt idx="828">
                  <c:v>9.0060000000000001E-2</c:v>
                </c:pt>
                <c:pt idx="829">
                  <c:v>8.6480000000000001E-2</c:v>
                </c:pt>
                <c:pt idx="830">
                  <c:v>8.5750000000000007E-2</c:v>
                </c:pt>
                <c:pt idx="831">
                  <c:v>8.2640000000000005E-2</c:v>
                </c:pt>
                <c:pt idx="832">
                  <c:v>8.1809999999999994E-2</c:v>
                </c:pt>
                <c:pt idx="833">
                  <c:v>8.6599999999999996E-2</c:v>
                </c:pt>
                <c:pt idx="834">
                  <c:v>8.3799999999999999E-2</c:v>
                </c:pt>
                <c:pt idx="835">
                  <c:v>8.7499999999999994E-2</c:v>
                </c:pt>
                <c:pt idx="836">
                  <c:v>8.6129999999999998E-2</c:v>
                </c:pt>
                <c:pt idx="837">
                  <c:v>8.6199999999999999E-2</c:v>
                </c:pt>
                <c:pt idx="838">
                  <c:v>8.695E-2</c:v>
                </c:pt>
                <c:pt idx="839">
                  <c:v>8.3879999999999996E-2</c:v>
                </c:pt>
                <c:pt idx="840">
                  <c:v>8.8770000000000002E-2</c:v>
                </c:pt>
                <c:pt idx="841">
                  <c:v>8.8940000000000005E-2</c:v>
                </c:pt>
                <c:pt idx="842">
                  <c:v>9.0749999999999997E-2</c:v>
                </c:pt>
                <c:pt idx="843">
                  <c:v>8.6999999999999994E-2</c:v>
                </c:pt>
                <c:pt idx="844">
                  <c:v>8.412E-2</c:v>
                </c:pt>
                <c:pt idx="845">
                  <c:v>8.5639999999999994E-2</c:v>
                </c:pt>
                <c:pt idx="846">
                  <c:v>8.3599999999999994E-2</c:v>
                </c:pt>
                <c:pt idx="847">
                  <c:v>8.4610000000000005E-2</c:v>
                </c:pt>
                <c:pt idx="848">
                  <c:v>8.2710000000000006E-2</c:v>
                </c:pt>
                <c:pt idx="849">
                  <c:v>8.1110000000000002E-2</c:v>
                </c:pt>
                <c:pt idx="850">
                  <c:v>8.2699999999999996E-2</c:v>
                </c:pt>
                <c:pt idx="851">
                  <c:v>8.1949999999999995E-2</c:v>
                </c:pt>
                <c:pt idx="852">
                  <c:v>8.5629999999999998E-2</c:v>
                </c:pt>
                <c:pt idx="853">
                  <c:v>8.5000000000000006E-2</c:v>
                </c:pt>
                <c:pt idx="854">
                  <c:v>8.5260000000000002E-2</c:v>
                </c:pt>
                <c:pt idx="855">
                  <c:v>8.3769999999999997E-2</c:v>
                </c:pt>
                <c:pt idx="856">
                  <c:v>8.2659999999999997E-2</c:v>
                </c:pt>
                <c:pt idx="857">
                  <c:v>0.10150000000000001</c:v>
                </c:pt>
                <c:pt idx="858">
                  <c:v>0.10297000000000001</c:v>
                </c:pt>
                <c:pt idx="859">
                  <c:v>0.10689</c:v>
                </c:pt>
                <c:pt idx="860">
                  <c:v>0.10920000000000001</c:v>
                </c:pt>
                <c:pt idx="861">
                  <c:v>0.10864</c:v>
                </c:pt>
                <c:pt idx="862">
                  <c:v>0.1109</c:v>
                </c:pt>
                <c:pt idx="863">
                  <c:v>0.10514999999999999</c:v>
                </c:pt>
                <c:pt idx="864">
                  <c:v>0.10511</c:v>
                </c:pt>
                <c:pt idx="865">
                  <c:v>0.1057</c:v>
                </c:pt>
                <c:pt idx="866">
                  <c:v>0.10534</c:v>
                </c:pt>
                <c:pt idx="867">
                  <c:v>0.10521</c:v>
                </c:pt>
                <c:pt idx="868">
                  <c:v>0.10493</c:v>
                </c:pt>
                <c:pt idx="869">
                  <c:v>0.10732</c:v>
                </c:pt>
                <c:pt idx="870">
                  <c:v>0.10926</c:v>
                </c:pt>
                <c:pt idx="871">
                  <c:v>0.10979999999999999</c:v>
                </c:pt>
                <c:pt idx="872">
                  <c:v>0.11124000000000001</c:v>
                </c:pt>
                <c:pt idx="873">
                  <c:v>0.11147</c:v>
                </c:pt>
                <c:pt idx="874">
                  <c:v>0.1091</c:v>
                </c:pt>
                <c:pt idx="875">
                  <c:v>0.11572</c:v>
                </c:pt>
                <c:pt idx="876">
                  <c:v>0.11397</c:v>
                </c:pt>
                <c:pt idx="877">
                  <c:v>0.11161</c:v>
                </c:pt>
                <c:pt idx="878">
                  <c:v>0.11162</c:v>
                </c:pt>
                <c:pt idx="879">
                  <c:v>0.11268</c:v>
                </c:pt>
                <c:pt idx="880">
                  <c:v>0.11304</c:v>
                </c:pt>
                <c:pt idx="881">
                  <c:v>0.11223</c:v>
                </c:pt>
                <c:pt idx="882">
                  <c:v>0.11348</c:v>
                </c:pt>
                <c:pt idx="883">
                  <c:v>0.11776</c:v>
                </c:pt>
                <c:pt idx="884">
                  <c:v>0.13300000000000001</c:v>
                </c:pt>
                <c:pt idx="885">
                  <c:v>0.12051000000000001</c:v>
                </c:pt>
                <c:pt idx="886">
                  <c:v>0.12343</c:v>
                </c:pt>
                <c:pt idx="887">
                  <c:v>0.13025</c:v>
                </c:pt>
                <c:pt idx="888">
                  <c:v>0.12881000000000001</c:v>
                </c:pt>
                <c:pt idx="889">
                  <c:v>0.12862000000000001</c:v>
                </c:pt>
                <c:pt idx="890">
                  <c:v>0.12499</c:v>
                </c:pt>
                <c:pt idx="891">
                  <c:v>0.12126000000000001</c:v>
                </c:pt>
                <c:pt idx="892">
                  <c:v>0.12478</c:v>
                </c:pt>
                <c:pt idx="893">
                  <c:v>0.11776</c:v>
                </c:pt>
                <c:pt idx="894">
                  <c:v>0.11549</c:v>
                </c:pt>
                <c:pt idx="895">
                  <c:v>0.1138</c:v>
                </c:pt>
                <c:pt idx="896">
                  <c:v>0.11193</c:v>
                </c:pt>
                <c:pt idx="897">
                  <c:v>0.10797</c:v>
                </c:pt>
                <c:pt idx="898">
                  <c:v>0.12025</c:v>
                </c:pt>
                <c:pt idx="899">
                  <c:v>0.12859000000000001</c:v>
                </c:pt>
                <c:pt idx="900">
                  <c:v>0.11765</c:v>
                </c:pt>
                <c:pt idx="901">
                  <c:v>0.11617</c:v>
                </c:pt>
                <c:pt idx="902">
                  <c:v>0.11541</c:v>
                </c:pt>
                <c:pt idx="903">
                  <c:v>0.12049</c:v>
                </c:pt>
                <c:pt idx="904">
                  <c:v>0.11889</c:v>
                </c:pt>
                <c:pt idx="905">
                  <c:v>0.12324</c:v>
                </c:pt>
                <c:pt idx="906">
                  <c:v>0.12973000000000001</c:v>
                </c:pt>
                <c:pt idx="907">
                  <c:v>0.12548999999999999</c:v>
                </c:pt>
                <c:pt idx="908">
                  <c:v>0.12805</c:v>
                </c:pt>
                <c:pt idx="909">
                  <c:v>0.13217000000000001</c:v>
                </c:pt>
                <c:pt idx="910">
                  <c:v>0.12964999999999999</c:v>
                </c:pt>
                <c:pt idx="911">
                  <c:v>0.14022000000000001</c:v>
                </c:pt>
                <c:pt idx="912">
                  <c:v>0.12303</c:v>
                </c:pt>
                <c:pt idx="913">
                  <c:v>0.12483</c:v>
                </c:pt>
                <c:pt idx="914">
                  <c:v>0.12388</c:v>
                </c:pt>
                <c:pt idx="915">
                  <c:v>0.12553</c:v>
                </c:pt>
                <c:pt idx="916">
                  <c:v>0.12497</c:v>
                </c:pt>
                <c:pt idx="917">
                  <c:v>0.12853000000000001</c:v>
                </c:pt>
                <c:pt idx="918">
                  <c:v>0.11931</c:v>
                </c:pt>
                <c:pt idx="919">
                  <c:v>0.11885</c:v>
                </c:pt>
                <c:pt idx="920">
                  <c:v>0.12797</c:v>
                </c:pt>
                <c:pt idx="921">
                  <c:v>0.12195</c:v>
                </c:pt>
                <c:pt idx="922">
                  <c:v>0.12060999999999999</c:v>
                </c:pt>
                <c:pt idx="923">
                  <c:v>0.12264</c:v>
                </c:pt>
                <c:pt idx="924">
                  <c:v>0.11951000000000001</c:v>
                </c:pt>
                <c:pt idx="925">
                  <c:v>0.112</c:v>
                </c:pt>
                <c:pt idx="926">
                  <c:v>9.2179999999999998E-2</c:v>
                </c:pt>
                <c:pt idx="927">
                  <c:v>0.10341</c:v>
                </c:pt>
                <c:pt idx="928">
                  <c:v>0.10251</c:v>
                </c:pt>
                <c:pt idx="929">
                  <c:v>0.11555</c:v>
                </c:pt>
                <c:pt idx="930">
                  <c:v>0.11376</c:v>
                </c:pt>
                <c:pt idx="931">
                  <c:v>0.11033999999999999</c:v>
                </c:pt>
                <c:pt idx="932">
                  <c:v>0.12060999999999999</c:v>
                </c:pt>
                <c:pt idx="933">
                  <c:v>0.12091</c:v>
                </c:pt>
                <c:pt idx="934">
                  <c:v>0.11677999999999999</c:v>
                </c:pt>
                <c:pt idx="935">
                  <c:v>0.11906</c:v>
                </c:pt>
                <c:pt idx="936">
                  <c:v>0.1198</c:v>
                </c:pt>
                <c:pt idx="937">
                  <c:v>0.114</c:v>
                </c:pt>
                <c:pt idx="938">
                  <c:v>0.11597</c:v>
                </c:pt>
                <c:pt idx="939">
                  <c:v>0.1201</c:v>
                </c:pt>
                <c:pt idx="940">
                  <c:v>0.11404</c:v>
                </c:pt>
                <c:pt idx="941">
                  <c:v>0.12082</c:v>
                </c:pt>
                <c:pt idx="942">
                  <c:v>0.11526</c:v>
                </c:pt>
                <c:pt idx="943">
                  <c:v>0.1202</c:v>
                </c:pt>
                <c:pt idx="944">
                  <c:v>0.11687</c:v>
                </c:pt>
                <c:pt idx="945">
                  <c:v>0.1178</c:v>
                </c:pt>
                <c:pt idx="946">
                  <c:v>0.12615000000000001</c:v>
                </c:pt>
                <c:pt idx="947">
                  <c:v>0.13777</c:v>
                </c:pt>
                <c:pt idx="948">
                  <c:v>0.13324</c:v>
                </c:pt>
                <c:pt idx="949">
                  <c:v>0.13023999999999999</c:v>
                </c:pt>
                <c:pt idx="950">
                  <c:v>0.13220000000000001</c:v>
                </c:pt>
                <c:pt idx="951">
                  <c:v>0.12525</c:v>
                </c:pt>
                <c:pt idx="952">
                  <c:v>0.12859999999999999</c:v>
                </c:pt>
                <c:pt idx="953">
                  <c:v>0.1285</c:v>
                </c:pt>
                <c:pt idx="954">
                  <c:v>0.12748000000000001</c:v>
                </c:pt>
                <c:pt idx="955">
                  <c:v>0.12901000000000001</c:v>
                </c:pt>
                <c:pt idx="956">
                  <c:v>0.12726999999999999</c:v>
                </c:pt>
                <c:pt idx="957">
                  <c:v>0.13100000000000001</c:v>
                </c:pt>
                <c:pt idx="958">
                  <c:v>0.12814999999999999</c:v>
                </c:pt>
                <c:pt idx="959">
                  <c:v>0.13236999999999999</c:v>
                </c:pt>
                <c:pt idx="960">
                  <c:v>0.13739999999999999</c:v>
                </c:pt>
                <c:pt idx="961">
                  <c:v>0.14174999999999999</c:v>
                </c:pt>
                <c:pt idx="962">
                  <c:v>0.14491999999999999</c:v>
                </c:pt>
                <c:pt idx="963">
                  <c:v>0.12906000000000001</c:v>
                </c:pt>
                <c:pt idx="964">
                  <c:v>0.14099</c:v>
                </c:pt>
                <c:pt idx="965">
                  <c:v>0.13395000000000001</c:v>
                </c:pt>
                <c:pt idx="966">
                  <c:v>0.13027</c:v>
                </c:pt>
                <c:pt idx="967">
                  <c:v>0.12945000000000001</c:v>
                </c:pt>
                <c:pt idx="968">
                  <c:v>0.12318999999999999</c:v>
                </c:pt>
                <c:pt idx="969">
                  <c:v>0.13034000000000001</c:v>
                </c:pt>
                <c:pt idx="970">
                  <c:v>0.14099999999999999</c:v>
                </c:pt>
                <c:pt idx="971">
                  <c:v>0.13147</c:v>
                </c:pt>
                <c:pt idx="972">
                  <c:v>0.13728000000000001</c:v>
                </c:pt>
                <c:pt idx="973">
                  <c:v>0.13123000000000001</c:v>
                </c:pt>
                <c:pt idx="974">
                  <c:v>0.15068000000000001</c:v>
                </c:pt>
                <c:pt idx="975">
                  <c:v>0.13275000000000001</c:v>
                </c:pt>
                <c:pt idx="976">
                  <c:v>0.12655</c:v>
                </c:pt>
                <c:pt idx="977">
                  <c:v>0.12353</c:v>
                </c:pt>
                <c:pt idx="978">
                  <c:v>0.13694999999999999</c:v>
                </c:pt>
                <c:pt idx="979">
                  <c:v>0.1182</c:v>
                </c:pt>
                <c:pt idx="980">
                  <c:v>0.10915999999999999</c:v>
                </c:pt>
                <c:pt idx="981">
                  <c:v>0.1055</c:v>
                </c:pt>
                <c:pt idx="982">
                  <c:v>0.11373</c:v>
                </c:pt>
                <c:pt idx="983">
                  <c:v>0.113</c:v>
                </c:pt>
                <c:pt idx="984">
                  <c:v>0.1162</c:v>
                </c:pt>
                <c:pt idx="985">
                  <c:v>0.11934</c:v>
                </c:pt>
                <c:pt idx="986">
                  <c:v>0.114</c:v>
                </c:pt>
                <c:pt idx="987">
                  <c:v>0.11342000000000001</c:v>
                </c:pt>
                <c:pt idx="988">
                  <c:v>0.11794</c:v>
                </c:pt>
                <c:pt idx="989">
                  <c:v>0.10194</c:v>
                </c:pt>
                <c:pt idx="990">
                  <c:v>8.9700000000000002E-2</c:v>
                </c:pt>
                <c:pt idx="991">
                  <c:v>8.6330000000000004E-2</c:v>
                </c:pt>
                <c:pt idx="992">
                  <c:v>8.8999999999999996E-2</c:v>
                </c:pt>
                <c:pt idx="993">
                  <c:v>8.6510000000000004E-2</c:v>
                </c:pt>
                <c:pt idx="994">
                  <c:v>7.893E-2</c:v>
                </c:pt>
                <c:pt idx="995">
                  <c:v>8.6790000000000006E-2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3F-4A49-BF44-9A889F20160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6.2926193599714777</c:v>
                </c:pt>
                <c:pt idx="1">
                  <c:v>6.3113729267741103</c:v>
                </c:pt>
                <c:pt idx="2">
                  <c:v>6.3583376239288274</c:v>
                </c:pt>
                <c:pt idx="3">
                  <c:v>6.344751288377716</c:v>
                </c:pt>
                <c:pt idx="4">
                  <c:v>6.2475284159190494</c:v>
                </c:pt>
                <c:pt idx="5">
                  <c:v>6.2373603349251665</c:v>
                </c:pt>
                <c:pt idx="6">
                  <c:v>6.4169145912361172</c:v>
                </c:pt>
                <c:pt idx="7">
                  <c:v>6.698678953187251</c:v>
                </c:pt>
                <c:pt idx="8">
                  <c:v>6.8767021543502391</c:v>
                </c:pt>
                <c:pt idx="9">
                  <c:v>6.8364643288374927</c:v>
                </c:pt>
                <c:pt idx="10">
                  <c:v>6.709355334653722</c:v>
                </c:pt>
                <c:pt idx="11">
                  <c:v>6.7578579670130035</c:v>
                </c:pt>
                <c:pt idx="12">
                  <c:v>6.7399396510051304</c:v>
                </c:pt>
                <c:pt idx="13">
                  <c:v>6.7486523576717969</c:v>
                </c:pt>
                <c:pt idx="14">
                  <c:v>6.6751349076208877</c:v>
                </c:pt>
                <c:pt idx="15">
                  <c:v>6.7639618154822445</c:v>
                </c:pt>
                <c:pt idx="16">
                  <c:v>6.7380929391685918</c:v>
                </c:pt>
                <c:pt idx="17">
                  <c:v>6.687738321002846</c:v>
                </c:pt>
                <c:pt idx="18">
                  <c:v>6.7220041285228458</c:v>
                </c:pt>
                <c:pt idx="19">
                  <c:v>6.7216193211110804</c:v>
                </c:pt>
                <c:pt idx="20">
                  <c:v>6.767962432222193</c:v>
                </c:pt>
                <c:pt idx="21">
                  <c:v>6.7789113299106347</c:v>
                </c:pt>
                <c:pt idx="22">
                  <c:v>6.7002284107634766</c:v>
                </c:pt>
                <c:pt idx="23">
                  <c:v>6.8178009859533502</c:v>
                </c:pt>
                <c:pt idx="24">
                  <c:v>6.8396840301670494</c:v>
                </c:pt>
                <c:pt idx="25">
                  <c:v>6.8645870584928916</c:v>
                </c:pt>
                <c:pt idx="26">
                  <c:v>6.8508158467855758</c:v>
                </c:pt>
                <c:pt idx="27">
                  <c:v>6.7926980370077983</c:v>
                </c:pt>
                <c:pt idx="28">
                  <c:v>6.8156270157479559</c:v>
                </c:pt>
                <c:pt idx="29">
                  <c:v>6.8392589806803405</c:v>
                </c:pt>
                <c:pt idx="30">
                  <c:v>6.9275159569406144</c:v>
                </c:pt>
                <c:pt idx="31">
                  <c:v>7.009308220292886</c:v>
                </c:pt>
                <c:pt idx="32">
                  <c:v>7.1743627987928864</c:v>
                </c:pt>
                <c:pt idx="33">
                  <c:v>7.0252251209060939</c:v>
                </c:pt>
                <c:pt idx="34">
                  <c:v>6.9644691051802887</c:v>
                </c:pt>
                <c:pt idx="35">
                  <c:v>6.9849110412931283</c:v>
                </c:pt>
                <c:pt idx="36">
                  <c:v>6.9030250545138054</c:v>
                </c:pt>
                <c:pt idx="37">
                  <c:v>6.8780070522325554</c:v>
                </c:pt>
                <c:pt idx="38">
                  <c:v>6.8309141527933024</c:v>
                </c:pt>
                <c:pt idx="39">
                  <c:v>6.8269865771080571</c:v>
                </c:pt>
                <c:pt idx="40">
                  <c:v>6.8274101751499723</c:v>
                </c:pt>
                <c:pt idx="41">
                  <c:v>6.8187550901234246</c:v>
                </c:pt>
                <c:pt idx="42">
                  <c:v>6.8670599210290844</c:v>
                </c:pt>
                <c:pt idx="43">
                  <c:v>6.9399725220855375</c:v>
                </c:pt>
                <c:pt idx="44">
                  <c:v>6.8116588915237388</c:v>
                </c:pt>
                <c:pt idx="45">
                  <c:v>6.6993480924976527</c:v>
                </c:pt>
                <c:pt idx="46">
                  <c:v>6.8077912196169708</c:v>
                </c:pt>
                <c:pt idx="47">
                  <c:v>6.7955353195380228</c:v>
                </c:pt>
                <c:pt idx="48">
                  <c:v>6.7910225111850826</c:v>
                </c:pt>
                <c:pt idx="49">
                  <c:v>6.93312195174307</c:v>
                </c:pt>
                <c:pt idx="50">
                  <c:v>7.0519088708246702</c:v>
                </c:pt>
                <c:pt idx="51">
                  <c:v>6.9674375161094027</c:v>
                </c:pt>
                <c:pt idx="52">
                  <c:v>7.0199610821033787</c:v>
                </c:pt>
                <c:pt idx="53">
                  <c:v>6.8253473678814895</c:v>
                </c:pt>
                <c:pt idx="54">
                  <c:v>6.9050768618941127</c:v>
                </c:pt>
                <c:pt idx="55">
                  <c:v>6.8288151347462627</c:v>
                </c:pt>
                <c:pt idx="56">
                  <c:v>6.9220977943565476</c:v>
                </c:pt>
                <c:pt idx="57">
                  <c:v>6.9308380582454356</c:v>
                </c:pt>
                <c:pt idx="58">
                  <c:v>6.9754310141781044</c:v>
                </c:pt>
                <c:pt idx="59">
                  <c:v>6.9584521043393943</c:v>
                </c:pt>
                <c:pt idx="60">
                  <c:v>6.9143933108860614</c:v>
                </c:pt>
                <c:pt idx="61">
                  <c:v>6.8154041854006246</c:v>
                </c:pt>
                <c:pt idx="62">
                  <c:v>6.8763828721108373</c:v>
                </c:pt>
                <c:pt idx="63">
                  <c:v>7.001490003357679</c:v>
                </c:pt>
                <c:pt idx="64">
                  <c:v>6.8744518308895532</c:v>
                </c:pt>
                <c:pt idx="65">
                  <c:v>6.8872477206698983</c:v>
                </c:pt>
                <c:pt idx="66">
                  <c:v>6.8152177437443244</c:v>
                </c:pt>
                <c:pt idx="67">
                  <c:v>6.9315715700481793</c:v>
                </c:pt>
                <c:pt idx="68">
                  <c:v>6.8461476757837163</c:v>
                </c:pt>
                <c:pt idx="69">
                  <c:v>6.7691066441113401</c:v>
                </c:pt>
                <c:pt idx="70">
                  <c:v>6.683156905613119</c:v>
                </c:pt>
                <c:pt idx="71">
                  <c:v>6.7920628145943933</c:v>
                </c:pt>
                <c:pt idx="72">
                  <c:v>6.6757987616556163</c:v>
                </c:pt>
                <c:pt idx="73">
                  <c:v>6.7224365269654118</c:v>
                </c:pt>
                <c:pt idx="74">
                  <c:v>6.7813463452553844</c:v>
                </c:pt>
                <c:pt idx="75">
                  <c:v>6.784114699602644</c:v>
                </c:pt>
                <c:pt idx="76">
                  <c:v>6.7803207498734013</c:v>
                </c:pt>
                <c:pt idx="77">
                  <c:v>6.7674083545523924</c:v>
                </c:pt>
                <c:pt idx="78">
                  <c:v>6.7078921431173653</c:v>
                </c:pt>
                <c:pt idx="79">
                  <c:v>6.6986362896149361</c:v>
                </c:pt>
                <c:pt idx="80">
                  <c:v>6.8097750399651309</c:v>
                </c:pt>
                <c:pt idx="81">
                  <c:v>6.7121043903469486</c:v>
                </c:pt>
                <c:pt idx="82">
                  <c:v>6.6926032320355713</c:v>
                </c:pt>
                <c:pt idx="83">
                  <c:v>6.6662126843751235</c:v>
                </c:pt>
                <c:pt idx="84">
                  <c:v>6.8064536737946355</c:v>
                </c:pt>
                <c:pt idx="85">
                  <c:v>6.6918318419987184</c:v>
                </c:pt>
                <c:pt idx="86">
                  <c:v>6.6671537111767991</c:v>
                </c:pt>
                <c:pt idx="87">
                  <c:v>6.6580007730729829</c:v>
                </c:pt>
                <c:pt idx="88">
                  <c:v>6.6601210891573199</c:v>
                </c:pt>
                <c:pt idx="89">
                  <c:v>6.8634310693908036</c:v>
                </c:pt>
                <c:pt idx="90">
                  <c:v>6.6420352249994545</c:v>
                </c:pt>
                <c:pt idx="91">
                  <c:v>6.5519473146901772</c:v>
                </c:pt>
                <c:pt idx="92">
                  <c:v>6.4478382358503508</c:v>
                </c:pt>
                <c:pt idx="93">
                  <c:v>6.5836679592507048</c:v>
                </c:pt>
                <c:pt idx="94">
                  <c:v>6.614994199320325</c:v>
                </c:pt>
                <c:pt idx="95">
                  <c:v>6.5481857542161173</c:v>
                </c:pt>
                <c:pt idx="96">
                  <c:v>6.612287947526978</c:v>
                </c:pt>
                <c:pt idx="97">
                  <c:v>6.6068161260327249</c:v>
                </c:pt>
                <c:pt idx="98">
                  <c:v>6.4437512360794091</c:v>
                </c:pt>
                <c:pt idx="99">
                  <c:v>6.5347622927394093</c:v>
                </c:pt>
                <c:pt idx="100">
                  <c:v>6.4571595754290634</c:v>
                </c:pt>
                <c:pt idx="101">
                  <c:v>6.4655795192048648</c:v>
                </c:pt>
                <c:pt idx="102">
                  <c:v>6.496274474276051</c:v>
                </c:pt>
                <c:pt idx="103">
                  <c:v>6.4820972841499245</c:v>
                </c:pt>
                <c:pt idx="104">
                  <c:v>6.5455092131887938</c:v>
                </c:pt>
                <c:pt idx="105">
                  <c:v>6.4864109854139844</c:v>
                </c:pt>
                <c:pt idx="106">
                  <c:v>6.5144900936785888</c:v>
                </c:pt>
                <c:pt idx="107">
                  <c:v>6.448903461365485</c:v>
                </c:pt>
                <c:pt idx="108">
                  <c:v>6.4384960792669457</c:v>
                </c:pt>
                <c:pt idx="109">
                  <c:v>6.4850271343841612</c:v>
                </c:pt>
                <c:pt idx="110">
                  <c:v>6.5966276367106014</c:v>
                </c:pt>
                <c:pt idx="111">
                  <c:v>6.4916327893295742</c:v>
                </c:pt>
                <c:pt idx="112">
                  <c:v>6.5804467975765855</c:v>
                </c:pt>
                <c:pt idx="113">
                  <c:v>6.4762341396029655</c:v>
                </c:pt>
                <c:pt idx="114">
                  <c:v>6.5637246867101968</c:v>
                </c:pt>
                <c:pt idx="115">
                  <c:v>6.3911660092888747</c:v>
                </c:pt>
                <c:pt idx="116">
                  <c:v>6.3282436441324768</c:v>
                </c:pt>
                <c:pt idx="117">
                  <c:v>6.3107100443574087</c:v>
                </c:pt>
                <c:pt idx="118">
                  <c:v>6.3395557844913801</c:v>
                </c:pt>
                <c:pt idx="119">
                  <c:v>6.13151611824392</c:v>
                </c:pt>
                <c:pt idx="120">
                  <c:v>6.0471718769377967</c:v>
                </c:pt>
                <c:pt idx="121">
                  <c:v>6.0405136439377971</c:v>
                </c:pt>
                <c:pt idx="122">
                  <c:v>6.1462462944417116</c:v>
                </c:pt>
                <c:pt idx="123">
                  <c:v>6.2732020505565931</c:v>
                </c:pt>
                <c:pt idx="124">
                  <c:v>6.1979169151399258</c:v>
                </c:pt>
                <c:pt idx="125">
                  <c:v>6.2450518427347204</c:v>
                </c:pt>
                <c:pt idx="126">
                  <c:v>6.3269563016908403</c:v>
                </c:pt>
                <c:pt idx="127">
                  <c:v>6.2652108149135284</c:v>
                </c:pt>
                <c:pt idx="128">
                  <c:v>6.1309440942276217</c:v>
                </c:pt>
                <c:pt idx="129">
                  <c:v>6.2619149941811125</c:v>
                </c:pt>
                <c:pt idx="130">
                  <c:v>6.3601960436088198</c:v>
                </c:pt>
                <c:pt idx="131">
                  <c:v>6.3873307252491074</c:v>
                </c:pt>
                <c:pt idx="132">
                  <c:v>6.4047350165128449</c:v>
                </c:pt>
                <c:pt idx="133">
                  <c:v>6.4650247175620246</c:v>
                </c:pt>
                <c:pt idx="134">
                  <c:v>6.4751509387486914</c:v>
                </c:pt>
                <c:pt idx="135">
                  <c:v>6.4279611684642601</c:v>
                </c:pt>
                <c:pt idx="136">
                  <c:v>6.3138454363873366</c:v>
                </c:pt>
                <c:pt idx="137">
                  <c:v>6.3329651674656606</c:v>
                </c:pt>
                <c:pt idx="138">
                  <c:v>6.3100958804656599</c:v>
                </c:pt>
                <c:pt idx="139">
                  <c:v>6.3438546343085918</c:v>
                </c:pt>
                <c:pt idx="140">
                  <c:v>6.4843572287487845</c:v>
                </c:pt>
                <c:pt idx="141">
                  <c:v>6.4856368881200828</c:v>
                </c:pt>
                <c:pt idx="142">
                  <c:v>6.3699071294305583</c:v>
                </c:pt>
                <c:pt idx="143">
                  <c:v>6.6670489846298766</c:v>
                </c:pt>
                <c:pt idx="144">
                  <c:v>6.4354507966777756</c:v>
                </c:pt>
                <c:pt idx="145">
                  <c:v>6.2849935512739261</c:v>
                </c:pt>
                <c:pt idx="146">
                  <c:v>6.255020860200541</c:v>
                </c:pt>
                <c:pt idx="147">
                  <c:v>6.1893591736948999</c:v>
                </c:pt>
                <c:pt idx="148">
                  <c:v>6.2188085685345609</c:v>
                </c:pt>
                <c:pt idx="149">
                  <c:v>6.1169926933382275</c:v>
                </c:pt>
                <c:pt idx="150">
                  <c:v>6.0755471921360424</c:v>
                </c:pt>
                <c:pt idx="151">
                  <c:v>6.1392396449461106</c:v>
                </c:pt>
                <c:pt idx="152">
                  <c:v>6.1346981662571869</c:v>
                </c:pt>
                <c:pt idx="153">
                  <c:v>6.0893015401965815</c:v>
                </c:pt>
                <c:pt idx="154">
                  <c:v>5.9615137522327126</c:v>
                </c:pt>
                <c:pt idx="155">
                  <c:v>6.0626297313795643</c:v>
                </c:pt>
                <c:pt idx="156">
                  <c:v>5.9529031509712862</c:v>
                </c:pt>
                <c:pt idx="157">
                  <c:v>6.1343852305573154</c:v>
                </c:pt>
                <c:pt idx="158">
                  <c:v>6.0109160952318241</c:v>
                </c:pt>
                <c:pt idx="159">
                  <c:v>5.9935386216937472</c:v>
                </c:pt>
                <c:pt idx="160">
                  <c:v>6.0751382153798028</c:v>
                </c:pt>
                <c:pt idx="161">
                  <c:v>6.041244804088894</c:v>
                </c:pt>
                <c:pt idx="162">
                  <c:v>5.9276598333130126</c:v>
                </c:pt>
                <c:pt idx="163">
                  <c:v>5.9329824510000515</c:v>
                </c:pt>
                <c:pt idx="164">
                  <c:v>6.0914254792112663</c:v>
                </c:pt>
                <c:pt idx="165">
                  <c:v>6.1972123051591259</c:v>
                </c:pt>
                <c:pt idx="166">
                  <c:v>6.0834275312240234</c:v>
                </c:pt>
                <c:pt idx="167">
                  <c:v>6.1298194491469884</c:v>
                </c:pt>
                <c:pt idx="168">
                  <c:v>6.0583858773732553</c:v>
                </c:pt>
                <c:pt idx="169">
                  <c:v>6.15258288065505</c:v>
                </c:pt>
                <c:pt idx="170">
                  <c:v>6.2099482117473581</c:v>
                </c:pt>
                <c:pt idx="171">
                  <c:v>6.1608317081824202</c:v>
                </c:pt>
                <c:pt idx="172">
                  <c:v>6.0669040938621599</c:v>
                </c:pt>
                <c:pt idx="173">
                  <c:v>6.1683259659857743</c:v>
                </c:pt>
                <c:pt idx="174">
                  <c:v>6.1719806072451684</c:v>
                </c:pt>
                <c:pt idx="175">
                  <c:v>6.3450986737834381</c:v>
                </c:pt>
                <c:pt idx="176">
                  <c:v>6.1010799314444837</c:v>
                </c:pt>
                <c:pt idx="177">
                  <c:v>6.0436457860296278</c:v>
                </c:pt>
                <c:pt idx="178">
                  <c:v>5.9344073744765931</c:v>
                </c:pt>
                <c:pt idx="179">
                  <c:v>5.9197779815372371</c:v>
                </c:pt>
                <c:pt idx="180">
                  <c:v>6.0580053383928298</c:v>
                </c:pt>
                <c:pt idx="181">
                  <c:v>6.016196485618635</c:v>
                </c:pt>
                <c:pt idx="182">
                  <c:v>5.9557910631265436</c:v>
                </c:pt>
                <c:pt idx="183">
                  <c:v>5.8273908322451424</c:v>
                </c:pt>
                <c:pt idx="184">
                  <c:v>5.9115134976277304</c:v>
                </c:pt>
                <c:pt idx="185">
                  <c:v>5.7214853518349988</c:v>
                </c:pt>
                <c:pt idx="186">
                  <c:v>6.0668674701471739</c:v>
                </c:pt>
                <c:pt idx="187">
                  <c:v>5.9721037405293265</c:v>
                </c:pt>
                <c:pt idx="188">
                  <c:v>5.761140802585647</c:v>
                </c:pt>
                <c:pt idx="189">
                  <c:v>5.5734794637623502</c:v>
                </c:pt>
                <c:pt idx="190">
                  <c:v>5.4059951836400817</c:v>
                </c:pt>
                <c:pt idx="191">
                  <c:v>5.2370340664181461</c:v>
                </c:pt>
                <c:pt idx="192">
                  <c:v>5.3709219155405883</c:v>
                </c:pt>
                <c:pt idx="193">
                  <c:v>5.4649901559632337</c:v>
                </c:pt>
                <c:pt idx="194">
                  <c:v>5.507328664409429</c:v>
                </c:pt>
                <c:pt idx="195">
                  <c:v>5.553243992300172</c:v>
                </c:pt>
                <c:pt idx="196">
                  <c:v>5.7090425275343524</c:v>
                </c:pt>
                <c:pt idx="197">
                  <c:v>5.7720208864303686</c:v>
                </c:pt>
                <c:pt idx="198">
                  <c:v>5.6742048080428811</c:v>
                </c:pt>
                <c:pt idx="199">
                  <c:v>5.7434831615932564</c:v>
                </c:pt>
                <c:pt idx="200">
                  <c:v>5.8065828957139756</c:v>
                </c:pt>
                <c:pt idx="201">
                  <c:v>5.7650752183067029</c:v>
                </c:pt>
                <c:pt idx="202">
                  <c:v>5.8020905497803614</c:v>
                </c:pt>
                <c:pt idx="203">
                  <c:v>5.7385174671049732</c:v>
                </c:pt>
                <c:pt idx="204">
                  <c:v>5.946896441088307</c:v>
                </c:pt>
                <c:pt idx="205">
                  <c:v>5.9358519508970797</c:v>
                </c:pt>
                <c:pt idx="206">
                  <c:v>5.9228670256670481</c:v>
                </c:pt>
                <c:pt idx="207">
                  <c:v>6.0071015979203999</c:v>
                </c:pt>
                <c:pt idx="208">
                  <c:v>5.9923374291718607</c:v>
                </c:pt>
                <c:pt idx="209">
                  <c:v>5.9554868564975587</c:v>
                </c:pt>
                <c:pt idx="210">
                  <c:v>5.881136464229634</c:v>
                </c:pt>
                <c:pt idx="211">
                  <c:v>5.9584378606739374</c:v>
                </c:pt>
                <c:pt idx="212">
                  <c:v>5.9334430020892031</c:v>
                </c:pt>
                <c:pt idx="213">
                  <c:v>5.9430073396912038</c:v>
                </c:pt>
                <c:pt idx="214">
                  <c:v>5.9415092177266544</c:v>
                </c:pt>
                <c:pt idx="215">
                  <c:v>5.8140925502936884</c:v>
                </c:pt>
                <c:pt idx="216">
                  <c:v>5.8007340399440563</c:v>
                </c:pt>
                <c:pt idx="217">
                  <c:v>5.8871545651621435</c:v>
                </c:pt>
                <c:pt idx="218">
                  <c:v>5.7242285893487912</c:v>
                </c:pt>
                <c:pt idx="219">
                  <c:v>5.6797042077052389</c:v>
                </c:pt>
                <c:pt idx="220">
                  <c:v>5.5942927535466085</c:v>
                </c:pt>
                <c:pt idx="221">
                  <c:v>5.8028219703964448</c:v>
                </c:pt>
                <c:pt idx="222">
                  <c:v>5.7471636056431432</c:v>
                </c:pt>
                <c:pt idx="223">
                  <c:v>5.7782382556552303</c:v>
                </c:pt>
                <c:pt idx="224">
                  <c:v>5.8569260197871804</c:v>
                </c:pt>
                <c:pt idx="225">
                  <c:v>5.7537341165284968</c:v>
                </c:pt>
                <c:pt idx="226">
                  <c:v>5.7072288815991188</c:v>
                </c:pt>
                <c:pt idx="227">
                  <c:v>5.7592983366122539</c:v>
                </c:pt>
                <c:pt idx="228">
                  <c:v>5.7433881027618288</c:v>
                </c:pt>
                <c:pt idx="229">
                  <c:v>5.6345936723954821</c:v>
                </c:pt>
                <c:pt idx="230">
                  <c:v>5.6286559541752164</c:v>
                </c:pt>
                <c:pt idx="231">
                  <c:v>5.6928984590665888</c:v>
                </c:pt>
                <c:pt idx="232">
                  <c:v>5.7808291853020277</c:v>
                </c:pt>
                <c:pt idx="233">
                  <c:v>5.6238322452100027</c:v>
                </c:pt>
                <c:pt idx="234">
                  <c:v>5.4392558983625499</c:v>
                </c:pt>
                <c:pt idx="235">
                  <c:v>5.6826943207902785</c:v>
                </c:pt>
                <c:pt idx="236">
                  <c:v>5.7061195428166878</c:v>
                </c:pt>
                <c:pt idx="237">
                  <c:v>5.8697341266372574</c:v>
                </c:pt>
                <c:pt idx="238">
                  <c:v>6.0133793466712246</c:v>
                </c:pt>
                <c:pt idx="239">
                  <c:v>5.8362333584910653</c:v>
                </c:pt>
                <c:pt idx="240">
                  <c:v>5.7921189479278672</c:v>
                </c:pt>
                <c:pt idx="241">
                  <c:v>5.7693080088944075</c:v>
                </c:pt>
                <c:pt idx="242">
                  <c:v>5.6239650792019038</c:v>
                </c:pt>
                <c:pt idx="243">
                  <c:v>5.5785372633875232</c:v>
                </c:pt>
                <c:pt idx="244">
                  <c:v>5.6195341640446328</c:v>
                </c:pt>
                <c:pt idx="245">
                  <c:v>5.9696685283657489</c:v>
                </c:pt>
                <c:pt idx="246">
                  <c:v>5.8530012193344154</c:v>
                </c:pt>
                <c:pt idx="247">
                  <c:v>5.737006838867674</c:v>
                </c:pt>
                <c:pt idx="248">
                  <c:v>5.6352996464157439</c:v>
                </c:pt>
                <c:pt idx="249">
                  <c:v>5.3920755587306974</c:v>
                </c:pt>
                <c:pt idx="250">
                  <c:v>5.4033987624338842</c:v>
                </c:pt>
                <c:pt idx="251">
                  <c:v>5.2471365375260222</c:v>
                </c:pt>
                <c:pt idx="252">
                  <c:v>5.309113702803522</c:v>
                </c:pt>
                <c:pt idx="253">
                  <c:v>5.1414841840819019</c:v>
                </c:pt>
                <c:pt idx="254">
                  <c:v>5.3232047766473665</c:v>
                </c:pt>
                <c:pt idx="255">
                  <c:v>5.3483067734189538</c:v>
                </c:pt>
                <c:pt idx="256">
                  <c:v>5.3129323810722422</c:v>
                </c:pt>
                <c:pt idx="257">
                  <c:v>5.3476676122754112</c:v>
                </c:pt>
                <c:pt idx="258">
                  <c:v>5.435066382468472</c:v>
                </c:pt>
                <c:pt idx="259">
                  <c:v>5.4626562343515008</c:v>
                </c:pt>
                <c:pt idx="260">
                  <c:v>5.3124091875718911</c:v>
                </c:pt>
                <c:pt idx="261">
                  <c:v>5.4400807732974927</c:v>
                </c:pt>
                <c:pt idx="262">
                  <c:v>5.3213901581160945</c:v>
                </c:pt>
                <c:pt idx="263">
                  <c:v>5.371957667285626</c:v>
                </c:pt>
                <c:pt idx="264">
                  <c:v>5.4324406151369296</c:v>
                </c:pt>
                <c:pt idx="265">
                  <c:v>5.4310520358202954</c:v>
                </c:pt>
                <c:pt idx="266">
                  <c:v>5.4847742732895828</c:v>
                </c:pt>
                <c:pt idx="267">
                  <c:v>5.5090613017605214</c:v>
                </c:pt>
                <c:pt idx="268">
                  <c:v>5.3899802043019696</c:v>
                </c:pt>
                <c:pt idx="269">
                  <c:v>5.535039269620583</c:v>
                </c:pt>
                <c:pt idx="270">
                  <c:v>5.555560162775099</c:v>
                </c:pt>
                <c:pt idx="271">
                  <c:v>5.595703517278813</c:v>
                </c:pt>
                <c:pt idx="272">
                  <c:v>5.5494158166345251</c:v>
                </c:pt>
                <c:pt idx="273">
                  <c:v>5.5111490690409601</c:v>
                </c:pt>
                <c:pt idx="274">
                  <c:v>5.526818276564021</c:v>
                </c:pt>
                <c:pt idx="275">
                  <c:v>5.5420222728741395</c:v>
                </c:pt>
                <c:pt idx="276">
                  <c:v>5.5168183983941397</c:v>
                </c:pt>
                <c:pt idx="277">
                  <c:v>5.3929234100304164</c:v>
                </c:pt>
                <c:pt idx="278">
                  <c:v>5.3494639419400185</c:v>
                </c:pt>
                <c:pt idx="279">
                  <c:v>5.4993750697044668</c:v>
                </c:pt>
                <c:pt idx="280">
                  <c:v>5.1429050420786071</c:v>
                </c:pt>
                <c:pt idx="281">
                  <c:v>5.2289683701201373</c:v>
                </c:pt>
                <c:pt idx="282">
                  <c:v>5.339815125835071</c:v>
                </c:pt>
                <c:pt idx="283">
                  <c:v>5.2356770920156999</c:v>
                </c:pt>
                <c:pt idx="284">
                  <c:v>5.331842757360878</c:v>
                </c:pt>
                <c:pt idx="285">
                  <c:v>5.258625010833283</c:v>
                </c:pt>
                <c:pt idx="286">
                  <c:v>5.372908140928355</c:v>
                </c:pt>
                <c:pt idx="287">
                  <c:v>5.3071306176563215</c:v>
                </c:pt>
                <c:pt idx="288">
                  <c:v>5.2530901053331087</c:v>
                </c:pt>
                <c:pt idx="289">
                  <c:v>5.2425929561148923</c:v>
                </c:pt>
                <c:pt idx="290">
                  <c:v>5.1884497452598728</c:v>
                </c:pt>
                <c:pt idx="291">
                  <c:v>5.1763821105383245</c:v>
                </c:pt>
                <c:pt idx="292">
                  <c:v>5.1994883205246651</c:v>
                </c:pt>
                <c:pt idx="293">
                  <c:v>5.2282809261725864</c:v>
                </c:pt>
                <c:pt idx="294">
                  <c:v>5.2480088565385685</c:v>
                </c:pt>
                <c:pt idx="295">
                  <c:v>5.1925938869922801</c:v>
                </c:pt>
                <c:pt idx="296">
                  <c:v>5.2920545310765021</c:v>
                </c:pt>
                <c:pt idx="297">
                  <c:v>5.2761306374963599</c:v>
                </c:pt>
                <c:pt idx="298">
                  <c:v>5.2678082683766974</c:v>
                </c:pt>
                <c:pt idx="299">
                  <c:v>5.2090369323287629</c:v>
                </c:pt>
                <c:pt idx="300">
                  <c:v>5.3180023720556289</c:v>
                </c:pt>
                <c:pt idx="301">
                  <c:v>5.3339293220473492</c:v>
                </c:pt>
                <c:pt idx="302">
                  <c:v>5.4282678881325994</c:v>
                </c:pt>
                <c:pt idx="303">
                  <c:v>5.4675980753653874</c:v>
                </c:pt>
                <c:pt idx="304">
                  <c:v>5.5081868406107599</c:v>
                </c:pt>
                <c:pt idx="305">
                  <c:v>5.5928653471676286</c:v>
                </c:pt>
                <c:pt idx="306">
                  <c:v>5.4497410649222173</c:v>
                </c:pt>
                <c:pt idx="307">
                  <c:v>5.5183188600549187</c:v>
                </c:pt>
                <c:pt idx="308">
                  <c:v>5.5664133952263262</c:v>
                </c:pt>
                <c:pt idx="309">
                  <c:v>5.110410899553397</c:v>
                </c:pt>
                <c:pt idx="310">
                  <c:v>5.5568221749652276</c:v>
                </c:pt>
                <c:pt idx="311">
                  <c:v>5.3787501602220775</c:v>
                </c:pt>
                <c:pt idx="312">
                  <c:v>5.4448374771497496</c:v>
                </c:pt>
                <c:pt idx="313">
                  <c:v>5.2929073941925608</c:v>
                </c:pt>
                <c:pt idx="314">
                  <c:v>5.2894839154444844</c:v>
                </c:pt>
                <c:pt idx="315">
                  <c:v>5.4398783676584719</c:v>
                </c:pt>
                <c:pt idx="316">
                  <c:v>5.2835445031467554</c:v>
                </c:pt>
                <c:pt idx="317">
                  <c:v>5.1491265141467553</c:v>
                </c:pt>
                <c:pt idx="318">
                  <c:v>5.1272390559463137</c:v>
                </c:pt>
                <c:pt idx="319">
                  <c:v>5.2519384793352639</c:v>
                </c:pt>
                <c:pt idx="320">
                  <c:v>5.1652161323451251</c:v>
                </c:pt>
                <c:pt idx="321">
                  <c:v>5.1442148991482339</c:v>
                </c:pt>
                <c:pt idx="322">
                  <c:v>5.1377095750757675</c:v>
                </c:pt>
                <c:pt idx="323">
                  <c:v>5.1994274454478733</c:v>
                </c:pt>
                <c:pt idx="324">
                  <c:v>5.0021791109918849</c:v>
                </c:pt>
                <c:pt idx="325">
                  <c:v>4.8960061583584471</c:v>
                </c:pt>
                <c:pt idx="326">
                  <c:v>4.7281242107272101</c:v>
                </c:pt>
                <c:pt idx="327">
                  <c:v>4.7121118668386384</c:v>
                </c:pt>
                <c:pt idx="328">
                  <c:v>4.6111856741146386</c:v>
                </c:pt>
                <c:pt idx="329">
                  <c:v>4.7738590226113553</c:v>
                </c:pt>
                <c:pt idx="330">
                  <c:v>4.5764228781564613</c:v>
                </c:pt>
                <c:pt idx="331">
                  <c:v>4.4484674804658848</c:v>
                </c:pt>
                <c:pt idx="332">
                  <c:v>4.3485424704069668</c:v>
                </c:pt>
                <c:pt idx="333">
                  <c:v>4.284286158536009</c:v>
                </c:pt>
                <c:pt idx="334">
                  <c:v>4.2355250910742761</c:v>
                </c:pt>
                <c:pt idx="335">
                  <c:v>4.229737454776358</c:v>
                </c:pt>
                <c:pt idx="336">
                  <c:v>4.2040044065869013</c:v>
                </c:pt>
                <c:pt idx="337">
                  <c:v>4.2897177452224939</c:v>
                </c:pt>
                <c:pt idx="338">
                  <c:v>4.2315873959129524</c:v>
                </c:pt>
                <c:pt idx="339">
                  <c:v>4.1928779361955932</c:v>
                </c:pt>
                <c:pt idx="340">
                  <c:v>4.1362580241161746</c:v>
                </c:pt>
                <c:pt idx="341">
                  <c:v>4.1766106151642761</c:v>
                </c:pt>
                <c:pt idx="342">
                  <c:v>4.2359562194567237</c:v>
                </c:pt>
                <c:pt idx="343">
                  <c:v>4.1728697822532297</c:v>
                </c:pt>
                <c:pt idx="344">
                  <c:v>4.1595580392920537</c:v>
                </c:pt>
                <c:pt idx="345">
                  <c:v>4.0950406254754048</c:v>
                </c:pt>
                <c:pt idx="346">
                  <c:v>4.0939146885704734</c:v>
                </c:pt>
                <c:pt idx="347">
                  <c:v>4.0838212784749848</c:v>
                </c:pt>
                <c:pt idx="348">
                  <c:v>4.1745698635717909</c:v>
                </c:pt>
                <c:pt idx="349">
                  <c:v>4.0087193570792286</c:v>
                </c:pt>
                <c:pt idx="350">
                  <c:v>3.9801174600444322</c:v>
                </c:pt>
                <c:pt idx="351">
                  <c:v>3.9779380016413493</c:v>
                </c:pt>
                <c:pt idx="352">
                  <c:v>3.986128021721445</c:v>
                </c:pt>
                <c:pt idx="353">
                  <c:v>3.975647510317339</c:v>
                </c:pt>
                <c:pt idx="354">
                  <c:v>3.667430541519646</c:v>
                </c:pt>
                <c:pt idx="355">
                  <c:v>3.6027516756014317</c:v>
                </c:pt>
                <c:pt idx="356">
                  <c:v>3.642251983878444</c:v>
                </c:pt>
                <c:pt idx="357">
                  <c:v>3.5578930523642596</c:v>
                </c:pt>
                <c:pt idx="358">
                  <c:v>3.6142825838797217</c:v>
                </c:pt>
                <c:pt idx="359">
                  <c:v>3.6326888020864456</c:v>
                </c:pt>
                <c:pt idx="360">
                  <c:v>3.6127556714937858</c:v>
                </c:pt>
                <c:pt idx="361">
                  <c:v>3.5086508631948474</c:v>
                </c:pt>
                <c:pt idx="362">
                  <c:v>3.5627780873025436</c:v>
                </c:pt>
                <c:pt idx="363">
                  <c:v>3.6090143642453585</c:v>
                </c:pt>
                <c:pt idx="364">
                  <c:v>3.6305580497236525</c:v>
                </c:pt>
                <c:pt idx="365">
                  <c:v>3.6667958427389289</c:v>
                </c:pt>
                <c:pt idx="366">
                  <c:v>3.7835878411998718</c:v>
                </c:pt>
                <c:pt idx="367">
                  <c:v>3.7145121978711373</c:v>
                </c:pt>
                <c:pt idx="368">
                  <c:v>3.7669057496160208</c:v>
                </c:pt>
                <c:pt idx="369">
                  <c:v>3.762489593228445</c:v>
                </c:pt>
                <c:pt idx="370">
                  <c:v>3.7798323448211657</c:v>
                </c:pt>
                <c:pt idx="371">
                  <c:v>3.7025777522484415</c:v>
                </c:pt>
                <c:pt idx="372">
                  <c:v>3.7941886565818748</c:v>
                </c:pt>
                <c:pt idx="373">
                  <c:v>3.6868727453711538</c:v>
                </c:pt>
                <c:pt idx="374">
                  <c:v>3.7910921979462966</c:v>
                </c:pt>
                <c:pt idx="375">
                  <c:v>3.7434810460480081</c:v>
                </c:pt>
                <c:pt idx="376">
                  <c:v>3.7650739912302087</c:v>
                </c:pt>
                <c:pt idx="377">
                  <c:v>3.8645302631694092</c:v>
                </c:pt>
                <c:pt idx="378">
                  <c:v>3.8501086691945585</c:v>
                </c:pt>
                <c:pt idx="379">
                  <c:v>3.7625242288323704</c:v>
                </c:pt>
                <c:pt idx="380">
                  <c:v>3.6404815707801319</c:v>
                </c:pt>
                <c:pt idx="381">
                  <c:v>3.7064901277636029</c:v>
                </c:pt>
                <c:pt idx="382">
                  <c:v>3.6130775254310605</c:v>
                </c:pt>
                <c:pt idx="383">
                  <c:v>3.5940720363443104</c:v>
                </c:pt>
                <c:pt idx="384">
                  <c:v>3.599121661901127</c:v>
                </c:pt>
                <c:pt idx="385">
                  <c:v>3.4908516604559501</c:v>
                </c:pt>
                <c:pt idx="386">
                  <c:v>3.5452045429676415</c:v>
                </c:pt>
                <c:pt idx="387">
                  <c:v>3.5884990737355036</c:v>
                </c:pt>
                <c:pt idx="388">
                  <c:v>3.5927148340403692</c:v>
                </c:pt>
                <c:pt idx="389">
                  <c:v>3.6594945230352964</c:v>
                </c:pt>
                <c:pt idx="390">
                  <c:v>3.8816986058864522</c:v>
                </c:pt>
                <c:pt idx="391">
                  <c:v>3.5725026561361091</c:v>
                </c:pt>
                <c:pt idx="392">
                  <c:v>3.7484216279521174</c:v>
                </c:pt>
                <c:pt idx="393">
                  <c:v>3.4599156353722651</c:v>
                </c:pt>
                <c:pt idx="394">
                  <c:v>3.3293305386608121</c:v>
                </c:pt>
                <c:pt idx="395">
                  <c:v>3.4165315167111867</c:v>
                </c:pt>
                <c:pt idx="396">
                  <c:v>3.2056423632277595</c:v>
                </c:pt>
                <c:pt idx="397">
                  <c:v>3.6646009568418121</c:v>
                </c:pt>
                <c:pt idx="398">
                  <c:v>3.3186004710628021</c:v>
                </c:pt>
                <c:pt idx="399">
                  <c:v>3.2280690973338251</c:v>
                </c:pt>
                <c:pt idx="400">
                  <c:v>3.0469333093701696</c:v>
                </c:pt>
                <c:pt idx="401">
                  <c:v>3.1563590433145126</c:v>
                </c:pt>
                <c:pt idx="402">
                  <c:v>2.8030570386029856</c:v>
                </c:pt>
                <c:pt idx="403">
                  <c:v>2.7837068048723874</c:v>
                </c:pt>
                <c:pt idx="404">
                  <c:v>2.764775226552818</c:v>
                </c:pt>
                <c:pt idx="405">
                  <c:v>2.8779692656689924</c:v>
                </c:pt>
                <c:pt idx="406">
                  <c:v>2.7102223337329039</c:v>
                </c:pt>
                <c:pt idx="407">
                  <c:v>2.9058594666390816</c:v>
                </c:pt>
                <c:pt idx="408">
                  <c:v>2.6845455362152202</c:v>
                </c:pt>
                <c:pt idx="409">
                  <c:v>2.6462558744769686</c:v>
                </c:pt>
                <c:pt idx="410">
                  <c:v>2.5964664858103017</c:v>
                </c:pt>
                <c:pt idx="411">
                  <c:v>2.5472164854233821</c:v>
                </c:pt>
                <c:pt idx="412">
                  <c:v>2.5693769777941862</c:v>
                </c:pt>
                <c:pt idx="413">
                  <c:v>2.5183222505306313</c:v>
                </c:pt>
                <c:pt idx="414">
                  <c:v>2.6508636993802677</c:v>
                </c:pt>
                <c:pt idx="415">
                  <c:v>2.9001663821608847</c:v>
                </c:pt>
                <c:pt idx="416">
                  <c:v>2.7588268054385439</c:v>
                </c:pt>
                <c:pt idx="417">
                  <c:v>2.7641153515858328</c:v>
                </c:pt>
                <c:pt idx="418">
                  <c:v>2.8069918664323938</c:v>
                </c:pt>
                <c:pt idx="419">
                  <c:v>2.6656838402759879</c:v>
                </c:pt>
                <c:pt idx="420">
                  <c:v>2.7655201707736619</c:v>
                </c:pt>
                <c:pt idx="421">
                  <c:v>2.7191558056984033</c:v>
                </c:pt>
                <c:pt idx="422">
                  <c:v>2.6947459236035871</c:v>
                </c:pt>
                <c:pt idx="423">
                  <c:v>2.7310937724740083</c:v>
                </c:pt>
                <c:pt idx="424">
                  <c:v>2.6722086230402375</c:v>
                </c:pt>
                <c:pt idx="425">
                  <c:v>2.6539905744984646</c:v>
                </c:pt>
                <c:pt idx="426">
                  <c:v>2.6253014442059803</c:v>
                </c:pt>
                <c:pt idx="427">
                  <c:v>2.6255335811770415</c:v>
                </c:pt>
                <c:pt idx="428">
                  <c:v>2.6939085458948857</c:v>
                </c:pt>
                <c:pt idx="429">
                  <c:v>2.7812988655741036</c:v>
                </c:pt>
                <c:pt idx="430">
                  <c:v>2.8439994854423194</c:v>
                </c:pt>
                <c:pt idx="431">
                  <c:v>2.855119070736547</c:v>
                </c:pt>
                <c:pt idx="432">
                  <c:v>2.9127382880692743</c:v>
                </c:pt>
                <c:pt idx="433">
                  <c:v>2.6950168978972373</c:v>
                </c:pt>
                <c:pt idx="434">
                  <c:v>2.6215950446908698</c:v>
                </c:pt>
                <c:pt idx="435">
                  <c:v>2.6426516015176338</c:v>
                </c:pt>
                <c:pt idx="436">
                  <c:v>2.7193043447223983</c:v>
                </c:pt>
                <c:pt idx="437">
                  <c:v>2.613841045809389</c:v>
                </c:pt>
                <c:pt idx="438">
                  <c:v>2.5753257124120439</c:v>
                </c:pt>
                <c:pt idx="439">
                  <c:v>2.6000982376266188</c:v>
                </c:pt>
                <c:pt idx="440">
                  <c:v>2.6143122503226772</c:v>
                </c:pt>
                <c:pt idx="441">
                  <c:v>2.4876412495908471</c:v>
                </c:pt>
                <c:pt idx="442">
                  <c:v>2.5228082088914512</c:v>
                </c:pt>
                <c:pt idx="443">
                  <c:v>2.6383105113859768</c:v>
                </c:pt>
                <c:pt idx="444">
                  <c:v>2.6304378566149622</c:v>
                </c:pt>
                <c:pt idx="445">
                  <c:v>2.6223371793604362</c:v>
                </c:pt>
                <c:pt idx="446">
                  <c:v>2.5908598211113985</c:v>
                </c:pt>
                <c:pt idx="447">
                  <c:v>2.6648224806389669</c:v>
                </c:pt>
                <c:pt idx="448">
                  <c:v>2.607263158497962</c:v>
                </c:pt>
                <c:pt idx="449">
                  <c:v>2.5512589875982901</c:v>
                </c:pt>
                <c:pt idx="450">
                  <c:v>2.5173963743462537</c:v>
                </c:pt>
                <c:pt idx="451">
                  <c:v>2.5181443369837537</c:v>
                </c:pt>
                <c:pt idx="452">
                  <c:v>2.6034067777767809</c:v>
                </c:pt>
                <c:pt idx="453">
                  <c:v>2.5681627219187169</c:v>
                </c:pt>
                <c:pt idx="454">
                  <c:v>2.5434294862195448</c:v>
                </c:pt>
                <c:pt idx="455">
                  <c:v>2.5253938138485523</c:v>
                </c:pt>
                <c:pt idx="456">
                  <c:v>2.5557475407500934</c:v>
                </c:pt>
                <c:pt idx="457">
                  <c:v>2.5813759293626926</c:v>
                </c:pt>
                <c:pt idx="458">
                  <c:v>2.5564000358701633</c:v>
                </c:pt>
                <c:pt idx="459">
                  <c:v>2.6014624550057199</c:v>
                </c:pt>
                <c:pt idx="460">
                  <c:v>2.6484297294243246</c:v>
                </c:pt>
                <c:pt idx="461">
                  <c:v>2.5298213578195519</c:v>
                </c:pt>
                <c:pt idx="462">
                  <c:v>2.5314856445854774</c:v>
                </c:pt>
                <c:pt idx="463">
                  <c:v>2.52927271890354</c:v>
                </c:pt>
                <c:pt idx="464">
                  <c:v>2.4969528025999197</c:v>
                </c:pt>
                <c:pt idx="465">
                  <c:v>2.5308779236019965</c:v>
                </c:pt>
                <c:pt idx="466">
                  <c:v>2.5806212273794316</c:v>
                </c:pt>
                <c:pt idx="467">
                  <c:v>2.4841571991654368</c:v>
                </c:pt>
                <c:pt idx="468">
                  <c:v>2.5192591597852947</c:v>
                </c:pt>
                <c:pt idx="469">
                  <c:v>2.572732155237671</c:v>
                </c:pt>
                <c:pt idx="470">
                  <c:v>2.6320175698617123</c:v>
                </c:pt>
                <c:pt idx="471">
                  <c:v>2.6678614393329312</c:v>
                </c:pt>
                <c:pt idx="472">
                  <c:v>2.6240109126623432</c:v>
                </c:pt>
                <c:pt idx="473">
                  <c:v>2.6351132499041734</c:v>
                </c:pt>
                <c:pt idx="474">
                  <c:v>2.6493192774680954</c:v>
                </c:pt>
                <c:pt idx="475">
                  <c:v>2.5895033168977548</c:v>
                </c:pt>
                <c:pt idx="476">
                  <c:v>2.6085339023758691</c:v>
                </c:pt>
                <c:pt idx="477">
                  <c:v>2.5818678128283192</c:v>
                </c:pt>
                <c:pt idx="478">
                  <c:v>2.4552557024566224</c:v>
                </c:pt>
                <c:pt idx="479">
                  <c:v>2.5571402813395054</c:v>
                </c:pt>
                <c:pt idx="480">
                  <c:v>2.6349263014180941</c:v>
                </c:pt>
                <c:pt idx="481">
                  <c:v>2.5855392750986095</c:v>
                </c:pt>
                <c:pt idx="482">
                  <c:v>2.5304709468347251</c:v>
                </c:pt>
                <c:pt idx="483">
                  <c:v>2.5130164418533645</c:v>
                </c:pt>
                <c:pt idx="484">
                  <c:v>2.4705838771122481</c:v>
                </c:pt>
                <c:pt idx="485">
                  <c:v>2.5064407875676018</c:v>
                </c:pt>
                <c:pt idx="486">
                  <c:v>2.3320581934273856</c:v>
                </c:pt>
                <c:pt idx="487">
                  <c:v>2.458013989676576</c:v>
                </c:pt>
                <c:pt idx="488">
                  <c:v>2.2477510511668246</c:v>
                </c:pt>
                <c:pt idx="489">
                  <c:v>2.2191611192287715</c:v>
                </c:pt>
                <c:pt idx="490">
                  <c:v>2.1067499478613301</c:v>
                </c:pt>
                <c:pt idx="491">
                  <c:v>1.9296019067601686</c:v>
                </c:pt>
                <c:pt idx="492">
                  <c:v>1.9855860320189525</c:v>
                </c:pt>
                <c:pt idx="493">
                  <c:v>1.908833039623828</c:v>
                </c:pt>
                <c:pt idx="494">
                  <c:v>1.8486049819409713</c:v>
                </c:pt>
                <c:pt idx="495">
                  <c:v>1.8644231973346552</c:v>
                </c:pt>
                <c:pt idx="496">
                  <c:v>1.8912003978298768</c:v>
                </c:pt>
                <c:pt idx="497">
                  <c:v>1.8472265758831066</c:v>
                </c:pt>
                <c:pt idx="498">
                  <c:v>1.6951710423131989</c:v>
                </c:pt>
                <c:pt idx="499">
                  <c:v>1.6516188708704587</c:v>
                </c:pt>
                <c:pt idx="500">
                  <c:v>1.6706864724348285</c:v>
                </c:pt>
                <c:pt idx="501">
                  <c:v>1.7536422755356493</c:v>
                </c:pt>
                <c:pt idx="502">
                  <c:v>1.6804965181618108</c:v>
                </c:pt>
                <c:pt idx="503">
                  <c:v>1.5685111124475248</c:v>
                </c:pt>
                <c:pt idx="504">
                  <c:v>1.499642375289383</c:v>
                </c:pt>
                <c:pt idx="505">
                  <c:v>1.4431578195055517</c:v>
                </c:pt>
                <c:pt idx="506">
                  <c:v>1.3039714954351229</c:v>
                </c:pt>
                <c:pt idx="507">
                  <c:v>1.3554595861558323</c:v>
                </c:pt>
                <c:pt idx="508">
                  <c:v>1.3268002958298899</c:v>
                </c:pt>
                <c:pt idx="509">
                  <c:v>1.2572690825867552</c:v>
                </c:pt>
                <c:pt idx="510">
                  <c:v>1.3377271733162273</c:v>
                </c:pt>
                <c:pt idx="511">
                  <c:v>1.1802563052348125</c:v>
                </c:pt>
                <c:pt idx="512">
                  <c:v>1.347751348298541</c:v>
                </c:pt>
                <c:pt idx="513">
                  <c:v>1.3618435336701862</c:v>
                </c:pt>
                <c:pt idx="514">
                  <c:v>1.3715103230541372</c:v>
                </c:pt>
                <c:pt idx="515">
                  <c:v>1.4413164107246177</c:v>
                </c:pt>
                <c:pt idx="516">
                  <c:v>1.5564289288954114</c:v>
                </c:pt>
                <c:pt idx="517">
                  <c:v>1.5125686999452337</c:v>
                </c:pt>
                <c:pt idx="518">
                  <c:v>1.4193262969938518</c:v>
                </c:pt>
                <c:pt idx="519">
                  <c:v>1.4885589415058391</c:v>
                </c:pt>
                <c:pt idx="520">
                  <c:v>1.6459710613182785</c:v>
                </c:pt>
                <c:pt idx="521">
                  <c:v>1.6798841128636723</c:v>
                </c:pt>
                <c:pt idx="522">
                  <c:v>1.4673435377984771</c:v>
                </c:pt>
                <c:pt idx="523">
                  <c:v>1.3093259076799542</c:v>
                </c:pt>
                <c:pt idx="524">
                  <c:v>1.1648662647113774</c:v>
                </c:pt>
                <c:pt idx="525">
                  <c:v>1.4378578348061459</c:v>
                </c:pt>
                <c:pt idx="526">
                  <c:v>1.2747364403672701</c:v>
                </c:pt>
                <c:pt idx="527">
                  <c:v>1.4971899984126031</c:v>
                </c:pt>
                <c:pt idx="528">
                  <c:v>1.274860916239722</c:v>
                </c:pt>
                <c:pt idx="529">
                  <c:v>1.4434626104635362</c:v>
                </c:pt>
                <c:pt idx="530">
                  <c:v>1.169486480560624</c:v>
                </c:pt>
                <c:pt idx="531">
                  <c:v>1.2698693836319608</c:v>
                </c:pt>
                <c:pt idx="532">
                  <c:v>1.2193408900010083</c:v>
                </c:pt>
                <c:pt idx="533">
                  <c:v>1.1598050034450802</c:v>
                </c:pt>
                <c:pt idx="534">
                  <c:v>0.93434758968306575</c:v>
                </c:pt>
                <c:pt idx="535">
                  <c:v>0.95811706007822917</c:v>
                </c:pt>
                <c:pt idx="536">
                  <c:v>0.7724797140873102</c:v>
                </c:pt>
                <c:pt idx="537">
                  <c:v>0.75905645693276458</c:v>
                </c:pt>
                <c:pt idx="538">
                  <c:v>0.68218729867562167</c:v>
                </c:pt>
                <c:pt idx="539">
                  <c:v>0.68284197544483005</c:v>
                </c:pt>
                <c:pt idx="540">
                  <c:v>0.52791971068464794</c:v>
                </c:pt>
                <c:pt idx="541">
                  <c:v>0.64526304225128539</c:v>
                </c:pt>
                <c:pt idx="542">
                  <c:v>0.41938473872102316</c:v>
                </c:pt>
                <c:pt idx="543">
                  <c:v>0.4207183372466165</c:v>
                </c:pt>
                <c:pt idx="544">
                  <c:v>0.45469210520336895</c:v>
                </c:pt>
                <c:pt idx="545">
                  <c:v>0.12478134282705523</c:v>
                </c:pt>
                <c:pt idx="546">
                  <c:v>-1.6876523162552808E-3</c:v>
                </c:pt>
                <c:pt idx="547">
                  <c:v>-5.3555604406898584E-2</c:v>
                </c:pt>
                <c:pt idx="548">
                  <c:v>4.3580900199733097E-2</c:v>
                </c:pt>
                <c:pt idx="549">
                  <c:v>-4.8578054608486222E-2</c:v>
                </c:pt>
                <c:pt idx="550">
                  <c:v>-0.10769460970676299</c:v>
                </c:pt>
                <c:pt idx="551">
                  <c:v>-5.0689799809566755E-2</c:v>
                </c:pt>
                <c:pt idx="552">
                  <c:v>-8.0328546049142496E-2</c:v>
                </c:pt>
                <c:pt idx="553">
                  <c:v>-5.1975510858702813E-2</c:v>
                </c:pt>
                <c:pt idx="554">
                  <c:v>-3.1767949513632994E-2</c:v>
                </c:pt>
                <c:pt idx="555">
                  <c:v>-0.1282623674261259</c:v>
                </c:pt>
                <c:pt idx="556">
                  <c:v>-0.16025725364552756</c:v>
                </c:pt>
                <c:pt idx="557">
                  <c:v>-0.14805895685364934</c:v>
                </c:pt>
                <c:pt idx="558">
                  <c:v>-0.13114216547358495</c:v>
                </c:pt>
                <c:pt idx="559">
                  <c:v>-0.19129234306237011</c:v>
                </c:pt>
                <c:pt idx="560">
                  <c:v>-0.24547969839612227</c:v>
                </c:pt>
                <c:pt idx="561">
                  <c:v>-0.24668530544357381</c:v>
                </c:pt>
                <c:pt idx="562">
                  <c:v>-0.25819008699248153</c:v>
                </c:pt>
                <c:pt idx="563">
                  <c:v>-0.21252129343558429</c:v>
                </c:pt>
                <c:pt idx="564">
                  <c:v>-0.18539804088445336</c:v>
                </c:pt>
                <c:pt idx="565">
                  <c:v>-0.37386548034867984</c:v>
                </c:pt>
                <c:pt idx="566">
                  <c:v>-0.40492356804407076</c:v>
                </c:pt>
                <c:pt idx="567">
                  <c:v>-0.43107616739100951</c:v>
                </c:pt>
                <c:pt idx="568">
                  <c:v>-0.4211698929506229</c:v>
                </c:pt>
                <c:pt idx="569">
                  <c:v>-0.36688664465653509</c:v>
                </c:pt>
                <c:pt idx="570">
                  <c:v>-0.51945602712827632</c:v>
                </c:pt>
                <c:pt idx="571">
                  <c:v>-0.57269457203619412</c:v>
                </c:pt>
                <c:pt idx="572">
                  <c:v>-0.56556313189247132</c:v>
                </c:pt>
                <c:pt idx="573">
                  <c:v>-0.60628080686238095</c:v>
                </c:pt>
                <c:pt idx="574">
                  <c:v>-0.61498249446862485</c:v>
                </c:pt>
                <c:pt idx="575">
                  <c:v>-0.6122630896360256</c:v>
                </c:pt>
                <c:pt idx="576">
                  <c:v>-0.60663328324760357</c:v>
                </c:pt>
                <c:pt idx="577">
                  <c:v>-0.59490277684093695</c:v>
                </c:pt>
                <c:pt idx="578">
                  <c:v>-0.63121181824093697</c:v>
                </c:pt>
                <c:pt idx="579">
                  <c:v>-0.68734116154275515</c:v>
                </c:pt>
                <c:pt idx="580">
                  <c:v>-0.67153020943889319</c:v>
                </c:pt>
                <c:pt idx="581">
                  <c:v>-0.67565374301114756</c:v>
                </c:pt>
                <c:pt idx="582">
                  <c:v>-0.67300141026707172</c:v>
                </c:pt>
                <c:pt idx="583">
                  <c:v>-0.63018800908828987</c:v>
                </c:pt>
                <c:pt idx="584">
                  <c:v>-0.84223599843025287</c:v>
                </c:pt>
                <c:pt idx="585">
                  <c:v>-1.0050507749357289</c:v>
                </c:pt>
                <c:pt idx="586">
                  <c:v>-0.97864055323745303</c:v>
                </c:pt>
                <c:pt idx="587">
                  <c:v>-0.98266938877895482</c:v>
                </c:pt>
                <c:pt idx="588">
                  <c:v>-0.92173088525530433</c:v>
                </c:pt>
                <c:pt idx="589">
                  <c:v>-0.88453443037939206</c:v>
                </c:pt>
                <c:pt idx="590">
                  <c:v>-0.92616645294331512</c:v>
                </c:pt>
                <c:pt idx="591">
                  <c:v>-0.96734879079573943</c:v>
                </c:pt>
                <c:pt idx="592">
                  <c:v>-1.1125965626585181</c:v>
                </c:pt>
                <c:pt idx="593">
                  <c:v>-0.99035148124958339</c:v>
                </c:pt>
                <c:pt idx="594">
                  <c:v>-0.77721234083476798</c:v>
                </c:pt>
                <c:pt idx="595">
                  <c:v>-1.179708776298374</c:v>
                </c:pt>
                <c:pt idx="596">
                  <c:v>-0.96933452280050414</c:v>
                </c:pt>
                <c:pt idx="597">
                  <c:v>-0.88294596218760102</c:v>
                </c:pt>
                <c:pt idx="598">
                  <c:v>-0.8848223164425385</c:v>
                </c:pt>
                <c:pt idx="599">
                  <c:v>-0.78061641052452568</c:v>
                </c:pt>
                <c:pt idx="600">
                  <c:v>-0.91085321940529562</c:v>
                </c:pt>
                <c:pt idx="601">
                  <c:v>-0.74815049354874619</c:v>
                </c:pt>
                <c:pt idx="602">
                  <c:v>-0.53169529759760925</c:v>
                </c:pt>
                <c:pt idx="603">
                  <c:v>-0.66502261704975218</c:v>
                </c:pt>
                <c:pt idx="604">
                  <c:v>-0.8728252360451374</c:v>
                </c:pt>
                <c:pt idx="605">
                  <c:v>-0.84575834386112092</c:v>
                </c:pt>
                <c:pt idx="606">
                  <c:v>-0.92449186395920024</c:v>
                </c:pt>
                <c:pt idx="607">
                  <c:v>-0.45986769672893957</c:v>
                </c:pt>
                <c:pt idx="608">
                  <c:v>-0.14401320874430187</c:v>
                </c:pt>
                <c:pt idx="609">
                  <c:v>-2.3142282942929044E-2</c:v>
                </c:pt>
                <c:pt idx="610">
                  <c:v>9.9297308543780452E-2</c:v>
                </c:pt>
                <c:pt idx="611">
                  <c:v>1.1795014522970737</c:v>
                </c:pt>
                <c:pt idx="612">
                  <c:v>1.228227578820523</c:v>
                </c:pt>
                <c:pt idx="613">
                  <c:v>1.2381780948336363</c:v>
                </c:pt>
                <c:pt idx="614">
                  <c:v>1.2398149865461003</c:v>
                </c:pt>
                <c:pt idx="615">
                  <c:v>1.1016442318462658</c:v>
                </c:pt>
                <c:pt idx="616">
                  <c:v>1.0479080009323622</c:v>
                </c:pt>
                <c:pt idx="617">
                  <c:v>1.3733330115796969</c:v>
                </c:pt>
                <c:pt idx="618">
                  <c:v>1.1366368637433533</c:v>
                </c:pt>
                <c:pt idx="619">
                  <c:v>1.0795649403396876</c:v>
                </c:pt>
                <c:pt idx="620">
                  <c:v>1.0389300043396876</c:v>
                </c:pt>
                <c:pt idx="621">
                  <c:v>1.0161361989687678</c:v>
                </c:pt>
                <c:pt idx="622">
                  <c:v>1.0595442925360194</c:v>
                </c:pt>
                <c:pt idx="623">
                  <c:v>0.93208279971783747</c:v>
                </c:pt>
                <c:pt idx="624">
                  <c:v>0.91602723824108423</c:v>
                </c:pt>
                <c:pt idx="625">
                  <c:v>0.93578576732676633</c:v>
                </c:pt>
                <c:pt idx="626">
                  <c:v>0.81573751110379678</c:v>
                </c:pt>
                <c:pt idx="627">
                  <c:v>0.79175197488905136</c:v>
                </c:pt>
                <c:pt idx="628">
                  <c:v>0.80602505487809661</c:v>
                </c:pt>
                <c:pt idx="629">
                  <c:v>0.82289009349714415</c:v>
                </c:pt>
                <c:pt idx="630">
                  <c:v>0.82300766288650951</c:v>
                </c:pt>
                <c:pt idx="631">
                  <c:v>0.8007932323543665</c:v>
                </c:pt>
                <c:pt idx="632">
                  <c:v>0.7798162392276059</c:v>
                </c:pt>
                <c:pt idx="633">
                  <c:v>0.75105150672425036</c:v>
                </c:pt>
                <c:pt idx="634">
                  <c:v>0.71400052826290528</c:v>
                </c:pt>
                <c:pt idx="635">
                  <c:v>0.6984482454337736</c:v>
                </c:pt>
                <c:pt idx="636">
                  <c:v>0.65351401837603107</c:v>
                </c:pt>
                <c:pt idx="637">
                  <c:v>0.63002912219483853</c:v>
                </c:pt>
                <c:pt idx="638">
                  <c:v>0.61037498122514144</c:v>
                </c:pt>
                <c:pt idx="639">
                  <c:v>0.59380857564443656</c:v>
                </c:pt>
                <c:pt idx="640">
                  <c:v>0.57319494899352752</c:v>
                </c:pt>
                <c:pt idx="641">
                  <c:v>0.55127829831635877</c:v>
                </c:pt>
                <c:pt idx="642">
                  <c:v>0.55201237156154626</c:v>
                </c:pt>
                <c:pt idx="643">
                  <c:v>0.53851560861503456</c:v>
                </c:pt>
                <c:pt idx="644">
                  <c:v>0.52603722267235942</c:v>
                </c:pt>
                <c:pt idx="645">
                  <c:v>0.50750909556737955</c:v>
                </c:pt>
                <c:pt idx="646">
                  <c:v>0.49590902483191773</c:v>
                </c:pt>
                <c:pt idx="647">
                  <c:v>0.48337797413414002</c:v>
                </c:pt>
                <c:pt idx="648">
                  <c:v>0.5016176778556013</c:v>
                </c:pt>
                <c:pt idx="649">
                  <c:v>0.49765108657401286</c:v>
                </c:pt>
                <c:pt idx="650">
                  <c:v>0.48137251506371531</c:v>
                </c:pt>
                <c:pt idx="651">
                  <c:v>0.48967069571402211</c:v>
                </c:pt>
                <c:pt idx="652">
                  <c:v>0.46609598449852563</c:v>
                </c:pt>
                <c:pt idx="653">
                  <c:v>0.47604065241072074</c:v>
                </c:pt>
                <c:pt idx="654">
                  <c:v>0.47715542481581991</c:v>
                </c:pt>
                <c:pt idx="655">
                  <c:v>0.47358980616248653</c:v>
                </c:pt>
                <c:pt idx="656">
                  <c:v>0.47890943007617076</c:v>
                </c:pt>
                <c:pt idx="657">
                  <c:v>0.48163306985609355</c:v>
                </c:pt>
                <c:pt idx="658">
                  <c:v>0.50759604098710209</c:v>
                </c:pt>
                <c:pt idx="659">
                  <c:v>0.49752333068589716</c:v>
                </c:pt>
                <c:pt idx="660">
                  <c:v>0.48731614243455074</c:v>
                </c:pt>
                <c:pt idx="661">
                  <c:v>0.50664093473613803</c:v>
                </c:pt>
                <c:pt idx="662">
                  <c:v>0.48352381810199174</c:v>
                </c:pt>
                <c:pt idx="663">
                  <c:v>0.49652632591594537</c:v>
                </c:pt>
                <c:pt idx="664">
                  <c:v>0.48791216836683815</c:v>
                </c:pt>
                <c:pt idx="665">
                  <c:v>0.48999875987886571</c:v>
                </c:pt>
                <c:pt idx="666">
                  <c:v>0.45748294610108797</c:v>
                </c:pt>
                <c:pt idx="667">
                  <c:v>0.44207585758863255</c:v>
                </c:pt>
                <c:pt idx="668">
                  <c:v>0.43754090055892958</c:v>
                </c:pt>
                <c:pt idx="669">
                  <c:v>0.42245693590495031</c:v>
                </c:pt>
                <c:pt idx="670">
                  <c:v>0.43031524982376951</c:v>
                </c:pt>
                <c:pt idx="671">
                  <c:v>0.41842292677989379</c:v>
                </c:pt>
                <c:pt idx="672">
                  <c:v>0.45344258542084753</c:v>
                </c:pt>
                <c:pt idx="673">
                  <c:v>0.42433408872410577</c:v>
                </c:pt>
                <c:pt idx="674">
                  <c:v>0.42870353732537159</c:v>
                </c:pt>
                <c:pt idx="675">
                  <c:v>0.40775951481482298</c:v>
                </c:pt>
                <c:pt idx="676">
                  <c:v>0.38812231078875414</c:v>
                </c:pt>
                <c:pt idx="677">
                  <c:v>0.42249080516694837</c:v>
                </c:pt>
                <c:pt idx="678">
                  <c:v>0.45861294911282674</c:v>
                </c:pt>
                <c:pt idx="679">
                  <c:v>0.48359973258064609</c:v>
                </c:pt>
                <c:pt idx="680">
                  <c:v>0.45624168562726619</c:v>
                </c:pt>
                <c:pt idx="681">
                  <c:v>0.43631867763514026</c:v>
                </c:pt>
                <c:pt idx="682">
                  <c:v>0.42680176297618078</c:v>
                </c:pt>
                <c:pt idx="683">
                  <c:v>0.43969922456485444</c:v>
                </c:pt>
                <c:pt idx="684">
                  <c:v>0.45227549811702317</c:v>
                </c:pt>
                <c:pt idx="685">
                  <c:v>0.44849531764555917</c:v>
                </c:pt>
                <c:pt idx="686">
                  <c:v>0.37784014225279106</c:v>
                </c:pt>
                <c:pt idx="687">
                  <c:v>0.52334505479691762</c:v>
                </c:pt>
                <c:pt idx="688">
                  <c:v>0.55558245336569079</c:v>
                </c:pt>
                <c:pt idx="689">
                  <c:v>0.53178156401678123</c:v>
                </c:pt>
                <c:pt idx="690">
                  <c:v>0.51906079262337856</c:v>
                </c:pt>
                <c:pt idx="691">
                  <c:v>0.58786190346836775</c:v>
                </c:pt>
                <c:pt idx="692">
                  <c:v>0.62689377617579112</c:v>
                </c:pt>
                <c:pt idx="693">
                  <c:v>0.64966275183812872</c:v>
                </c:pt>
                <c:pt idx="694">
                  <c:v>0.59444086131638962</c:v>
                </c:pt>
                <c:pt idx="695">
                  <c:v>0.54713822891415487</c:v>
                </c:pt>
                <c:pt idx="696">
                  <c:v>0.52116529732021533</c:v>
                </c:pt>
                <c:pt idx="697">
                  <c:v>0.49735244077217267</c:v>
                </c:pt>
                <c:pt idx="698">
                  <c:v>0.49200222688158746</c:v>
                </c:pt>
                <c:pt idx="699">
                  <c:v>0.5112818216408872</c:v>
                </c:pt>
                <c:pt idx="700">
                  <c:v>0.51310595260755398</c:v>
                </c:pt>
                <c:pt idx="701">
                  <c:v>0.48617020877156303</c:v>
                </c:pt>
                <c:pt idx="702">
                  <c:v>0.52018751349161974</c:v>
                </c:pt>
                <c:pt idx="703">
                  <c:v>0.59462966482515722</c:v>
                </c:pt>
                <c:pt idx="704">
                  <c:v>0.51467983530977712</c:v>
                </c:pt>
                <c:pt idx="705">
                  <c:v>0.4868685939877036</c:v>
                </c:pt>
                <c:pt idx="706">
                  <c:v>0.4996429401741988</c:v>
                </c:pt>
                <c:pt idx="707">
                  <c:v>0.55161759005389799</c:v>
                </c:pt>
                <c:pt idx="708">
                  <c:v>0.51088222177132336</c:v>
                </c:pt>
                <c:pt idx="709">
                  <c:v>0.55412102981887523</c:v>
                </c:pt>
                <c:pt idx="710">
                  <c:v>0.48688800486253886</c:v>
                </c:pt>
                <c:pt idx="711">
                  <c:v>0.42947386689356898</c:v>
                </c:pt>
                <c:pt idx="712">
                  <c:v>0.43282110487942005</c:v>
                </c:pt>
                <c:pt idx="713">
                  <c:v>0.44267732311591351</c:v>
                </c:pt>
                <c:pt idx="714">
                  <c:v>0.52719645521317793</c:v>
                </c:pt>
                <c:pt idx="715">
                  <c:v>0.28826396944741228</c:v>
                </c:pt>
                <c:pt idx="716">
                  <c:v>0.2345335774474121</c:v>
                </c:pt>
                <c:pt idx="717">
                  <c:v>0.21559147982591148</c:v>
                </c:pt>
                <c:pt idx="718">
                  <c:v>0.17042689791331886</c:v>
                </c:pt>
                <c:pt idx="719">
                  <c:v>0.15101500399514797</c:v>
                </c:pt>
                <c:pt idx="720">
                  <c:v>0.16571911457392607</c:v>
                </c:pt>
                <c:pt idx="721">
                  <c:v>0.13853574390890144</c:v>
                </c:pt>
                <c:pt idx="722">
                  <c:v>0.1007633536211317</c:v>
                </c:pt>
                <c:pt idx="723">
                  <c:v>7.0114025862842974E-2</c:v>
                </c:pt>
                <c:pt idx="724">
                  <c:v>-1.0674832392970951E-2</c:v>
                </c:pt>
                <c:pt idx="725">
                  <c:v>-1.4789204468442641E-2</c:v>
                </c:pt>
                <c:pt idx="726">
                  <c:v>-1.0904509368786296E-2</c:v>
                </c:pt>
                <c:pt idx="727">
                  <c:v>-7.0091348060744691E-4</c:v>
                </c:pt>
                <c:pt idx="728">
                  <c:v>-6.4571560490829525E-3</c:v>
                </c:pt>
                <c:pt idx="729">
                  <c:v>-5.0501987514241231E-3</c:v>
                </c:pt>
                <c:pt idx="730">
                  <c:v>1.7949488849654024E-2</c:v>
                </c:pt>
                <c:pt idx="731">
                  <c:v>-5.0667499620419242E-3</c:v>
                </c:pt>
                <c:pt idx="732">
                  <c:v>-1.3221524442980335E-2</c:v>
                </c:pt>
                <c:pt idx="733">
                  <c:v>-1.276494565474507E-2</c:v>
                </c:pt>
                <c:pt idx="734">
                  <c:v>-1.1067571662437343E-2</c:v>
                </c:pt>
                <c:pt idx="735">
                  <c:v>-1.6530535133025586E-2</c:v>
                </c:pt>
                <c:pt idx="736">
                  <c:v>-9.5902444994865922E-4</c:v>
                </c:pt>
                <c:pt idx="737">
                  <c:v>-4.8592361992872077E-2</c:v>
                </c:pt>
                <c:pt idx="738">
                  <c:v>-5.1596130389472625E-2</c:v>
                </c:pt>
                <c:pt idx="739">
                  <c:v>-4.1071265785390949E-2</c:v>
                </c:pt>
                <c:pt idx="740">
                  <c:v>-5.9311089607130094E-2</c:v>
                </c:pt>
                <c:pt idx="741">
                  <c:v>-5.9354950113796739E-2</c:v>
                </c:pt>
                <c:pt idx="742">
                  <c:v>-8.510067964040223E-2</c:v>
                </c:pt>
                <c:pt idx="743">
                  <c:v>-8.5257778491370895E-2</c:v>
                </c:pt>
                <c:pt idx="744">
                  <c:v>-7.7182895485265898E-2</c:v>
                </c:pt>
                <c:pt idx="745">
                  <c:v>-0.11807197573478605</c:v>
                </c:pt>
                <c:pt idx="746">
                  <c:v>-0.13239598124196317</c:v>
                </c:pt>
                <c:pt idx="747">
                  <c:v>-0.13484345363984118</c:v>
                </c:pt>
                <c:pt idx="748">
                  <c:v>-0.12617953407402582</c:v>
                </c:pt>
                <c:pt idx="749">
                  <c:v>-0.1281443450329299</c:v>
                </c:pt>
                <c:pt idx="750">
                  <c:v>-0.11236762956104232</c:v>
                </c:pt>
                <c:pt idx="751">
                  <c:v>-0.12078688579619673</c:v>
                </c:pt>
                <c:pt idx="752">
                  <c:v>-0.11440573926428177</c:v>
                </c:pt>
                <c:pt idx="753">
                  <c:v>-0.12624920222882077</c:v>
                </c:pt>
                <c:pt idx="754">
                  <c:v>-0.1240058622288208</c:v>
                </c:pt>
                <c:pt idx="755">
                  <c:v>-0.13949634592112847</c:v>
                </c:pt>
                <c:pt idx="756">
                  <c:v>-0.1490129599087637</c:v>
                </c:pt>
                <c:pt idx="757">
                  <c:v>-0.13684678643956941</c:v>
                </c:pt>
                <c:pt idx="758">
                  <c:v>-0.12656044351449736</c:v>
                </c:pt>
                <c:pt idx="759">
                  <c:v>-9.8496905428718598E-2</c:v>
                </c:pt>
                <c:pt idx="760">
                  <c:v>-0.10366737766127672</c:v>
                </c:pt>
                <c:pt idx="761">
                  <c:v>-0.1035787637539133</c:v>
                </c:pt>
                <c:pt idx="762">
                  <c:v>-0.10792607655962756</c:v>
                </c:pt>
                <c:pt idx="763">
                  <c:v>-0.10196163401195027</c:v>
                </c:pt>
                <c:pt idx="764">
                  <c:v>-8.7865672896247776E-2</c:v>
                </c:pt>
                <c:pt idx="765">
                  <c:v>-7.4549674993470011E-2</c:v>
                </c:pt>
                <c:pt idx="766">
                  <c:v>-7.3484044016229655E-2</c:v>
                </c:pt>
                <c:pt idx="767">
                  <c:v>-3.29579897765159E-2</c:v>
                </c:pt>
                <c:pt idx="768">
                  <c:v>5.2678366738650713E-4</c:v>
                </c:pt>
                <c:pt idx="769">
                  <c:v>1.7920985526176113E-2</c:v>
                </c:pt>
                <c:pt idx="770">
                  <c:v>5.2980569134176085E-2</c:v>
                </c:pt>
                <c:pt idx="771">
                  <c:v>0.10468195282451517</c:v>
                </c:pt>
                <c:pt idx="772">
                  <c:v>4.2287207966215462E-2</c:v>
                </c:pt>
                <c:pt idx="773">
                  <c:v>0.14025847833864075</c:v>
                </c:pt>
                <c:pt idx="774">
                  <c:v>0.17581183604075284</c:v>
                </c:pt>
                <c:pt idx="775">
                  <c:v>0.14299179380253296</c:v>
                </c:pt>
                <c:pt idx="776">
                  <c:v>0.13217761527230035</c:v>
                </c:pt>
                <c:pt idx="777">
                  <c:v>0.10626565283119768</c:v>
                </c:pt>
                <c:pt idx="778">
                  <c:v>9.3803207817428277E-2</c:v>
                </c:pt>
                <c:pt idx="779">
                  <c:v>8.5751480708649644E-2</c:v>
                </c:pt>
                <c:pt idx="780">
                  <c:v>0.10439782845579482</c:v>
                </c:pt>
                <c:pt idx="781">
                  <c:v>9.8488426303956184E-2</c:v>
                </c:pt>
                <c:pt idx="782">
                  <c:v>8.4674130350734678E-2</c:v>
                </c:pt>
                <c:pt idx="783">
                  <c:v>7.9226267733654793E-2</c:v>
                </c:pt>
                <c:pt idx="784">
                  <c:v>6.3480002840543198E-2</c:v>
                </c:pt>
                <c:pt idx="785">
                  <c:v>5.5555073861014027E-2</c:v>
                </c:pt>
                <c:pt idx="786">
                  <c:v>5.7482746843673015E-2</c:v>
                </c:pt>
                <c:pt idx="787">
                  <c:v>4.688538184367301E-2</c:v>
                </c:pt>
                <c:pt idx="788">
                  <c:v>5.2956012751251572E-2</c:v>
                </c:pt>
                <c:pt idx="789">
                  <c:v>1.6162823235603262E-2</c:v>
                </c:pt>
                <c:pt idx="790">
                  <c:v>3.1203098235603265E-2</c:v>
                </c:pt>
                <c:pt idx="791">
                  <c:v>2.9340690850987901E-2</c:v>
                </c:pt>
                <c:pt idx="792">
                  <c:v>2.845458319835632E-2</c:v>
                </c:pt>
                <c:pt idx="793">
                  <c:v>1.8636179198356313E-2</c:v>
                </c:pt>
                <c:pt idx="794">
                  <c:v>1.454421449247398E-2</c:v>
                </c:pt>
                <c:pt idx="795">
                  <c:v>-5.4412609304952276E-3</c:v>
                </c:pt>
                <c:pt idx="796">
                  <c:v>4.274929457145255E-3</c:v>
                </c:pt>
                <c:pt idx="797">
                  <c:v>-9.5420562148547747E-3</c:v>
                </c:pt>
                <c:pt idx="798">
                  <c:v>-7.2439811712479612E-3</c:v>
                </c:pt>
                <c:pt idx="799">
                  <c:v>1.2348794137607371E-2</c:v>
                </c:pt>
                <c:pt idx="800">
                  <c:v>5.2767566492709472E-2</c:v>
                </c:pt>
                <c:pt idx="801">
                  <c:v>4.0004187284917121E-2</c:v>
                </c:pt>
                <c:pt idx="802">
                  <c:v>2.8058154676221445E-2</c:v>
                </c:pt>
                <c:pt idx="803">
                  <c:v>3.1485965846790046E-2</c:v>
                </c:pt>
                <c:pt idx="804">
                  <c:v>3.7776093668366789E-2</c:v>
                </c:pt>
                <c:pt idx="805">
                  <c:v>1.9934661088951276E-2</c:v>
                </c:pt>
                <c:pt idx="806">
                  <c:v>2.2829561032440222E-2</c:v>
                </c:pt>
                <c:pt idx="807">
                  <c:v>2.0573264570901782E-2</c:v>
                </c:pt>
                <c:pt idx="808">
                  <c:v>1.4330309671236214E-2</c:v>
                </c:pt>
                <c:pt idx="809">
                  <c:v>1.379174659431312E-2</c:v>
                </c:pt>
                <c:pt idx="810">
                  <c:v>1.8907234262237647E-2</c:v>
                </c:pt>
                <c:pt idx="811">
                  <c:v>1.324152670502373E-2</c:v>
                </c:pt>
                <c:pt idx="812">
                  <c:v>1.3395728830023724E-2</c:v>
                </c:pt>
                <c:pt idx="813">
                  <c:v>1.6366038528010309E-2</c:v>
                </c:pt>
                <c:pt idx="814">
                  <c:v>1.2817858999708396E-2</c:v>
                </c:pt>
                <c:pt idx="815">
                  <c:v>9.8134169411310482E-3</c:v>
                </c:pt>
                <c:pt idx="816">
                  <c:v>1.1910952341131065E-2</c:v>
                </c:pt>
                <c:pt idx="817">
                  <c:v>1.3738117214329899E-2</c:v>
                </c:pt>
                <c:pt idx="818">
                  <c:v>1.8435812564478248E-2</c:v>
                </c:pt>
                <c:pt idx="819">
                  <c:v>1.6412633503461289E-2</c:v>
                </c:pt>
                <c:pt idx="820">
                  <c:v>1.6445444869816462E-2</c:v>
                </c:pt>
                <c:pt idx="821">
                  <c:v>2.0953991711921711E-2</c:v>
                </c:pt>
                <c:pt idx="822">
                  <c:v>2.3547981516176972E-2</c:v>
                </c:pt>
                <c:pt idx="823">
                  <c:v>1.627689217570584E-2</c:v>
                </c:pt>
                <c:pt idx="824">
                  <c:v>6.3675280902485368E-3</c:v>
                </c:pt>
                <c:pt idx="825">
                  <c:v>2.9890664194248504E-2</c:v>
                </c:pt>
                <c:pt idx="826">
                  <c:v>1.1532719567581817E-2</c:v>
                </c:pt>
                <c:pt idx="827">
                  <c:v>3.9781688177723144E-2</c:v>
                </c:pt>
                <c:pt idx="828">
                  <c:v>-8.7200276168752505E-3</c:v>
                </c:pt>
                <c:pt idx="829">
                  <c:v>-1.1291349821793275E-2</c:v>
                </c:pt>
                <c:pt idx="830">
                  <c:v>-1.4612528091024056E-2</c:v>
                </c:pt>
                <c:pt idx="831">
                  <c:v>-1.9400590699161124E-2</c:v>
                </c:pt>
                <c:pt idx="832">
                  <c:v>-1.9724280333827834E-2</c:v>
                </c:pt>
                <c:pt idx="833">
                  <c:v>-1.4775573229479991E-2</c:v>
                </c:pt>
                <c:pt idx="834">
                  <c:v>-2.2656353948966031E-2</c:v>
                </c:pt>
                <c:pt idx="835">
                  <c:v>-2.0296143996024852E-2</c:v>
                </c:pt>
                <c:pt idx="836">
                  <c:v>-8.1917120519071386E-3</c:v>
                </c:pt>
                <c:pt idx="837">
                  <c:v>-9.1565086467026609E-3</c:v>
                </c:pt>
                <c:pt idx="838">
                  <c:v>-8.0128075638510408E-3</c:v>
                </c:pt>
                <c:pt idx="839">
                  <c:v>-7.0405981976089877E-3</c:v>
                </c:pt>
                <c:pt idx="840">
                  <c:v>1.3080945699186861E-3</c:v>
                </c:pt>
                <c:pt idx="841">
                  <c:v>-5.1413409945974646E-3</c:v>
                </c:pt>
                <c:pt idx="842">
                  <c:v>-1.6819337152324384E-3</c:v>
                </c:pt>
                <c:pt idx="843">
                  <c:v>-1.3149061020554548E-2</c:v>
                </c:pt>
                <c:pt idx="844">
                  <c:v>-3.1988802925013146E-2</c:v>
                </c:pt>
                <c:pt idx="845">
                  <c:v>-2.6378631154612062E-2</c:v>
                </c:pt>
                <c:pt idx="846">
                  <c:v>-3.4027312154612063E-2</c:v>
                </c:pt>
                <c:pt idx="847">
                  <c:v>-3.7032338791454102E-2</c:v>
                </c:pt>
                <c:pt idx="848">
                  <c:v>-6.1147661198203682E-2</c:v>
                </c:pt>
                <c:pt idx="849">
                  <c:v>-7.0234024275126775E-2</c:v>
                </c:pt>
                <c:pt idx="850">
                  <c:v>-6.3530308899908641E-2</c:v>
                </c:pt>
                <c:pt idx="851">
                  <c:v>-6.8839454507882036E-2</c:v>
                </c:pt>
                <c:pt idx="852">
                  <c:v>-6.8525523871518404E-2</c:v>
                </c:pt>
                <c:pt idx="853">
                  <c:v>-7.131337232527056E-2</c:v>
                </c:pt>
                <c:pt idx="854">
                  <c:v>-7.219448055469703E-2</c:v>
                </c:pt>
                <c:pt idx="855">
                  <c:v>-7.5421926912633025E-2</c:v>
                </c:pt>
                <c:pt idx="856">
                  <c:v>-7.513948470687519E-2</c:v>
                </c:pt>
                <c:pt idx="857">
                  <c:v>-6.4641512251543756E-2</c:v>
                </c:pt>
                <c:pt idx="858">
                  <c:v>-6.1663076662758741E-2</c:v>
                </c:pt>
                <c:pt idx="859">
                  <c:v>-5.3934094714093488E-2</c:v>
                </c:pt>
                <c:pt idx="860">
                  <c:v>-5.233009504452827E-2</c:v>
                </c:pt>
                <c:pt idx="861">
                  <c:v>-5.3047949095161202E-2</c:v>
                </c:pt>
                <c:pt idx="862">
                  <c:v>-5.518710438903876E-2</c:v>
                </c:pt>
                <c:pt idx="863">
                  <c:v>-6.3436291775003678E-2</c:v>
                </c:pt>
                <c:pt idx="864">
                  <c:v>-6.5153868588609096E-2</c:v>
                </c:pt>
                <c:pt idx="865">
                  <c:v>-6.2326681927297171E-2</c:v>
                </c:pt>
                <c:pt idx="866">
                  <c:v>-6.3150406082399219E-2</c:v>
                </c:pt>
                <c:pt idx="867">
                  <c:v>-6.4503603774706916E-2</c:v>
                </c:pt>
                <c:pt idx="868">
                  <c:v>-6.7080856081585205E-2</c:v>
                </c:pt>
                <c:pt idx="869">
                  <c:v>-6.3047081315858511E-2</c:v>
                </c:pt>
                <c:pt idx="870">
                  <c:v>-6.2195248928166205E-2</c:v>
                </c:pt>
                <c:pt idx="871">
                  <c:v>-6.0418043232166201E-2</c:v>
                </c:pt>
                <c:pt idx="872">
                  <c:v>-6.189064651526191E-2</c:v>
                </c:pt>
                <c:pt idx="873">
                  <c:v>-6.1495808270657613E-2</c:v>
                </c:pt>
                <c:pt idx="874">
                  <c:v>-6.4877032005792742E-2</c:v>
                </c:pt>
                <c:pt idx="875">
                  <c:v>-5.5325862282748356E-2</c:v>
                </c:pt>
                <c:pt idx="876">
                  <c:v>-6.5854095546002508E-2</c:v>
                </c:pt>
                <c:pt idx="877">
                  <c:v>-7.4974201126062928E-2</c:v>
                </c:pt>
                <c:pt idx="878">
                  <c:v>-8.0047629761546821E-2</c:v>
                </c:pt>
                <c:pt idx="879">
                  <c:v>-8.3666139261546812E-2</c:v>
                </c:pt>
                <c:pt idx="880">
                  <c:v>-8.5861680550886929E-2</c:v>
                </c:pt>
                <c:pt idx="881">
                  <c:v>-8.5751804310663468E-2</c:v>
                </c:pt>
                <c:pt idx="882">
                  <c:v>-8.5733793392468838E-2</c:v>
                </c:pt>
                <c:pt idx="883">
                  <c:v>-9.1162269038727345E-2</c:v>
                </c:pt>
                <c:pt idx="884">
                  <c:v>-6.9799491661495197E-2</c:v>
                </c:pt>
                <c:pt idx="885">
                  <c:v>-9.3405186981548358E-2</c:v>
                </c:pt>
                <c:pt idx="886">
                  <c:v>-8.655433367154837E-2</c:v>
                </c:pt>
                <c:pt idx="887">
                  <c:v>-7.6783845225196434E-2</c:v>
                </c:pt>
                <c:pt idx="888">
                  <c:v>-7.8847274887918331E-2</c:v>
                </c:pt>
                <c:pt idx="889">
                  <c:v>-8.6915193855595138E-2</c:v>
                </c:pt>
                <c:pt idx="890">
                  <c:v>-9.7690373855595147E-2</c:v>
                </c:pt>
                <c:pt idx="891">
                  <c:v>-0.10490500193177645</c:v>
                </c:pt>
                <c:pt idx="892">
                  <c:v>-0.10004146832115703</c:v>
                </c:pt>
                <c:pt idx="893">
                  <c:v>-0.10814367949036971</c:v>
                </c:pt>
                <c:pt idx="894">
                  <c:v>-0.10965030511588411</c:v>
                </c:pt>
                <c:pt idx="895">
                  <c:v>-0.11474957340684457</c:v>
                </c:pt>
                <c:pt idx="896">
                  <c:v>-0.12507922340684458</c:v>
                </c:pt>
                <c:pt idx="897">
                  <c:v>-0.13186097622846618</c:v>
                </c:pt>
                <c:pt idx="898">
                  <c:v>-0.11874467557917709</c:v>
                </c:pt>
                <c:pt idx="899">
                  <c:v>-0.10593534152745294</c:v>
                </c:pt>
                <c:pt idx="900">
                  <c:v>-0.14812444254717372</c:v>
                </c:pt>
                <c:pt idx="901">
                  <c:v>-0.14478346944079079</c:v>
                </c:pt>
                <c:pt idx="902">
                  <c:v>-0.14754070075805359</c:v>
                </c:pt>
                <c:pt idx="903">
                  <c:v>-0.14275345850223961</c:v>
                </c:pt>
                <c:pt idx="904">
                  <c:v>-0.14775400495494231</c:v>
                </c:pt>
                <c:pt idx="905">
                  <c:v>-0.13700265390846553</c:v>
                </c:pt>
                <c:pt idx="906">
                  <c:v>-0.13033729149815407</c:v>
                </c:pt>
                <c:pt idx="907">
                  <c:v>-0.13433087847294403</c:v>
                </c:pt>
                <c:pt idx="908">
                  <c:v>-0.13289906501591275</c:v>
                </c:pt>
                <c:pt idx="909">
                  <c:v>-0.12684377937832886</c:v>
                </c:pt>
                <c:pt idx="910">
                  <c:v>-0.13137704460212488</c:v>
                </c:pt>
                <c:pt idx="911">
                  <c:v>-9.513046751214177E-2</c:v>
                </c:pt>
                <c:pt idx="912">
                  <c:v>-0.12435137366028998</c:v>
                </c:pt>
                <c:pt idx="913">
                  <c:v>-0.12167228389803954</c:v>
                </c:pt>
                <c:pt idx="914">
                  <c:v>-0.12165182313824396</c:v>
                </c:pt>
                <c:pt idx="915">
                  <c:v>-0.1259599575179475</c:v>
                </c:pt>
                <c:pt idx="916">
                  <c:v>-0.12511701525469171</c:v>
                </c:pt>
                <c:pt idx="917">
                  <c:v>-0.12513836235415882</c:v>
                </c:pt>
                <c:pt idx="918">
                  <c:v>-0.13148124695321547</c:v>
                </c:pt>
                <c:pt idx="919">
                  <c:v>-0.14174444170757788</c:v>
                </c:pt>
                <c:pt idx="920">
                  <c:v>-0.10319672251998976</c:v>
                </c:pt>
                <c:pt idx="921">
                  <c:v>-0.13151901256582804</c:v>
                </c:pt>
                <c:pt idx="922">
                  <c:v>-0.13589778124307678</c:v>
                </c:pt>
                <c:pt idx="923">
                  <c:v>-0.13300683112813419</c:v>
                </c:pt>
                <c:pt idx="924">
                  <c:v>-0.14874952740001282</c:v>
                </c:pt>
                <c:pt idx="925">
                  <c:v>-0.17972414910678397</c:v>
                </c:pt>
                <c:pt idx="926">
                  <c:v>-0.22091063164262015</c:v>
                </c:pt>
                <c:pt idx="927">
                  <c:v>-0.19617904050984006</c:v>
                </c:pt>
                <c:pt idx="928">
                  <c:v>-0.20659133376449845</c:v>
                </c:pt>
                <c:pt idx="929">
                  <c:v>-0.19002365679344202</c:v>
                </c:pt>
                <c:pt idx="930">
                  <c:v>-0.1876300554666607</c:v>
                </c:pt>
                <c:pt idx="931">
                  <c:v>-0.2032637581620515</c:v>
                </c:pt>
                <c:pt idx="932">
                  <c:v>-0.17634820185259201</c:v>
                </c:pt>
                <c:pt idx="933">
                  <c:v>-0.18189581096778398</c:v>
                </c:pt>
                <c:pt idx="934">
                  <c:v>-0.21081453578757206</c:v>
                </c:pt>
                <c:pt idx="935">
                  <c:v>-0.20600139566439876</c:v>
                </c:pt>
                <c:pt idx="936">
                  <c:v>-0.19083151626862832</c:v>
                </c:pt>
                <c:pt idx="937">
                  <c:v>-0.19936148242291402</c:v>
                </c:pt>
                <c:pt idx="938">
                  <c:v>-0.19344018420790388</c:v>
                </c:pt>
                <c:pt idx="939">
                  <c:v>-0.15960025703468395</c:v>
                </c:pt>
                <c:pt idx="940">
                  <c:v>-0.17440887236938621</c:v>
                </c:pt>
                <c:pt idx="941">
                  <c:v>-0.16115502848477087</c:v>
                </c:pt>
                <c:pt idx="942">
                  <c:v>-0.17781494347528465</c:v>
                </c:pt>
                <c:pt idx="943">
                  <c:v>-0.15296455534983144</c:v>
                </c:pt>
                <c:pt idx="944">
                  <c:v>-0.17074342430910744</c:v>
                </c:pt>
                <c:pt idx="945">
                  <c:v>-0.16638736293630557</c:v>
                </c:pt>
                <c:pt idx="946">
                  <c:v>-0.16563889107388949</c:v>
                </c:pt>
                <c:pt idx="947">
                  <c:v>-0.14005803136691036</c:v>
                </c:pt>
                <c:pt idx="948">
                  <c:v>-0.14957619934789906</c:v>
                </c:pt>
                <c:pt idx="949">
                  <c:v>-0.17289310435043062</c:v>
                </c:pt>
                <c:pt idx="950">
                  <c:v>-0.16559495744582539</c:v>
                </c:pt>
                <c:pt idx="951">
                  <c:v>-0.21122081701953768</c:v>
                </c:pt>
                <c:pt idx="952">
                  <c:v>-0.20205589425803849</c:v>
                </c:pt>
                <c:pt idx="953">
                  <c:v>-0.19704460382638378</c:v>
                </c:pt>
                <c:pt idx="954">
                  <c:v>-0.20515828123814855</c:v>
                </c:pt>
                <c:pt idx="955">
                  <c:v>-0.21601617249842264</c:v>
                </c:pt>
                <c:pt idx="956">
                  <c:v>-0.21745593116930889</c:v>
                </c:pt>
                <c:pt idx="957">
                  <c:v>-0.2069108346162653</c:v>
                </c:pt>
                <c:pt idx="958">
                  <c:v>-0.24677081134378945</c:v>
                </c:pt>
                <c:pt idx="959">
                  <c:v>-0.2425755135137963</c:v>
                </c:pt>
                <c:pt idx="960">
                  <c:v>-0.21059205296932168</c:v>
                </c:pt>
                <c:pt idx="961">
                  <c:v>-0.1677677144036922</c:v>
                </c:pt>
                <c:pt idx="962">
                  <c:v>-0.16279540900694725</c:v>
                </c:pt>
                <c:pt idx="963">
                  <c:v>-0.256595525401136</c:v>
                </c:pt>
                <c:pt idx="964">
                  <c:v>-0.18513894633362077</c:v>
                </c:pt>
                <c:pt idx="965">
                  <c:v>-0.22134901840063786</c:v>
                </c:pt>
                <c:pt idx="966">
                  <c:v>-0.23783666285742819</c:v>
                </c:pt>
                <c:pt idx="967">
                  <c:v>-0.23091936836923913</c:v>
                </c:pt>
                <c:pt idx="968">
                  <c:v>-0.25856916444066774</c:v>
                </c:pt>
                <c:pt idx="969">
                  <c:v>-0.2186952091923455</c:v>
                </c:pt>
                <c:pt idx="970">
                  <c:v>-0.13996059066665956</c:v>
                </c:pt>
                <c:pt idx="971">
                  <c:v>-0.15799613781274011</c:v>
                </c:pt>
                <c:pt idx="972">
                  <c:v>-0.14376291914946551</c:v>
                </c:pt>
                <c:pt idx="973">
                  <c:v>-0.21208440361409278</c:v>
                </c:pt>
                <c:pt idx="974">
                  <c:v>-6.8442009043772858E-2</c:v>
                </c:pt>
                <c:pt idx="975">
                  <c:v>-0.18454530715945167</c:v>
                </c:pt>
                <c:pt idx="976">
                  <c:v>-0.21769484960634392</c:v>
                </c:pt>
                <c:pt idx="977">
                  <c:v>-0.22408608234522645</c:v>
                </c:pt>
                <c:pt idx="978">
                  <c:v>-0.16063104211922646</c:v>
                </c:pt>
                <c:pt idx="979">
                  <c:v>-0.33906052102796003</c:v>
                </c:pt>
                <c:pt idx="980">
                  <c:v>-0.1153238693232525</c:v>
                </c:pt>
                <c:pt idx="981">
                  <c:v>-0.15999702662064172</c:v>
                </c:pt>
                <c:pt idx="982">
                  <c:v>-0.11631769654466634</c:v>
                </c:pt>
                <c:pt idx="983">
                  <c:v>-8.525529449481889E-2</c:v>
                </c:pt>
                <c:pt idx="984">
                  <c:v>-9.4410043680433875E-2</c:v>
                </c:pt>
                <c:pt idx="985">
                  <c:v>-2.1256557526587679E-2</c:v>
                </c:pt>
                <c:pt idx="986">
                  <c:v>-6.8428766939680183E-2</c:v>
                </c:pt>
                <c:pt idx="987">
                  <c:v>-0.22555890269157905</c:v>
                </c:pt>
                <c:pt idx="988">
                  <c:v>-0.20192954851642642</c:v>
                </c:pt>
                <c:pt idx="989">
                  <c:v>-0.24376014480650282</c:v>
                </c:pt>
                <c:pt idx="990">
                  <c:v>-0.23087778017987476</c:v>
                </c:pt>
                <c:pt idx="991">
                  <c:v>-0.18297287162462816</c:v>
                </c:pt>
                <c:pt idx="992">
                  <c:v>-0.16315716045515863</c:v>
                </c:pt>
                <c:pt idx="993">
                  <c:v>-0.16717981533167189</c:v>
                </c:pt>
                <c:pt idx="994">
                  <c:v>-0.1940878420897672</c:v>
                </c:pt>
                <c:pt idx="995">
                  <c:v>-0.16190227081386754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3F-4A49-BF44-9A889F20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438336"/>
        <c:axId val="625439584"/>
      </c:lineChart>
      <c:dateAx>
        <c:axId val="625438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39584"/>
        <c:crosses val="autoZero"/>
        <c:auto val="1"/>
        <c:lblOffset val="100"/>
        <c:baseTimeUnit val="days"/>
      </c:dateAx>
      <c:valAx>
        <c:axId val="62543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3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0E6761-35EA-461A-A79F-BF561F6AA68B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359EAF-7981-4CA2-8841-E472AB12637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15.88</v>
      </c>
      <c r="D2" s="4">
        <f>MIN(D3:D1912)</f>
        <v>3.5540000000000002E-2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2.8119999999999998</v>
      </c>
      <c r="C5">
        <v>2.923</v>
      </c>
      <c r="D5">
        <v>2.7709999999999999</v>
      </c>
      <c r="E5">
        <v>2.8039999999999998</v>
      </c>
      <c r="F5">
        <v>3314583.9</v>
      </c>
      <c r="G5">
        <v>2.8039999999999998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-0.56578947368421195</v>
      </c>
      <c r="Q5">
        <f t="shared" ref="Q5" si="1">F5*P5</f>
        <v>-1875356.6802631626</v>
      </c>
      <c r="R5">
        <f t="shared" ref="R5" si="2">R6+Q5</f>
        <v>629261935.9971478</v>
      </c>
      <c r="S5">
        <f t="shared" ref="S5" si="3">R5/100000</f>
        <v>6292.6193599714779</v>
      </c>
      <c r="T5">
        <f t="shared" ref="T5" si="4">S5/1000</f>
        <v>6.2926193599714777</v>
      </c>
    </row>
    <row r="6" spans="1:20" x14ac:dyDescent="0.25">
      <c r="A6" s="5">
        <v>44587</v>
      </c>
      <c r="B6">
        <v>2.605</v>
      </c>
      <c r="C6">
        <v>3.1150000000000002</v>
      </c>
      <c r="D6">
        <v>2.585</v>
      </c>
      <c r="E6">
        <v>2.8119999999999998</v>
      </c>
      <c r="F6">
        <v>32751696.699999999</v>
      </c>
      <c r="G6">
        <v>2.8119999999999998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-0.14339622641509525</v>
      </c>
      <c r="Q6">
        <f t="shared" ref="Q6" si="6">F6*P6</f>
        <v>-4696469.7154717278</v>
      </c>
      <c r="R6">
        <f t="shared" ref="R6" si="7">R7+Q6</f>
        <v>631137292.67741096</v>
      </c>
      <c r="S6">
        <f t="shared" ref="S6" si="8">R6/100000</f>
        <v>6311.3729267741101</v>
      </c>
      <c r="T6">
        <f t="shared" ref="T6" si="9">S6/1000</f>
        <v>6.3113729267741103</v>
      </c>
    </row>
    <row r="7" spans="1:20" x14ac:dyDescent="0.25">
      <c r="A7" s="5">
        <v>44586</v>
      </c>
      <c r="B7">
        <v>2.5960000000000001</v>
      </c>
      <c r="C7">
        <v>2.7090000000000001</v>
      </c>
      <c r="D7">
        <v>2.484</v>
      </c>
      <c r="E7">
        <v>2.605</v>
      </c>
      <c r="F7">
        <v>17981914.699999999</v>
      </c>
      <c r="G7">
        <v>2.605</v>
      </c>
      <c r="L7" t="s">
        <v>8</v>
      </c>
      <c r="M7" t="s">
        <v>8</v>
      </c>
      <c r="N7" t="s">
        <v>7</v>
      </c>
      <c r="P7">
        <f t="shared" ref="P7" si="10">IF(C7=D7,0,((E7-D7)-(C7-E7))/(C7-D7))</f>
        <v>7.5555555555555098E-2</v>
      </c>
      <c r="Q7">
        <f t="shared" ref="Q7" si="11">F7*P7</f>
        <v>1358633.5551111028</v>
      </c>
      <c r="R7">
        <f t="shared" ref="R7" si="12">R8+Q7</f>
        <v>635833762.3928827</v>
      </c>
      <c r="S7">
        <f t="shared" ref="S7" si="13">R7/100000</f>
        <v>6358.3376239288273</v>
      </c>
      <c r="T7">
        <f t="shared" ref="T7" si="14">S7/1000</f>
        <v>6.3583376239288274</v>
      </c>
    </row>
    <row r="8" spans="1:20" x14ac:dyDescent="0.25">
      <c r="A8" s="5">
        <v>44585</v>
      </c>
      <c r="B8">
        <v>2.7839999999999998</v>
      </c>
      <c r="C8">
        <v>2.7839999999999998</v>
      </c>
      <c r="D8">
        <v>2.274</v>
      </c>
      <c r="E8">
        <v>2.597</v>
      </c>
      <c r="F8">
        <v>36458577.171999998</v>
      </c>
      <c r="G8">
        <v>2.597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0.266666666666667</v>
      </c>
      <c r="Q8">
        <f t="shared" ref="Q8" si="16">F8*P8</f>
        <v>9722287.2458666787</v>
      </c>
      <c r="R8">
        <f t="shared" ref="R8" si="17">R9+Q8</f>
        <v>634475128.83777165</v>
      </c>
      <c r="S8">
        <f t="shared" ref="S8" si="18">R8/100000</f>
        <v>6344.7512883777163</v>
      </c>
      <c r="T8">
        <f t="shared" ref="T8" si="19">S8/1000</f>
        <v>6.344751288377716</v>
      </c>
    </row>
    <row r="9" spans="1:20" x14ac:dyDescent="0.25">
      <c r="A9" s="5">
        <v>44584</v>
      </c>
      <c r="B9">
        <v>2.7589999999999999</v>
      </c>
      <c r="C9">
        <v>2.9409999999999998</v>
      </c>
      <c r="D9">
        <v>2.6139999999999999</v>
      </c>
      <c r="E9">
        <v>2.7839999999999998</v>
      </c>
      <c r="F9">
        <v>25576634.5</v>
      </c>
      <c r="G9">
        <v>2.7839999999999998</v>
      </c>
      <c r="L9" t="s">
        <v>8</v>
      </c>
      <c r="M9" t="s">
        <v>8</v>
      </c>
      <c r="N9" t="s">
        <v>7</v>
      </c>
      <c r="P9">
        <f t="shared" ref="P9" si="20">IF(C9=D9,0,((E9-D9)-(C9-E9))/(C9-D9))</f>
        <v>3.9755351681956888E-2</v>
      </c>
      <c r="Q9">
        <f t="shared" ref="Q9" si="21">F9*P9</f>
        <v>1016808.0993883716</v>
      </c>
      <c r="R9">
        <f t="shared" ref="R9" si="22">R10+Q9</f>
        <v>624752841.591905</v>
      </c>
      <c r="S9">
        <f t="shared" ref="S9" si="23">R9/100000</f>
        <v>6247.5284159190496</v>
      </c>
      <c r="T9">
        <f t="shared" ref="T9" si="24">S9/1000</f>
        <v>6.2475284159190494</v>
      </c>
    </row>
    <row r="10" spans="1:20" x14ac:dyDescent="0.25">
      <c r="A10" s="5">
        <v>44583</v>
      </c>
      <c r="B10">
        <v>3.4089999999999998</v>
      </c>
      <c r="C10">
        <v>3.472</v>
      </c>
      <c r="D10">
        <v>2.3359999999999999</v>
      </c>
      <c r="E10">
        <v>2.758</v>
      </c>
      <c r="F10">
        <v>69853984.647</v>
      </c>
      <c r="G10">
        <v>2.758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-0.25704225352112658</v>
      </c>
      <c r="Q10">
        <f t="shared" ref="Q10" si="26">F10*P10</f>
        <v>-17955425.631095059</v>
      </c>
      <c r="R10">
        <f t="shared" ref="R10" si="27">R11+Q10</f>
        <v>623736033.49251664</v>
      </c>
      <c r="S10">
        <f t="shared" ref="S10" si="28">R10/100000</f>
        <v>6237.3603349251662</v>
      </c>
      <c r="T10">
        <f t="shared" ref="T10" si="29">S10/1000</f>
        <v>6.2373603349251665</v>
      </c>
    </row>
    <row r="11" spans="1:20" x14ac:dyDescent="0.25">
      <c r="A11" s="5">
        <v>44582</v>
      </c>
      <c r="B11">
        <v>4.0940000000000003</v>
      </c>
      <c r="C11">
        <v>4.3559999999999999</v>
      </c>
      <c r="D11">
        <v>3.28</v>
      </c>
      <c r="E11">
        <v>3.411</v>
      </c>
      <c r="F11">
        <v>37245510.252999999</v>
      </c>
      <c r="G11">
        <v>3.411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-0.75650557620817804</v>
      </c>
      <c r="Q11">
        <f t="shared" ref="Q11" si="31">F11*P11</f>
        <v>-28176436.195113368</v>
      </c>
      <c r="R11">
        <f t="shared" ref="R11" si="32">R12+Q11</f>
        <v>641691459.12361169</v>
      </c>
      <c r="S11">
        <f t="shared" ref="S11" si="33">R11/100000</f>
        <v>6416.9145912361173</v>
      </c>
      <c r="T11">
        <f t="shared" ref="T11" si="34">S11/1000</f>
        <v>6.4169145912361172</v>
      </c>
    </row>
    <row r="12" spans="1:20" x14ac:dyDescent="0.25">
      <c r="A12" s="5">
        <v>44581</v>
      </c>
      <c r="B12">
        <v>4.3330000000000002</v>
      </c>
      <c r="C12">
        <v>4.665</v>
      </c>
      <c r="D12">
        <v>4.0759999999999996</v>
      </c>
      <c r="E12">
        <v>4.093</v>
      </c>
      <c r="F12">
        <v>18892912.699999999</v>
      </c>
      <c r="G12">
        <v>4.093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-0.94227504244482063</v>
      </c>
      <c r="Q12">
        <f t="shared" ref="Q12" si="36">F12*P12</f>
        <v>-17802320.116298791</v>
      </c>
      <c r="R12">
        <f t="shared" ref="R12" si="37">R13+Q12</f>
        <v>669867895.31872511</v>
      </c>
      <c r="S12">
        <f t="shared" ref="S12" si="38">R12/100000</f>
        <v>6698.678953187251</v>
      </c>
      <c r="T12">
        <f t="shared" ref="T12" si="39">S12/1000</f>
        <v>6.698678953187251</v>
      </c>
    </row>
    <row r="13" spans="1:20" x14ac:dyDescent="0.25">
      <c r="A13" s="5">
        <v>44580</v>
      </c>
      <c r="B13">
        <v>4.2130000000000001</v>
      </c>
      <c r="C13">
        <v>4.4790000000000001</v>
      </c>
      <c r="D13">
        <v>4.1260000000000003</v>
      </c>
      <c r="E13">
        <v>4.3339999999999996</v>
      </c>
      <c r="F13">
        <v>22545956.199999999</v>
      </c>
      <c r="G13">
        <v>4.3339999999999996</v>
      </c>
      <c r="L13" t="s">
        <v>8</v>
      </c>
      <c r="M13" t="s">
        <v>8</v>
      </c>
      <c r="N13" t="s">
        <v>7</v>
      </c>
      <c r="P13">
        <f t="shared" ref="P13" si="40">IF(C13=D13,0,((E13-D13)-(C13-E13))/(C13-D13))</f>
        <v>0.1784702549575039</v>
      </c>
      <c r="Q13">
        <f t="shared" ref="Q13" si="41">F13*P13</f>
        <v>4023782.5512747159</v>
      </c>
      <c r="R13">
        <f t="shared" ref="R13" si="42">R14+Q13</f>
        <v>687670215.4350239</v>
      </c>
      <c r="S13">
        <f t="shared" ref="S13" si="43">R13/100000</f>
        <v>6876.7021543502387</v>
      </c>
      <c r="T13">
        <f t="shared" ref="T13" si="44">S13/1000</f>
        <v>6.8767021543502391</v>
      </c>
    </row>
    <row r="14" spans="1:20" x14ac:dyDescent="0.25">
      <c r="A14" s="5">
        <v>44579</v>
      </c>
      <c r="B14">
        <v>3.9580000000000002</v>
      </c>
      <c r="C14">
        <v>4.2519999999999998</v>
      </c>
      <c r="D14">
        <v>3.8330000000000002</v>
      </c>
      <c r="E14">
        <v>4.2119999999999997</v>
      </c>
      <c r="F14">
        <v>15710521.699999999</v>
      </c>
      <c r="G14">
        <v>4.2119999999999997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0.80906921241050089</v>
      </c>
      <c r="Q14">
        <f t="shared" ref="Q14" si="46">F14*P14</f>
        <v>12710899.418377083</v>
      </c>
      <c r="R14">
        <f t="shared" ref="R14" si="47">R15+Q14</f>
        <v>683646432.88374925</v>
      </c>
      <c r="S14">
        <f t="shared" ref="S14" si="48">R14/100000</f>
        <v>6836.4643288374928</v>
      </c>
      <c r="T14">
        <f t="shared" ref="T14" si="49">S14/1000</f>
        <v>6.8364643288374927</v>
      </c>
    </row>
    <row r="15" spans="1:20" x14ac:dyDescent="0.25">
      <c r="A15" s="5">
        <v>44578</v>
      </c>
      <c r="B15">
        <v>4.2060000000000004</v>
      </c>
      <c r="C15">
        <v>4.2210000000000001</v>
      </c>
      <c r="D15">
        <v>3.887</v>
      </c>
      <c r="E15">
        <v>3.9569999999999999</v>
      </c>
      <c r="F15">
        <v>8350453.2000000002</v>
      </c>
      <c r="G15">
        <v>3.9569999999999999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-0.58083832335329444</v>
      </c>
      <c r="Q15">
        <f t="shared" ref="Q15" si="51">F15*P15</f>
        <v>-4850263.2359281527</v>
      </c>
      <c r="R15">
        <f t="shared" ref="R15" si="52">R16+Q15</f>
        <v>670935533.4653722</v>
      </c>
      <c r="S15">
        <f t="shared" ref="S15" si="53">R15/100000</f>
        <v>6709.3553346537219</v>
      </c>
      <c r="T15">
        <f t="shared" ref="T15" si="54">S15/1000</f>
        <v>6.709355334653722</v>
      </c>
    </row>
    <row r="16" spans="1:20" x14ac:dyDescent="0.25">
      <c r="A16" s="5">
        <v>44577</v>
      </c>
      <c r="B16">
        <v>4.093</v>
      </c>
      <c r="C16">
        <v>4.2949999999999999</v>
      </c>
      <c r="D16">
        <v>4.0410000000000004</v>
      </c>
      <c r="E16">
        <v>4.2050000000000001</v>
      </c>
      <c r="F16">
        <v>6150340.9000000004</v>
      </c>
      <c r="G16">
        <v>4.2050000000000001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0.29133858267716523</v>
      </c>
      <c r="Q16">
        <f t="shared" ref="Q16" si="56">F16*P16</f>
        <v>1791831.600787401</v>
      </c>
      <c r="R16">
        <f t="shared" ref="R16" si="57">R17+Q16</f>
        <v>675785796.70130038</v>
      </c>
      <c r="S16">
        <f t="shared" ref="S16" si="58">R16/100000</f>
        <v>6757.8579670130039</v>
      </c>
      <c r="T16">
        <f t="shared" ref="T16" si="59">S16/1000</f>
        <v>6.7578579670130035</v>
      </c>
    </row>
    <row r="17" spans="1:20" x14ac:dyDescent="0.25">
      <c r="A17" s="5">
        <v>44576</v>
      </c>
      <c r="B17">
        <v>4.1360000000000001</v>
      </c>
      <c r="C17">
        <v>4.1589999999999998</v>
      </c>
      <c r="D17">
        <v>4.0449999999999999</v>
      </c>
      <c r="E17">
        <v>4.0919999999999996</v>
      </c>
      <c r="F17">
        <v>4966242.8</v>
      </c>
      <c r="G17">
        <v>4.0919999999999996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-0.17543859649123231</v>
      </c>
      <c r="Q17">
        <f t="shared" ref="Q17" si="61">F17*P17</f>
        <v>-871270.6666666877</v>
      </c>
      <c r="R17">
        <f t="shared" ref="R17" si="62">R18+Q17</f>
        <v>673993965.10051298</v>
      </c>
      <c r="S17">
        <f t="shared" ref="S17" si="63">R17/100000</f>
        <v>6739.9396510051301</v>
      </c>
      <c r="T17">
        <f t="shared" ref="T17" si="64">S17/1000</f>
        <v>6.7399396510051304</v>
      </c>
    </row>
    <row r="18" spans="1:20" x14ac:dyDescent="0.25">
      <c r="A18" s="5">
        <v>44575</v>
      </c>
      <c r="B18">
        <v>3.9790000000000001</v>
      </c>
      <c r="C18">
        <v>4.1500000000000004</v>
      </c>
      <c r="D18">
        <v>3.875</v>
      </c>
      <c r="E18">
        <v>4.1360000000000001</v>
      </c>
      <c r="F18">
        <v>8185141.2000000002</v>
      </c>
      <c r="G18">
        <v>4.1360000000000001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0.89818181818181664</v>
      </c>
      <c r="Q18">
        <f t="shared" ref="Q18" si="66">F18*P18</f>
        <v>7351745.005090897</v>
      </c>
      <c r="R18">
        <f t="shared" ref="R18" si="67">R19+Q18</f>
        <v>674865235.76717973</v>
      </c>
      <c r="S18">
        <f t="shared" ref="S18" si="68">R18/100000</f>
        <v>6748.6523576717973</v>
      </c>
      <c r="T18">
        <f t="shared" ref="T18" si="69">S18/1000</f>
        <v>6.7486523576717969</v>
      </c>
    </row>
    <row r="19" spans="1:20" x14ac:dyDescent="0.25">
      <c r="A19" s="5">
        <v>44574</v>
      </c>
      <c r="B19">
        <v>4.274</v>
      </c>
      <c r="C19">
        <v>4.2960000000000003</v>
      </c>
      <c r="D19">
        <v>3.9569999999999999</v>
      </c>
      <c r="E19">
        <v>3.9790000000000001</v>
      </c>
      <c r="F19">
        <v>10207566.699999999</v>
      </c>
      <c r="G19">
        <v>3.9790000000000001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-0.87020648967551495</v>
      </c>
      <c r="Q19">
        <f t="shared" ref="Q19" si="71">F19*P19</f>
        <v>-8882690.7861356791</v>
      </c>
      <c r="R19">
        <f t="shared" ref="R19" si="72">R20+Q19</f>
        <v>667513490.76208878</v>
      </c>
      <c r="S19">
        <f t="shared" ref="S19" si="73">R19/100000</f>
        <v>6675.134907620888</v>
      </c>
      <c r="T19">
        <f t="shared" ref="T19" si="74">S19/1000</f>
        <v>6.6751349076208877</v>
      </c>
    </row>
    <row r="20" spans="1:20" x14ac:dyDescent="0.25">
      <c r="A20" s="5">
        <v>44573</v>
      </c>
      <c r="B20">
        <v>4.0960000000000001</v>
      </c>
      <c r="C20">
        <v>4.3639999999999999</v>
      </c>
      <c r="D20">
        <v>4.093</v>
      </c>
      <c r="E20">
        <v>4.2720000000000002</v>
      </c>
      <c r="F20">
        <v>8058006.2999999998</v>
      </c>
      <c r="G20">
        <v>4.2720000000000002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0.32103321033210575</v>
      </c>
      <c r="Q20">
        <f t="shared" ref="Q20" si="76">F20*P20</f>
        <v>2586887.6313653332</v>
      </c>
      <c r="R20">
        <f t="shared" ref="R20" si="77">R21+Q20</f>
        <v>676396181.54822445</v>
      </c>
      <c r="S20">
        <f t="shared" ref="S20" si="78">R20/100000</f>
        <v>6763.9618154822447</v>
      </c>
      <c r="T20">
        <f t="shared" ref="T20" si="79">S20/1000</f>
        <v>6.7639618154822445</v>
      </c>
    </row>
    <row r="21" spans="1:20" x14ac:dyDescent="0.25">
      <c r="A21" s="5">
        <v>44572</v>
      </c>
      <c r="B21">
        <v>3.84</v>
      </c>
      <c r="C21">
        <v>4.1609999999999996</v>
      </c>
      <c r="D21">
        <v>3.7989999999999999</v>
      </c>
      <c r="E21">
        <v>4.0960000000000001</v>
      </c>
      <c r="F21">
        <v>7857056.7999999998</v>
      </c>
      <c r="G21">
        <v>4.0960000000000001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0.64088397790055485</v>
      </c>
      <c r="Q21">
        <f t="shared" ref="Q21" si="81">F21*P21</f>
        <v>5035461.8165746043</v>
      </c>
      <c r="R21">
        <f t="shared" ref="R21" si="82">R22+Q21</f>
        <v>673809293.91685915</v>
      </c>
      <c r="S21">
        <f t="shared" ref="S21" si="83">R21/100000</f>
        <v>6738.0929391685913</v>
      </c>
      <c r="T21">
        <f t="shared" ref="T21" si="84">S21/1000</f>
        <v>6.7380929391685918</v>
      </c>
    </row>
    <row r="22" spans="1:20" x14ac:dyDescent="0.25">
      <c r="A22" s="5">
        <v>44571</v>
      </c>
      <c r="B22">
        <v>4.0359999999999996</v>
      </c>
      <c r="C22">
        <v>4.1280000000000001</v>
      </c>
      <c r="D22">
        <v>3.6779999999999999</v>
      </c>
      <c r="E22">
        <v>3.84</v>
      </c>
      <c r="F22">
        <v>12237788.4</v>
      </c>
      <c r="G22">
        <v>3.84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-0.28000000000000064</v>
      </c>
      <c r="Q22">
        <f t="shared" ref="Q22" si="86">F22*P22</f>
        <v>-3426580.7520000078</v>
      </c>
      <c r="R22">
        <f t="shared" ref="R22" si="87">R23+Q22</f>
        <v>668773832.10028458</v>
      </c>
      <c r="S22">
        <f t="shared" ref="S22" si="88">R22/100000</f>
        <v>6687.7383210028456</v>
      </c>
      <c r="T22">
        <f t="shared" ref="T22" si="89">S22/1000</f>
        <v>6.687738321002846</v>
      </c>
    </row>
    <row r="23" spans="1:20" x14ac:dyDescent="0.25">
      <c r="A23" s="5">
        <v>44570</v>
      </c>
      <c r="B23">
        <v>3.9729999999999999</v>
      </c>
      <c r="C23">
        <v>4.1459999999999999</v>
      </c>
      <c r="D23">
        <v>3.9249999999999998</v>
      </c>
      <c r="E23">
        <v>4.0359999999999996</v>
      </c>
      <c r="F23">
        <v>8504243.8000000007</v>
      </c>
      <c r="G23">
        <v>4.0359999999999996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4.5248868778255446E-3</v>
      </c>
      <c r="Q23">
        <f t="shared" ref="Q23" si="91">F23*P23</f>
        <v>38480.74117644925</v>
      </c>
      <c r="R23">
        <f t="shared" ref="R23" si="92">R24+Q23</f>
        <v>672200412.85228455</v>
      </c>
      <c r="S23">
        <f t="shared" ref="S23" si="93">R23/100000</f>
        <v>6722.0041285228453</v>
      </c>
      <c r="T23">
        <f t="shared" ref="T23" si="94">S23/1000</f>
        <v>6.7220041285228458</v>
      </c>
    </row>
    <row r="24" spans="1:20" x14ac:dyDescent="0.25">
      <c r="A24" s="5">
        <v>44569</v>
      </c>
      <c r="B24">
        <v>4.1900000000000004</v>
      </c>
      <c r="C24">
        <v>4.34</v>
      </c>
      <c r="D24">
        <v>3.8</v>
      </c>
      <c r="E24">
        <v>3.972</v>
      </c>
      <c r="F24">
        <v>12768000</v>
      </c>
      <c r="G24">
        <v>3.972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-0.36296296296296243</v>
      </c>
      <c r="Q24">
        <f t="shared" ref="Q24" si="96">F24*P24</f>
        <v>-4634311.1111111045</v>
      </c>
      <c r="R24">
        <f t="shared" ref="R24" si="97">R25+Q24</f>
        <v>672161932.11110806</v>
      </c>
      <c r="S24">
        <f t="shared" ref="S24" si="98">R24/100000</f>
        <v>6721.6193211110804</v>
      </c>
      <c r="T24">
        <f t="shared" ref="T24" si="99">S24/1000</f>
        <v>6.7216193211110804</v>
      </c>
    </row>
    <row r="25" spans="1:20" x14ac:dyDescent="0.25">
      <c r="A25" s="5">
        <v>44568</v>
      </c>
      <c r="B25">
        <v>4.383</v>
      </c>
      <c r="C25">
        <v>4.4020000000000001</v>
      </c>
      <c r="D25">
        <v>4.0039999999999996</v>
      </c>
      <c r="E25">
        <v>4.1890000000000001</v>
      </c>
      <c r="F25">
        <v>15563076</v>
      </c>
      <c r="G25">
        <v>4.1890000000000001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-7.0351758793968697E-2</v>
      </c>
      <c r="Q25">
        <f t="shared" ref="Q25" si="101">F25*P25</f>
        <v>-1094889.7688442031</v>
      </c>
      <c r="R25">
        <f t="shared" ref="R25" si="102">R26+Q25</f>
        <v>676796243.22221923</v>
      </c>
      <c r="S25">
        <f t="shared" ref="S25" si="103">R25/100000</f>
        <v>6767.9624322221925</v>
      </c>
      <c r="T25">
        <f t="shared" ref="T25" si="104">S25/1000</f>
        <v>6.767962432222193</v>
      </c>
    </row>
    <row r="26" spans="1:20" x14ac:dyDescent="0.25">
      <c r="A26" s="5">
        <v>44567</v>
      </c>
      <c r="B26">
        <v>4.4119999999999999</v>
      </c>
      <c r="C26">
        <v>4.4480000000000004</v>
      </c>
      <c r="D26">
        <v>4.149</v>
      </c>
      <c r="E26">
        <v>4.3840000000000003</v>
      </c>
      <c r="F26">
        <v>13758007.5</v>
      </c>
      <c r="G26">
        <v>4.3840000000000003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0.57190635451505034</v>
      </c>
      <c r="Q26">
        <f t="shared" ref="Q26" si="106">F26*P26</f>
        <v>7868291.9147157213</v>
      </c>
      <c r="R26">
        <f t="shared" ref="R26" si="107">R27+Q26</f>
        <v>677891132.99106348</v>
      </c>
      <c r="S26">
        <f t="shared" ref="S26" si="108">R26/100000</f>
        <v>6778.9113299106348</v>
      </c>
      <c r="T26">
        <f t="shared" ref="T26" si="109">S26/1000</f>
        <v>6.7789113299106347</v>
      </c>
    </row>
    <row r="27" spans="1:20" x14ac:dyDescent="0.25">
      <c r="A27" s="5">
        <v>44566</v>
      </c>
      <c r="B27">
        <v>4.7249999999999996</v>
      </c>
      <c r="C27">
        <v>5.2439999999999998</v>
      </c>
      <c r="D27">
        <v>4.1379999999999999</v>
      </c>
      <c r="E27">
        <v>4.4109999999999996</v>
      </c>
      <c r="F27">
        <v>23220583.600000001</v>
      </c>
      <c r="G27">
        <v>4.4109999999999996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-0.50632911392405111</v>
      </c>
      <c r="Q27">
        <f t="shared" ref="Q27" si="111">F27*P27</f>
        <v>-11757257.518987354</v>
      </c>
      <c r="R27">
        <f t="shared" ref="R27" si="112">R28+Q27</f>
        <v>670022841.07634771</v>
      </c>
      <c r="S27">
        <f t="shared" ref="S27" si="113">R27/100000</f>
        <v>6700.2284107634769</v>
      </c>
      <c r="T27">
        <f t="shared" ref="T27" si="114">S27/1000</f>
        <v>6.7002284107634766</v>
      </c>
    </row>
    <row r="28" spans="1:20" x14ac:dyDescent="0.25">
      <c r="A28" s="5">
        <v>44565</v>
      </c>
      <c r="B28">
        <v>4.7039999999999997</v>
      </c>
      <c r="C28">
        <v>4.95</v>
      </c>
      <c r="D28">
        <v>4.585</v>
      </c>
      <c r="E28">
        <v>4.7240000000000002</v>
      </c>
      <c r="F28">
        <v>9180817.4000000004</v>
      </c>
      <c r="G28">
        <v>4.7240000000000002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-0.2383561643835608</v>
      </c>
      <c r="Q28">
        <f t="shared" ref="Q28" si="116">F28*P28</f>
        <v>-2188304.4213698553</v>
      </c>
      <c r="R28">
        <f t="shared" ref="R28" si="117">R29+Q28</f>
        <v>681780098.59533501</v>
      </c>
      <c r="S28">
        <f t="shared" ref="S28" si="118">R28/100000</f>
        <v>6817.8009859533504</v>
      </c>
      <c r="T28">
        <f t="shared" ref="T28" si="119">S28/1000</f>
        <v>6.8178009859533502</v>
      </c>
    </row>
    <row r="29" spans="1:20" x14ac:dyDescent="0.25">
      <c r="A29" s="5">
        <v>44564</v>
      </c>
      <c r="B29">
        <v>4.8819999999999997</v>
      </c>
      <c r="C29">
        <v>4.883</v>
      </c>
      <c r="D29">
        <v>4.6159999999999997</v>
      </c>
      <c r="E29">
        <v>4.7030000000000003</v>
      </c>
      <c r="F29">
        <v>7149579.0999999996</v>
      </c>
      <c r="G29">
        <v>4.7030000000000003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-0.34831460674156917</v>
      </c>
      <c r="Q29">
        <f t="shared" ref="Q29" si="121">F29*P29</f>
        <v>-2490302.8325842419</v>
      </c>
      <c r="R29">
        <f t="shared" ref="R29" si="122">R30+Q29</f>
        <v>683968403.01670492</v>
      </c>
      <c r="S29">
        <f t="shared" ref="S29" si="123">R29/100000</f>
        <v>6839.6840301670491</v>
      </c>
      <c r="T29">
        <f t="shared" ref="T29" si="124">S29/1000</f>
        <v>6.8396840301670494</v>
      </c>
    </row>
    <row r="30" spans="1:20" x14ac:dyDescent="0.25">
      <c r="A30" s="5">
        <v>44563</v>
      </c>
      <c r="B30">
        <v>4.9409999999999998</v>
      </c>
      <c r="C30">
        <v>4.9470000000000001</v>
      </c>
      <c r="D30">
        <v>4.7830000000000004</v>
      </c>
      <c r="E30">
        <v>4.883</v>
      </c>
      <c r="F30">
        <v>6273552</v>
      </c>
      <c r="G30">
        <v>4.883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0.21951219512194911</v>
      </c>
      <c r="Q30">
        <f t="shared" ref="Q30" si="126">F30*P30</f>
        <v>1377121.170731694</v>
      </c>
      <c r="R30">
        <f t="shared" ref="R30" si="127">R31+Q30</f>
        <v>686458705.84928918</v>
      </c>
      <c r="S30">
        <f t="shared" ref="S30" si="128">R30/100000</f>
        <v>6864.5870584928916</v>
      </c>
      <c r="T30">
        <f t="shared" ref="T30" si="129">S30/1000</f>
        <v>6.8645870584928916</v>
      </c>
    </row>
    <row r="31" spans="1:20" x14ac:dyDescent="0.25">
      <c r="A31" s="5">
        <v>44562</v>
      </c>
      <c r="B31">
        <v>4.7089999999999996</v>
      </c>
      <c r="C31">
        <v>4.9560000000000004</v>
      </c>
      <c r="D31">
        <v>4.7039999999999997</v>
      </c>
      <c r="E31">
        <v>4.9420000000000002</v>
      </c>
      <c r="F31">
        <v>6538253.5999999996</v>
      </c>
      <c r="G31">
        <v>4.9420000000000002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0.88888888888888729</v>
      </c>
      <c r="Q31">
        <f t="shared" ref="Q31" si="131">F31*P31</f>
        <v>5811780.977777767</v>
      </c>
      <c r="R31">
        <f t="shared" ref="R31" si="132">R32+Q31</f>
        <v>685081584.67855752</v>
      </c>
      <c r="S31">
        <f t="shared" ref="S31" si="133">R31/100000</f>
        <v>6850.8158467855756</v>
      </c>
      <c r="T31">
        <f t="shared" ref="T31" si="134">S31/1000</f>
        <v>6.8508158467855758</v>
      </c>
    </row>
    <row r="32" spans="1:20" x14ac:dyDescent="0.25">
      <c r="A32" s="5">
        <v>44561</v>
      </c>
      <c r="B32">
        <v>4.8109999999999999</v>
      </c>
      <c r="C32">
        <v>4.9420000000000002</v>
      </c>
      <c r="D32">
        <v>4.5609999999999999</v>
      </c>
      <c r="E32">
        <v>4.71</v>
      </c>
      <c r="F32">
        <v>10525230</v>
      </c>
      <c r="G32">
        <v>4.71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-0.21784776902887173</v>
      </c>
      <c r="Q32">
        <f t="shared" ref="Q32" si="136">F32*P32</f>
        <v>-2292897.8740157518</v>
      </c>
      <c r="R32">
        <f t="shared" ref="R32" si="137">R33+Q32</f>
        <v>679269803.7007798</v>
      </c>
      <c r="S32">
        <f t="shared" ref="S32" si="138">R32/100000</f>
        <v>6792.6980370077981</v>
      </c>
      <c r="T32">
        <f t="shared" ref="T32" si="139">S32/1000</f>
        <v>6.7926980370077983</v>
      </c>
    </row>
    <row r="33" spans="1:20" x14ac:dyDescent="0.25">
      <c r="A33" s="5">
        <v>44560</v>
      </c>
      <c r="B33">
        <v>4.9139999999999997</v>
      </c>
      <c r="C33">
        <v>4.9880000000000004</v>
      </c>
      <c r="D33">
        <v>4.7069999999999999</v>
      </c>
      <c r="E33">
        <v>4.8120000000000003</v>
      </c>
      <c r="F33">
        <v>9352932.5999999996</v>
      </c>
      <c r="G33">
        <v>4.8120000000000003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-0.25266903914590599</v>
      </c>
      <c r="Q33">
        <f t="shared" ref="Q33" si="141">F33*P33</f>
        <v>-2363196.4932384202</v>
      </c>
      <c r="R33">
        <f t="shared" ref="R33" si="142">R34+Q33</f>
        <v>681562701.5747956</v>
      </c>
      <c r="S33">
        <f t="shared" ref="S33" si="143">R33/100000</f>
        <v>6815.6270157479557</v>
      </c>
      <c r="T33">
        <f t="shared" ref="T33" si="144">S33/1000</f>
        <v>6.8156270157479559</v>
      </c>
    </row>
    <row r="34" spans="1:20" x14ac:dyDescent="0.25">
      <c r="A34" s="5">
        <v>44559</v>
      </c>
      <c r="B34">
        <v>5.0830000000000002</v>
      </c>
      <c r="C34">
        <v>5.2789999999999999</v>
      </c>
      <c r="D34">
        <v>4.8410000000000002</v>
      </c>
      <c r="E34">
        <v>4.9130000000000003</v>
      </c>
      <c r="F34">
        <v>13148488.300000001</v>
      </c>
      <c r="G34">
        <v>4.9130000000000003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-0.67123287671232823</v>
      </c>
      <c r="Q34">
        <f t="shared" ref="Q34" si="146">F34*P34</f>
        <v>-8825697.6260273904</v>
      </c>
      <c r="R34">
        <f t="shared" ref="R34" si="147">R35+Q34</f>
        <v>683925898.06803405</v>
      </c>
      <c r="S34">
        <f t="shared" ref="S34" si="148">R34/100000</f>
        <v>6839.2589806803408</v>
      </c>
      <c r="T34">
        <f t="shared" ref="T34" si="149">S34/1000</f>
        <v>6.8392589806803405</v>
      </c>
    </row>
    <row r="35" spans="1:20" x14ac:dyDescent="0.25">
      <c r="A35" s="5">
        <v>44558</v>
      </c>
      <c r="B35">
        <v>5.4809999999999999</v>
      </c>
      <c r="C35">
        <v>5.4820000000000002</v>
      </c>
      <c r="D35">
        <v>4.9539999999999997</v>
      </c>
      <c r="E35">
        <v>5.0830000000000002</v>
      </c>
      <c r="F35">
        <v>15994931.5</v>
      </c>
      <c r="G35">
        <v>5.0830000000000002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-0.51136363636363513</v>
      </c>
      <c r="Q35">
        <f t="shared" ref="Q35" si="151">F35*P35</f>
        <v>-8179226.3352272529</v>
      </c>
      <c r="R35">
        <f t="shared" ref="R35" si="152">R36+Q35</f>
        <v>692751595.6940614</v>
      </c>
      <c r="S35">
        <f t="shared" ref="S35" si="153">R35/100000</f>
        <v>6927.5159569406142</v>
      </c>
      <c r="T35">
        <f t="shared" ref="T35" si="154">S35/1000</f>
        <v>6.9275159569406144</v>
      </c>
    </row>
    <row r="36" spans="1:20" x14ac:dyDescent="0.25">
      <c r="A36" s="5">
        <v>44557</v>
      </c>
      <c r="B36">
        <v>5.484</v>
      </c>
      <c r="C36">
        <v>5.9459999999999997</v>
      </c>
      <c r="D36">
        <v>5.45</v>
      </c>
      <c r="E36">
        <v>5.4809999999999999</v>
      </c>
      <c r="F36">
        <v>18863380.399999999</v>
      </c>
      <c r="G36">
        <v>5.4809999999999999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-0.87500000000000111</v>
      </c>
      <c r="Q36">
        <f t="shared" ref="Q36" si="156">F36*P36</f>
        <v>-16505457.85000002</v>
      </c>
      <c r="R36">
        <f t="shared" ref="R36" si="157">R37+Q36</f>
        <v>700930822.02928865</v>
      </c>
      <c r="S36">
        <f t="shared" ref="S36" si="158">R36/100000</f>
        <v>7009.3082202928863</v>
      </c>
      <c r="T36">
        <f t="shared" ref="T36" si="159">S36/1000</f>
        <v>7.009308220292886</v>
      </c>
    </row>
    <row r="37" spans="1:20" x14ac:dyDescent="0.25">
      <c r="A37" s="5">
        <v>44556</v>
      </c>
      <c r="B37">
        <v>5.0170000000000003</v>
      </c>
      <c r="C37">
        <v>5.5369999999999999</v>
      </c>
      <c r="D37">
        <v>4.9009999999999998</v>
      </c>
      <c r="E37">
        <v>5.4829999999999997</v>
      </c>
      <c r="F37">
        <v>17964311.199999999</v>
      </c>
      <c r="G37">
        <v>5.4829999999999997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0.83018867924528217</v>
      </c>
      <c r="Q37">
        <f t="shared" ref="Q37" si="161">F37*P37</f>
        <v>14913767.788679229</v>
      </c>
      <c r="R37">
        <f t="shared" ref="R37" si="162">R38+Q37</f>
        <v>717436279.87928867</v>
      </c>
      <c r="S37">
        <f t="shared" ref="S37" si="163">R37/100000</f>
        <v>7174.3627987928867</v>
      </c>
      <c r="T37">
        <f t="shared" ref="T37" si="164">S37/1000</f>
        <v>7.1743627987928864</v>
      </c>
    </row>
    <row r="38" spans="1:20" x14ac:dyDescent="0.25">
      <c r="A38" s="5">
        <v>44555</v>
      </c>
      <c r="B38">
        <v>4.7149999999999999</v>
      </c>
      <c r="C38">
        <v>5.1580000000000004</v>
      </c>
      <c r="D38">
        <v>4.6619999999999999</v>
      </c>
      <c r="E38">
        <v>5.016</v>
      </c>
      <c r="F38">
        <v>14214615</v>
      </c>
      <c r="G38">
        <v>5.016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0.4274193548387088</v>
      </c>
      <c r="Q38">
        <f t="shared" ref="Q38" si="166">F38*P38</f>
        <v>6075601.5725806328</v>
      </c>
      <c r="R38">
        <f t="shared" ref="R38" si="167">R39+Q38</f>
        <v>702522512.09060943</v>
      </c>
      <c r="S38">
        <f t="shared" ref="S38" si="168">R38/100000</f>
        <v>7025.2251209060942</v>
      </c>
      <c r="T38">
        <f t="shared" ref="T38" si="169">S38/1000</f>
        <v>7.0252251209060939</v>
      </c>
    </row>
    <row r="39" spans="1:20" x14ac:dyDescent="0.25">
      <c r="A39" s="5">
        <v>44554</v>
      </c>
      <c r="B39">
        <v>4.7640000000000002</v>
      </c>
      <c r="C39">
        <v>4.8680000000000003</v>
      </c>
      <c r="D39">
        <v>4.6109999999999998</v>
      </c>
      <c r="E39">
        <v>4.7149999999999999</v>
      </c>
      <c r="F39">
        <v>10721586.9</v>
      </c>
      <c r="G39">
        <v>4.7149999999999999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-0.19066147859922283</v>
      </c>
      <c r="Q39">
        <f t="shared" ref="Q39" si="171">F39*P39</f>
        <v>-2044193.6112840578</v>
      </c>
      <c r="R39">
        <f t="shared" ref="R39" si="172">R40+Q39</f>
        <v>696446910.51802886</v>
      </c>
      <c r="S39">
        <f t="shared" ref="S39" si="173">R39/100000</f>
        <v>6964.4691051802884</v>
      </c>
      <c r="T39">
        <f t="shared" ref="T39" si="174">S39/1000</f>
        <v>6.9644691051802887</v>
      </c>
    </row>
    <row r="40" spans="1:20" x14ac:dyDescent="0.25">
      <c r="A40" s="5">
        <v>44553</v>
      </c>
      <c r="B40">
        <v>4.4379999999999997</v>
      </c>
      <c r="C40">
        <v>4.8239999999999998</v>
      </c>
      <c r="D40">
        <v>4.3209999999999997</v>
      </c>
      <c r="E40">
        <v>4.7649999999999997</v>
      </c>
      <c r="F40">
        <v>10698351</v>
      </c>
      <c r="G40">
        <v>4.7649999999999997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0.76540755467196764</v>
      </c>
      <c r="Q40">
        <f t="shared" ref="Q40" si="176">F40*P40</f>
        <v>8188598.6779323993</v>
      </c>
      <c r="R40">
        <f t="shared" ref="R40" si="177">R41+Q40</f>
        <v>698491104.12931287</v>
      </c>
      <c r="S40">
        <f t="shared" ref="S40" si="178">R40/100000</f>
        <v>6984.9110412931286</v>
      </c>
      <c r="T40">
        <f t="shared" ref="T40" si="179">S40/1000</f>
        <v>6.9849110412931283</v>
      </c>
    </row>
    <row r="41" spans="1:20" x14ac:dyDescent="0.25">
      <c r="A41" s="5">
        <v>44552</v>
      </c>
      <c r="B41">
        <v>4.1500000000000004</v>
      </c>
      <c r="C41">
        <v>4.5979999999999999</v>
      </c>
      <c r="D41">
        <v>4.1500000000000004</v>
      </c>
      <c r="E41">
        <v>4.4370000000000003</v>
      </c>
      <c r="F41">
        <v>8895289.6999999993</v>
      </c>
      <c r="G41">
        <v>4.4370000000000003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0.28125000000000105</v>
      </c>
      <c r="Q41">
        <f t="shared" ref="Q41" si="181">F41*P41</f>
        <v>2501800.2281250092</v>
      </c>
      <c r="R41">
        <f t="shared" ref="R41" si="182">R42+Q41</f>
        <v>690302505.45138049</v>
      </c>
      <c r="S41">
        <f t="shared" ref="S41" si="183">R41/100000</f>
        <v>6903.0250545138051</v>
      </c>
      <c r="T41">
        <f t="shared" ref="T41" si="184">S41/1000</f>
        <v>6.9030250545138054</v>
      </c>
    </row>
    <row r="42" spans="1:20" x14ac:dyDescent="0.25">
      <c r="A42" s="5">
        <v>44551</v>
      </c>
      <c r="B42">
        <v>3.9980000000000002</v>
      </c>
      <c r="C42">
        <v>4.1779999999999999</v>
      </c>
      <c r="D42">
        <v>3.964</v>
      </c>
      <c r="E42">
        <v>4.1509999999999998</v>
      </c>
      <c r="F42">
        <v>6298675.2999999998</v>
      </c>
      <c r="G42">
        <v>4.1509999999999998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0.74766355140186791</v>
      </c>
      <c r="Q42">
        <f t="shared" ref="Q42" si="186">F42*P42</f>
        <v>4709289.9439252252</v>
      </c>
      <c r="R42">
        <f t="shared" ref="R42" si="187">R43+Q42</f>
        <v>687800705.22325552</v>
      </c>
      <c r="S42">
        <f t="shared" ref="S42" si="188">R42/100000</f>
        <v>6878.007052232555</v>
      </c>
      <c r="T42">
        <f t="shared" ref="T42" si="189">S42/1000</f>
        <v>6.8780070522325554</v>
      </c>
    </row>
    <row r="43" spans="1:20" x14ac:dyDescent="0.25">
      <c r="A43" s="5">
        <v>44550</v>
      </c>
      <c r="B43">
        <v>4.1349999999999998</v>
      </c>
      <c r="C43">
        <v>4.1440000000000001</v>
      </c>
      <c r="D43">
        <v>3.839</v>
      </c>
      <c r="E43">
        <v>3.9980000000000002</v>
      </c>
      <c r="F43">
        <v>9214696.8000000007</v>
      </c>
      <c r="G43">
        <v>3.9980000000000002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4.2622950819673239E-2</v>
      </c>
      <c r="Q43">
        <f t="shared" ref="Q43" si="191">F43*P43</f>
        <v>392757.56852460041</v>
      </c>
      <c r="R43">
        <f t="shared" ref="R43" si="192">R44+Q43</f>
        <v>683091415.27933025</v>
      </c>
      <c r="S43">
        <f t="shared" ref="S43" si="193">R43/100000</f>
        <v>6830.9141527933025</v>
      </c>
      <c r="T43">
        <f t="shared" ref="T43" si="194">S43/1000</f>
        <v>6.8309141527933024</v>
      </c>
    </row>
    <row r="44" spans="1:20" x14ac:dyDescent="0.25">
      <c r="A44" s="5">
        <v>44549</v>
      </c>
      <c r="B44">
        <v>4.0869999999999997</v>
      </c>
      <c r="C44">
        <v>4.22</v>
      </c>
      <c r="D44">
        <v>4.0529999999999999</v>
      </c>
      <c r="E44">
        <v>4.1360000000000001</v>
      </c>
      <c r="F44">
        <v>7074087.2999999998</v>
      </c>
      <c r="G44">
        <v>4.1360000000000001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-5.9880239520924963E-3</v>
      </c>
      <c r="Q44">
        <f t="shared" ref="Q44" si="196">F44*P44</f>
        <v>-42359.804191593335</v>
      </c>
      <c r="R44">
        <f t="shared" ref="R44" si="197">R45+Q44</f>
        <v>682698657.71080565</v>
      </c>
      <c r="S44">
        <f t="shared" ref="S44" si="198">R44/100000</f>
        <v>6826.9865771080567</v>
      </c>
      <c r="T44">
        <f t="shared" ref="T44" si="199">S44/1000</f>
        <v>6.8269865771080571</v>
      </c>
    </row>
    <row r="45" spans="1:20" x14ac:dyDescent="0.25">
      <c r="A45" s="5">
        <v>44548</v>
      </c>
      <c r="B45">
        <v>4.0380000000000003</v>
      </c>
      <c r="C45">
        <v>4.1840000000000002</v>
      </c>
      <c r="D45">
        <v>3.9580000000000002</v>
      </c>
      <c r="E45">
        <v>4.0869999999999997</v>
      </c>
      <c r="F45">
        <v>6112653.7999999998</v>
      </c>
      <c r="G45">
        <v>4.0869999999999997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0.1415929203539785</v>
      </c>
      <c r="Q45">
        <f t="shared" ref="Q45" si="201">F45*P45</f>
        <v>865508.50265484396</v>
      </c>
      <c r="R45">
        <f t="shared" ref="R45" si="202">R46+Q45</f>
        <v>682741017.51499724</v>
      </c>
      <c r="S45">
        <f t="shared" ref="S45" si="203">R45/100000</f>
        <v>6827.410175149972</v>
      </c>
      <c r="T45">
        <f t="shared" ref="T45" si="204">S45/1000</f>
        <v>6.8274101751499723</v>
      </c>
    </row>
    <row r="46" spans="1:20" x14ac:dyDescent="0.25">
      <c r="A46" s="5">
        <v>44547</v>
      </c>
      <c r="B46">
        <v>4.2489999999999997</v>
      </c>
      <c r="C46">
        <v>4.3490000000000002</v>
      </c>
      <c r="D46">
        <v>3.9249999999999998</v>
      </c>
      <c r="E46">
        <v>4.0380000000000003</v>
      </c>
      <c r="F46">
        <v>10344064.800000001</v>
      </c>
      <c r="G46">
        <v>4.0380000000000003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-0.46698113207547015</v>
      </c>
      <c r="Q46">
        <f t="shared" ref="Q46" si="206">F46*P46</f>
        <v>-4830483.0905660223</v>
      </c>
      <c r="R46">
        <f t="shared" ref="R46" si="207">R47+Q46</f>
        <v>681875509.01234245</v>
      </c>
      <c r="S46">
        <f t="shared" ref="S46" si="208">R46/100000</f>
        <v>6818.7550901234245</v>
      </c>
      <c r="T46">
        <f t="shared" ref="T46" si="209">S46/1000</f>
        <v>6.8187550901234246</v>
      </c>
    </row>
    <row r="47" spans="1:20" x14ac:dyDescent="0.25">
      <c r="A47" s="5">
        <v>44546</v>
      </c>
      <c r="B47">
        <v>4.3920000000000003</v>
      </c>
      <c r="C47">
        <v>4.4770000000000003</v>
      </c>
      <c r="D47">
        <v>4.2290000000000001</v>
      </c>
      <c r="E47">
        <v>4.25</v>
      </c>
      <c r="F47">
        <v>8777827.6999999993</v>
      </c>
      <c r="G47">
        <v>4.25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-0.83064516129032351</v>
      </c>
      <c r="Q47">
        <f t="shared" ref="Q47" si="211">F47*P47</f>
        <v>-7291260.1056451686</v>
      </c>
      <c r="R47">
        <f t="shared" ref="R47" si="212">R48+Q47</f>
        <v>686705992.10290849</v>
      </c>
      <c r="S47">
        <f t="shared" ref="S47" si="213">R47/100000</f>
        <v>6867.0599210290848</v>
      </c>
      <c r="T47">
        <f t="shared" ref="T47" si="214">S47/1000</f>
        <v>6.8670599210290844</v>
      </c>
    </row>
    <row r="48" spans="1:20" x14ac:dyDescent="0.25">
      <c r="A48" s="5">
        <v>44545</v>
      </c>
      <c r="B48">
        <v>4.0350000000000001</v>
      </c>
      <c r="C48">
        <v>4.4189999999999996</v>
      </c>
      <c r="D48">
        <v>3.8849999999999998</v>
      </c>
      <c r="E48">
        <v>4.3920000000000003</v>
      </c>
      <c r="F48">
        <v>14274891.4</v>
      </c>
      <c r="G48">
        <v>4.3920000000000003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0.89887640449438477</v>
      </c>
      <c r="Q48">
        <f t="shared" ref="Q48" si="216">F48*P48</f>
        <v>12831363.056179814</v>
      </c>
      <c r="R48">
        <f t="shared" ref="R48" si="217">R49+Q48</f>
        <v>693997252.20855367</v>
      </c>
      <c r="S48">
        <f t="shared" ref="S48" si="218">R48/100000</f>
        <v>6939.9725220855371</v>
      </c>
      <c r="T48">
        <f t="shared" ref="T48" si="219">S48/1000</f>
        <v>6.9399725220855375</v>
      </c>
    </row>
    <row r="49" spans="1:20" x14ac:dyDescent="0.25">
      <c r="A49" s="5">
        <v>44544</v>
      </c>
      <c r="B49">
        <v>3.9020000000000001</v>
      </c>
      <c r="C49">
        <v>4.0549999999999997</v>
      </c>
      <c r="D49">
        <v>3.8250000000000002</v>
      </c>
      <c r="E49">
        <v>4.0359999999999996</v>
      </c>
      <c r="F49">
        <v>13453897.800000001</v>
      </c>
      <c r="G49">
        <v>4.0359999999999996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0.83478260869565069</v>
      </c>
      <c r="Q49">
        <f t="shared" ref="Q49" si="221">F49*P49</f>
        <v>11231079.902608676</v>
      </c>
      <c r="R49">
        <f t="shared" ref="R49" si="222">R50+Q49</f>
        <v>681165889.15237391</v>
      </c>
      <c r="S49">
        <f t="shared" ref="S49" si="223">R49/100000</f>
        <v>6811.6588915237389</v>
      </c>
      <c r="T49">
        <f t="shared" ref="T49" si="224">S49/1000</f>
        <v>6.8116588915237388</v>
      </c>
    </row>
    <row r="50" spans="1:20" x14ac:dyDescent="0.25">
      <c r="A50" s="5">
        <v>44543</v>
      </c>
      <c r="B50">
        <v>4.4219999999999997</v>
      </c>
      <c r="C50">
        <v>4.516</v>
      </c>
      <c r="D50">
        <v>3.8119999999999998</v>
      </c>
      <c r="E50">
        <v>3.9020000000000001</v>
      </c>
      <c r="F50">
        <v>14569458.300000001</v>
      </c>
      <c r="G50">
        <v>3.9020000000000001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-0.74431818181818099</v>
      </c>
      <c r="Q50">
        <f t="shared" ref="Q50" si="226">F50*P50</f>
        <v>-10844312.711931806</v>
      </c>
      <c r="R50">
        <f t="shared" ref="R50" si="227">R51+Q50</f>
        <v>669934809.24976528</v>
      </c>
      <c r="S50">
        <f t="shared" ref="S50" si="228">R50/100000</f>
        <v>6699.3480924976529</v>
      </c>
      <c r="T50">
        <f t="shared" ref="T50" si="229">S50/1000</f>
        <v>6.6993480924976527</v>
      </c>
    </row>
    <row r="51" spans="1:20" x14ac:dyDescent="0.25">
      <c r="A51" s="5">
        <v>44542</v>
      </c>
      <c r="B51">
        <v>4.4269999999999996</v>
      </c>
      <c r="C51">
        <v>4.5149999999999997</v>
      </c>
      <c r="D51">
        <v>4.2869999999999999</v>
      </c>
      <c r="E51">
        <v>4.4219999999999997</v>
      </c>
      <c r="F51">
        <v>6653202.9000000004</v>
      </c>
      <c r="G51">
        <v>4.4219999999999997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0.18421052631578885</v>
      </c>
      <c r="Q51">
        <f t="shared" ref="Q51" si="231">F51*P51</f>
        <v>1225590.0078947328</v>
      </c>
      <c r="R51">
        <f t="shared" ref="R51" si="232">R52+Q51</f>
        <v>680779121.9616971</v>
      </c>
      <c r="S51">
        <f t="shared" ref="S51" si="233">R51/100000</f>
        <v>6807.7912196169709</v>
      </c>
      <c r="T51">
        <f t="shared" ref="T51" si="234">S51/1000</f>
        <v>6.8077912196169708</v>
      </c>
    </row>
    <row r="52" spans="1:20" x14ac:dyDescent="0.25">
      <c r="A52" s="5">
        <v>44541</v>
      </c>
      <c r="B52">
        <v>4.2640000000000002</v>
      </c>
      <c r="C52">
        <v>4.3499999999999996</v>
      </c>
      <c r="D52">
        <v>4.18</v>
      </c>
      <c r="E52">
        <v>4.3109999999999999</v>
      </c>
      <c r="F52">
        <v>833888.5</v>
      </c>
      <c r="G52">
        <v>4.3109999999999999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0.54117647058823859</v>
      </c>
      <c r="Q52">
        <f t="shared" ref="Q52" si="236">F52*P52</f>
        <v>451280.83529412042</v>
      </c>
      <c r="R52">
        <f t="shared" ref="R52" si="237">R53+Q52</f>
        <v>679553531.95380235</v>
      </c>
      <c r="S52">
        <f t="shared" ref="S52" si="238">R52/100000</f>
        <v>6795.535319538023</v>
      </c>
      <c r="T52">
        <f t="shared" ref="T52" si="239">S52/1000</f>
        <v>6.7955353195380228</v>
      </c>
    </row>
    <row r="53" spans="1:20" x14ac:dyDescent="0.25">
      <c r="A53" s="5">
        <v>44540</v>
      </c>
      <c r="B53">
        <v>4.4039999999999999</v>
      </c>
      <c r="C53">
        <v>4.7050000000000001</v>
      </c>
      <c r="D53">
        <v>4.2480000000000002</v>
      </c>
      <c r="E53">
        <v>4.2649999999999997</v>
      </c>
      <c r="F53">
        <v>15352114.5</v>
      </c>
      <c r="G53">
        <v>4.2649999999999997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-0.9256017505470483</v>
      </c>
      <c r="Q53">
        <f t="shared" ref="Q53" si="241">F53*P53</f>
        <v>-14209944.055798722</v>
      </c>
      <c r="R53">
        <f t="shared" ref="R53" si="242">R54+Q53</f>
        <v>679102251.11850822</v>
      </c>
      <c r="S53">
        <f t="shared" ref="S53" si="243">R53/100000</f>
        <v>6791.0225111850823</v>
      </c>
      <c r="T53">
        <f t="shared" ref="T53" si="244">S53/1000</f>
        <v>6.7910225111850826</v>
      </c>
    </row>
    <row r="54" spans="1:20" x14ac:dyDescent="0.25">
      <c r="A54" s="5">
        <v>44539</v>
      </c>
      <c r="B54">
        <v>4.9189999999999996</v>
      </c>
      <c r="C54">
        <v>4.9870000000000001</v>
      </c>
      <c r="D54">
        <v>4.3620000000000001</v>
      </c>
      <c r="E54">
        <v>4.4050000000000002</v>
      </c>
      <c r="F54">
        <v>13773993.4</v>
      </c>
      <c r="G54">
        <v>4.4050000000000002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-0.8623999999999995</v>
      </c>
      <c r="Q54">
        <f t="shared" ref="Q54" si="246">F54*P54</f>
        <v>-11878691.908159994</v>
      </c>
      <c r="R54">
        <f t="shared" ref="R54" si="247">R55+Q54</f>
        <v>693312195.17430699</v>
      </c>
      <c r="S54">
        <f t="shared" ref="S54" si="248">R54/100000</f>
        <v>6933.12195174307</v>
      </c>
      <c r="T54">
        <f t="shared" ref="T54" si="249">S54/1000</f>
        <v>6.93312195174307</v>
      </c>
    </row>
    <row r="55" spans="1:20" x14ac:dyDescent="0.25">
      <c r="A55" s="5">
        <v>44538</v>
      </c>
      <c r="B55">
        <v>4.68</v>
      </c>
      <c r="C55">
        <v>5.0640000000000001</v>
      </c>
      <c r="D55">
        <v>4.4809999999999999</v>
      </c>
      <c r="E55">
        <v>4.9180000000000001</v>
      </c>
      <c r="F55">
        <v>16923298.899999999</v>
      </c>
      <c r="G55">
        <v>4.9180000000000001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0.49914236706689585</v>
      </c>
      <c r="Q55">
        <f t="shared" ref="Q55" si="251">F55*P55</f>
        <v>8447135.4715265948</v>
      </c>
      <c r="R55">
        <f t="shared" ref="R55" si="252">R56+Q55</f>
        <v>705190887.08246696</v>
      </c>
      <c r="S55">
        <f t="shared" ref="S55" si="253">R55/100000</f>
        <v>7051.90887082467</v>
      </c>
      <c r="T55">
        <f t="shared" ref="T55" si="254">S55/1000</f>
        <v>7.0519088708246702</v>
      </c>
    </row>
    <row r="56" spans="1:20" x14ac:dyDescent="0.25">
      <c r="A56" s="5">
        <v>44537</v>
      </c>
      <c r="B56">
        <v>4.7770000000000001</v>
      </c>
      <c r="C56">
        <v>4.9119999999999999</v>
      </c>
      <c r="D56">
        <v>4.58</v>
      </c>
      <c r="E56">
        <v>4.681</v>
      </c>
      <c r="F56">
        <v>13413710.699999999</v>
      </c>
      <c r="G56">
        <v>4.681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-0.39156626506024084</v>
      </c>
      <c r="Q56">
        <f t="shared" ref="Q56" si="256">F56*P56</f>
        <v>-5252356.5993975885</v>
      </c>
      <c r="R56">
        <f t="shared" ref="R56" si="257">R57+Q56</f>
        <v>696743751.61094034</v>
      </c>
      <c r="S56">
        <f t="shared" ref="S56" si="258">R56/100000</f>
        <v>6967.4375161094031</v>
      </c>
      <c r="T56">
        <f t="shared" ref="T56" si="259">S56/1000</f>
        <v>6.9674375161094027</v>
      </c>
    </row>
    <row r="57" spans="1:20" x14ac:dyDescent="0.25">
      <c r="A57" s="5">
        <v>44536</v>
      </c>
      <c r="B57">
        <v>4.74</v>
      </c>
      <c r="C57">
        <v>4.8179999999999996</v>
      </c>
      <c r="D57">
        <v>4.1509999999999998</v>
      </c>
      <c r="E57">
        <v>4.7779999999999996</v>
      </c>
      <c r="F57">
        <v>22113687.800000001</v>
      </c>
      <c r="G57">
        <v>4.7779999999999996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0.88005997001499237</v>
      </c>
      <c r="Q57">
        <f t="shared" ref="Q57" si="261">F57*P57</f>
        <v>19461371.422188904</v>
      </c>
      <c r="R57">
        <f t="shared" ref="R57" si="262">R58+Q57</f>
        <v>701996108.21033788</v>
      </c>
      <c r="S57">
        <f t="shared" ref="S57" si="263">R57/100000</f>
        <v>7019.9610821033784</v>
      </c>
      <c r="T57">
        <f t="shared" ref="T57" si="264">S57/1000</f>
        <v>7.0199610821033787</v>
      </c>
    </row>
    <row r="58" spans="1:20" x14ac:dyDescent="0.25">
      <c r="A58" s="5">
        <v>44535</v>
      </c>
      <c r="B58">
        <v>5.1310000000000002</v>
      </c>
      <c r="C58">
        <v>5.2359999999999998</v>
      </c>
      <c r="D58">
        <v>4.5229999999999997</v>
      </c>
      <c r="E58">
        <v>4.7389999999999999</v>
      </c>
      <c r="F58">
        <v>20230295.100000001</v>
      </c>
      <c r="G58">
        <v>4.7389999999999999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-0.39410939691444552</v>
      </c>
      <c r="Q58">
        <f t="shared" ref="Q58" si="266">F58*P58</f>
        <v>-7972949.4012622628</v>
      </c>
      <c r="R58">
        <f t="shared" ref="R58" si="267">R59+Q58</f>
        <v>682534736.788149</v>
      </c>
      <c r="S58">
        <f t="shared" ref="S58" si="268">R58/100000</f>
        <v>6825.3473678814898</v>
      </c>
      <c r="T58">
        <f t="shared" ref="T58" si="269">S58/1000</f>
        <v>6.8253473678814895</v>
      </c>
    </row>
    <row r="59" spans="1:20" x14ac:dyDescent="0.25">
      <c r="A59" s="5">
        <v>44534</v>
      </c>
      <c r="B59">
        <v>6.15</v>
      </c>
      <c r="C59">
        <v>6.165</v>
      </c>
      <c r="D59">
        <v>3.6539999999999999</v>
      </c>
      <c r="E59">
        <v>5.1310000000000002</v>
      </c>
      <c r="F59">
        <v>43226455.274999999</v>
      </c>
      <c r="G59">
        <v>5.1310000000000002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0.1764237355635207</v>
      </c>
      <c r="Q59">
        <f t="shared" ref="Q59" si="271">F59*P59</f>
        <v>7626172.7147849547</v>
      </c>
      <c r="R59">
        <f t="shared" ref="R59" si="272">R60+Q59</f>
        <v>690507686.18941128</v>
      </c>
      <c r="S59">
        <f t="shared" ref="S59" si="273">R59/100000</f>
        <v>6905.0768618941129</v>
      </c>
      <c r="T59">
        <f t="shared" ref="T59" si="274">S59/1000</f>
        <v>6.9050768618941127</v>
      </c>
    </row>
    <row r="60" spans="1:20" x14ac:dyDescent="0.25">
      <c r="A60" s="5">
        <v>44533</v>
      </c>
      <c r="B60">
        <v>6.375</v>
      </c>
      <c r="C60">
        <v>6.7060000000000004</v>
      </c>
      <c r="D60">
        <v>5.9669999999999996</v>
      </c>
      <c r="E60">
        <v>6.1509999999999998</v>
      </c>
      <c r="F60">
        <v>18581101.199999999</v>
      </c>
      <c r="G60">
        <v>6.1509999999999998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-0.50202976995940463</v>
      </c>
      <c r="Q60">
        <f t="shared" ref="Q60" si="276">F60*P60</f>
        <v>-9328265.9610284176</v>
      </c>
      <c r="R60">
        <f t="shared" ref="R60" si="277">R61+Q60</f>
        <v>682881513.4746263</v>
      </c>
      <c r="S60">
        <f t="shared" ref="S60" si="278">R60/100000</f>
        <v>6828.8151347462626</v>
      </c>
      <c r="T60">
        <f t="shared" ref="T60" si="279">S60/1000</f>
        <v>6.8288151347462627</v>
      </c>
    </row>
    <row r="61" spans="1:20" x14ac:dyDescent="0.25">
      <c r="A61" s="5">
        <v>44532</v>
      </c>
      <c r="B61">
        <v>6.524</v>
      </c>
      <c r="C61">
        <v>6.5250000000000004</v>
      </c>
      <c r="D61">
        <v>6.2549999999999999</v>
      </c>
      <c r="E61">
        <v>6.375</v>
      </c>
      <c r="F61">
        <v>7866237.5</v>
      </c>
      <c r="G61">
        <v>6.375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-0.11111111111111184</v>
      </c>
      <c r="Q61">
        <f t="shared" ref="Q61" si="281">F61*P61</f>
        <v>-874026.38888889458</v>
      </c>
      <c r="R61">
        <f t="shared" ref="R61" si="282">R62+Q61</f>
        <v>692209779.43565476</v>
      </c>
      <c r="S61">
        <f t="shared" ref="S61" si="283">R61/100000</f>
        <v>6922.0977943565476</v>
      </c>
      <c r="T61">
        <f t="shared" ref="T61" si="284">S61/1000</f>
        <v>6.9220977943565476</v>
      </c>
    </row>
    <row r="62" spans="1:20" x14ac:dyDescent="0.25">
      <c r="A62" s="5">
        <v>44531</v>
      </c>
      <c r="B62">
        <v>6.6150000000000002</v>
      </c>
      <c r="C62">
        <v>6.819</v>
      </c>
      <c r="D62">
        <v>6.4180000000000001</v>
      </c>
      <c r="E62">
        <v>6.5250000000000004</v>
      </c>
      <c r="F62">
        <v>9562446.6999999993</v>
      </c>
      <c r="G62">
        <v>6.5250000000000004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-0.46633416458852739</v>
      </c>
      <c r="Q62">
        <f t="shared" ref="Q62" si="286">F62*P62</f>
        <v>-4459295.5932668205</v>
      </c>
      <c r="R62">
        <f t="shared" ref="R62" si="287">R63+Q62</f>
        <v>693083805.8245436</v>
      </c>
      <c r="S62">
        <f t="shared" ref="S62" si="288">R62/100000</f>
        <v>6930.8380582454356</v>
      </c>
      <c r="T62">
        <f t="shared" ref="T62" si="289">S62/1000</f>
        <v>6.9308380582454356</v>
      </c>
    </row>
    <row r="63" spans="1:20" x14ac:dyDescent="0.25">
      <c r="A63" s="5">
        <v>44530</v>
      </c>
      <c r="B63">
        <v>6.657</v>
      </c>
      <c r="C63">
        <v>6.827</v>
      </c>
      <c r="D63">
        <v>6.3310000000000004</v>
      </c>
      <c r="E63">
        <v>6.6139999999999999</v>
      </c>
      <c r="F63">
        <v>12030770.4</v>
      </c>
      <c r="G63">
        <v>6.6139999999999999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0.14112903225806342</v>
      </c>
      <c r="Q63">
        <f t="shared" ref="Q63" si="291">F63*P63</f>
        <v>1697890.9838709545</v>
      </c>
      <c r="R63">
        <f t="shared" ref="R63" si="292">R64+Q63</f>
        <v>697543101.41781044</v>
      </c>
      <c r="S63">
        <f t="shared" ref="S63" si="293">R63/100000</f>
        <v>6975.4310141781043</v>
      </c>
      <c r="T63">
        <f t="shared" ref="T63" si="294">S63/1000</f>
        <v>6.9754310141781044</v>
      </c>
    </row>
    <row r="64" spans="1:20" x14ac:dyDescent="0.25">
      <c r="A64" s="5">
        <v>44529</v>
      </c>
      <c r="B64">
        <v>6.609</v>
      </c>
      <c r="C64">
        <v>6.7359999999999998</v>
      </c>
      <c r="D64">
        <v>6.4359999999999999</v>
      </c>
      <c r="E64">
        <v>6.657</v>
      </c>
      <c r="F64">
        <v>9308195.8000000007</v>
      </c>
      <c r="G64">
        <v>6.657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0.47333333333333477</v>
      </c>
      <c r="Q64">
        <f t="shared" ref="Q64" si="296">F64*P64</f>
        <v>4405879.3453333471</v>
      </c>
      <c r="R64">
        <f t="shared" ref="R64" si="297">R65+Q64</f>
        <v>695845210.43393946</v>
      </c>
      <c r="S64">
        <f t="shared" ref="S64" si="298">R64/100000</f>
        <v>6958.4521043393943</v>
      </c>
      <c r="T64">
        <f t="shared" ref="T64" si="299">S64/1000</f>
        <v>6.9584521043393943</v>
      </c>
    </row>
    <row r="65" spans="1:20" x14ac:dyDescent="0.25">
      <c r="A65" s="5">
        <v>44528</v>
      </c>
      <c r="B65">
        <v>6.5410000000000004</v>
      </c>
      <c r="C65">
        <v>6.6239999999999997</v>
      </c>
      <c r="D65">
        <v>6.0060000000000002</v>
      </c>
      <c r="E65">
        <v>6.6079999999999997</v>
      </c>
      <c r="F65">
        <v>10439467.5</v>
      </c>
      <c r="G65">
        <v>6.6079999999999997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0.94822006472491904</v>
      </c>
      <c r="Q65">
        <f t="shared" ref="Q65" si="301">F65*P65</f>
        <v>9898912.5485436879</v>
      </c>
      <c r="R65">
        <f t="shared" ref="R65" si="302">R66+Q65</f>
        <v>691439331.08860612</v>
      </c>
      <c r="S65">
        <f t="shared" ref="S65" si="303">R65/100000</f>
        <v>6914.393310886061</v>
      </c>
      <c r="T65">
        <f t="shared" ref="T65" si="304">S65/1000</f>
        <v>6.9143933108860614</v>
      </c>
    </row>
    <row r="66" spans="1:20" x14ac:dyDescent="0.25">
      <c r="A66" s="5">
        <v>44527</v>
      </c>
      <c r="B66">
        <v>6.5339999999999998</v>
      </c>
      <c r="C66">
        <v>6.8869999999999996</v>
      </c>
      <c r="D66">
        <v>6.4660000000000002</v>
      </c>
      <c r="E66">
        <v>6.5419999999999998</v>
      </c>
      <c r="F66">
        <v>9543504.5</v>
      </c>
      <c r="G66">
        <v>6.5419999999999998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-0.63895486935867107</v>
      </c>
      <c r="Q66">
        <f t="shared" ref="Q66" si="306">F66*P66</f>
        <v>-6097868.6710213898</v>
      </c>
      <c r="R66">
        <f t="shared" ref="R66" si="307">R67+Q66</f>
        <v>681540418.54006243</v>
      </c>
      <c r="S66">
        <f t="shared" ref="S66" si="308">R66/100000</f>
        <v>6815.4041854006246</v>
      </c>
      <c r="T66">
        <f t="shared" ref="T66" si="309">S66/1000</f>
        <v>6.8154041854006246</v>
      </c>
    </row>
    <row r="67" spans="1:20" x14ac:dyDescent="0.25">
      <c r="A67" s="5">
        <v>44526</v>
      </c>
      <c r="B67">
        <v>7.3920000000000003</v>
      </c>
      <c r="C67">
        <v>7.4649999999999999</v>
      </c>
      <c r="D67">
        <v>6.2779999999999996</v>
      </c>
      <c r="E67">
        <v>6.5389999999999997</v>
      </c>
      <c r="F67">
        <v>22331152.600000001</v>
      </c>
      <c r="G67">
        <v>6.5389999999999997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-0.56023588879528208</v>
      </c>
      <c r="Q67">
        <f t="shared" ref="Q67" si="311">F67*P67</f>
        <v>-12510713.124684075</v>
      </c>
      <c r="R67">
        <f t="shared" ref="R67" si="312">R68+Q67</f>
        <v>687638287.21108377</v>
      </c>
      <c r="S67">
        <f t="shared" ref="S67" si="313">R67/100000</f>
        <v>6876.3828721108375</v>
      </c>
      <c r="T67">
        <f t="shared" ref="T67" si="314">S67/1000</f>
        <v>6.8763828721108373</v>
      </c>
    </row>
    <row r="68" spans="1:20" x14ac:dyDescent="0.25">
      <c r="A68" s="5">
        <v>44525</v>
      </c>
      <c r="B68">
        <v>6.6139999999999999</v>
      </c>
      <c r="C68">
        <v>7.57</v>
      </c>
      <c r="D68">
        <v>6.5190000000000001</v>
      </c>
      <c r="E68">
        <v>7.3929999999999998</v>
      </c>
      <c r="F68">
        <v>19155971.199999999</v>
      </c>
      <c r="G68">
        <v>7.3929999999999998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0.66317792578496582</v>
      </c>
      <c r="Q68">
        <f t="shared" ref="Q68" si="316">F68*P68</f>
        <v>12703817.246812543</v>
      </c>
      <c r="R68">
        <f t="shared" ref="R68" si="317">R69+Q68</f>
        <v>700149000.33576787</v>
      </c>
      <c r="S68">
        <f t="shared" ref="S68" si="318">R68/100000</f>
        <v>7001.4900033576787</v>
      </c>
      <c r="T68">
        <f t="shared" ref="T68" si="319">S68/1000</f>
        <v>7.001490003357679</v>
      </c>
    </row>
    <row r="69" spans="1:20" x14ac:dyDescent="0.25">
      <c r="A69" s="5">
        <v>44524</v>
      </c>
      <c r="B69">
        <v>6.8680000000000003</v>
      </c>
      <c r="C69">
        <v>6.9749999999999996</v>
      </c>
      <c r="D69">
        <v>6.6289999999999996</v>
      </c>
      <c r="E69">
        <v>6.75</v>
      </c>
      <c r="F69">
        <v>4257094.0999999996</v>
      </c>
      <c r="G69">
        <v>6.75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-0.30057803468207855</v>
      </c>
      <c r="Q69">
        <f t="shared" ref="Q69" si="321">F69*P69</f>
        <v>-1279588.9780346719</v>
      </c>
      <c r="R69">
        <f t="shared" ref="R69" si="322">R70+Q69</f>
        <v>687445183.08895528</v>
      </c>
      <c r="S69">
        <f t="shared" ref="S69" si="323">R69/100000</f>
        <v>6874.4518308895531</v>
      </c>
      <c r="T69">
        <f t="shared" ref="T69" si="324">S69/1000</f>
        <v>6.8744518308895532</v>
      </c>
    </row>
    <row r="70" spans="1:20" x14ac:dyDescent="0.25">
      <c r="A70" s="5">
        <v>44523</v>
      </c>
      <c r="B70">
        <v>6.508</v>
      </c>
      <c r="C70">
        <v>6.9960000000000004</v>
      </c>
      <c r="D70">
        <v>6.2569999999999997</v>
      </c>
      <c r="E70">
        <v>6.8680000000000003</v>
      </c>
      <c r="F70">
        <v>11020735.6</v>
      </c>
      <c r="G70">
        <v>6.8680000000000003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0.65358592692828155</v>
      </c>
      <c r="Q70">
        <f t="shared" ref="Q70" si="326">F70*P70</f>
        <v>7202997.6925575109</v>
      </c>
      <c r="R70">
        <f t="shared" ref="R70" si="327">R71+Q70</f>
        <v>688724772.0669899</v>
      </c>
      <c r="S70">
        <f t="shared" ref="S70" si="328">R70/100000</f>
        <v>6887.2477206698986</v>
      </c>
      <c r="T70">
        <f t="shared" ref="T70" si="329">S70/1000</f>
        <v>6.8872477206698983</v>
      </c>
    </row>
    <row r="71" spans="1:20" x14ac:dyDescent="0.25">
      <c r="A71" s="5">
        <v>44522</v>
      </c>
      <c r="B71">
        <v>7.1050000000000004</v>
      </c>
      <c r="C71">
        <v>7.2750000000000004</v>
      </c>
      <c r="D71">
        <v>6.3929999999999998</v>
      </c>
      <c r="E71">
        <v>6.5090000000000003</v>
      </c>
      <c r="F71">
        <v>15788319.199999999</v>
      </c>
      <c r="G71">
        <v>6.5090000000000003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-0.7369614512471645</v>
      </c>
      <c r="Q71">
        <f t="shared" ref="Q71" si="331">F71*P71</f>
        <v>-11635382.630385472</v>
      </c>
      <c r="R71">
        <f t="shared" ref="R71" si="332">R72+Q71</f>
        <v>681521774.37443244</v>
      </c>
      <c r="S71">
        <f t="shared" ref="S71" si="333">R71/100000</f>
        <v>6815.2177437443243</v>
      </c>
      <c r="T71">
        <f t="shared" ref="T71" si="334">S71/1000</f>
        <v>6.8152177437443244</v>
      </c>
    </row>
    <row r="72" spans="1:20" x14ac:dyDescent="0.25">
      <c r="A72" s="5">
        <v>44521</v>
      </c>
      <c r="B72">
        <v>6.7130000000000001</v>
      </c>
      <c r="C72">
        <v>7.21</v>
      </c>
      <c r="D72">
        <v>6.6050000000000004</v>
      </c>
      <c r="E72">
        <v>7.1059999999999999</v>
      </c>
      <c r="F72">
        <v>13017999</v>
      </c>
      <c r="G72">
        <v>7.1059999999999999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0.65619834710743741</v>
      </c>
      <c r="Q72">
        <f t="shared" ref="Q72" si="336">F72*P72</f>
        <v>8542389.4264462739</v>
      </c>
      <c r="R72">
        <f t="shared" ref="R72" si="337">R73+Q72</f>
        <v>693157157.00481796</v>
      </c>
      <c r="S72">
        <f t="shared" ref="S72" si="338">R72/100000</f>
        <v>6931.5715700481796</v>
      </c>
      <c r="T72">
        <f t="shared" ref="T72" si="339">S72/1000</f>
        <v>6.9315715700481793</v>
      </c>
    </row>
    <row r="73" spans="1:20" x14ac:dyDescent="0.25">
      <c r="A73" s="5">
        <v>44520</v>
      </c>
      <c r="B73">
        <v>6.3419999999999996</v>
      </c>
      <c r="C73">
        <v>6.73</v>
      </c>
      <c r="D73">
        <v>6.2629999999999999</v>
      </c>
      <c r="E73">
        <v>6.7110000000000003</v>
      </c>
      <c r="F73">
        <v>8386517.9000000004</v>
      </c>
      <c r="G73">
        <v>6.7110000000000003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0.91862955032119864</v>
      </c>
      <c r="Q73">
        <f t="shared" ref="Q73" si="341">F73*P73</f>
        <v>7704103.1672376832</v>
      </c>
      <c r="R73">
        <f t="shared" ref="R73" si="342">R74+Q73</f>
        <v>684614767.57837164</v>
      </c>
      <c r="S73">
        <f t="shared" ref="S73" si="343">R73/100000</f>
        <v>6846.1476757837163</v>
      </c>
      <c r="T73">
        <f t="shared" ref="T73" si="344">S73/1000</f>
        <v>6.8461476757837163</v>
      </c>
    </row>
    <row r="74" spans="1:20" x14ac:dyDescent="0.25">
      <c r="A74" s="5">
        <v>44519</v>
      </c>
      <c r="B74">
        <v>5.976</v>
      </c>
      <c r="C74">
        <v>6.3920000000000003</v>
      </c>
      <c r="D74">
        <v>5.83</v>
      </c>
      <c r="E74">
        <v>6.3419999999999996</v>
      </c>
      <c r="F74">
        <v>10455357.800000001</v>
      </c>
      <c r="G74">
        <v>6.3419999999999996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0.82206405693949935</v>
      </c>
      <c r="Q74">
        <f t="shared" ref="Q74" si="346">F74*P74</f>
        <v>8594973.8498220388</v>
      </c>
      <c r="R74">
        <f t="shared" ref="R74" si="347">R75+Q74</f>
        <v>676910664.411134</v>
      </c>
      <c r="S74">
        <f t="shared" ref="S74" si="348">R74/100000</f>
        <v>6769.1066441113398</v>
      </c>
      <c r="T74">
        <f t="shared" ref="T74" si="349">S74/1000</f>
        <v>6.7691066441113401</v>
      </c>
    </row>
    <row r="75" spans="1:20" x14ac:dyDescent="0.25">
      <c r="A75" s="5">
        <v>44518</v>
      </c>
      <c r="B75">
        <v>6.5890000000000004</v>
      </c>
      <c r="C75">
        <v>6.6479999999999997</v>
      </c>
      <c r="D75">
        <v>5.8470000000000004</v>
      </c>
      <c r="E75">
        <v>5.976</v>
      </c>
      <c r="F75">
        <v>16065125.800000001</v>
      </c>
      <c r="G75">
        <v>5.976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-0.67790262172284721</v>
      </c>
      <c r="Q75">
        <f t="shared" ref="Q75" si="351">F75*P75</f>
        <v>-10890590.898127353</v>
      </c>
      <c r="R75">
        <f t="shared" ref="R75" si="352">R76+Q75</f>
        <v>668315690.56131196</v>
      </c>
      <c r="S75">
        <f t="shared" ref="S75" si="353">R75/100000</f>
        <v>6683.1569056131193</v>
      </c>
      <c r="T75">
        <f t="shared" ref="T75" si="354">S75/1000</f>
        <v>6.683156905613119</v>
      </c>
    </row>
    <row r="76" spans="1:20" x14ac:dyDescent="0.25">
      <c r="A76" s="5">
        <v>44517</v>
      </c>
      <c r="B76">
        <v>6.2549999999999999</v>
      </c>
      <c r="C76">
        <v>6.6159999999999997</v>
      </c>
      <c r="D76">
        <v>6.0279999999999996</v>
      </c>
      <c r="E76">
        <v>6.5890000000000004</v>
      </c>
      <c r="F76">
        <v>12802109.199999999</v>
      </c>
      <c r="G76">
        <v>6.5890000000000004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0.90816326530612501</v>
      </c>
      <c r="Q76">
        <f t="shared" ref="Q76" si="356">F76*P76</f>
        <v>11626405.293877583</v>
      </c>
      <c r="R76">
        <f t="shared" ref="R76" si="357">R77+Q76</f>
        <v>679206281.45943928</v>
      </c>
      <c r="S76">
        <f t="shared" ref="S76" si="358">R76/100000</f>
        <v>6792.0628145943929</v>
      </c>
      <c r="T76">
        <f t="shared" ref="T76" si="359">S76/1000</f>
        <v>6.7920628145943933</v>
      </c>
    </row>
    <row r="77" spans="1:20" x14ac:dyDescent="0.25">
      <c r="A77" s="5">
        <v>44516</v>
      </c>
      <c r="B77">
        <v>6.798</v>
      </c>
      <c r="C77">
        <v>6.8019999999999996</v>
      </c>
      <c r="D77">
        <v>5.9240000000000004</v>
      </c>
      <c r="E77">
        <v>6.2519999999999998</v>
      </c>
      <c r="F77">
        <v>18445026.100000001</v>
      </c>
      <c r="G77">
        <v>6.2519999999999998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-0.25284738041002347</v>
      </c>
      <c r="Q77">
        <f t="shared" ref="Q77" si="361">F77*P77</f>
        <v>-4663776.5309795123</v>
      </c>
      <c r="R77">
        <f t="shared" ref="R77" si="362">R78+Q77</f>
        <v>667579876.16556168</v>
      </c>
      <c r="S77">
        <f t="shared" ref="S77" si="363">R77/100000</f>
        <v>6675.7987616556165</v>
      </c>
      <c r="T77">
        <f t="shared" ref="T77" si="364">S77/1000</f>
        <v>6.6757987616556163</v>
      </c>
    </row>
    <row r="78" spans="1:20" x14ac:dyDescent="0.25">
      <c r="A78" s="5">
        <v>44515</v>
      </c>
      <c r="B78">
        <v>7.0469999999999997</v>
      </c>
      <c r="C78">
        <v>7.1479999999999997</v>
      </c>
      <c r="D78">
        <v>6.7789999999999999</v>
      </c>
      <c r="E78">
        <v>6.798</v>
      </c>
      <c r="F78">
        <v>6567287.9000000004</v>
      </c>
      <c r="G78">
        <v>6.798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-0.89701897018970111</v>
      </c>
      <c r="Q78">
        <f t="shared" ref="Q78" si="366">F78*P78</f>
        <v>-5890981.8289972851</v>
      </c>
      <c r="R78">
        <f t="shared" ref="R78" si="367">R79+Q78</f>
        <v>672243652.69654119</v>
      </c>
      <c r="S78">
        <f t="shared" ref="S78" si="368">R78/100000</f>
        <v>6722.4365269654118</v>
      </c>
      <c r="T78">
        <f t="shared" ref="T78" si="369">S78/1000</f>
        <v>6.7224365269654118</v>
      </c>
    </row>
    <row r="79" spans="1:20" x14ac:dyDescent="0.25">
      <c r="A79" s="5">
        <v>44514</v>
      </c>
      <c r="B79">
        <v>7.1849999999999996</v>
      </c>
      <c r="C79">
        <v>7.2469999999999999</v>
      </c>
      <c r="D79">
        <v>6.8639999999999999</v>
      </c>
      <c r="E79">
        <v>7.0469999999999997</v>
      </c>
      <c r="F79">
        <v>6236939.5</v>
      </c>
      <c r="G79">
        <v>7.0469999999999997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-4.4386422976502214E-2</v>
      </c>
      <c r="Q79">
        <f t="shared" ref="Q79" si="371">F79*P79</f>
        <v>-276835.43472585425</v>
      </c>
      <c r="R79">
        <f t="shared" ref="R79" si="372">R80+Q79</f>
        <v>678134634.52553844</v>
      </c>
      <c r="S79">
        <f t="shared" ref="S79" si="373">R79/100000</f>
        <v>6781.3463452553842</v>
      </c>
      <c r="T79">
        <f t="shared" ref="T79" si="374">S79/1000</f>
        <v>6.7813463452553844</v>
      </c>
    </row>
    <row r="80" spans="1:20" x14ac:dyDescent="0.25">
      <c r="A80" s="5">
        <v>44513</v>
      </c>
      <c r="B80">
        <v>7.1760000000000002</v>
      </c>
      <c r="C80">
        <v>7.3170000000000002</v>
      </c>
      <c r="D80">
        <v>7.04</v>
      </c>
      <c r="E80">
        <v>7.1859999999999999</v>
      </c>
      <c r="F80">
        <v>7006160.5</v>
      </c>
      <c r="G80">
        <v>7.1859999999999999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5.4151624548735282E-2</v>
      </c>
      <c r="Q80">
        <f t="shared" ref="Q80" si="376">F80*P80</f>
        <v>379394.97292417946</v>
      </c>
      <c r="R80">
        <f t="shared" ref="R80" si="377">R81+Q80</f>
        <v>678411469.96026433</v>
      </c>
      <c r="S80">
        <f t="shared" ref="S80" si="378">R80/100000</f>
        <v>6784.1146996026437</v>
      </c>
      <c r="T80">
        <f t="shared" ref="T80" si="379">S80/1000</f>
        <v>6.784114699602644</v>
      </c>
    </row>
    <row r="81" spans="1:20" x14ac:dyDescent="0.25">
      <c r="A81" s="5">
        <v>44512</v>
      </c>
      <c r="B81">
        <v>7.36</v>
      </c>
      <c r="C81">
        <v>7.444</v>
      </c>
      <c r="D81">
        <v>6.8490000000000002</v>
      </c>
      <c r="E81">
        <v>7.1760000000000002</v>
      </c>
      <c r="F81">
        <v>13021822.4</v>
      </c>
      <c r="G81">
        <v>7.1760000000000002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9.9159663865546532E-2</v>
      </c>
      <c r="Q81">
        <f t="shared" ref="Q81" si="381">F81*P81</f>
        <v>1291239.5321008444</v>
      </c>
      <c r="R81">
        <f t="shared" ref="R81" si="382">R82+Q81</f>
        <v>678032074.98734009</v>
      </c>
      <c r="S81">
        <f t="shared" ref="S81" si="383">R81/100000</f>
        <v>6780.3207498734009</v>
      </c>
      <c r="T81">
        <f t="shared" ref="T81" si="384">S81/1000</f>
        <v>6.7803207498734013</v>
      </c>
    </row>
    <row r="82" spans="1:20" x14ac:dyDescent="0.25">
      <c r="A82" s="5">
        <v>44511</v>
      </c>
      <c r="B82">
        <v>7.3239999999999998</v>
      </c>
      <c r="C82">
        <v>7.4610000000000003</v>
      </c>
      <c r="D82">
        <v>7.1070000000000002</v>
      </c>
      <c r="E82">
        <v>7.36</v>
      </c>
      <c r="F82">
        <v>13861012.4</v>
      </c>
      <c r="G82">
        <v>7.36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0.42937853107344659</v>
      </c>
      <c r="Q82">
        <f t="shared" ref="Q82" si="386">F82*P82</f>
        <v>5951621.1435028287</v>
      </c>
      <c r="R82">
        <f t="shared" ref="R82" si="387">R83+Q82</f>
        <v>676740835.4552393</v>
      </c>
      <c r="S82">
        <f t="shared" ref="S82" si="388">R82/100000</f>
        <v>6767.4083545523927</v>
      </c>
      <c r="T82">
        <f t="shared" ref="T82" si="389">S82/1000</f>
        <v>6.7674083545523924</v>
      </c>
    </row>
    <row r="83" spans="1:20" x14ac:dyDescent="0.25">
      <c r="A83" s="5">
        <v>44510</v>
      </c>
      <c r="B83">
        <v>7.9119999999999999</v>
      </c>
      <c r="C83">
        <v>8.2149999999999999</v>
      </c>
      <c r="D83">
        <v>6.3620000000000001</v>
      </c>
      <c r="E83">
        <v>7.3239999999999998</v>
      </c>
      <c r="F83">
        <v>24156474</v>
      </c>
      <c r="G83">
        <v>7.3239999999999998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3.8316243928764024E-2</v>
      </c>
      <c r="Q83">
        <f t="shared" ref="Q83" si="391">F83*P83</f>
        <v>925585.35024284595</v>
      </c>
      <c r="R83">
        <f t="shared" ref="R83" si="392">R84+Q83</f>
        <v>670789214.31173646</v>
      </c>
      <c r="S83">
        <f t="shared" ref="S83" si="393">R83/100000</f>
        <v>6707.8921431173649</v>
      </c>
      <c r="T83">
        <f t="shared" ref="T83" si="394">S83/1000</f>
        <v>6.7078921431173653</v>
      </c>
    </row>
    <row r="84" spans="1:20" x14ac:dyDescent="0.25">
      <c r="A84" s="5">
        <v>44509</v>
      </c>
      <c r="B84">
        <v>7.8689999999999998</v>
      </c>
      <c r="C84">
        <v>8.49</v>
      </c>
      <c r="D84">
        <v>7.7190000000000003</v>
      </c>
      <c r="E84">
        <v>7.9109999999999996</v>
      </c>
      <c r="F84">
        <v>22141596</v>
      </c>
      <c r="G84">
        <v>7.9109999999999996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-0.50194552529183056</v>
      </c>
      <c r="Q84">
        <f t="shared" ref="Q84" si="396">F84*P84</f>
        <v>-11113875.035019495</v>
      </c>
      <c r="R84">
        <f t="shared" ref="R84" si="397">R85+Q84</f>
        <v>669863628.96149361</v>
      </c>
      <c r="S84">
        <f t="shared" ref="S84" si="398">R84/100000</f>
        <v>6698.6362896149358</v>
      </c>
      <c r="T84">
        <f t="shared" ref="T84" si="399">S84/1000</f>
        <v>6.6986362896149361</v>
      </c>
    </row>
    <row r="85" spans="1:20" x14ac:dyDescent="0.25">
      <c r="A85" s="5">
        <v>44508</v>
      </c>
      <c r="B85">
        <v>7.452</v>
      </c>
      <c r="C85">
        <v>7.899</v>
      </c>
      <c r="D85">
        <v>7.3490000000000002</v>
      </c>
      <c r="E85">
        <v>7.8689999999999998</v>
      </c>
      <c r="F85">
        <v>10963032.1</v>
      </c>
      <c r="G85">
        <v>7.8689999999999998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0.89090909090908998</v>
      </c>
      <c r="Q85">
        <f t="shared" ref="Q85" si="401">F85*P85</f>
        <v>9767064.9618181717</v>
      </c>
      <c r="R85">
        <f t="shared" ref="R85" si="402">R86+Q85</f>
        <v>680977503.99651313</v>
      </c>
      <c r="S85">
        <f t="shared" ref="S85" si="403">R85/100000</f>
        <v>6809.7750399651313</v>
      </c>
      <c r="T85">
        <f t="shared" ref="T85" si="404">S85/1000</f>
        <v>6.8097750399651309</v>
      </c>
    </row>
    <row r="86" spans="1:20" x14ac:dyDescent="0.25">
      <c r="A86" s="5">
        <v>44507</v>
      </c>
      <c r="B86">
        <v>7.4720000000000004</v>
      </c>
      <c r="C86">
        <v>7.51</v>
      </c>
      <c r="D86">
        <v>7.343</v>
      </c>
      <c r="E86">
        <v>7.4530000000000003</v>
      </c>
      <c r="F86">
        <v>6144704.5999999996</v>
      </c>
      <c r="G86">
        <v>7.4530000000000003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0.31736526946108312</v>
      </c>
      <c r="Q86">
        <f t="shared" ref="Q86" si="406">F86*P86</f>
        <v>1950115.8311377568</v>
      </c>
      <c r="R86">
        <f t="shared" ref="R86" si="407">R87+Q86</f>
        <v>671210439.03469491</v>
      </c>
      <c r="S86">
        <f t="shared" ref="S86" si="408">R86/100000</f>
        <v>6712.104390346949</v>
      </c>
      <c r="T86">
        <f t="shared" ref="T86" si="409">S86/1000</f>
        <v>6.7121043903469486</v>
      </c>
    </row>
    <row r="87" spans="1:20" x14ac:dyDescent="0.25">
      <c r="A87" s="5">
        <v>44506</v>
      </c>
      <c r="B87">
        <v>7.5609999999999999</v>
      </c>
      <c r="C87">
        <v>7.6710000000000003</v>
      </c>
      <c r="D87">
        <v>7.1349999999999998</v>
      </c>
      <c r="E87">
        <v>7.4720000000000004</v>
      </c>
      <c r="F87">
        <v>10250241.699999999</v>
      </c>
      <c r="G87">
        <v>7.4720000000000004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0.25746268656716542</v>
      </c>
      <c r="Q87">
        <f t="shared" ref="Q87" si="411">F87*P87</f>
        <v>2639054.7660447885</v>
      </c>
      <c r="R87">
        <f t="shared" ref="R87" si="412">R88+Q87</f>
        <v>669260323.20355713</v>
      </c>
      <c r="S87">
        <f t="shared" ref="S87" si="413">R87/100000</f>
        <v>6692.6032320355716</v>
      </c>
      <c r="T87">
        <f t="shared" ref="T87" si="414">S87/1000</f>
        <v>6.6926032320355713</v>
      </c>
    </row>
    <row r="88" spans="1:20" x14ac:dyDescent="0.25">
      <c r="A88" s="5">
        <v>44505</v>
      </c>
      <c r="B88">
        <v>7.7140000000000004</v>
      </c>
      <c r="C88">
        <v>8.1379999999999999</v>
      </c>
      <c r="D88">
        <v>7.5229999999999997</v>
      </c>
      <c r="E88">
        <v>7.5620000000000003</v>
      </c>
      <c r="F88">
        <v>16061118.9</v>
      </c>
      <c r="G88">
        <v>7.5620000000000003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-0.87317073170731518</v>
      </c>
      <c r="Q88">
        <f t="shared" ref="Q88" si="416">F88*P88</f>
        <v>-14024098.941951189</v>
      </c>
      <c r="R88">
        <f t="shared" ref="R88" si="417">R89+Q88</f>
        <v>666621268.4375124</v>
      </c>
      <c r="S88">
        <f t="shared" ref="S88" si="418">R88/100000</f>
        <v>6666.2126843751239</v>
      </c>
      <c r="T88">
        <f t="shared" ref="T88" si="419">S88/1000</f>
        <v>6.6662126843751235</v>
      </c>
    </row>
    <row r="89" spans="1:20" x14ac:dyDescent="0.25">
      <c r="A89" s="5">
        <v>44504</v>
      </c>
      <c r="B89">
        <v>7.4080000000000004</v>
      </c>
      <c r="C89">
        <v>7.79</v>
      </c>
      <c r="D89">
        <v>7.3</v>
      </c>
      <c r="E89">
        <v>7.7149999999999999</v>
      </c>
      <c r="F89">
        <v>16519028.699999999</v>
      </c>
      <c r="G89">
        <v>7.7149999999999999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0.6938775510204076</v>
      </c>
      <c r="Q89">
        <f t="shared" ref="Q89" si="421">F89*P89</f>
        <v>11462183.179591827</v>
      </c>
      <c r="R89">
        <f t="shared" ref="R89" si="422">R90+Q89</f>
        <v>680645367.37946355</v>
      </c>
      <c r="S89">
        <f t="shared" ref="S89" si="423">R89/100000</f>
        <v>6806.4536737946355</v>
      </c>
      <c r="T89">
        <f t="shared" ref="T89" si="424">S89/1000</f>
        <v>6.8064536737946355</v>
      </c>
    </row>
    <row r="90" spans="1:20" x14ac:dyDescent="0.25">
      <c r="A90" s="5">
        <v>44503</v>
      </c>
      <c r="B90">
        <v>7.62</v>
      </c>
      <c r="C90">
        <v>7.65</v>
      </c>
      <c r="D90">
        <v>7.0659999999999998</v>
      </c>
      <c r="E90">
        <v>7.4080000000000004</v>
      </c>
      <c r="F90">
        <v>14412028.4</v>
      </c>
      <c r="G90">
        <v>7.4080000000000004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0.17123287671232953</v>
      </c>
      <c r="Q90">
        <f t="shared" ref="Q90" si="426">F90*P90</f>
        <v>2467813.0821917919</v>
      </c>
      <c r="R90">
        <f t="shared" ref="R90" si="427">R91+Q90</f>
        <v>669183184.19987178</v>
      </c>
      <c r="S90">
        <f t="shared" ref="S90" si="428">R90/100000</f>
        <v>6691.8318419987181</v>
      </c>
      <c r="T90">
        <f t="shared" ref="T90" si="429">S90/1000</f>
        <v>6.6918318419987184</v>
      </c>
    </row>
    <row r="91" spans="1:20" x14ac:dyDescent="0.25">
      <c r="A91" s="5">
        <v>44502</v>
      </c>
      <c r="B91">
        <v>7.3129999999999997</v>
      </c>
      <c r="C91">
        <v>7.9279999999999999</v>
      </c>
      <c r="D91">
        <v>7.2729999999999997</v>
      </c>
      <c r="E91">
        <v>7.62</v>
      </c>
      <c r="F91">
        <v>15372242.199999999</v>
      </c>
      <c r="G91">
        <v>7.62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5.9541984732825307E-2</v>
      </c>
      <c r="Q91">
        <f t="shared" ref="Q91" si="431">F91*P91</f>
        <v>915293.81038169283</v>
      </c>
      <c r="R91">
        <f t="shared" ref="R91" si="432">R92+Q91</f>
        <v>666715371.11767995</v>
      </c>
      <c r="S91">
        <f t="shared" ref="S91" si="433">R91/100000</f>
        <v>6667.1537111767993</v>
      </c>
      <c r="T91">
        <f t="shared" ref="T91" si="434">S91/1000</f>
        <v>6.6671537111767991</v>
      </c>
    </row>
    <row r="92" spans="1:20" x14ac:dyDescent="0.25">
      <c r="A92" s="5">
        <v>44501</v>
      </c>
      <c r="B92">
        <v>7.22</v>
      </c>
      <c r="C92">
        <v>7.7309999999999999</v>
      </c>
      <c r="D92">
        <v>6.9009999999999998</v>
      </c>
      <c r="E92">
        <v>7.3109999999999999</v>
      </c>
      <c r="F92">
        <v>17598623.5</v>
      </c>
      <c r="G92">
        <v>7.3109999999999999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-1.204819277108408E-2</v>
      </c>
      <c r="Q92">
        <f t="shared" ref="Q92" si="436">F92*P92</f>
        <v>-212031.60843373041</v>
      </c>
      <c r="R92">
        <f t="shared" ref="R92" si="437">R93+Q92</f>
        <v>665800077.3072983</v>
      </c>
      <c r="S92">
        <f t="shared" ref="S92" si="438">R92/100000</f>
        <v>6658.0007730729831</v>
      </c>
      <c r="T92">
        <f t="shared" ref="T92" si="439">S92/1000</f>
        <v>6.6580007730729829</v>
      </c>
    </row>
    <row r="93" spans="1:20" x14ac:dyDescent="0.25">
      <c r="A93" s="5">
        <v>44500</v>
      </c>
      <c r="B93">
        <v>8.2029999999999994</v>
      </c>
      <c r="C93">
        <v>8.5589999999999993</v>
      </c>
      <c r="D93">
        <v>7</v>
      </c>
      <c r="E93">
        <v>7.22</v>
      </c>
      <c r="F93">
        <v>28325313.600000001</v>
      </c>
      <c r="G93">
        <v>7.22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-0.7177677998717128</v>
      </c>
      <c r="Q93">
        <f t="shared" ref="Q93" si="441">F93*P93</f>
        <v>-20330998.023348305</v>
      </c>
      <c r="R93">
        <f t="shared" ref="R93" si="442">R94+Q93</f>
        <v>666012108.91573203</v>
      </c>
      <c r="S93">
        <f t="shared" ref="S93" si="443">R93/100000</f>
        <v>6660.1210891573201</v>
      </c>
      <c r="T93">
        <f t="shared" ref="T93" si="444">S93/1000</f>
        <v>6.6601210891573199</v>
      </c>
    </row>
    <row r="94" spans="1:20" x14ac:dyDescent="0.25">
      <c r="A94" s="5">
        <v>44499</v>
      </c>
      <c r="B94">
        <v>7</v>
      </c>
      <c r="C94">
        <v>8.59</v>
      </c>
      <c r="D94">
        <v>6.78</v>
      </c>
      <c r="E94">
        <v>8.2080000000000002</v>
      </c>
      <c r="F94">
        <v>38310370.778999999</v>
      </c>
      <c r="G94">
        <v>8.2080000000000002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0.5779005524861881</v>
      </c>
      <c r="Q94">
        <f t="shared" ref="Q94" si="446">F94*P94</f>
        <v>22139584.439134818</v>
      </c>
      <c r="R94">
        <f t="shared" ref="R94" si="447">R95+Q94</f>
        <v>686343106.93908036</v>
      </c>
      <c r="S94">
        <f t="shared" ref="S94" si="448">R94/100000</f>
        <v>6863.4310693908037</v>
      </c>
      <c r="T94">
        <f t="shared" ref="T94" si="449">S94/1000</f>
        <v>6.8634310693908036</v>
      </c>
    </row>
    <row r="95" spans="1:20" x14ac:dyDescent="0.25">
      <c r="A95" s="5">
        <v>44498</v>
      </c>
      <c r="B95">
        <v>6.4530000000000003</v>
      </c>
      <c r="C95">
        <v>7.2130000000000001</v>
      </c>
      <c r="D95">
        <v>6.34</v>
      </c>
      <c r="E95">
        <v>6.9989999999999997</v>
      </c>
      <c r="F95">
        <v>17673426</v>
      </c>
      <c r="G95">
        <v>6.9989999999999997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0.5097365406643749</v>
      </c>
      <c r="Q95">
        <f t="shared" ref="Q95" si="451">F95*P95</f>
        <v>9008791.0309278201</v>
      </c>
      <c r="R95">
        <f t="shared" ref="R95" si="452">R96+Q95</f>
        <v>664203522.49994552</v>
      </c>
      <c r="S95">
        <f t="shared" ref="S95" si="453">R95/100000</f>
        <v>6642.0352249994548</v>
      </c>
      <c r="T95">
        <f t="shared" ref="T95" si="454">S95/1000</f>
        <v>6.6420352249994545</v>
      </c>
    </row>
    <row r="96" spans="1:20" x14ac:dyDescent="0.25">
      <c r="A96" s="5">
        <v>44497</v>
      </c>
      <c r="B96">
        <v>6.157</v>
      </c>
      <c r="C96">
        <v>6.52</v>
      </c>
      <c r="D96">
        <v>6.0579999999999998</v>
      </c>
      <c r="E96">
        <v>6.4550000000000001</v>
      </c>
      <c r="F96">
        <v>14487468.199999999</v>
      </c>
      <c r="G96">
        <v>6.4550000000000001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0.71861471861472059</v>
      </c>
      <c r="Q96">
        <f t="shared" ref="Q96" si="456">F96*P96</f>
        <v>10410907.883982712</v>
      </c>
      <c r="R96">
        <f t="shared" ref="R96" si="457">R97+Q96</f>
        <v>655194731.46901774</v>
      </c>
      <c r="S96">
        <f t="shared" ref="S96" si="458">R96/100000</f>
        <v>6551.9473146901773</v>
      </c>
      <c r="T96">
        <f t="shared" ref="T96" si="459">S96/1000</f>
        <v>6.5519473146901772</v>
      </c>
    </row>
    <row r="97" spans="1:20" x14ac:dyDescent="0.25">
      <c r="A97" s="5">
        <v>44496</v>
      </c>
      <c r="B97">
        <v>7.0190000000000001</v>
      </c>
      <c r="C97">
        <v>7.391</v>
      </c>
      <c r="D97">
        <v>5.69</v>
      </c>
      <c r="E97">
        <v>6.1550000000000002</v>
      </c>
      <c r="F97">
        <v>29967102.399999999</v>
      </c>
      <c r="G97">
        <v>6.1550000000000002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-0.45326278659611996</v>
      </c>
      <c r="Q97">
        <f t="shared" ref="Q97" si="461">F97*P97</f>
        <v>-13582972.340035273</v>
      </c>
      <c r="R97">
        <f t="shared" ref="R97" si="462">R98+Q97</f>
        <v>644783823.58503509</v>
      </c>
      <c r="S97">
        <f t="shared" ref="S97" si="463">R97/100000</f>
        <v>6447.8382358503504</v>
      </c>
      <c r="T97">
        <f t="shared" ref="T97" si="464">S97/1000</f>
        <v>6.4478382358503508</v>
      </c>
    </row>
    <row r="98" spans="1:20" x14ac:dyDescent="0.25">
      <c r="A98" s="5">
        <v>44495</v>
      </c>
      <c r="B98">
        <v>6.8019999999999996</v>
      </c>
      <c r="C98">
        <v>7.3929999999999998</v>
      </c>
      <c r="D98">
        <v>6.7610000000000001</v>
      </c>
      <c r="E98">
        <v>7.0179999999999998</v>
      </c>
      <c r="F98">
        <v>16778121.800000001</v>
      </c>
      <c r="G98">
        <v>7.0179999999999998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-0.18670886075949428</v>
      </c>
      <c r="Q98">
        <f t="shared" ref="Q98" si="466">F98*P98</f>
        <v>-3132624.0069620358</v>
      </c>
      <c r="R98">
        <f t="shared" ref="R98" si="467">R99+Q98</f>
        <v>658366795.92507041</v>
      </c>
      <c r="S98">
        <f t="shared" ref="S98" si="468">R98/100000</f>
        <v>6583.6679592507044</v>
      </c>
      <c r="T98">
        <f t="shared" ref="T98" si="469">S98/1000</f>
        <v>6.5836679592507048</v>
      </c>
    </row>
    <row r="99" spans="1:20" x14ac:dyDescent="0.25">
      <c r="A99" s="5">
        <v>44494</v>
      </c>
      <c r="B99">
        <v>6.4429999999999996</v>
      </c>
      <c r="C99">
        <v>6.9</v>
      </c>
      <c r="D99">
        <v>6.4009999999999998</v>
      </c>
      <c r="E99">
        <v>6.8019999999999996</v>
      </c>
      <c r="F99">
        <v>11002446.9</v>
      </c>
      <c r="G99">
        <v>6.8019999999999996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0.60721442885771282</v>
      </c>
      <c r="Q99">
        <f t="shared" ref="Q99" si="471">F99*P99</f>
        <v>6680844.5104208132</v>
      </c>
      <c r="R99">
        <f t="shared" ref="R99" si="472">R100+Q99</f>
        <v>661499419.93203247</v>
      </c>
      <c r="S99">
        <f t="shared" ref="S99" si="473">R99/100000</f>
        <v>6614.9941993203247</v>
      </c>
      <c r="T99">
        <f t="shared" ref="T99" si="474">S99/1000</f>
        <v>6.614994199320325</v>
      </c>
    </row>
    <row r="100" spans="1:20" x14ac:dyDescent="0.25">
      <c r="A100" s="5">
        <v>44493</v>
      </c>
      <c r="B100">
        <v>6.5330000000000004</v>
      </c>
      <c r="C100">
        <v>6.843</v>
      </c>
      <c r="D100">
        <v>6.3090000000000002</v>
      </c>
      <c r="E100">
        <v>6.4429999999999996</v>
      </c>
      <c r="F100">
        <v>12868635.800000001</v>
      </c>
      <c r="G100">
        <v>6.4429999999999996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-0.49812734082397192</v>
      </c>
      <c r="Q100">
        <f t="shared" ref="Q100" si="476">F100*P100</f>
        <v>-6410219.3310861671</v>
      </c>
      <c r="R100">
        <f t="shared" ref="R100" si="477">R101+Q100</f>
        <v>654818575.42161167</v>
      </c>
      <c r="S100">
        <f t="shared" ref="S100" si="478">R100/100000</f>
        <v>6548.1857542161169</v>
      </c>
      <c r="T100">
        <f t="shared" ref="T100" si="479">S100/1000</f>
        <v>6.5481857542161173</v>
      </c>
    </row>
    <row r="101" spans="1:20" x14ac:dyDescent="0.25">
      <c r="A101" s="5">
        <v>44492</v>
      </c>
      <c r="B101">
        <v>6.6669999999999998</v>
      </c>
      <c r="C101">
        <v>6.6980000000000004</v>
      </c>
      <c r="D101">
        <v>6.35</v>
      </c>
      <c r="E101">
        <v>6.5339999999999998</v>
      </c>
      <c r="F101">
        <v>9520969.4000000004</v>
      </c>
      <c r="G101">
        <v>6.5339999999999998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5.7471264367814745E-2</v>
      </c>
      <c r="Q101">
        <f t="shared" ref="Q101" si="481">F101*P101</f>
        <v>547182.14942527458</v>
      </c>
      <c r="R101">
        <f t="shared" ref="R101" si="482">R102+Q101</f>
        <v>661228794.75269783</v>
      </c>
      <c r="S101">
        <f t="shared" ref="S101" si="483">R101/100000</f>
        <v>6612.2879475269783</v>
      </c>
      <c r="T101">
        <f t="shared" ref="T101" si="484">S101/1000</f>
        <v>6.612287947526978</v>
      </c>
    </row>
    <row r="102" spans="1:20" x14ac:dyDescent="0.25">
      <c r="A102" s="5">
        <v>44491</v>
      </c>
      <c r="B102">
        <v>5.9850000000000003</v>
      </c>
      <c r="C102">
        <v>6.7910000000000004</v>
      </c>
      <c r="D102">
        <v>5.9770000000000003</v>
      </c>
      <c r="E102">
        <v>6.6669999999999998</v>
      </c>
      <c r="F102">
        <v>23451381.699999999</v>
      </c>
      <c r="G102">
        <v>6.6669999999999998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0.69533169533169403</v>
      </c>
      <c r="Q102">
        <f t="shared" ref="Q102" si="486">F102*P102</f>
        <v>16306488.995331664</v>
      </c>
      <c r="R102">
        <f t="shared" ref="R102" si="487">R103+Q102</f>
        <v>660681612.60327256</v>
      </c>
      <c r="S102">
        <f t="shared" ref="S102" si="488">R102/100000</f>
        <v>6606.8161260327252</v>
      </c>
      <c r="T102">
        <f t="shared" ref="T102" si="489">S102/1000</f>
        <v>6.6068161260327249</v>
      </c>
    </row>
    <row r="103" spans="1:20" x14ac:dyDescent="0.25">
      <c r="A103" s="5">
        <v>44490</v>
      </c>
      <c r="B103">
        <v>6.2290000000000001</v>
      </c>
      <c r="C103">
        <v>6.32</v>
      </c>
      <c r="D103">
        <v>5.92</v>
      </c>
      <c r="E103">
        <v>5.9859999999999998</v>
      </c>
      <c r="F103">
        <v>13583739.800000001</v>
      </c>
      <c r="G103">
        <v>5.9859999999999998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-0.67000000000000115</v>
      </c>
      <c r="Q103">
        <f t="shared" ref="Q103" si="491">F103*P103</f>
        <v>-9101105.666000016</v>
      </c>
      <c r="R103">
        <f t="shared" ref="R103" si="492">R104+Q103</f>
        <v>644375123.60794091</v>
      </c>
      <c r="S103">
        <f t="shared" ref="S103" si="493">R103/100000</f>
        <v>6443.751236079409</v>
      </c>
      <c r="T103">
        <f t="shared" ref="T103" si="494">S103/1000</f>
        <v>6.4437512360794091</v>
      </c>
    </row>
    <row r="104" spans="1:20" x14ac:dyDescent="0.25">
      <c r="A104" s="5">
        <v>44489</v>
      </c>
      <c r="B104">
        <v>5.9320000000000004</v>
      </c>
      <c r="C104">
        <v>6.2460000000000004</v>
      </c>
      <c r="D104">
        <v>5.84</v>
      </c>
      <c r="E104">
        <v>6.23</v>
      </c>
      <c r="F104">
        <v>8424252.1999999993</v>
      </c>
      <c r="G104">
        <v>6.23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0.92118226600985231</v>
      </c>
      <c r="Q104">
        <f t="shared" ref="Q104" si="496">F104*P104</f>
        <v>7760271.7310344828</v>
      </c>
      <c r="R104">
        <f t="shared" ref="R104" si="497">R105+Q104</f>
        <v>653476229.27394092</v>
      </c>
      <c r="S104">
        <f t="shared" ref="S104" si="498">R104/100000</f>
        <v>6534.7622927394095</v>
      </c>
      <c r="T104">
        <f t="shared" ref="T104" si="499">S104/1000</f>
        <v>6.5347622927394093</v>
      </c>
    </row>
    <row r="105" spans="1:20" x14ac:dyDescent="0.25">
      <c r="A105" s="5">
        <v>44488</v>
      </c>
      <c r="B105">
        <v>5.8479999999999999</v>
      </c>
      <c r="C105">
        <v>6.09</v>
      </c>
      <c r="D105">
        <v>5.8090000000000002</v>
      </c>
      <c r="E105">
        <v>5.9329999999999998</v>
      </c>
      <c r="F105">
        <v>7169709.7000000002</v>
      </c>
      <c r="G105">
        <v>5.9329999999999998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-0.11743772241993024</v>
      </c>
      <c r="Q105">
        <f t="shared" ref="Q105" si="501">F105*P105</f>
        <v>-841994.37758008135</v>
      </c>
      <c r="R105">
        <f t="shared" ref="R105" si="502">R106+Q105</f>
        <v>645715957.5429064</v>
      </c>
      <c r="S105">
        <f t="shared" ref="S105" si="503">R105/100000</f>
        <v>6457.1595754290638</v>
      </c>
      <c r="T105">
        <f t="shared" ref="T105" si="504">S105/1000</f>
        <v>6.4571595754290634</v>
      </c>
    </row>
    <row r="106" spans="1:20" x14ac:dyDescent="0.25">
      <c r="A106" s="5">
        <v>44487</v>
      </c>
      <c r="B106">
        <v>5.9660000000000002</v>
      </c>
      <c r="C106">
        <v>6.0490000000000004</v>
      </c>
      <c r="D106">
        <v>5.7539999999999996</v>
      </c>
      <c r="E106">
        <v>5.8479999999999999</v>
      </c>
      <c r="F106">
        <v>8462627.8000000007</v>
      </c>
      <c r="G106">
        <v>5.8479999999999999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-0.36271186440677933</v>
      </c>
      <c r="Q106">
        <f t="shared" ref="Q106" si="506">F106*P106</f>
        <v>-3069495.5071186414</v>
      </c>
      <c r="R106">
        <f t="shared" ref="R106" si="507">R107+Q106</f>
        <v>646557951.92048645</v>
      </c>
      <c r="S106">
        <f t="shared" ref="S106" si="508">R106/100000</f>
        <v>6465.5795192048645</v>
      </c>
      <c r="T106">
        <f t="shared" ref="T106" si="509">S106/1000</f>
        <v>6.4655795192048648</v>
      </c>
    </row>
    <row r="107" spans="1:20" x14ac:dyDescent="0.25">
      <c r="A107" s="5">
        <v>44486</v>
      </c>
      <c r="B107">
        <v>6.1440000000000001</v>
      </c>
      <c r="C107">
        <v>6.1539999999999999</v>
      </c>
      <c r="D107">
        <v>5.71</v>
      </c>
      <c r="E107">
        <v>5.9660000000000002</v>
      </c>
      <c r="F107">
        <v>9256871.1999999993</v>
      </c>
      <c r="G107">
        <v>5.9660000000000002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0.15315315315315431</v>
      </c>
      <c r="Q107">
        <f t="shared" ref="Q107" si="511">F107*P107</f>
        <v>1417719.0126126232</v>
      </c>
      <c r="R107">
        <f t="shared" ref="R107" si="512">R108+Q107</f>
        <v>649627447.42760503</v>
      </c>
      <c r="S107">
        <f t="shared" ref="S107" si="513">R107/100000</f>
        <v>6496.2744742760506</v>
      </c>
      <c r="T107">
        <f t="shared" ref="T107" si="514">S107/1000</f>
        <v>6.496274474276051</v>
      </c>
    </row>
    <row r="108" spans="1:20" x14ac:dyDescent="0.25">
      <c r="A108" s="5">
        <v>44485</v>
      </c>
      <c r="B108">
        <v>6.2709999999999999</v>
      </c>
      <c r="C108">
        <v>6.3840000000000003</v>
      </c>
      <c r="D108">
        <v>6.101</v>
      </c>
      <c r="E108">
        <v>6.1440000000000001</v>
      </c>
      <c r="F108">
        <v>9109429.4000000004</v>
      </c>
      <c r="G108">
        <v>6.1440000000000001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-0.69611307420494628</v>
      </c>
      <c r="Q108">
        <f t="shared" ref="Q108" si="516">F108*P108</f>
        <v>-6341192.9038869198</v>
      </c>
      <c r="R108">
        <f t="shared" ref="R108" si="517">R109+Q108</f>
        <v>648209728.41499245</v>
      </c>
      <c r="S108">
        <f t="shared" ref="S108" si="518">R108/100000</f>
        <v>6482.0972841499242</v>
      </c>
      <c r="T108">
        <f t="shared" ref="T108" si="519">S108/1000</f>
        <v>6.4820972841499245</v>
      </c>
    </row>
    <row r="109" spans="1:20" x14ac:dyDescent="0.25">
      <c r="A109" s="5">
        <v>44484</v>
      </c>
      <c r="B109">
        <v>6.0720000000000001</v>
      </c>
      <c r="C109">
        <v>6.4359999999999999</v>
      </c>
      <c r="D109">
        <v>5.9119999999999999</v>
      </c>
      <c r="E109">
        <v>6.2709999999999999</v>
      </c>
      <c r="F109">
        <v>15962614.1</v>
      </c>
      <c r="G109">
        <v>6.2709999999999999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0.37022900763358768</v>
      </c>
      <c r="Q109">
        <f t="shared" ref="Q109" si="521">F109*P109</f>
        <v>5909822.7774809143</v>
      </c>
      <c r="R109">
        <f t="shared" ref="R109" si="522">R110+Q109</f>
        <v>654550921.31887937</v>
      </c>
      <c r="S109">
        <f t="shared" ref="S109" si="523">R109/100000</f>
        <v>6545.5092131887941</v>
      </c>
      <c r="T109">
        <f t="shared" ref="T109" si="524">S109/1000</f>
        <v>6.5455092131887938</v>
      </c>
    </row>
    <row r="110" spans="1:20" x14ac:dyDescent="0.25">
      <c r="A110" s="5">
        <v>44483</v>
      </c>
      <c r="B110">
        <v>6.0910000000000002</v>
      </c>
      <c r="C110">
        <v>6.2590000000000003</v>
      </c>
      <c r="D110">
        <v>5.968</v>
      </c>
      <c r="E110">
        <v>6.0709999999999997</v>
      </c>
      <c r="F110">
        <v>9612965.3000000007</v>
      </c>
      <c r="G110">
        <v>6.0709999999999997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-0.29209621993127405</v>
      </c>
      <c r="Q110">
        <f t="shared" ref="Q110" si="526">F110*P110</f>
        <v>-2807910.8264605058</v>
      </c>
      <c r="R110">
        <f t="shared" ref="R110" si="527">R111+Q110</f>
        <v>648641098.54139841</v>
      </c>
      <c r="S110">
        <f t="shared" ref="S110" si="528">R110/100000</f>
        <v>6486.4109854139842</v>
      </c>
      <c r="T110">
        <f t="shared" ref="T110" si="529">S110/1000</f>
        <v>6.4864109854139844</v>
      </c>
    </row>
    <row r="111" spans="1:20" x14ac:dyDescent="0.25">
      <c r="A111" s="5">
        <v>44482</v>
      </c>
      <c r="B111">
        <v>5.9139999999999997</v>
      </c>
      <c r="C111">
        <v>6.3129999999999997</v>
      </c>
      <c r="D111">
        <v>5.5880000000000001</v>
      </c>
      <c r="E111">
        <v>6.09</v>
      </c>
      <c r="F111">
        <v>17043121.300000001</v>
      </c>
      <c r="G111">
        <v>6.09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0.38482758620689661</v>
      </c>
      <c r="Q111">
        <f t="shared" ref="Q111" si="531">F111*P111</f>
        <v>6558663.2313103462</v>
      </c>
      <c r="R111">
        <f t="shared" ref="R111" si="532">R112+Q111</f>
        <v>651449009.36785889</v>
      </c>
      <c r="S111">
        <f t="shared" ref="S111" si="533">R111/100000</f>
        <v>6514.4900936785889</v>
      </c>
      <c r="T111">
        <f t="shared" ref="T111" si="534">S111/1000</f>
        <v>6.5144900936785888</v>
      </c>
    </row>
    <row r="112" spans="1:20" x14ac:dyDescent="0.25">
      <c r="A112" s="5">
        <v>44481</v>
      </c>
      <c r="B112">
        <v>6.1680000000000001</v>
      </c>
      <c r="C112">
        <v>6.17</v>
      </c>
      <c r="D112">
        <v>5.6219999999999999</v>
      </c>
      <c r="E112">
        <v>5.915</v>
      </c>
      <c r="F112">
        <v>15008540.5</v>
      </c>
      <c r="G112">
        <v>5.915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6.9343065693431113E-2</v>
      </c>
      <c r="Q112">
        <f t="shared" ref="Q112" si="536">F112*P112</f>
        <v>1040738.2098540214</v>
      </c>
      <c r="R112">
        <f t="shared" ref="R112" si="537">R113+Q112</f>
        <v>644890346.13654852</v>
      </c>
      <c r="S112">
        <f t="shared" ref="S112" si="538">R112/100000</f>
        <v>6448.9034613654849</v>
      </c>
      <c r="T112">
        <f t="shared" ref="T112" si="539">S112/1000</f>
        <v>6.448903461365485</v>
      </c>
    </row>
    <row r="113" spans="1:20" x14ac:dyDescent="0.25">
      <c r="A113" s="5">
        <v>44480</v>
      </c>
      <c r="B113">
        <v>6.3250000000000002</v>
      </c>
      <c r="C113">
        <v>6.5469999999999997</v>
      </c>
      <c r="D113">
        <v>6.0010000000000003</v>
      </c>
      <c r="E113">
        <v>6.1669999999999998</v>
      </c>
      <c r="F113">
        <v>11871942.1</v>
      </c>
      <c r="G113">
        <v>6.1669999999999998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-0.39194139194139316</v>
      </c>
      <c r="Q113">
        <f t="shared" ref="Q113" si="541">F113*P113</f>
        <v>-4653105.5117216259</v>
      </c>
      <c r="R113">
        <f t="shared" ref="R113" si="542">R114+Q113</f>
        <v>643849607.92669451</v>
      </c>
      <c r="S113">
        <f t="shared" ref="S113" si="543">R113/100000</f>
        <v>6438.4960792669453</v>
      </c>
      <c r="T113">
        <f t="shared" ref="T113" si="544">S113/1000</f>
        <v>6.4384960792669457</v>
      </c>
    </row>
    <row r="114" spans="1:20" x14ac:dyDescent="0.25">
      <c r="A114" s="5">
        <v>44479</v>
      </c>
      <c r="B114">
        <v>6.9390000000000001</v>
      </c>
      <c r="C114">
        <v>6.9530000000000003</v>
      </c>
      <c r="D114">
        <v>6.2759999999999998</v>
      </c>
      <c r="E114">
        <v>6.327</v>
      </c>
      <c r="F114">
        <v>13139746.1</v>
      </c>
      <c r="G114">
        <v>6.327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-0.84933530280649894</v>
      </c>
      <c r="Q114">
        <f t="shared" ref="Q114" si="546">F114*P114</f>
        <v>-11160050.232644014</v>
      </c>
      <c r="R114">
        <f t="shared" ref="R114" si="547">R115+Q114</f>
        <v>648502713.43841612</v>
      </c>
      <c r="S114">
        <f t="shared" ref="S114" si="548">R114/100000</f>
        <v>6485.0271343841614</v>
      </c>
      <c r="T114">
        <f t="shared" ref="T114" si="549">S114/1000</f>
        <v>6.4850271343841612</v>
      </c>
    </row>
    <row r="115" spans="1:20" x14ac:dyDescent="0.25">
      <c r="A115" s="5">
        <v>44478</v>
      </c>
      <c r="B115">
        <v>6.4640000000000004</v>
      </c>
      <c r="C115">
        <v>7.0110000000000001</v>
      </c>
      <c r="D115">
        <v>6.3680000000000003</v>
      </c>
      <c r="E115">
        <v>6.94</v>
      </c>
      <c r="F115">
        <v>13475386.6</v>
      </c>
      <c r="G115">
        <v>6.94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0.77916018662519515</v>
      </c>
      <c r="Q115">
        <f t="shared" ref="Q115" si="551">F115*P115</f>
        <v>10499484.738102654</v>
      </c>
      <c r="R115">
        <f t="shared" ref="R115" si="552">R116+Q115</f>
        <v>659662763.67106009</v>
      </c>
      <c r="S115">
        <f t="shared" ref="S115" si="553">R115/100000</f>
        <v>6596.6276367106011</v>
      </c>
      <c r="T115">
        <f t="shared" ref="T115" si="554">S115/1000</f>
        <v>6.5966276367106014</v>
      </c>
    </row>
    <row r="116" spans="1:20" x14ac:dyDescent="0.25">
      <c r="A116" s="5">
        <v>44477</v>
      </c>
      <c r="B116">
        <v>6.5119999999999996</v>
      </c>
      <c r="C116">
        <v>6.8689999999999998</v>
      </c>
      <c r="D116">
        <v>6.367</v>
      </c>
      <c r="E116">
        <v>6.4630000000000001</v>
      </c>
      <c r="F116">
        <v>14382139.4</v>
      </c>
      <c r="G116">
        <v>6.4630000000000001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-0.6175298804780871</v>
      </c>
      <c r="Q116">
        <f t="shared" ref="Q116" si="556">F116*P116</f>
        <v>-8881400.8247011881</v>
      </c>
      <c r="R116">
        <f t="shared" ref="R116" si="557">R117+Q116</f>
        <v>649163278.93295741</v>
      </c>
      <c r="S116">
        <f t="shared" ref="S116" si="558">R116/100000</f>
        <v>6491.6327893295738</v>
      </c>
      <c r="T116">
        <f t="shared" ref="T116" si="559">S116/1000</f>
        <v>6.4916327893295742</v>
      </c>
    </row>
    <row r="117" spans="1:20" x14ac:dyDescent="0.25">
      <c r="A117" s="5">
        <v>44476</v>
      </c>
      <c r="B117">
        <v>6.4169999999999998</v>
      </c>
      <c r="C117">
        <v>6.5830000000000002</v>
      </c>
      <c r="D117">
        <v>6.1660000000000004</v>
      </c>
      <c r="E117">
        <v>6.5119999999999996</v>
      </c>
      <c r="F117">
        <v>15802428.5</v>
      </c>
      <c r="G117">
        <v>6.5119999999999996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0.65947242206234702</v>
      </c>
      <c r="Q117">
        <f t="shared" ref="Q117" si="561">F117*P117</f>
        <v>10421265.797362061</v>
      </c>
      <c r="R117">
        <f t="shared" ref="R117" si="562">R118+Q117</f>
        <v>658044679.7576586</v>
      </c>
      <c r="S117">
        <f t="shared" ref="S117" si="563">R117/100000</f>
        <v>6580.4467975765856</v>
      </c>
      <c r="T117">
        <f t="shared" ref="T117" si="564">S117/1000</f>
        <v>6.5804467975765855</v>
      </c>
    </row>
    <row r="118" spans="1:20" x14ac:dyDescent="0.25">
      <c r="A118" s="5">
        <v>44475</v>
      </c>
      <c r="B118">
        <v>6.7350000000000003</v>
      </c>
      <c r="C118">
        <v>6.9550000000000001</v>
      </c>
      <c r="D118">
        <v>6.1529999999999996</v>
      </c>
      <c r="E118">
        <v>6.4169999999999998</v>
      </c>
      <c r="F118">
        <v>25608547</v>
      </c>
      <c r="G118">
        <v>6.4169999999999998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-0.34164588528678286</v>
      </c>
      <c r="Q118">
        <f t="shared" ref="Q118" si="566">F118*P118</f>
        <v>-8749054.7107231878</v>
      </c>
      <c r="R118">
        <f t="shared" ref="R118" si="567">R119+Q118</f>
        <v>647623413.96029651</v>
      </c>
      <c r="S118">
        <f t="shared" ref="S118" si="568">R118/100000</f>
        <v>6476.2341396029651</v>
      </c>
      <c r="T118">
        <f t="shared" ref="T118" si="569">S118/1000</f>
        <v>6.4762341396029655</v>
      </c>
    </row>
    <row r="119" spans="1:20" x14ac:dyDescent="0.25">
      <c r="A119" s="5">
        <v>44474</v>
      </c>
      <c r="B119">
        <v>6.0190000000000001</v>
      </c>
      <c r="C119">
        <v>6.8869999999999996</v>
      </c>
      <c r="D119">
        <v>5.9790000000000001</v>
      </c>
      <c r="E119">
        <v>6.7290000000000001</v>
      </c>
      <c r="F119">
        <v>26466770.118000001</v>
      </c>
      <c r="G119">
        <v>6.7290000000000001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0.65198237885462651</v>
      </c>
      <c r="Q119">
        <f t="shared" ref="Q119" si="571">F119*P119</f>
        <v>17255867.742132183</v>
      </c>
      <c r="R119">
        <f t="shared" ref="R119" si="572">R120+Q119</f>
        <v>656372468.67101967</v>
      </c>
      <c r="S119">
        <f t="shared" ref="S119" si="573">R119/100000</f>
        <v>6563.7246867101967</v>
      </c>
      <c r="T119">
        <f t="shared" ref="T119" si="574">S119/1000</f>
        <v>6.5637246867101968</v>
      </c>
    </row>
    <row r="120" spans="1:20" x14ac:dyDescent="0.25">
      <c r="A120" s="5">
        <v>44473</v>
      </c>
      <c r="B120">
        <v>6.1230000000000002</v>
      </c>
      <c r="C120">
        <v>6.1260000000000003</v>
      </c>
      <c r="D120">
        <v>5.7039999999999997</v>
      </c>
      <c r="E120">
        <v>6.0030000000000001</v>
      </c>
      <c r="F120">
        <v>15087067.1</v>
      </c>
      <c r="G120">
        <v>6.0030000000000001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0.41706161137440734</v>
      </c>
      <c r="Q120">
        <f t="shared" ref="Q120" si="576">F120*P120</f>
        <v>6292236.5156398062</v>
      </c>
      <c r="R120">
        <f t="shared" ref="R120" si="577">R121+Q120</f>
        <v>639116600.92888749</v>
      </c>
      <c r="S120">
        <f t="shared" ref="S120" si="578">R120/100000</f>
        <v>6391.1660092888751</v>
      </c>
      <c r="T120">
        <f t="shared" ref="T120" si="579">S120/1000</f>
        <v>6.3911660092888747</v>
      </c>
    </row>
    <row r="121" spans="1:20" x14ac:dyDescent="0.25">
      <c r="A121" s="5">
        <v>44472</v>
      </c>
      <c r="B121">
        <v>6.0510000000000002</v>
      </c>
      <c r="C121">
        <v>6.2590000000000003</v>
      </c>
      <c r="D121">
        <v>5.89</v>
      </c>
      <c r="E121">
        <v>6.0979999999999999</v>
      </c>
      <c r="F121">
        <v>13765741.1</v>
      </c>
      <c r="G121">
        <v>6.0979999999999999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0.1273712737127361</v>
      </c>
      <c r="Q121">
        <f t="shared" ref="Q121" si="581">F121*P121</f>
        <v>1753359.977506761</v>
      </c>
      <c r="R121">
        <f t="shared" ref="R121" si="582">R122+Q121</f>
        <v>632824364.4132477</v>
      </c>
      <c r="S121">
        <f t="shared" ref="S121" si="583">R121/100000</f>
        <v>6328.2436441324771</v>
      </c>
      <c r="T121">
        <f t="shared" ref="T121" si="584">S121/1000</f>
        <v>6.3282436441324768</v>
      </c>
    </row>
    <row r="122" spans="1:20" x14ac:dyDescent="0.25">
      <c r="A122" s="5">
        <v>44471</v>
      </c>
      <c r="B122">
        <v>5.9829999999999997</v>
      </c>
      <c r="C122">
        <v>6.2880000000000003</v>
      </c>
      <c r="D122">
        <v>5.87</v>
      </c>
      <c r="E122">
        <v>6.0510000000000002</v>
      </c>
      <c r="F122">
        <v>21531284.600000001</v>
      </c>
      <c r="G122">
        <v>6.0510000000000002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-0.13397129186602877</v>
      </c>
      <c r="Q122">
        <f t="shared" ref="Q122" si="586">F122*P122</f>
        <v>-2884574.0133971306</v>
      </c>
      <c r="R122">
        <f t="shared" ref="R122" si="587">R123+Q122</f>
        <v>631071004.43574095</v>
      </c>
      <c r="S122">
        <f t="shared" ref="S122" si="588">R122/100000</f>
        <v>6310.7100443574091</v>
      </c>
      <c r="T122">
        <f t="shared" ref="T122" si="589">S122/1000</f>
        <v>6.3107100443574087</v>
      </c>
    </row>
    <row r="123" spans="1:20" x14ac:dyDescent="0.25">
      <c r="A123" s="5">
        <v>44470</v>
      </c>
      <c r="B123">
        <v>5.048</v>
      </c>
      <c r="C123">
        <v>6.069</v>
      </c>
      <c r="D123">
        <v>4.9859999999999998</v>
      </c>
      <c r="E123">
        <v>5.9829999999999997</v>
      </c>
      <c r="F123">
        <v>24731828.600000001</v>
      </c>
      <c r="G123">
        <v>5.9829999999999997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0.8411819021237299</v>
      </c>
      <c r="Q123">
        <f t="shared" ref="Q123" si="591">F123*P123</f>
        <v>20803966.624746066</v>
      </c>
      <c r="R123">
        <f t="shared" ref="R123" si="592">R124+Q123</f>
        <v>633955578.44913805</v>
      </c>
      <c r="S123">
        <f t="shared" ref="S123" si="593">R123/100000</f>
        <v>6339.5557844913801</v>
      </c>
      <c r="T123">
        <f t="shared" ref="T123" si="594">S123/1000</f>
        <v>6.3395557844913801</v>
      </c>
    </row>
    <row r="124" spans="1:20" x14ac:dyDescent="0.25">
      <c r="A124" s="5">
        <v>44469</v>
      </c>
      <c r="B124">
        <v>4.8259999999999996</v>
      </c>
      <c r="C124">
        <v>5.093</v>
      </c>
      <c r="D124">
        <v>4.7990000000000004</v>
      </c>
      <c r="E124">
        <v>5.048</v>
      </c>
      <c r="F124">
        <v>12155493.6</v>
      </c>
      <c r="G124">
        <v>5.048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0.69387755102040827</v>
      </c>
      <c r="Q124">
        <f t="shared" ref="Q124" si="596">F124*P124</f>
        <v>8434424.1306122467</v>
      </c>
      <c r="R124">
        <f t="shared" ref="R124" si="597">R125+Q124</f>
        <v>613151611.82439196</v>
      </c>
      <c r="S124">
        <f t="shared" ref="S124" si="598">R124/100000</f>
        <v>6131.5161182439197</v>
      </c>
      <c r="T124">
        <f t="shared" ref="T124" si="599">S124/1000</f>
        <v>6.13151611824392</v>
      </c>
    </row>
    <row r="125" spans="1:20" x14ac:dyDescent="0.25">
      <c r="A125" s="5">
        <v>44468</v>
      </c>
      <c r="B125">
        <v>4.6890000000000001</v>
      </c>
      <c r="C125">
        <v>4.9809999999999999</v>
      </c>
      <c r="D125">
        <v>4.6589999999999998</v>
      </c>
      <c r="E125">
        <v>4.827</v>
      </c>
      <c r="F125">
        <v>15313935.9</v>
      </c>
      <c r="G125">
        <v>4.827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4.3478260869565938E-2</v>
      </c>
      <c r="Q125">
        <f t="shared" ref="Q125" si="601">F125*P125</f>
        <v>665823.30000001111</v>
      </c>
      <c r="R125">
        <f t="shared" ref="R125" si="602">R126+Q125</f>
        <v>604717187.69377971</v>
      </c>
      <c r="S125">
        <f t="shared" ref="S125" si="603">R125/100000</f>
        <v>6047.1718769377967</v>
      </c>
      <c r="T125">
        <f t="shared" ref="T125" si="604">S125/1000</f>
        <v>6.0471718769377967</v>
      </c>
    </row>
    <row r="126" spans="1:20" x14ac:dyDescent="0.25">
      <c r="A126" s="5">
        <v>44467</v>
      </c>
      <c r="B126">
        <v>4.923</v>
      </c>
      <c r="C126">
        <v>5.008</v>
      </c>
      <c r="D126">
        <v>4.6630000000000003</v>
      </c>
      <c r="E126">
        <v>4.6900000000000004</v>
      </c>
      <c r="F126">
        <v>12535314.234999999</v>
      </c>
      <c r="G126">
        <v>4.6900000000000004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-0.84347826086956434</v>
      </c>
      <c r="Q126">
        <f t="shared" ref="Q126" si="606">F126*P126</f>
        <v>-10573265.050391292</v>
      </c>
      <c r="R126">
        <f t="shared" ref="R126" si="607">R127+Q126</f>
        <v>604051364.39377975</v>
      </c>
      <c r="S126">
        <f t="shared" ref="S126" si="608">R126/100000</f>
        <v>6040.5136439377975</v>
      </c>
      <c r="T126">
        <f t="shared" ref="T126" si="609">S126/1000</f>
        <v>6.0405136439377971</v>
      </c>
    </row>
    <row r="127" spans="1:20" x14ac:dyDescent="0.25">
      <c r="A127" s="5">
        <v>44466</v>
      </c>
      <c r="B127">
        <v>5.0990000000000002</v>
      </c>
      <c r="C127">
        <v>5.2960000000000003</v>
      </c>
      <c r="D127">
        <v>4.9130000000000003</v>
      </c>
      <c r="E127">
        <v>4.9240000000000004</v>
      </c>
      <c r="F127">
        <v>13469267.199999999</v>
      </c>
      <c r="G127">
        <v>4.9240000000000004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-0.94255874673629181</v>
      </c>
      <c r="Q127">
        <f t="shared" ref="Q127" si="611">F127*P127</f>
        <v>-12695575.611488242</v>
      </c>
      <c r="R127">
        <f t="shared" ref="R127" si="612">R128+Q127</f>
        <v>614624629.44417107</v>
      </c>
      <c r="S127">
        <f t="shared" ref="S127" si="613">R127/100000</f>
        <v>6146.2462944417111</v>
      </c>
      <c r="T127">
        <f t="shared" ref="T127" si="614">S127/1000</f>
        <v>6.1462462944417116</v>
      </c>
    </row>
    <row r="128" spans="1:20" x14ac:dyDescent="0.25">
      <c r="A128" s="5">
        <v>44465</v>
      </c>
      <c r="B128">
        <v>5.0960000000000001</v>
      </c>
      <c r="C128">
        <v>5.2539999999999996</v>
      </c>
      <c r="D128">
        <v>4.75</v>
      </c>
      <c r="E128">
        <v>5.0990000000000002</v>
      </c>
      <c r="F128">
        <v>19558612.5</v>
      </c>
      <c r="G128">
        <v>5.0990000000000002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0.38492063492063694</v>
      </c>
      <c r="Q128">
        <f t="shared" ref="Q128" si="616">F128*P128</f>
        <v>7528513.5416667061</v>
      </c>
      <c r="R128">
        <f t="shared" ref="R128" si="617">R129+Q128</f>
        <v>627320205.05565929</v>
      </c>
      <c r="S128">
        <f t="shared" ref="S128" si="618">R128/100000</f>
        <v>6273.2020505565933</v>
      </c>
      <c r="T128">
        <f t="shared" ref="T128" si="619">S128/1000</f>
        <v>6.2732020505565931</v>
      </c>
    </row>
    <row r="129" spans="1:20" x14ac:dyDescent="0.25">
      <c r="A129" s="5">
        <v>44464</v>
      </c>
      <c r="B129">
        <v>5.18</v>
      </c>
      <c r="C129">
        <v>5.2789999999999999</v>
      </c>
      <c r="D129">
        <v>5.01</v>
      </c>
      <c r="E129">
        <v>5.0979999999999999</v>
      </c>
      <c r="F129">
        <v>13633651.1</v>
      </c>
      <c r="G129">
        <v>5.0979999999999999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-0.34572490706319675</v>
      </c>
      <c r="Q129">
        <f t="shared" ref="Q129" si="621">F129*P129</f>
        <v>-4713492.7594795497</v>
      </c>
      <c r="R129">
        <f t="shared" ref="R129" si="622">R130+Q129</f>
        <v>619791691.51399255</v>
      </c>
      <c r="S129">
        <f t="shared" ref="S129" si="623">R129/100000</f>
        <v>6197.9169151399255</v>
      </c>
      <c r="T129">
        <f t="shared" ref="T129" si="624">S129/1000</f>
        <v>6.1979169151399258</v>
      </c>
    </row>
    <row r="130" spans="1:20" x14ac:dyDescent="0.25">
      <c r="A130" s="5">
        <v>44463</v>
      </c>
      <c r="B130">
        <v>5.7060000000000004</v>
      </c>
      <c r="C130">
        <v>5.766</v>
      </c>
      <c r="D130">
        <v>4.9000000000000004</v>
      </c>
      <c r="E130">
        <v>5.181</v>
      </c>
      <c r="F130">
        <v>23331993.899999999</v>
      </c>
      <c r="G130">
        <v>5.181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-0.35103926096997734</v>
      </c>
      <c r="Q130">
        <f t="shared" ref="Q130" si="626">F130*P130</f>
        <v>-8190445.8956120191</v>
      </c>
      <c r="R130">
        <f t="shared" ref="R130" si="627">R131+Q130</f>
        <v>624505184.27347207</v>
      </c>
      <c r="S130">
        <f t="shared" ref="S130" si="628">R130/100000</f>
        <v>6245.0518427347206</v>
      </c>
      <c r="T130">
        <f t="shared" ref="T130" si="629">S130/1000</f>
        <v>6.2450518427347204</v>
      </c>
    </row>
    <row r="131" spans="1:20" x14ac:dyDescent="0.25">
      <c r="A131" s="5">
        <v>44462</v>
      </c>
      <c r="B131">
        <v>5.5750000000000002</v>
      </c>
      <c r="C131">
        <v>5.8490000000000002</v>
      </c>
      <c r="D131">
        <v>5.3949999999999996</v>
      </c>
      <c r="E131">
        <v>5.7069999999999999</v>
      </c>
      <c r="F131">
        <v>16489677.057</v>
      </c>
      <c r="G131">
        <v>5.7069999999999999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0.37444933920704776</v>
      </c>
      <c r="Q131">
        <f t="shared" ref="Q131" si="631">F131*P131</f>
        <v>6174548.6777312662</v>
      </c>
      <c r="R131">
        <f t="shared" ref="R131" si="632">R132+Q131</f>
        <v>632695630.16908407</v>
      </c>
      <c r="S131">
        <f t="shared" ref="S131" si="633">R131/100000</f>
        <v>6326.9563016908405</v>
      </c>
      <c r="T131">
        <f t="shared" ref="T131" si="634">S131/1000</f>
        <v>6.3269563016908403</v>
      </c>
    </row>
    <row r="132" spans="1:20" x14ac:dyDescent="0.25">
      <c r="A132" s="5">
        <v>44461</v>
      </c>
      <c r="B132">
        <v>5.016</v>
      </c>
      <c r="C132">
        <v>5.6840000000000002</v>
      </c>
      <c r="D132">
        <v>4.9390000000000001</v>
      </c>
      <c r="E132">
        <v>5.5750000000000002</v>
      </c>
      <c r="F132">
        <v>18980779.300000001</v>
      </c>
      <c r="G132">
        <v>5.5750000000000002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0.70738255033557051</v>
      </c>
      <c r="Q132">
        <f t="shared" ref="Q132" si="636">F132*P132</f>
        <v>13426672.068590606</v>
      </c>
      <c r="R132">
        <f t="shared" ref="R132" si="637">R133+Q132</f>
        <v>626521081.4913528</v>
      </c>
      <c r="S132">
        <f t="shared" ref="S132" si="638">R132/100000</f>
        <v>6265.2108149135283</v>
      </c>
      <c r="T132">
        <f t="shared" ref="T132" si="639">S132/1000</f>
        <v>6.2652108149135284</v>
      </c>
    </row>
    <row r="133" spans="1:20" x14ac:dyDescent="0.25">
      <c r="A133" s="5">
        <v>44460</v>
      </c>
      <c r="B133">
        <v>5.1559999999999997</v>
      </c>
      <c r="C133">
        <v>5.6630000000000003</v>
      </c>
      <c r="D133">
        <v>4.7350000000000003</v>
      </c>
      <c r="E133">
        <v>5.016</v>
      </c>
      <c r="F133">
        <v>33207922.173999999</v>
      </c>
      <c r="G133">
        <v>5.016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-0.39439655172413857</v>
      </c>
      <c r="Q133">
        <f t="shared" ref="Q133" si="641">F133*P133</f>
        <v>-13097089.995349158</v>
      </c>
      <c r="R133">
        <f t="shared" ref="R133" si="642">R134+Q133</f>
        <v>613094409.42276216</v>
      </c>
      <c r="S133">
        <f t="shared" ref="S133" si="643">R133/100000</f>
        <v>6130.9440942276215</v>
      </c>
      <c r="T133">
        <f t="shared" ref="T133" si="644">S133/1000</f>
        <v>6.1309440942276217</v>
      </c>
    </row>
    <row r="134" spans="1:20" x14ac:dyDescent="0.25">
      <c r="A134" s="5">
        <v>44459</v>
      </c>
      <c r="B134">
        <v>6.0990000000000002</v>
      </c>
      <c r="C134">
        <v>6.1040000000000001</v>
      </c>
      <c r="D134">
        <v>5.45</v>
      </c>
      <c r="E134">
        <v>5.5149999999999997</v>
      </c>
      <c r="F134">
        <v>12266375.253</v>
      </c>
      <c r="G134">
        <v>5.5149999999999997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-0.80122324159021552</v>
      </c>
      <c r="Q134">
        <f t="shared" ref="Q134" si="646">F134*P134</f>
        <v>-9828104.9427706599</v>
      </c>
      <c r="R134">
        <f t="shared" ref="R134" si="647">R135+Q134</f>
        <v>626191499.41811132</v>
      </c>
      <c r="S134">
        <f t="shared" ref="S134" si="648">R134/100000</f>
        <v>6261.9149941811129</v>
      </c>
      <c r="T134">
        <f t="shared" ref="T134" si="649">S134/1000</f>
        <v>6.2619149941811125</v>
      </c>
    </row>
    <row r="135" spans="1:20" x14ac:dyDescent="0.25">
      <c r="A135" s="5">
        <v>44458</v>
      </c>
      <c r="B135">
        <v>6.3659999999999997</v>
      </c>
      <c r="C135">
        <v>6.3719999999999999</v>
      </c>
      <c r="D135">
        <v>5.9550000000000001</v>
      </c>
      <c r="E135">
        <v>6.0990000000000002</v>
      </c>
      <c r="F135">
        <v>8771443.5999999996</v>
      </c>
      <c r="G135">
        <v>6.0990000000000002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-0.30935251798561059</v>
      </c>
      <c r="Q135">
        <f t="shared" ref="Q135" si="651">F135*P135</f>
        <v>-2713468.1640287689</v>
      </c>
      <c r="R135">
        <f t="shared" ref="R135" si="652">R136+Q135</f>
        <v>636019604.36088204</v>
      </c>
      <c r="S135">
        <f t="shared" ref="S135" si="653">R135/100000</f>
        <v>6360.1960436088202</v>
      </c>
      <c r="T135">
        <f t="shared" ref="T135" si="654">S135/1000</f>
        <v>6.3601960436088198</v>
      </c>
    </row>
    <row r="136" spans="1:20" x14ac:dyDescent="0.25">
      <c r="A136" s="5">
        <v>44457</v>
      </c>
      <c r="B136">
        <v>6.319</v>
      </c>
      <c r="C136">
        <v>6.5869999999999997</v>
      </c>
      <c r="D136">
        <v>6.2229999999999999</v>
      </c>
      <c r="E136">
        <v>6.367</v>
      </c>
      <c r="F136">
        <v>8335739.5</v>
      </c>
      <c r="G136">
        <v>6.367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-0.20879120879120783</v>
      </c>
      <c r="Q136">
        <f t="shared" ref="Q136" si="656">F136*P136</f>
        <v>-1740429.1263736184</v>
      </c>
      <c r="R136">
        <f t="shared" ref="R136" si="657">R137+Q136</f>
        <v>638733072.52491081</v>
      </c>
      <c r="S136">
        <f t="shared" ref="S136" si="658">R136/100000</f>
        <v>6387.3307252491077</v>
      </c>
      <c r="T136">
        <f t="shared" ref="T136" si="659">S136/1000</f>
        <v>6.3873307252491074</v>
      </c>
    </row>
    <row r="137" spans="1:20" x14ac:dyDescent="0.25">
      <c r="A137" s="5">
        <v>44456</v>
      </c>
      <c r="B137">
        <v>6.6529999999999996</v>
      </c>
      <c r="C137">
        <v>6.7069999999999999</v>
      </c>
      <c r="D137">
        <v>6.2190000000000003</v>
      </c>
      <c r="E137">
        <v>6.319</v>
      </c>
      <c r="F137">
        <v>10215754.9</v>
      </c>
      <c r="G137">
        <v>6.319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-0.59016393442623061</v>
      </c>
      <c r="Q137">
        <f t="shared" ref="Q137" si="661">F137*P137</f>
        <v>-6028970.1049180441</v>
      </c>
      <c r="R137">
        <f t="shared" ref="R137" si="662">R138+Q137</f>
        <v>640473501.65128446</v>
      </c>
      <c r="S137">
        <f t="shared" ref="S137" si="663">R137/100000</f>
        <v>6404.7350165128446</v>
      </c>
      <c r="T137">
        <f t="shared" ref="T137" si="664">S137/1000</f>
        <v>6.4047350165128449</v>
      </c>
    </row>
    <row r="138" spans="1:20" x14ac:dyDescent="0.25">
      <c r="A138" s="5">
        <v>44455</v>
      </c>
      <c r="B138">
        <v>6.867</v>
      </c>
      <c r="C138">
        <v>6.899</v>
      </c>
      <c r="D138">
        <v>6.4489999999999998</v>
      </c>
      <c r="E138">
        <v>6.6529999999999996</v>
      </c>
      <c r="F138">
        <v>10849522.699999999</v>
      </c>
      <c r="G138">
        <v>6.6529999999999996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-9.3333333333334864E-2</v>
      </c>
      <c r="Q138">
        <f t="shared" ref="Q138" si="666">F138*P138</f>
        <v>-1012622.1186666832</v>
      </c>
      <c r="R138">
        <f t="shared" ref="R138" si="667">R139+Q138</f>
        <v>646502471.75620246</v>
      </c>
      <c r="S138">
        <f t="shared" ref="S138" si="668">R138/100000</f>
        <v>6465.0247175620243</v>
      </c>
      <c r="T138">
        <f t="shared" ref="T138" si="669">S138/1000</f>
        <v>6.4650247175620246</v>
      </c>
    </row>
    <row r="139" spans="1:20" x14ac:dyDescent="0.25">
      <c r="A139" s="5">
        <v>44454</v>
      </c>
      <c r="B139">
        <v>6.4660000000000002</v>
      </c>
      <c r="C139">
        <v>7.1139999999999999</v>
      </c>
      <c r="D139">
        <v>6.4459999999999997</v>
      </c>
      <c r="E139">
        <v>6.867</v>
      </c>
      <c r="F139">
        <v>18116532.5</v>
      </c>
      <c r="G139">
        <v>6.867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0.26047904191616816</v>
      </c>
      <c r="Q139">
        <f t="shared" ref="Q139" si="671">F139*P139</f>
        <v>4718977.0284431232</v>
      </c>
      <c r="R139">
        <f t="shared" ref="R139" si="672">R140+Q139</f>
        <v>647515093.87486911</v>
      </c>
      <c r="S139">
        <f t="shared" ref="S139" si="673">R139/100000</f>
        <v>6475.1509387486913</v>
      </c>
      <c r="T139">
        <f t="shared" ref="T139" si="674">S139/1000</f>
        <v>6.4751509387486914</v>
      </c>
    </row>
    <row r="140" spans="1:20" x14ac:dyDescent="0.25">
      <c r="A140" s="5">
        <v>44453</v>
      </c>
      <c r="B140">
        <v>6.1239999999999997</v>
      </c>
      <c r="C140">
        <v>6.48</v>
      </c>
      <c r="D140">
        <v>6.0640000000000001</v>
      </c>
      <c r="E140">
        <v>6.4660000000000002</v>
      </c>
      <c r="F140">
        <v>12235088.800000001</v>
      </c>
      <c r="G140">
        <v>6.4660000000000002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0.9326923076923066</v>
      </c>
      <c r="Q140">
        <f t="shared" ref="Q140" si="676">F140*P140</f>
        <v>11411573.207692295</v>
      </c>
      <c r="R140">
        <f t="shared" ref="R140" si="677">R141+Q140</f>
        <v>642796116.84642601</v>
      </c>
      <c r="S140">
        <f t="shared" ref="S140" si="678">R140/100000</f>
        <v>6427.9611684642605</v>
      </c>
      <c r="T140">
        <f t="shared" ref="T140" si="679">S140/1000</f>
        <v>6.4279611684642601</v>
      </c>
    </row>
    <row r="141" spans="1:20" x14ac:dyDescent="0.25">
      <c r="A141" s="5">
        <v>44452</v>
      </c>
      <c r="B141">
        <v>6.5880000000000001</v>
      </c>
      <c r="C141">
        <v>6.6539999999999999</v>
      </c>
      <c r="D141">
        <v>5.7</v>
      </c>
      <c r="E141">
        <v>6.125</v>
      </c>
      <c r="F141">
        <v>17538676.392999999</v>
      </c>
      <c r="G141">
        <v>6.125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-0.10901467505241103</v>
      </c>
      <c r="Q141">
        <f t="shared" ref="Q141" si="681">F141*P141</f>
        <v>-1911973.1078322872</v>
      </c>
      <c r="R141">
        <f t="shared" ref="R141" si="682">R142+Q141</f>
        <v>631384543.63873374</v>
      </c>
      <c r="S141">
        <f t="shared" ref="S141" si="683">R141/100000</f>
        <v>6313.845436387337</v>
      </c>
      <c r="T141">
        <f t="shared" ref="T141" si="684">S141/1000</f>
        <v>6.3138454363873366</v>
      </c>
    </row>
    <row r="142" spans="1:20" x14ac:dyDescent="0.25">
      <c r="A142" s="5">
        <v>44451</v>
      </c>
      <c r="B142">
        <v>6.45</v>
      </c>
      <c r="C142">
        <v>6.8339999999999996</v>
      </c>
      <c r="D142">
        <v>6.258</v>
      </c>
      <c r="E142">
        <v>6.5880000000000001</v>
      </c>
      <c r="F142">
        <v>15681796.800000001</v>
      </c>
      <c r="G142">
        <v>6.5880000000000001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0.14583333333333434</v>
      </c>
      <c r="Q142">
        <f t="shared" ref="Q142" si="686">F142*P142</f>
        <v>2286928.700000016</v>
      </c>
      <c r="R142">
        <f t="shared" ref="R142" si="687">R143+Q142</f>
        <v>633296516.74656606</v>
      </c>
      <c r="S142">
        <f t="shared" ref="S142" si="688">R142/100000</f>
        <v>6332.9651674656607</v>
      </c>
      <c r="T142">
        <f t="shared" ref="T142" si="689">S142/1000</f>
        <v>6.3329651674656606</v>
      </c>
    </row>
    <row r="143" spans="1:20" x14ac:dyDescent="0.25">
      <c r="A143" s="5">
        <v>44450</v>
      </c>
      <c r="B143">
        <v>6.4530000000000003</v>
      </c>
      <c r="C143">
        <v>6.6890000000000001</v>
      </c>
      <c r="D143">
        <v>6.3070000000000004</v>
      </c>
      <c r="E143">
        <v>6.45</v>
      </c>
      <c r="F143">
        <v>13433170.800000001</v>
      </c>
      <c r="G143">
        <v>6.45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-0.25130890052356064</v>
      </c>
      <c r="Q143">
        <f t="shared" ref="Q143" si="691">F143*P143</f>
        <v>-3375875.3842931995</v>
      </c>
      <c r="R143">
        <f t="shared" ref="R143" si="692">R144+Q143</f>
        <v>631009588.04656601</v>
      </c>
      <c r="S143">
        <f t="shared" ref="S143" si="693">R143/100000</f>
        <v>6310.0958804656602</v>
      </c>
      <c r="T143">
        <f t="shared" ref="T143" si="694">S143/1000</f>
        <v>6.3100958804656599</v>
      </c>
    </row>
    <row r="144" spans="1:20" x14ac:dyDescent="0.25">
      <c r="A144" s="5">
        <v>44449</v>
      </c>
      <c r="B144">
        <v>6.9880000000000004</v>
      </c>
      <c r="C144">
        <v>7.32</v>
      </c>
      <c r="D144">
        <v>6.2750000000000004</v>
      </c>
      <c r="E144">
        <v>6.4550000000000001</v>
      </c>
      <c r="F144">
        <v>21434337.399999999</v>
      </c>
      <c r="G144">
        <v>6.4550000000000001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-0.65550239234449814</v>
      </c>
      <c r="Q144">
        <f t="shared" ref="Q144" si="696">F144*P144</f>
        <v>-14050259.44401915</v>
      </c>
      <c r="R144">
        <f t="shared" ref="R144" si="697">R145+Q144</f>
        <v>634385463.43085921</v>
      </c>
      <c r="S144">
        <f t="shared" ref="S144" si="698">R144/100000</f>
        <v>6343.8546343085918</v>
      </c>
      <c r="T144">
        <f t="shared" ref="T144" si="699">S144/1000</f>
        <v>6.3438546343085918</v>
      </c>
    </row>
    <row r="145" spans="1:20" x14ac:dyDescent="0.25">
      <c r="A145" s="5">
        <v>44448</v>
      </c>
      <c r="B145">
        <v>6.8049999999999997</v>
      </c>
      <c r="C145">
        <v>7.4290000000000003</v>
      </c>
      <c r="D145">
        <v>6.5510000000000002</v>
      </c>
      <c r="E145">
        <v>6.9880000000000004</v>
      </c>
      <c r="F145">
        <v>28088523.199999999</v>
      </c>
      <c r="G145">
        <v>6.9880000000000004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-4.5558086560359441E-3</v>
      </c>
      <c r="Q145">
        <f t="shared" ref="Q145" si="701">F145*P145</f>
        <v>-127965.93712982643</v>
      </c>
      <c r="R145">
        <f t="shared" ref="R145" si="702">R146+Q145</f>
        <v>648435722.87487841</v>
      </c>
      <c r="S145">
        <f t="shared" ref="S145" si="703">R145/100000</f>
        <v>6484.3572287487841</v>
      </c>
      <c r="T145">
        <f t="shared" ref="T145" si="704">S145/1000</f>
        <v>6.4843572287487845</v>
      </c>
    </row>
    <row r="146" spans="1:20" x14ac:dyDescent="0.25">
      <c r="A146" s="5">
        <v>44447</v>
      </c>
      <c r="B146">
        <v>7.0350000000000001</v>
      </c>
      <c r="C146">
        <v>7.181</v>
      </c>
      <c r="D146">
        <v>6.1310000000000002</v>
      </c>
      <c r="E146">
        <v>6.8129999999999997</v>
      </c>
      <c r="F146">
        <v>38699441.600000001</v>
      </c>
      <c r="G146">
        <v>6.8129999999999997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0.29904761904761828</v>
      </c>
      <c r="Q146">
        <f t="shared" ref="Q146" si="706">F146*P146</f>
        <v>11572975.868952353</v>
      </c>
      <c r="R146">
        <f t="shared" ref="R146" si="707">R147+Q146</f>
        <v>648563688.81200826</v>
      </c>
      <c r="S146">
        <f t="shared" ref="S146" si="708">R146/100000</f>
        <v>6485.6368881200824</v>
      </c>
      <c r="T146">
        <f t="shared" ref="T146" si="709">S146/1000</f>
        <v>6.4856368881200828</v>
      </c>
    </row>
    <row r="147" spans="1:20" x14ac:dyDescent="0.25">
      <c r="A147" s="5">
        <v>44446</v>
      </c>
      <c r="B147">
        <v>9.2119999999999997</v>
      </c>
      <c r="C147">
        <v>9.7469999999999999</v>
      </c>
      <c r="D147">
        <v>5.9240000000000004</v>
      </c>
      <c r="E147">
        <v>7.032</v>
      </c>
      <c r="F147">
        <v>70689067.356999993</v>
      </c>
      <c r="G147">
        <v>7.032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-0.42035051007062529</v>
      </c>
      <c r="Q147">
        <f t="shared" ref="Q147" si="711">F147*P147</f>
        <v>-29714185.519931734</v>
      </c>
      <c r="R147">
        <f t="shared" ref="R147" si="712">R148+Q147</f>
        <v>636990712.94305587</v>
      </c>
      <c r="S147">
        <f t="shared" ref="S147" si="713">R147/100000</f>
        <v>6369.9071294305586</v>
      </c>
      <c r="T147">
        <f t="shared" ref="T147" si="714">S147/1000</f>
        <v>6.3699071294305583</v>
      </c>
    </row>
    <row r="148" spans="1:20" x14ac:dyDescent="0.25">
      <c r="A148" s="5">
        <v>44445</v>
      </c>
      <c r="B148">
        <v>8.1869999999999994</v>
      </c>
      <c r="C148">
        <v>9.5649999999999995</v>
      </c>
      <c r="D148">
        <v>7.7469999999999999</v>
      </c>
      <c r="E148">
        <v>9.2149999999999999</v>
      </c>
      <c r="F148">
        <v>37660599.794</v>
      </c>
      <c r="G148">
        <v>9.2149999999999999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0.61496149614961526</v>
      </c>
      <c r="Q148">
        <f t="shared" ref="Q148" si="716">F148*P148</f>
        <v>23159818.795210131</v>
      </c>
      <c r="R148">
        <f t="shared" ref="R148" si="717">R149+Q148</f>
        <v>666704898.46298766</v>
      </c>
      <c r="S148">
        <f t="shared" ref="S148" si="718">R148/100000</f>
        <v>6667.0489846298769</v>
      </c>
      <c r="T148">
        <f t="shared" ref="T148" si="719">S148/1000</f>
        <v>6.6670489846298766</v>
      </c>
    </row>
    <row r="149" spans="1:20" x14ac:dyDescent="0.25">
      <c r="A149" s="5">
        <v>44444</v>
      </c>
      <c r="B149">
        <v>7.5179999999999998</v>
      </c>
      <c r="C149">
        <v>8.27</v>
      </c>
      <c r="D149">
        <v>7.4050000000000002</v>
      </c>
      <c r="E149">
        <v>8.1880000000000006</v>
      </c>
      <c r="F149">
        <v>18565694.333000001</v>
      </c>
      <c r="G149">
        <v>8.1880000000000006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0.81040462427745885</v>
      </c>
      <c r="Q149">
        <f t="shared" ref="Q149" si="721">F149*P149</f>
        <v>15045724.540385012</v>
      </c>
      <c r="R149">
        <f t="shared" ref="R149" si="722">R150+Q149</f>
        <v>643545079.66777754</v>
      </c>
      <c r="S149">
        <f t="shared" ref="S149" si="723">R149/100000</f>
        <v>6435.4507966777755</v>
      </c>
      <c r="T149">
        <f t="shared" ref="T149" si="724">S149/1000</f>
        <v>6.4354507966777756</v>
      </c>
    </row>
    <row r="150" spans="1:20" x14ac:dyDescent="0.25">
      <c r="A150" s="5">
        <v>44443</v>
      </c>
      <c r="B150">
        <v>7.2560000000000002</v>
      </c>
      <c r="C150">
        <v>7.7229999999999999</v>
      </c>
      <c r="D150">
        <v>7.2030000000000003</v>
      </c>
      <c r="E150">
        <v>7.5170000000000003</v>
      </c>
      <c r="F150">
        <v>14431295.702</v>
      </c>
      <c r="G150">
        <v>7.5170000000000003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0.2076923076923089</v>
      </c>
      <c r="Q150">
        <f t="shared" ref="Q150" si="726">F150*P150</f>
        <v>2997269.1073384788</v>
      </c>
      <c r="R150">
        <f t="shared" ref="R150" si="727">R151+Q150</f>
        <v>628499355.12739253</v>
      </c>
      <c r="S150">
        <f t="shared" ref="S150" si="728">R150/100000</f>
        <v>6284.9935512739257</v>
      </c>
      <c r="T150">
        <f t="shared" ref="T150" si="729">S150/1000</f>
        <v>6.2849935512739261</v>
      </c>
    </row>
    <row r="151" spans="1:20" x14ac:dyDescent="0.25">
      <c r="A151" s="5">
        <v>44442</v>
      </c>
      <c r="B151">
        <v>7.024</v>
      </c>
      <c r="C151">
        <v>7.3680000000000003</v>
      </c>
      <c r="D151">
        <v>6.9</v>
      </c>
      <c r="E151">
        <v>7.2560000000000002</v>
      </c>
      <c r="F151">
        <v>12594126.755999999</v>
      </c>
      <c r="G151">
        <v>7.2560000000000002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0.52136752136752096</v>
      </c>
      <c r="Q151">
        <f t="shared" ref="Q151" si="731">F151*P151</f>
        <v>6566168.6505640969</v>
      </c>
      <c r="R151">
        <f t="shared" ref="R151" si="732">R152+Q151</f>
        <v>625502086.0200541</v>
      </c>
      <c r="S151">
        <f t="shared" ref="S151" si="733">R151/100000</f>
        <v>6255.0208602005414</v>
      </c>
      <c r="T151">
        <f t="shared" ref="T151" si="734">S151/1000</f>
        <v>6.255020860200541</v>
      </c>
    </row>
    <row r="152" spans="1:20" x14ac:dyDescent="0.25">
      <c r="A152" s="5">
        <v>44441</v>
      </c>
      <c r="B152">
        <v>7.109</v>
      </c>
      <c r="C152">
        <v>7.2460000000000004</v>
      </c>
      <c r="D152">
        <v>6.8929999999999998</v>
      </c>
      <c r="E152">
        <v>7.024</v>
      </c>
      <c r="F152">
        <v>11423776.24</v>
      </c>
      <c r="G152">
        <v>7.024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-0.25779036827195473</v>
      </c>
      <c r="Q152">
        <f t="shared" ref="Q152" si="736">F152*P152</f>
        <v>-2944939.4839660064</v>
      </c>
      <c r="R152">
        <f t="shared" ref="R152" si="737">R153+Q152</f>
        <v>618935917.36949003</v>
      </c>
      <c r="S152">
        <f t="shared" ref="S152" si="738">R152/100000</f>
        <v>6189.3591736949002</v>
      </c>
      <c r="T152">
        <f t="shared" ref="T152" si="739">S152/1000</f>
        <v>6.1893591736948999</v>
      </c>
    </row>
    <row r="153" spans="1:20" x14ac:dyDescent="0.25">
      <c r="A153" s="5">
        <v>44440</v>
      </c>
      <c r="B153">
        <v>6.6609999999999996</v>
      </c>
      <c r="C153">
        <v>7.194</v>
      </c>
      <c r="D153">
        <v>6.4960000000000004</v>
      </c>
      <c r="E153">
        <v>7.109</v>
      </c>
      <c r="F153">
        <v>13459750.168</v>
      </c>
      <c r="G153">
        <v>7.109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0.75644699140401139</v>
      </c>
      <c r="Q153">
        <f t="shared" ref="Q153" si="741">F153*P153</f>
        <v>10181587.519633237</v>
      </c>
      <c r="R153">
        <f t="shared" ref="R153" si="742">R154+Q153</f>
        <v>621880856.85345602</v>
      </c>
      <c r="S153">
        <f t="shared" ref="S153" si="743">R153/100000</f>
        <v>6218.8085685345604</v>
      </c>
      <c r="T153">
        <f t="shared" ref="T153" si="744">S153/1000</f>
        <v>6.2188085685345609</v>
      </c>
    </row>
    <row r="154" spans="1:20" x14ac:dyDescent="0.25">
      <c r="A154" s="5">
        <v>44439</v>
      </c>
      <c r="B154">
        <v>6.5830000000000002</v>
      </c>
      <c r="C154">
        <v>6.78</v>
      </c>
      <c r="D154">
        <v>6.4139999999999997</v>
      </c>
      <c r="E154">
        <v>6.6609999999999996</v>
      </c>
      <c r="F154">
        <v>11850823</v>
      </c>
      <c r="G154">
        <v>6.6609999999999996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0.34972677595628149</v>
      </c>
      <c r="Q154">
        <f t="shared" ref="Q154" si="746">F154*P154</f>
        <v>4144550.1202185475</v>
      </c>
      <c r="R154">
        <f t="shared" ref="R154" si="747">R155+Q154</f>
        <v>611699269.33382273</v>
      </c>
      <c r="S154">
        <f t="shared" ref="S154" si="748">R154/100000</f>
        <v>6116.9926933382276</v>
      </c>
      <c r="T154">
        <f t="shared" ref="T154" si="749">S154/1000</f>
        <v>6.1169926933382275</v>
      </c>
    </row>
    <row r="155" spans="1:20" x14ac:dyDescent="0.25">
      <c r="A155" s="5">
        <v>44438</v>
      </c>
      <c r="B155">
        <v>6.9139999999999997</v>
      </c>
      <c r="C155">
        <v>6.9370000000000003</v>
      </c>
      <c r="D155">
        <v>6.5</v>
      </c>
      <c r="E155">
        <v>6.5830000000000002</v>
      </c>
      <c r="F155">
        <v>10270701.800000001</v>
      </c>
      <c r="G155">
        <v>6.5830000000000002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-0.62013729977116649</v>
      </c>
      <c r="Q155">
        <f t="shared" ref="Q155" si="751">F155*P155</f>
        <v>-6369245.2810068596</v>
      </c>
      <c r="R155">
        <f t="shared" ref="R155" si="752">R156+Q155</f>
        <v>607554719.21360421</v>
      </c>
      <c r="S155">
        <f t="shared" ref="S155" si="753">R155/100000</f>
        <v>6075.5471921360422</v>
      </c>
      <c r="T155">
        <f t="shared" ref="T155" si="754">S155/1000</f>
        <v>6.0755471921360424</v>
      </c>
    </row>
    <row r="156" spans="1:20" x14ac:dyDescent="0.25">
      <c r="A156" s="5">
        <v>44437</v>
      </c>
      <c r="B156">
        <v>6.92</v>
      </c>
      <c r="C156">
        <v>7.0839999999999996</v>
      </c>
      <c r="D156">
        <v>6.7309999999999999</v>
      </c>
      <c r="E156">
        <v>6.9139999999999997</v>
      </c>
      <c r="F156">
        <v>12331861.363</v>
      </c>
      <c r="G156">
        <v>6.9139999999999997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3.6827195467421837E-2</v>
      </c>
      <c r="Q156">
        <f t="shared" ref="Q156" si="756">F156*P156</f>
        <v>454147.86889234808</v>
      </c>
      <c r="R156">
        <f t="shared" ref="R156" si="757">R157+Q156</f>
        <v>613923964.49461102</v>
      </c>
      <c r="S156">
        <f t="shared" ref="S156" si="758">R156/100000</f>
        <v>6139.2396449461103</v>
      </c>
      <c r="T156">
        <f t="shared" ref="T156" si="759">S156/1000</f>
        <v>6.1392396449461106</v>
      </c>
    </row>
    <row r="157" spans="1:20" x14ac:dyDescent="0.25">
      <c r="A157" s="5">
        <v>44436</v>
      </c>
      <c r="B157">
        <v>6.952</v>
      </c>
      <c r="C157">
        <v>6.97</v>
      </c>
      <c r="D157">
        <v>6.7060000000000004</v>
      </c>
      <c r="E157">
        <v>6.9180000000000001</v>
      </c>
      <c r="F157">
        <v>7490443.2999999998</v>
      </c>
      <c r="G157">
        <v>6.9180000000000001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0.60606060606060808</v>
      </c>
      <c r="Q157">
        <f t="shared" ref="Q157" si="761">F157*P157</f>
        <v>4539662.6060606213</v>
      </c>
      <c r="R157">
        <f t="shared" ref="R157" si="762">R158+Q157</f>
        <v>613469816.62571871</v>
      </c>
      <c r="S157">
        <f t="shared" ref="S157" si="763">R157/100000</f>
        <v>6134.698166257187</v>
      </c>
      <c r="T157">
        <f t="shared" ref="T157" si="764">S157/1000</f>
        <v>6.1346981662571869</v>
      </c>
    </row>
    <row r="158" spans="1:20" x14ac:dyDescent="0.25">
      <c r="A158" s="5">
        <v>44435</v>
      </c>
      <c r="B158">
        <v>6.524</v>
      </c>
      <c r="C158">
        <v>6.9770000000000003</v>
      </c>
      <c r="D158">
        <v>6.31</v>
      </c>
      <c r="E158">
        <v>6.9509999999999996</v>
      </c>
      <c r="F158">
        <v>13859260.905999999</v>
      </c>
      <c r="G158">
        <v>6.9509999999999996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0.92203898050974309</v>
      </c>
      <c r="Q158">
        <f t="shared" ref="Q158" si="766">F158*P158</f>
        <v>12778778.796386778</v>
      </c>
      <c r="R158">
        <f t="shared" ref="R158" si="767">R159+Q158</f>
        <v>608930154.01965809</v>
      </c>
      <c r="S158">
        <f t="shared" ref="S158" si="768">R158/100000</f>
        <v>6089.3015401965813</v>
      </c>
      <c r="T158">
        <f t="shared" ref="T158" si="769">S158/1000</f>
        <v>6.0893015401965815</v>
      </c>
    </row>
    <row r="159" spans="1:20" x14ac:dyDescent="0.25">
      <c r="A159" s="5">
        <v>44434</v>
      </c>
      <c r="B159">
        <v>7.2060000000000004</v>
      </c>
      <c r="C159">
        <v>7.282</v>
      </c>
      <c r="D159">
        <v>6.3609999999999998</v>
      </c>
      <c r="E159">
        <v>6.5250000000000004</v>
      </c>
      <c r="F159">
        <v>15704522.225</v>
      </c>
      <c r="G159">
        <v>6.5250000000000004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-0.64386536373506942</v>
      </c>
      <c r="Q159">
        <f t="shared" ref="Q159" si="771">F159*P159</f>
        <v>-10111597.914685106</v>
      </c>
      <c r="R159">
        <f t="shared" ref="R159" si="772">R160+Q159</f>
        <v>596151375.22327125</v>
      </c>
      <c r="S159">
        <f t="shared" ref="S159" si="773">R159/100000</f>
        <v>5961.5137522327122</v>
      </c>
      <c r="T159">
        <f t="shared" ref="T159" si="774">S159/1000</f>
        <v>5.9615137522327126</v>
      </c>
    </row>
    <row r="160" spans="1:20" x14ac:dyDescent="0.25">
      <c r="A160" s="5">
        <v>44433</v>
      </c>
      <c r="B160">
        <v>7.0579999999999998</v>
      </c>
      <c r="C160">
        <v>7.3239999999999998</v>
      </c>
      <c r="D160">
        <v>6.7320000000000002</v>
      </c>
      <c r="E160">
        <v>7.2069999999999999</v>
      </c>
      <c r="F160">
        <v>18144730.614999998</v>
      </c>
      <c r="G160">
        <v>7.2069999999999999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0.60472972972972949</v>
      </c>
      <c r="Q160">
        <f t="shared" ref="Q160" si="776">F160*P160</f>
        <v>10972658.040827697</v>
      </c>
      <c r="R160">
        <f t="shared" ref="R160" si="777">R161+Q160</f>
        <v>606262973.13795638</v>
      </c>
      <c r="S160">
        <f t="shared" ref="S160" si="778">R160/100000</f>
        <v>6062.629731379564</v>
      </c>
      <c r="T160">
        <f t="shared" ref="T160" si="779">S160/1000</f>
        <v>6.0626297313795643</v>
      </c>
    </row>
    <row r="161" spans="1:20" x14ac:dyDescent="0.25">
      <c r="A161" s="5">
        <v>44432</v>
      </c>
      <c r="B161">
        <v>7.8280000000000003</v>
      </c>
      <c r="C161">
        <v>8.1489999999999991</v>
      </c>
      <c r="D161">
        <v>6.9</v>
      </c>
      <c r="E161">
        <v>7.0570000000000004</v>
      </c>
      <c r="F161">
        <v>24242900.256999999</v>
      </c>
      <c r="G161">
        <v>7.0570000000000004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-0.74859887910328238</v>
      </c>
      <c r="Q161">
        <f t="shared" ref="Q161" si="781">F161*P161</f>
        <v>-18148207.958602875</v>
      </c>
      <c r="R161">
        <f t="shared" ref="R161" si="782">R162+Q161</f>
        <v>595290315.09712863</v>
      </c>
      <c r="S161">
        <f t="shared" ref="S161" si="783">R161/100000</f>
        <v>5952.9031509712859</v>
      </c>
      <c r="T161">
        <f t="shared" ref="T161" si="784">S161/1000</f>
        <v>5.9529031509712862</v>
      </c>
    </row>
    <row r="162" spans="1:20" x14ac:dyDescent="0.25">
      <c r="A162" s="5">
        <v>44431</v>
      </c>
      <c r="B162">
        <v>7.3419999999999996</v>
      </c>
      <c r="C162">
        <v>7.923</v>
      </c>
      <c r="D162">
        <v>7.3019999999999996</v>
      </c>
      <c r="E162">
        <v>7.8289999999999997</v>
      </c>
      <c r="F162">
        <v>17707698.160999998</v>
      </c>
      <c r="G162">
        <v>7.8289999999999997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0.69726247987117473</v>
      </c>
      <c r="Q162">
        <f t="shared" ref="Q162" si="786">F162*P162</f>
        <v>12346913.5325491</v>
      </c>
      <c r="R162">
        <f t="shared" ref="R162" si="787">R163+Q162</f>
        <v>613438523.05573153</v>
      </c>
      <c r="S162">
        <f t="shared" ref="S162" si="788">R162/100000</f>
        <v>6134.3852305573155</v>
      </c>
      <c r="T162">
        <f t="shared" ref="T162" si="789">S162/1000</f>
        <v>6.1343852305573154</v>
      </c>
    </row>
    <row r="163" spans="1:20" x14ac:dyDescent="0.25">
      <c r="A163" s="5">
        <v>44430</v>
      </c>
      <c r="B163">
        <v>7.2649999999999997</v>
      </c>
      <c r="C163">
        <v>7.4219999999999997</v>
      </c>
      <c r="D163">
        <v>7.2140000000000004</v>
      </c>
      <c r="E163">
        <v>7.3860000000000001</v>
      </c>
      <c r="F163">
        <v>2657731.247</v>
      </c>
      <c r="G163">
        <v>7.3860000000000001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0.65384615384615663</v>
      </c>
      <c r="Q163">
        <f t="shared" ref="Q163" si="791">F163*P163</f>
        <v>1737747.3538076996</v>
      </c>
      <c r="R163">
        <f t="shared" ref="R163" si="792">R164+Q163</f>
        <v>601091609.52318239</v>
      </c>
      <c r="S163">
        <f t="shared" ref="S163" si="793">R163/100000</f>
        <v>6010.9160952318243</v>
      </c>
      <c r="T163">
        <f t="shared" ref="T163" si="794">S163/1000</f>
        <v>6.0109160952318241</v>
      </c>
    </row>
    <row r="164" spans="1:20" x14ac:dyDescent="0.25">
      <c r="A164" s="5">
        <v>44429</v>
      </c>
      <c r="B164">
        <v>7.2770000000000001</v>
      </c>
      <c r="C164">
        <v>7.6829999999999998</v>
      </c>
      <c r="D164">
        <v>7.12</v>
      </c>
      <c r="E164">
        <v>7.2640000000000002</v>
      </c>
      <c r="F164">
        <v>16705662.271</v>
      </c>
      <c r="G164">
        <v>7.2640000000000002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-0.48845470692717513</v>
      </c>
      <c r="Q164">
        <f t="shared" ref="Q164" si="796">F164*P164</f>
        <v>-8159959.3686056715</v>
      </c>
      <c r="R164">
        <f t="shared" ref="R164" si="797">R165+Q164</f>
        <v>599353862.1693747</v>
      </c>
      <c r="S164">
        <f t="shared" ref="S164" si="798">R164/100000</f>
        <v>5993.5386216937468</v>
      </c>
      <c r="T164">
        <f t="shared" ref="T164" si="799">S164/1000</f>
        <v>5.9935386216937472</v>
      </c>
    </row>
    <row r="165" spans="1:20" x14ac:dyDescent="0.25">
      <c r="A165" s="5">
        <v>44428</v>
      </c>
      <c r="B165">
        <v>7.1509999999999998</v>
      </c>
      <c r="C165">
        <v>7.42</v>
      </c>
      <c r="D165">
        <v>7.024</v>
      </c>
      <c r="E165">
        <v>7.2759999999999998</v>
      </c>
      <c r="F165">
        <v>12427584.140000001</v>
      </c>
      <c r="G165">
        <v>7.2759999999999998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0.27272727272727193</v>
      </c>
      <c r="Q165">
        <f t="shared" ref="Q165" si="801">F165*P165</f>
        <v>3389341.1290908991</v>
      </c>
      <c r="R165">
        <f t="shared" ref="R165" si="802">R166+Q165</f>
        <v>607513821.53798032</v>
      </c>
      <c r="S165">
        <f t="shared" ref="S165" si="803">R165/100000</f>
        <v>6075.1382153798031</v>
      </c>
      <c r="T165">
        <f t="shared" ref="T165" si="804">S165/1000</f>
        <v>6.0751382153798028</v>
      </c>
    </row>
    <row r="166" spans="1:20" x14ac:dyDescent="0.25">
      <c r="A166" s="5">
        <v>44427</v>
      </c>
      <c r="B166">
        <v>6.8460000000000001</v>
      </c>
      <c r="C166">
        <v>7.218</v>
      </c>
      <c r="D166">
        <v>6.6230000000000002</v>
      </c>
      <c r="E166">
        <v>7.1509999999999998</v>
      </c>
      <c r="F166">
        <v>14660099.265000001</v>
      </c>
      <c r="G166">
        <v>7.1509999999999998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0.77478991596638591</v>
      </c>
      <c r="Q166">
        <f t="shared" ref="Q166" si="806">F166*P166</f>
        <v>11358497.077588227</v>
      </c>
      <c r="R166">
        <f t="shared" ref="R166" si="807">R167+Q166</f>
        <v>604124480.40888941</v>
      </c>
      <c r="S166">
        <f t="shared" ref="S166" si="808">R166/100000</f>
        <v>6041.2448040888939</v>
      </c>
      <c r="T166">
        <f t="shared" ref="T166" si="809">S166/1000</f>
        <v>6.041244804088894</v>
      </c>
    </row>
    <row r="167" spans="1:20" x14ac:dyDescent="0.25">
      <c r="A167" s="5">
        <v>44426</v>
      </c>
      <c r="B167">
        <v>6.98</v>
      </c>
      <c r="C167">
        <v>7.1829999999999998</v>
      </c>
      <c r="D167">
        <v>6.5209999999999999</v>
      </c>
      <c r="E167">
        <v>6.843</v>
      </c>
      <c r="F167">
        <v>19575405.048999999</v>
      </c>
      <c r="G167">
        <v>6.843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-2.7190332326283678E-2</v>
      </c>
      <c r="Q167">
        <f t="shared" ref="Q167" si="811">F167*P167</f>
        <v>-532261.76870392135</v>
      </c>
      <c r="R167">
        <f t="shared" ref="R167" si="812">R168+Q167</f>
        <v>592765983.33130121</v>
      </c>
      <c r="S167">
        <f t="shared" ref="S167" si="813">R167/100000</f>
        <v>5927.6598333130123</v>
      </c>
      <c r="T167">
        <f t="shared" ref="T167" si="814">S167/1000</f>
        <v>5.9276598333130126</v>
      </c>
    </row>
    <row r="168" spans="1:20" x14ac:dyDescent="0.25">
      <c r="A168" s="5">
        <v>44425</v>
      </c>
      <c r="B168">
        <v>7.601</v>
      </c>
      <c r="C168">
        <v>8.0869999999999997</v>
      </c>
      <c r="D168">
        <v>6.8029999999999999</v>
      </c>
      <c r="E168">
        <v>6.98</v>
      </c>
      <c r="F168">
        <v>21875360.024</v>
      </c>
      <c r="G168">
        <v>6.98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-0.72429906542056</v>
      </c>
      <c r="Q168">
        <f t="shared" ref="Q168" si="816">F168*P168</f>
        <v>-15844302.821121478</v>
      </c>
      <c r="R168">
        <f t="shared" ref="R168" si="817">R169+Q168</f>
        <v>593298245.10000515</v>
      </c>
      <c r="S168">
        <f t="shared" ref="S168" si="818">R168/100000</f>
        <v>5932.9824510000517</v>
      </c>
      <c r="T168">
        <f t="shared" ref="T168" si="819">S168/1000</f>
        <v>5.9329824510000515</v>
      </c>
    </row>
    <row r="169" spans="1:20" x14ac:dyDescent="0.25">
      <c r="A169" s="5">
        <v>44424</v>
      </c>
      <c r="B169">
        <v>7.4610000000000003</v>
      </c>
      <c r="C169">
        <v>8.3350000000000009</v>
      </c>
      <c r="D169">
        <v>7.3070000000000004</v>
      </c>
      <c r="E169">
        <v>7.6050000000000004</v>
      </c>
      <c r="F169">
        <v>25173346.545000002</v>
      </c>
      <c r="G169">
        <v>7.6050000000000004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-0.42023346303501963</v>
      </c>
      <c r="Q169">
        <f t="shared" ref="Q169" si="821">F169*P169</f>
        <v>-10578682.594785998</v>
      </c>
      <c r="R169">
        <f t="shared" ref="R169" si="822">R170+Q169</f>
        <v>609142547.9211266</v>
      </c>
      <c r="S169">
        <f t="shared" ref="S169" si="823">R169/100000</f>
        <v>6091.4254792112661</v>
      </c>
      <c r="T169">
        <f t="shared" ref="T169" si="824">S169/1000</f>
        <v>6.0914254792112663</v>
      </c>
    </row>
    <row r="170" spans="1:20" x14ac:dyDescent="0.25">
      <c r="A170" s="5">
        <v>44423</v>
      </c>
      <c r="B170">
        <v>7.2169999999999996</v>
      </c>
      <c r="C170">
        <v>7.5659999999999998</v>
      </c>
      <c r="D170">
        <v>6.9409999999999998</v>
      </c>
      <c r="E170">
        <v>7.4619999999999997</v>
      </c>
      <c r="F170">
        <v>17054072.831999999</v>
      </c>
      <c r="G170">
        <v>7.4619999999999997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0.66719999999999968</v>
      </c>
      <c r="Q170">
        <f t="shared" ref="Q170" si="826">F170*P170</f>
        <v>11378477.393510394</v>
      </c>
      <c r="R170">
        <f t="shared" ref="R170" si="827">R171+Q170</f>
        <v>619721230.51591265</v>
      </c>
      <c r="S170">
        <f t="shared" ref="S170" si="828">R170/100000</f>
        <v>6197.2123051591261</v>
      </c>
      <c r="T170">
        <f t="shared" ref="T170" si="829">S170/1000</f>
        <v>6.1972123051591259</v>
      </c>
    </row>
    <row r="171" spans="1:20" x14ac:dyDescent="0.25">
      <c r="A171" s="5">
        <v>44422</v>
      </c>
      <c r="B171">
        <v>7.1639999999999997</v>
      </c>
      <c r="C171">
        <v>7.5860000000000003</v>
      </c>
      <c r="D171">
        <v>7.0060000000000002</v>
      </c>
      <c r="E171">
        <v>7.2169999999999996</v>
      </c>
      <c r="F171">
        <v>17029944.554000001</v>
      </c>
      <c r="G171">
        <v>7.2169999999999996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-0.27241379310345037</v>
      </c>
      <c r="Q171">
        <f t="shared" ref="Q171" si="831">F171*P171</f>
        <v>-4639191.7922965875</v>
      </c>
      <c r="R171">
        <f t="shared" ref="R171" si="832">R172+Q171</f>
        <v>608342753.12240231</v>
      </c>
      <c r="S171">
        <f t="shared" ref="S171" si="833">R171/100000</f>
        <v>6083.4275312240234</v>
      </c>
      <c r="T171">
        <f t="shared" ref="T171" si="834">S171/1000</f>
        <v>6.0834275312240234</v>
      </c>
    </row>
    <row r="172" spans="1:20" x14ac:dyDescent="0.25">
      <c r="A172" s="5">
        <v>44421</v>
      </c>
      <c r="B172">
        <v>6.7720000000000002</v>
      </c>
      <c r="C172">
        <v>7.31</v>
      </c>
      <c r="D172">
        <v>6.6589999999999998</v>
      </c>
      <c r="E172">
        <v>7.1619999999999999</v>
      </c>
      <c r="F172">
        <v>13099508.514</v>
      </c>
      <c r="G172">
        <v>7.1619999999999999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0.54531490015361062</v>
      </c>
      <c r="Q172">
        <f t="shared" ref="Q172" si="836">F172*P172</f>
        <v>7143357.1773732826</v>
      </c>
      <c r="R172">
        <f t="shared" ref="R172" si="837">R173+Q172</f>
        <v>612981944.91469884</v>
      </c>
      <c r="S172">
        <f t="shared" ref="S172" si="838">R172/100000</f>
        <v>6129.8194491469885</v>
      </c>
      <c r="T172">
        <f t="shared" ref="T172" si="839">S172/1000</f>
        <v>6.1298194491469884</v>
      </c>
    </row>
    <row r="173" spans="1:20" x14ac:dyDescent="0.25">
      <c r="A173" s="5">
        <v>44420</v>
      </c>
      <c r="B173">
        <v>7.1520000000000001</v>
      </c>
      <c r="C173">
        <v>7.45</v>
      </c>
      <c r="D173">
        <v>6.5309999999999997</v>
      </c>
      <c r="E173">
        <v>6.7720000000000002</v>
      </c>
      <c r="F173">
        <v>19809392.681000002</v>
      </c>
      <c r="G173">
        <v>6.7720000000000002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-0.4755168661588674</v>
      </c>
      <c r="Q173">
        <f t="shared" ref="Q173" si="841">F173*P173</f>
        <v>-9419700.3281795252</v>
      </c>
      <c r="R173">
        <f t="shared" ref="R173" si="842">R174+Q173</f>
        <v>605838587.73732555</v>
      </c>
      <c r="S173">
        <f t="shared" ref="S173" si="843">R173/100000</f>
        <v>6058.3858773732554</v>
      </c>
      <c r="T173">
        <f t="shared" ref="T173" si="844">S173/1000</f>
        <v>6.0583858773732553</v>
      </c>
    </row>
    <row r="174" spans="1:20" x14ac:dyDescent="0.25">
      <c r="A174" s="5">
        <v>44419</v>
      </c>
      <c r="B174">
        <v>6.9379999999999997</v>
      </c>
      <c r="C174">
        <v>7.5940000000000003</v>
      </c>
      <c r="D174">
        <v>6.9180000000000001</v>
      </c>
      <c r="E174">
        <v>7.1520000000000001</v>
      </c>
      <c r="F174">
        <v>18643732.605</v>
      </c>
      <c r="G174">
        <v>7.1520000000000001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-0.30769230769230788</v>
      </c>
      <c r="Q174">
        <f t="shared" ref="Q174" si="846">F174*P174</f>
        <v>-5736533.1092307726</v>
      </c>
      <c r="R174">
        <f t="shared" ref="R174" si="847">R175+Q174</f>
        <v>615258288.06550503</v>
      </c>
      <c r="S174">
        <f t="shared" ref="S174" si="848">R174/100000</f>
        <v>6152.5828806550498</v>
      </c>
      <c r="T174">
        <f t="shared" ref="T174" si="849">S174/1000</f>
        <v>6.15258288065505</v>
      </c>
    </row>
    <row r="175" spans="1:20" x14ac:dyDescent="0.25">
      <c r="A175" s="5">
        <v>44418</v>
      </c>
      <c r="B175">
        <v>6.766</v>
      </c>
      <c r="C175">
        <v>7.0970000000000004</v>
      </c>
      <c r="D175">
        <v>6.6109999999999998</v>
      </c>
      <c r="E175">
        <v>6.9379999999999997</v>
      </c>
      <c r="F175">
        <v>14208702.817</v>
      </c>
      <c r="G175">
        <v>6.9379999999999997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0.34567901234567705</v>
      </c>
      <c r="Q175">
        <f t="shared" ref="Q175" si="851">F175*P175</f>
        <v>4911650.356493799</v>
      </c>
      <c r="R175">
        <f t="shared" ref="R175" si="852">R176+Q175</f>
        <v>620994821.17473578</v>
      </c>
      <c r="S175">
        <f t="shared" ref="S175" si="853">R175/100000</f>
        <v>6209.9482117473581</v>
      </c>
      <c r="T175">
        <f t="shared" ref="T175" si="854">S175/1000</f>
        <v>6.2099482117473581</v>
      </c>
    </row>
    <row r="176" spans="1:20" x14ac:dyDescent="0.25">
      <c r="A176" s="5">
        <v>44417</v>
      </c>
      <c r="B176">
        <v>6.4089999999999998</v>
      </c>
      <c r="C176">
        <v>6.9329999999999998</v>
      </c>
      <c r="D176">
        <v>6.1219999999999999</v>
      </c>
      <c r="E176">
        <v>6.7670000000000003</v>
      </c>
      <c r="F176">
        <v>15902984.387</v>
      </c>
      <c r="G176">
        <v>6.7670000000000003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0.5906288532675722</v>
      </c>
      <c r="Q176">
        <f t="shared" ref="Q176" si="856">F176*P176</f>
        <v>9392761.432025915</v>
      </c>
      <c r="R176">
        <f t="shared" ref="R176" si="857">R177+Q176</f>
        <v>616083170.81824195</v>
      </c>
      <c r="S176">
        <f t="shared" ref="S176" si="858">R176/100000</f>
        <v>6160.8317081824198</v>
      </c>
      <c r="T176">
        <f t="shared" ref="T176" si="859">S176/1000</f>
        <v>6.1608317081824202</v>
      </c>
    </row>
    <row r="177" spans="1:20" x14ac:dyDescent="0.25">
      <c r="A177" s="5">
        <v>44416</v>
      </c>
      <c r="B177">
        <v>6.9359999999999999</v>
      </c>
      <c r="C177">
        <v>7.0730000000000004</v>
      </c>
      <c r="D177">
        <v>6.2649999999999997</v>
      </c>
      <c r="E177">
        <v>6.4080000000000004</v>
      </c>
      <c r="F177">
        <v>15699017.754000001</v>
      </c>
      <c r="G177">
        <v>6.4080000000000004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-0.64603960396039462</v>
      </c>
      <c r="Q177">
        <f t="shared" ref="Q177" si="861">F177*P177</f>
        <v>-10142187.212361364</v>
      </c>
      <c r="R177">
        <f t="shared" ref="R177" si="862">R178+Q177</f>
        <v>606690409.38621604</v>
      </c>
      <c r="S177">
        <f t="shared" ref="S177" si="863">R177/100000</f>
        <v>6066.9040938621602</v>
      </c>
      <c r="T177">
        <f t="shared" ref="T177" si="864">S177/1000</f>
        <v>6.0669040938621599</v>
      </c>
    </row>
    <row r="178" spans="1:20" x14ac:dyDescent="0.25">
      <c r="A178" s="5">
        <v>44415</v>
      </c>
      <c r="B178">
        <v>6.8890000000000002</v>
      </c>
      <c r="C178">
        <v>7.18</v>
      </c>
      <c r="D178">
        <v>6.7009999999999996</v>
      </c>
      <c r="E178">
        <v>6.9359999999999999</v>
      </c>
      <c r="F178">
        <v>19450812.925000001</v>
      </c>
      <c r="G178">
        <v>6.9359999999999999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-1.8789144050103238E-2</v>
      </c>
      <c r="Q178">
        <f t="shared" ref="Q178" si="866">F178*P178</f>
        <v>-365464.12593943492</v>
      </c>
      <c r="R178">
        <f t="shared" ref="R178" si="867">R179+Q178</f>
        <v>616832596.59857738</v>
      </c>
      <c r="S178">
        <f t="shared" ref="S178" si="868">R178/100000</f>
        <v>6168.325965985774</v>
      </c>
      <c r="T178">
        <f t="shared" ref="T178" si="869">S178/1000</f>
        <v>6.1683259659857743</v>
      </c>
    </row>
    <row r="179" spans="1:20" x14ac:dyDescent="0.25">
      <c r="A179" s="5">
        <v>44414</v>
      </c>
      <c r="B179">
        <v>7.125</v>
      </c>
      <c r="C179">
        <v>7.29</v>
      </c>
      <c r="D179">
        <v>6.8449999999999998</v>
      </c>
      <c r="E179">
        <v>6.8869999999999996</v>
      </c>
      <c r="F179">
        <v>21340038.673</v>
      </c>
      <c r="G179">
        <v>6.8869999999999996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-0.81123595505618074</v>
      </c>
      <c r="Q179">
        <f t="shared" ref="Q179" si="871">F179*P179</f>
        <v>-17311806.653826986</v>
      </c>
      <c r="R179">
        <f t="shared" ref="R179" si="872">R180+Q179</f>
        <v>617198060.72451687</v>
      </c>
      <c r="S179">
        <f t="shared" ref="S179" si="873">R179/100000</f>
        <v>6171.9806072451684</v>
      </c>
      <c r="T179">
        <f t="shared" ref="T179" si="874">S179/1000</f>
        <v>6.1719806072451684</v>
      </c>
    </row>
    <row r="180" spans="1:20" x14ac:dyDescent="0.25">
      <c r="A180" s="5">
        <v>44413</v>
      </c>
      <c r="B180">
        <v>6.07</v>
      </c>
      <c r="C180">
        <v>7.2</v>
      </c>
      <c r="D180">
        <v>5.9560000000000004</v>
      </c>
      <c r="E180">
        <v>7.1349999999999998</v>
      </c>
      <c r="F180">
        <v>27249489.719000001</v>
      </c>
      <c r="G180">
        <v>7.1349999999999998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0.89549839228295758</v>
      </c>
      <c r="Q180">
        <f t="shared" ref="Q180" si="876">F180*P180</f>
        <v>24401874.233895481</v>
      </c>
      <c r="R180">
        <f t="shared" ref="R180" si="877">R181+Q180</f>
        <v>634509867.37834382</v>
      </c>
      <c r="S180">
        <f t="shared" ref="S180" si="878">R180/100000</f>
        <v>6345.0986737834382</v>
      </c>
      <c r="T180">
        <f t="shared" ref="T180" si="879">S180/1000</f>
        <v>6.3450986737834381</v>
      </c>
    </row>
    <row r="181" spans="1:20" x14ac:dyDescent="0.25">
      <c r="A181" s="5">
        <v>44412</v>
      </c>
      <c r="B181">
        <v>5.915</v>
      </c>
      <c r="C181">
        <v>6.19</v>
      </c>
      <c r="D181">
        <v>5.77</v>
      </c>
      <c r="E181">
        <v>6.069</v>
      </c>
      <c r="F181">
        <v>13551877.007999999</v>
      </c>
      <c r="G181">
        <v>6.069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0.42380952380952286</v>
      </c>
      <c r="Q181">
        <f t="shared" ref="Q181" si="881">F181*P181</f>
        <v>5743414.5414857008</v>
      </c>
      <c r="R181">
        <f t="shared" ref="R181" si="882">R182+Q181</f>
        <v>610107993.1444484</v>
      </c>
      <c r="S181">
        <f t="shared" ref="S181" si="883">R181/100000</f>
        <v>6101.0799314444839</v>
      </c>
      <c r="T181">
        <f t="shared" ref="T181" si="884">S181/1000</f>
        <v>6.1010799314444837</v>
      </c>
    </row>
    <row r="182" spans="1:20" x14ac:dyDescent="0.25">
      <c r="A182" s="5">
        <v>44411</v>
      </c>
      <c r="B182">
        <v>5.8259999999999996</v>
      </c>
      <c r="C182">
        <v>5.95</v>
      </c>
      <c r="D182">
        <v>5.548</v>
      </c>
      <c r="E182">
        <v>5.915</v>
      </c>
      <c r="F182">
        <v>13227060.676000001</v>
      </c>
      <c r="G182">
        <v>5.915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0.8258706467661685</v>
      </c>
      <c r="Q182">
        <f t="shared" ref="Q182" si="886">F182*P182</f>
        <v>10923841.155303475</v>
      </c>
      <c r="R182">
        <f t="shared" ref="R182" si="887">R183+Q182</f>
        <v>604364578.60296273</v>
      </c>
      <c r="S182">
        <f t="shared" ref="S182" si="888">R182/100000</f>
        <v>6043.6457860296277</v>
      </c>
      <c r="T182">
        <f t="shared" ref="T182" si="889">S182/1000</f>
        <v>6.0436457860296278</v>
      </c>
    </row>
    <row r="183" spans="1:20" x14ac:dyDescent="0.25">
      <c r="A183" s="5">
        <v>44410</v>
      </c>
      <c r="B183">
        <v>5.75</v>
      </c>
      <c r="C183">
        <v>5.9749999999999996</v>
      </c>
      <c r="D183">
        <v>5.6340000000000003</v>
      </c>
      <c r="E183">
        <v>5.8250000000000002</v>
      </c>
      <c r="F183">
        <v>12167373.152000001</v>
      </c>
      <c r="G183">
        <v>5.8250000000000002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0.12023460410557317</v>
      </c>
      <c r="Q183">
        <f t="shared" ref="Q183" si="891">F183*P183</f>
        <v>1462939.2939355001</v>
      </c>
      <c r="R183">
        <f t="shared" ref="R183" si="892">R184+Q183</f>
        <v>593440737.44765925</v>
      </c>
      <c r="S183">
        <f t="shared" ref="S183" si="893">R183/100000</f>
        <v>5934.4073744765928</v>
      </c>
      <c r="T183">
        <f t="shared" ref="T183" si="894">S183/1000</f>
        <v>5.9344073744765931</v>
      </c>
    </row>
    <row r="184" spans="1:20" x14ac:dyDescent="0.25">
      <c r="A184" s="5">
        <v>44409</v>
      </c>
      <c r="B184">
        <v>6.1</v>
      </c>
      <c r="C184">
        <v>6.29</v>
      </c>
      <c r="D184">
        <v>5.7</v>
      </c>
      <c r="E184">
        <v>5.75</v>
      </c>
      <c r="F184">
        <v>16643702.152000001</v>
      </c>
      <c r="G184">
        <v>5.75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-0.83050847457627175</v>
      </c>
      <c r="Q184">
        <f t="shared" ref="Q184" si="896">F184*P184</f>
        <v>-13822735.685559332</v>
      </c>
      <c r="R184">
        <f t="shared" ref="R184" si="897">R185+Q184</f>
        <v>591977798.15372372</v>
      </c>
      <c r="S184">
        <f t="shared" ref="S184" si="898">R184/100000</f>
        <v>5919.7779815372369</v>
      </c>
      <c r="T184">
        <f t="shared" ref="T184" si="899">S184/1000</f>
        <v>5.9197779815372371</v>
      </c>
    </row>
    <row r="185" spans="1:20" x14ac:dyDescent="0.25">
      <c r="A185" s="5">
        <v>44408</v>
      </c>
      <c r="B185">
        <v>5.9779999999999998</v>
      </c>
      <c r="C185">
        <v>6.2859999999999996</v>
      </c>
      <c r="D185">
        <v>5.79</v>
      </c>
      <c r="E185">
        <v>6.1020000000000003</v>
      </c>
      <c r="F185">
        <v>16200930.449999999</v>
      </c>
      <c r="G185">
        <v>6.1020000000000003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0.25806451612903453</v>
      </c>
      <c r="Q185">
        <f t="shared" ref="Q185" si="901">F185*P185</f>
        <v>4180885.2774193916</v>
      </c>
      <c r="R185">
        <f t="shared" ref="R185" si="902">R186+Q185</f>
        <v>605800533.83928299</v>
      </c>
      <c r="S185">
        <f t="shared" ref="S185" si="903">R185/100000</f>
        <v>6058.0053383928298</v>
      </c>
      <c r="T185">
        <f t="shared" ref="T185" si="904">S185/1000</f>
        <v>6.0580053383928298</v>
      </c>
    </row>
    <row r="186" spans="1:20" x14ac:dyDescent="0.25">
      <c r="A186" s="5">
        <v>44407</v>
      </c>
      <c r="B186">
        <v>6.0369999999999999</v>
      </c>
      <c r="C186">
        <v>6.12</v>
      </c>
      <c r="D186">
        <v>5.6609999999999996</v>
      </c>
      <c r="E186">
        <v>5.98</v>
      </c>
      <c r="F186">
        <v>15489435.153000001</v>
      </c>
      <c r="G186">
        <v>5.98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0.38997821350762735</v>
      </c>
      <c r="Q186">
        <f t="shared" ref="Q186" si="906">F186*P186</f>
        <v>6040542.2492091823</v>
      </c>
      <c r="R186">
        <f t="shared" ref="R186" si="907">R187+Q186</f>
        <v>601619648.56186354</v>
      </c>
      <c r="S186">
        <f t="shared" ref="S186" si="908">R186/100000</f>
        <v>6016.1964856186351</v>
      </c>
      <c r="T186">
        <f t="shared" ref="T186" si="909">S186/1000</f>
        <v>6.016196485618635</v>
      </c>
    </row>
    <row r="187" spans="1:20" x14ac:dyDescent="0.25">
      <c r="A187" s="5">
        <v>44406</v>
      </c>
      <c r="B187">
        <v>5.8049999999999997</v>
      </c>
      <c r="C187">
        <v>6.1079999999999997</v>
      </c>
      <c r="D187">
        <v>5.6369999999999996</v>
      </c>
      <c r="E187">
        <v>6.0359999999999996</v>
      </c>
      <c r="F187">
        <v>18494345.182</v>
      </c>
      <c r="G187">
        <v>6.0359999999999996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0.69426751592356661</v>
      </c>
      <c r="Q187">
        <f t="shared" ref="Q187" si="911">F187*P187</f>
        <v>12840023.088140123</v>
      </c>
      <c r="R187">
        <f t="shared" ref="R187" si="912">R188+Q187</f>
        <v>595579106.31265438</v>
      </c>
      <c r="S187">
        <f t="shared" ref="S187" si="913">R187/100000</f>
        <v>5955.791063126544</v>
      </c>
      <c r="T187">
        <f t="shared" ref="T187" si="914">S187/1000</f>
        <v>5.9557910631265436</v>
      </c>
    </row>
    <row r="188" spans="1:20" x14ac:dyDescent="0.25">
      <c r="A188" s="5">
        <v>44405</v>
      </c>
      <c r="B188">
        <v>5.97</v>
      </c>
      <c r="C188">
        <v>6.1890000000000001</v>
      </c>
      <c r="D188">
        <v>5.617</v>
      </c>
      <c r="E188">
        <v>5.8049999999999997</v>
      </c>
      <c r="F188">
        <v>24550083.978999998</v>
      </c>
      <c r="G188">
        <v>5.8049999999999997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-0.34265734265734371</v>
      </c>
      <c r="Q188">
        <f t="shared" ref="Q188" si="916">F188*P188</f>
        <v>-8412266.5382587668</v>
      </c>
      <c r="R188">
        <f t="shared" ref="R188" si="917">R189+Q188</f>
        <v>582739083.22451425</v>
      </c>
      <c r="S188">
        <f t="shared" ref="S188" si="918">R188/100000</f>
        <v>5827.3908322451425</v>
      </c>
      <c r="T188">
        <f t="shared" ref="T188" si="919">S188/1000</f>
        <v>5.8273908322451424</v>
      </c>
    </row>
    <row r="189" spans="1:20" x14ac:dyDescent="0.25">
      <c r="A189" s="5">
        <v>44404</v>
      </c>
      <c r="B189">
        <v>5.6379999999999999</v>
      </c>
      <c r="C189">
        <v>6.1219999999999999</v>
      </c>
      <c r="D189">
        <v>5.2869999999999999</v>
      </c>
      <c r="E189">
        <v>5.968</v>
      </c>
      <c r="F189">
        <v>30108823.859000001</v>
      </c>
      <c r="G189">
        <v>5.968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0.63113772455089834</v>
      </c>
      <c r="Q189">
        <f t="shared" ref="Q189" si="921">F189*P189</f>
        <v>19002814.57927306</v>
      </c>
      <c r="R189">
        <f t="shared" ref="R189" si="922">R190+Q189</f>
        <v>591151349.76277304</v>
      </c>
      <c r="S189">
        <f t="shared" ref="S189" si="923">R189/100000</f>
        <v>5911.5134976277304</v>
      </c>
      <c r="T189">
        <f t="shared" ref="T189" si="924">S189/1000</f>
        <v>5.9115134976277304</v>
      </c>
    </row>
    <row r="190" spans="1:20" x14ac:dyDescent="0.25">
      <c r="A190" s="5">
        <v>44403</v>
      </c>
      <c r="B190">
        <v>6.1260000000000003</v>
      </c>
      <c r="C190">
        <v>6.75</v>
      </c>
      <c r="D190">
        <v>5.5540000000000003</v>
      </c>
      <c r="E190">
        <v>5.6379999999999999</v>
      </c>
      <c r="F190">
        <v>40182588.862000003</v>
      </c>
      <c r="G190">
        <v>5.6379999999999999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-0.85953177257525137</v>
      </c>
      <c r="Q190">
        <f t="shared" ref="Q190" si="926">F190*P190</f>
        <v>-34538211.831217416</v>
      </c>
      <c r="R190">
        <f t="shared" ref="R190" si="927">R191+Q190</f>
        <v>572148535.18349993</v>
      </c>
      <c r="S190">
        <f t="shared" ref="S190" si="928">R190/100000</f>
        <v>5721.4853518349992</v>
      </c>
      <c r="T190">
        <f t="shared" ref="T190" si="929">S190/1000</f>
        <v>5.7214853518349988</v>
      </c>
    </row>
    <row r="191" spans="1:20" x14ac:dyDescent="0.25">
      <c r="A191" s="5">
        <v>44402</v>
      </c>
      <c r="B191">
        <v>5.6079999999999997</v>
      </c>
      <c r="C191">
        <v>6.5650000000000004</v>
      </c>
      <c r="D191">
        <v>5.4640000000000004</v>
      </c>
      <c r="E191">
        <v>6.1269999999999998</v>
      </c>
      <c r="F191">
        <v>46371051.693000004</v>
      </c>
      <c r="G191">
        <v>6.1269999999999998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0.20435967302452204</v>
      </c>
      <c r="Q191">
        <f t="shared" ref="Q191" si="931">F191*P191</f>
        <v>9476372.9617846906</v>
      </c>
      <c r="R191">
        <f t="shared" ref="R191" si="932">R192+Q191</f>
        <v>606686747.01471734</v>
      </c>
      <c r="S191">
        <f t="shared" ref="S191" si="933">R191/100000</f>
        <v>6066.8674701471737</v>
      </c>
      <c r="T191">
        <f t="shared" ref="T191:T197" si="934">S191/1000</f>
        <v>6.0668674701471739</v>
      </c>
    </row>
    <row r="192" spans="1:20" x14ac:dyDescent="0.25">
      <c r="A192" s="5">
        <v>44401</v>
      </c>
      <c r="B192">
        <v>5.0129999999999999</v>
      </c>
      <c r="C192">
        <v>5.7679999999999998</v>
      </c>
      <c r="D192">
        <v>4.8819999999999997</v>
      </c>
      <c r="E192">
        <v>5.6079999999999997</v>
      </c>
      <c r="F192">
        <v>33023527.035</v>
      </c>
      <c r="G192">
        <v>5.6079999999999997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0.63882618510157985</v>
      </c>
      <c r="Q192">
        <f t="shared" ref="Q192" si="936">F192*P192</f>
        <v>21096293.794367936</v>
      </c>
      <c r="R192">
        <f t="shared" ref="R192" si="937">R193+Q192</f>
        <v>597210374.05293262</v>
      </c>
      <c r="S192">
        <f t="shared" ref="S192" si="938">R192/100000</f>
        <v>5972.1037405293264</v>
      </c>
      <c r="T192">
        <f t="shared" si="934"/>
        <v>5.9721037405293265</v>
      </c>
    </row>
    <row r="193" spans="1:20" x14ac:dyDescent="0.25">
      <c r="A193" s="5">
        <v>44400</v>
      </c>
      <c r="B193">
        <v>4.8419999999999996</v>
      </c>
      <c r="C193">
        <v>5.05</v>
      </c>
      <c r="D193">
        <v>4.5039999999999996</v>
      </c>
      <c r="E193">
        <v>5.0129999999999999</v>
      </c>
      <c r="F193">
        <v>21708281.991</v>
      </c>
      <c r="G193">
        <v>5.0129999999999999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0.86446886446886484</v>
      </c>
      <c r="Q193">
        <f t="shared" ref="Q193" si="940">F193*P193</f>
        <v>18766133.88232968</v>
      </c>
      <c r="R193">
        <f t="shared" ref="R193" si="941">R194+Q193</f>
        <v>576114080.25856471</v>
      </c>
      <c r="S193">
        <f t="shared" ref="S193" si="942">R193/100000</f>
        <v>5761.1408025856472</v>
      </c>
      <c r="T193">
        <f t="shared" si="934"/>
        <v>5.761140802585647</v>
      </c>
    </row>
    <row r="194" spans="1:20" x14ac:dyDescent="0.25">
      <c r="A194" s="5">
        <v>44399</v>
      </c>
      <c r="B194">
        <v>4.4160000000000004</v>
      </c>
      <c r="C194">
        <v>4.9459999999999997</v>
      </c>
      <c r="D194">
        <v>4.2229999999999999</v>
      </c>
      <c r="E194">
        <v>4.8419999999999996</v>
      </c>
      <c r="F194">
        <v>23512841.655999999</v>
      </c>
      <c r="G194">
        <v>4.8419999999999996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0.71230982019363731</v>
      </c>
      <c r="Q194">
        <f t="shared" ref="Q194" si="944">F194*P194</f>
        <v>16748428.012226826</v>
      </c>
      <c r="R194">
        <f t="shared" ref="R194" si="945">R195+Q194</f>
        <v>557347946.37623501</v>
      </c>
      <c r="S194">
        <f t="shared" ref="S194" si="946">R194/100000</f>
        <v>5573.47946376235</v>
      </c>
      <c r="T194">
        <f t="shared" si="934"/>
        <v>5.5734794637623502</v>
      </c>
    </row>
    <row r="195" spans="1:20" x14ac:dyDescent="0.25">
      <c r="A195" s="5">
        <v>44398</v>
      </c>
      <c r="B195">
        <v>3.66</v>
      </c>
      <c r="C195">
        <v>4.5990000000000002</v>
      </c>
      <c r="D195">
        <v>3.5449999999999999</v>
      </c>
      <c r="E195">
        <v>4.4180000000000001</v>
      </c>
      <c r="F195">
        <v>25734829.125999998</v>
      </c>
      <c r="G195">
        <v>4.4180000000000001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0.65654648956356731</v>
      </c>
      <c r="Q195">
        <f t="shared" ref="Q195" si="948">F195*P195</f>
        <v>16896111.722193547</v>
      </c>
      <c r="R195">
        <f t="shared" ref="R195" si="949">R196+Q195</f>
        <v>540599518.36400819</v>
      </c>
      <c r="S195">
        <f t="shared" ref="S195" si="950">R195/100000</f>
        <v>5405.9951836400814</v>
      </c>
      <c r="T195">
        <f t="shared" si="934"/>
        <v>5.4059951836400817</v>
      </c>
    </row>
    <row r="196" spans="1:20" x14ac:dyDescent="0.25">
      <c r="A196" s="5">
        <v>44397</v>
      </c>
      <c r="B196">
        <v>4.0720000000000001</v>
      </c>
      <c r="C196">
        <v>4.1829999999999998</v>
      </c>
      <c r="D196">
        <v>3.4950000000000001</v>
      </c>
      <c r="E196">
        <v>3.6579999999999999</v>
      </c>
      <c r="F196">
        <v>25446088.452</v>
      </c>
      <c r="G196">
        <v>3.6579999999999999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-0.5261627906976748</v>
      </c>
      <c r="Q196">
        <f t="shared" ref="Q196" si="952">F196*P196</f>
        <v>-13388784.912244195</v>
      </c>
      <c r="R196">
        <f t="shared" ref="R196" si="953">R197+Q196</f>
        <v>523703406.64181459</v>
      </c>
      <c r="S196">
        <f t="shared" ref="S196" si="954">R196/100000</f>
        <v>5237.0340664181458</v>
      </c>
      <c r="T196">
        <f t="shared" si="934"/>
        <v>5.2370340664181461</v>
      </c>
    </row>
    <row r="197" spans="1:20" x14ac:dyDescent="0.25">
      <c r="A197" s="5">
        <v>44396</v>
      </c>
      <c r="B197">
        <v>4.4340000000000002</v>
      </c>
      <c r="C197">
        <v>4.4630000000000001</v>
      </c>
      <c r="D197">
        <v>3.964</v>
      </c>
      <c r="E197">
        <v>4.0709999999999997</v>
      </c>
      <c r="F197">
        <v>16470193.674000001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-0.57114228456913929</v>
      </c>
      <c r="Q197">
        <f t="shared" ref="Q197" si="956">F197*P197</f>
        <v>-9406824.0422645453</v>
      </c>
      <c r="R197">
        <f t="shared" ref="R197" si="957">R198+Q197</f>
        <v>537092191.55405879</v>
      </c>
      <c r="S197">
        <f t="shared" ref="S197" si="958">R197/100000</f>
        <v>5370.9219155405881</v>
      </c>
      <c r="T197">
        <f t="shared" si="934"/>
        <v>5.3709219155405883</v>
      </c>
    </row>
    <row r="198" spans="1:20" x14ac:dyDescent="0.25">
      <c r="A198" s="5">
        <v>44395</v>
      </c>
      <c r="B198">
        <v>4.4370000000000003</v>
      </c>
      <c r="C198">
        <v>4.6260000000000003</v>
      </c>
      <c r="D198">
        <v>4.3289999999999997</v>
      </c>
      <c r="E198">
        <v>4.4329999999999998</v>
      </c>
      <c r="F198">
        <v>14128693.267999999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-0.29966329966330046</v>
      </c>
      <c r="Q198">
        <f t="shared" ref="Q198:Q261" si="960">F198*P198</f>
        <v>-4233850.8446195396</v>
      </c>
      <c r="R198">
        <f t="shared" ref="R198:R261" si="961">R199+Q198</f>
        <v>546499015.59632337</v>
      </c>
      <c r="S198">
        <f t="shared" ref="S198:S261" si="962">R198/100000</f>
        <v>5464.9901559632335</v>
      </c>
      <c r="T198">
        <f t="shared" ref="T198:T261" si="963">S198/1000</f>
        <v>5.4649901559632337</v>
      </c>
    </row>
    <row r="199" spans="1:20" x14ac:dyDescent="0.25">
      <c r="A199" s="5">
        <v>44394</v>
      </c>
      <c r="B199">
        <v>4.415</v>
      </c>
      <c r="C199">
        <v>4.6440000000000001</v>
      </c>
      <c r="D199">
        <v>4.3209999999999997</v>
      </c>
      <c r="E199">
        <v>4.4370000000000003</v>
      </c>
      <c r="F199">
        <v>16297418.581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-0.28173374613002844</v>
      </c>
      <c r="Q199">
        <f t="shared" si="960"/>
        <v>-4591532.7890742626</v>
      </c>
      <c r="R199">
        <f t="shared" si="961"/>
        <v>550732866.44094288</v>
      </c>
      <c r="S199">
        <f t="shared" si="962"/>
        <v>5507.3286644094287</v>
      </c>
      <c r="T199">
        <f t="shared" si="963"/>
        <v>5.507328664409429</v>
      </c>
    </row>
    <row r="200" spans="1:20" x14ac:dyDescent="0.25">
      <c r="A200" s="5">
        <v>44393</v>
      </c>
      <c r="B200">
        <v>4.875</v>
      </c>
      <c r="C200">
        <v>4.9729999999999999</v>
      </c>
      <c r="D200">
        <v>4.375</v>
      </c>
      <c r="E200">
        <v>4.4160000000000004</v>
      </c>
      <c r="F200">
        <v>18055721.719000001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-0.86287625418060077</v>
      </c>
      <c r="Q200">
        <f t="shared" si="960"/>
        <v>-15579853.523418039</v>
      </c>
      <c r="R200">
        <f t="shared" si="961"/>
        <v>555324399.23001719</v>
      </c>
      <c r="S200">
        <f t="shared" si="962"/>
        <v>5553.2439923001721</v>
      </c>
      <c r="T200">
        <f t="shared" si="963"/>
        <v>5.553243992300172</v>
      </c>
    </row>
    <row r="201" spans="1:20" x14ac:dyDescent="0.25">
      <c r="A201" s="5">
        <v>44392</v>
      </c>
      <c r="B201">
        <v>5.1660000000000004</v>
      </c>
      <c r="C201">
        <v>5.2370000000000001</v>
      </c>
      <c r="D201">
        <v>4.7350000000000003</v>
      </c>
      <c r="E201">
        <v>4.8760000000000003</v>
      </c>
      <c r="F201">
        <v>14370516.438999999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-0.43824701195219096</v>
      </c>
      <c r="Q201">
        <f t="shared" si="960"/>
        <v>-6297835.8896015892</v>
      </c>
      <c r="R201">
        <f t="shared" si="961"/>
        <v>570904252.75343525</v>
      </c>
      <c r="S201">
        <f t="shared" si="962"/>
        <v>5709.0425275343523</v>
      </c>
      <c r="T201">
        <f t="shared" si="963"/>
        <v>5.7090425275343524</v>
      </c>
    </row>
    <row r="202" spans="1:20" x14ac:dyDescent="0.25">
      <c r="A202" s="5">
        <v>44391</v>
      </c>
      <c r="B202">
        <v>5.2839999999999998</v>
      </c>
      <c r="C202">
        <v>5.2949999999999999</v>
      </c>
      <c r="D202">
        <v>4.71</v>
      </c>
      <c r="E202">
        <v>5.1660000000000004</v>
      </c>
      <c r="F202">
        <v>17499206.684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0.55897435897436043</v>
      </c>
      <c r="Q202">
        <f t="shared" si="960"/>
        <v>9781607.8387487438</v>
      </c>
      <c r="R202">
        <f t="shared" si="961"/>
        <v>577202088.64303684</v>
      </c>
      <c r="S202">
        <f t="shared" si="962"/>
        <v>5772.0208864303686</v>
      </c>
      <c r="T202">
        <f t="shared" si="963"/>
        <v>5.7720208864303686</v>
      </c>
    </row>
    <row r="203" spans="1:20" x14ac:dyDescent="0.25">
      <c r="A203" s="5">
        <v>44390</v>
      </c>
      <c r="B203">
        <v>5.5590000000000002</v>
      </c>
      <c r="C203">
        <v>5.5789999999999997</v>
      </c>
      <c r="D203">
        <v>5.2050000000000001</v>
      </c>
      <c r="E203">
        <v>5.2839999999999998</v>
      </c>
      <c r="F203">
        <v>11995418.624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-0.57754010695187263</v>
      </c>
      <c r="Q203">
        <f t="shared" si="960"/>
        <v>-6927835.3550374452</v>
      </c>
      <c r="R203">
        <f t="shared" si="961"/>
        <v>567420480.80428815</v>
      </c>
      <c r="S203">
        <f t="shared" si="962"/>
        <v>5674.2048080428813</v>
      </c>
      <c r="T203">
        <f t="shared" si="963"/>
        <v>5.6742048080428811</v>
      </c>
    </row>
    <row r="204" spans="1:20" x14ac:dyDescent="0.25">
      <c r="A204" s="5">
        <v>44389</v>
      </c>
      <c r="B204">
        <v>5.94</v>
      </c>
      <c r="C204">
        <v>5.9960000000000004</v>
      </c>
      <c r="D204">
        <v>5.44</v>
      </c>
      <c r="E204">
        <v>5.56</v>
      </c>
      <c r="F204">
        <v>11102358.282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-0.56834532374100999</v>
      </c>
      <c r="Q204">
        <f t="shared" si="960"/>
        <v>-6309973.4120719731</v>
      </c>
      <c r="R204">
        <f t="shared" si="961"/>
        <v>574348316.1593256</v>
      </c>
      <c r="S204">
        <f t="shared" si="962"/>
        <v>5743.4831615932562</v>
      </c>
      <c r="T204">
        <f t="shared" si="963"/>
        <v>5.7434831615932564</v>
      </c>
    </row>
    <row r="205" spans="1:20" x14ac:dyDescent="0.25">
      <c r="A205" s="5">
        <v>44388</v>
      </c>
      <c r="B205">
        <v>5.899</v>
      </c>
      <c r="C205">
        <v>6</v>
      </c>
      <c r="D205">
        <v>5.7359999999999998</v>
      </c>
      <c r="E205">
        <v>5.94</v>
      </c>
      <c r="F205">
        <v>7609740.858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0.54545454545454886</v>
      </c>
      <c r="Q205">
        <f t="shared" si="960"/>
        <v>4150767.7407272984</v>
      </c>
      <c r="R205">
        <f t="shared" si="961"/>
        <v>580658289.57139754</v>
      </c>
      <c r="S205">
        <f t="shared" si="962"/>
        <v>5806.5828957139756</v>
      </c>
      <c r="T205">
        <f t="shared" si="963"/>
        <v>5.8065828957139756</v>
      </c>
    </row>
    <row r="206" spans="1:20" x14ac:dyDescent="0.25">
      <c r="A206" s="5">
        <v>44387</v>
      </c>
      <c r="B206">
        <v>6.069</v>
      </c>
      <c r="C206">
        <v>6.2039999999999997</v>
      </c>
      <c r="D206">
        <v>5.7750000000000004</v>
      </c>
      <c r="E206">
        <v>5.9</v>
      </c>
      <c r="F206">
        <v>8871272.1799999997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-0.41724941724941639</v>
      </c>
      <c r="Q206">
        <f t="shared" si="960"/>
        <v>-3701533.1473659598</v>
      </c>
      <c r="R206">
        <f t="shared" si="961"/>
        <v>576507521.83067024</v>
      </c>
      <c r="S206">
        <f t="shared" si="962"/>
        <v>5765.0752183067025</v>
      </c>
      <c r="T206">
        <f t="shared" si="963"/>
        <v>5.7650752183067029</v>
      </c>
    </row>
    <row r="207" spans="1:20" x14ac:dyDescent="0.25">
      <c r="A207" s="5">
        <v>44386</v>
      </c>
      <c r="B207">
        <v>6.1360000000000001</v>
      </c>
      <c r="C207">
        <v>6.1989999999999998</v>
      </c>
      <c r="D207">
        <v>5.7220000000000004</v>
      </c>
      <c r="E207">
        <v>6.069</v>
      </c>
      <c r="F207">
        <v>13974359.648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0.45492662473794526</v>
      </c>
      <c r="Q207">
        <f t="shared" si="960"/>
        <v>6357308.2675387813</v>
      </c>
      <c r="R207">
        <f t="shared" si="961"/>
        <v>580209054.97803617</v>
      </c>
      <c r="S207">
        <f t="shared" si="962"/>
        <v>5802.0905497803615</v>
      </c>
      <c r="T207">
        <f t="shared" si="963"/>
        <v>5.8020905497803614</v>
      </c>
    </row>
    <row r="208" spans="1:20" x14ac:dyDescent="0.25">
      <c r="A208" s="5">
        <v>44385</v>
      </c>
      <c r="B208">
        <v>6.3680000000000003</v>
      </c>
      <c r="C208">
        <v>6.8289999999999997</v>
      </c>
      <c r="D208">
        <v>6.01</v>
      </c>
      <c r="E208">
        <v>6.1369999999999996</v>
      </c>
      <c r="F208">
        <v>30205730.919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-0.68986568986569041</v>
      </c>
      <c r="Q208">
        <f t="shared" si="960"/>
        <v>-20837897.398333348</v>
      </c>
      <c r="R208">
        <f t="shared" si="961"/>
        <v>573851746.71049738</v>
      </c>
      <c r="S208">
        <f t="shared" si="962"/>
        <v>5738.5174671049735</v>
      </c>
      <c r="T208">
        <f t="shared" si="963"/>
        <v>5.7385174671049732</v>
      </c>
    </row>
    <row r="209" spans="1:20" x14ac:dyDescent="0.25">
      <c r="A209" s="5">
        <v>44384</v>
      </c>
      <c r="B209">
        <v>6.1230000000000002</v>
      </c>
      <c r="C209">
        <v>6.6550000000000002</v>
      </c>
      <c r="D209">
        <v>6.0359999999999996</v>
      </c>
      <c r="E209">
        <v>6.3689999999999998</v>
      </c>
      <c r="F209">
        <v>14545828.571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7.5928917609046298E-2</v>
      </c>
      <c r="Q209">
        <f t="shared" si="960"/>
        <v>1104449.0191227708</v>
      </c>
      <c r="R209">
        <f t="shared" si="961"/>
        <v>594689644.10883069</v>
      </c>
      <c r="S209">
        <f t="shared" si="962"/>
        <v>5946.8964410883073</v>
      </c>
      <c r="T209">
        <f t="shared" si="963"/>
        <v>5.946896441088307</v>
      </c>
    </row>
    <row r="210" spans="1:20" x14ac:dyDescent="0.25">
      <c r="A210" s="5">
        <v>44383</v>
      </c>
      <c r="B210">
        <v>5.94</v>
      </c>
      <c r="C210">
        <v>6.266</v>
      </c>
      <c r="D210">
        <v>5.9370000000000003</v>
      </c>
      <c r="E210">
        <v>6.1230000000000002</v>
      </c>
      <c r="F210">
        <v>9934977.6760000009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0.1306990881458972</v>
      </c>
      <c r="Q210">
        <f t="shared" si="960"/>
        <v>1298492.523003045</v>
      </c>
      <c r="R210">
        <f t="shared" si="961"/>
        <v>593585195.08970797</v>
      </c>
      <c r="S210">
        <f t="shared" si="962"/>
        <v>5935.8519508970794</v>
      </c>
      <c r="T210">
        <f t="shared" si="963"/>
        <v>5.9358519508970797</v>
      </c>
    </row>
    <row r="211" spans="1:20" x14ac:dyDescent="0.25">
      <c r="A211" s="5">
        <v>44382</v>
      </c>
      <c r="B211">
        <v>6.3390000000000004</v>
      </c>
      <c r="C211">
        <v>6.4429999999999996</v>
      </c>
      <c r="D211">
        <v>5.8639999999999999</v>
      </c>
      <c r="E211">
        <v>5.9379999999999997</v>
      </c>
      <c r="F211">
        <v>11315966.899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-0.74438687392055314</v>
      </c>
      <c r="Q211">
        <f t="shared" si="960"/>
        <v>-8423457.2253350653</v>
      </c>
      <c r="R211">
        <f t="shared" si="961"/>
        <v>592286702.56670487</v>
      </c>
      <c r="S211">
        <f t="shared" si="962"/>
        <v>5922.8670256670484</v>
      </c>
      <c r="T211">
        <f t="shared" si="963"/>
        <v>5.9228670256670481</v>
      </c>
    </row>
    <row r="212" spans="1:20" x14ac:dyDescent="0.25">
      <c r="A212" s="5">
        <v>44381</v>
      </c>
      <c r="B212">
        <v>6.2729999999999997</v>
      </c>
      <c r="C212">
        <v>6.5579999999999998</v>
      </c>
      <c r="D212">
        <v>6.0380000000000003</v>
      </c>
      <c r="E212">
        <v>6.34</v>
      </c>
      <c r="F212">
        <v>9139723.5109999999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0.16153846153846096</v>
      </c>
      <c r="Q212">
        <f t="shared" si="960"/>
        <v>1476416.8748538408</v>
      </c>
      <c r="R212">
        <f t="shared" si="961"/>
        <v>600710159.79203999</v>
      </c>
      <c r="S212">
        <f t="shared" si="962"/>
        <v>6007.1015979204003</v>
      </c>
      <c r="T212">
        <f t="shared" si="963"/>
        <v>6.0071015979203999</v>
      </c>
    </row>
    <row r="213" spans="1:20" x14ac:dyDescent="0.25">
      <c r="A213" s="5">
        <v>44380</v>
      </c>
      <c r="B213">
        <v>6.242</v>
      </c>
      <c r="C213">
        <v>6.351</v>
      </c>
      <c r="D213">
        <v>6.0279999999999996</v>
      </c>
      <c r="E213">
        <v>6.2720000000000002</v>
      </c>
      <c r="F213">
        <v>7213778.7719999999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0.51083591331269573</v>
      </c>
      <c r="Q213">
        <f t="shared" si="960"/>
        <v>3685057.2674303567</v>
      </c>
      <c r="R213">
        <f t="shared" si="961"/>
        <v>599233742.91718614</v>
      </c>
      <c r="S213">
        <f t="shared" si="962"/>
        <v>5992.337429171861</v>
      </c>
      <c r="T213">
        <f t="shared" si="963"/>
        <v>5.9923374291718607</v>
      </c>
    </row>
    <row r="214" spans="1:20" x14ac:dyDescent="0.25">
      <c r="A214" s="5">
        <v>44379</v>
      </c>
      <c r="B214">
        <v>6.2969999999999997</v>
      </c>
      <c r="C214">
        <v>6.3959999999999999</v>
      </c>
      <c r="D214">
        <v>5.76</v>
      </c>
      <c r="E214">
        <v>6.2430000000000003</v>
      </c>
      <c r="F214">
        <v>14329348.328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0.51886792452830333</v>
      </c>
      <c r="Q214">
        <f t="shared" si="960"/>
        <v>7435039.2267924733</v>
      </c>
      <c r="R214">
        <f t="shared" si="961"/>
        <v>595548685.64975584</v>
      </c>
      <c r="S214">
        <f t="shared" si="962"/>
        <v>5955.4868564975586</v>
      </c>
      <c r="T214">
        <f t="shared" si="963"/>
        <v>5.9554868564975587</v>
      </c>
    </row>
    <row r="215" spans="1:20" x14ac:dyDescent="0.25">
      <c r="A215" s="5">
        <v>44378</v>
      </c>
      <c r="B215">
        <v>6.9160000000000004</v>
      </c>
      <c r="C215">
        <v>6.9169999999999998</v>
      </c>
      <c r="D215">
        <v>6.1269999999999998</v>
      </c>
      <c r="E215">
        <v>6.2969999999999997</v>
      </c>
      <c r="F215">
        <v>13570689.597999999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-0.56962025316455711</v>
      </c>
      <c r="Q215">
        <f t="shared" si="960"/>
        <v>-7730139.6444303812</v>
      </c>
      <c r="R215">
        <f t="shared" si="961"/>
        <v>588113646.42296338</v>
      </c>
      <c r="S215">
        <f t="shared" si="962"/>
        <v>5881.1364642296339</v>
      </c>
      <c r="T215">
        <f t="shared" si="963"/>
        <v>5.881136464229634</v>
      </c>
    </row>
    <row r="216" spans="1:20" x14ac:dyDescent="0.25">
      <c r="A216" s="5">
        <v>44377</v>
      </c>
      <c r="B216">
        <v>7.1230000000000002</v>
      </c>
      <c r="C216">
        <v>7.27</v>
      </c>
      <c r="D216">
        <v>6.4249999999999998</v>
      </c>
      <c r="E216">
        <v>6.9169999999999998</v>
      </c>
      <c r="F216">
        <v>15194716.189999999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0.16449704142011867</v>
      </c>
      <c r="Q216">
        <f t="shared" si="960"/>
        <v>2499485.8584733778</v>
      </c>
      <c r="R216">
        <f t="shared" si="961"/>
        <v>595843786.06739378</v>
      </c>
      <c r="S216">
        <f t="shared" si="962"/>
        <v>5958.4378606739374</v>
      </c>
      <c r="T216">
        <f t="shared" si="963"/>
        <v>5.9584378606739374</v>
      </c>
    </row>
    <row r="217" spans="1:20" x14ac:dyDescent="0.25">
      <c r="A217" s="5">
        <v>44376</v>
      </c>
      <c r="B217">
        <v>6.93</v>
      </c>
      <c r="C217">
        <v>7.4</v>
      </c>
      <c r="D217">
        <v>6.88</v>
      </c>
      <c r="E217">
        <v>7.1219999999999999</v>
      </c>
      <c r="F217">
        <v>13815154.313999999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-6.9230769230770081E-2</v>
      </c>
      <c r="Q217">
        <f t="shared" si="960"/>
        <v>-956433.76020001166</v>
      </c>
      <c r="R217">
        <f t="shared" si="961"/>
        <v>593344300.20892036</v>
      </c>
      <c r="S217">
        <f t="shared" si="962"/>
        <v>5933.4430020892032</v>
      </c>
      <c r="T217">
        <f t="shared" si="963"/>
        <v>5.9334430020892031</v>
      </c>
    </row>
    <row r="218" spans="1:20" x14ac:dyDescent="0.25">
      <c r="A218" s="5">
        <v>44375</v>
      </c>
      <c r="B218">
        <v>6.92</v>
      </c>
      <c r="C218">
        <v>7.1429999999999998</v>
      </c>
      <c r="D218">
        <v>6.71</v>
      </c>
      <c r="E218">
        <v>6.9290000000000003</v>
      </c>
      <c r="F218">
        <v>12973736.213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1.1547344110856313E-2</v>
      </c>
      <c r="Q218">
        <f t="shared" si="960"/>
        <v>149812.19645498882</v>
      </c>
      <c r="R218">
        <f t="shared" si="961"/>
        <v>594300733.96912038</v>
      </c>
      <c r="S218">
        <f t="shared" si="962"/>
        <v>5943.0073396912039</v>
      </c>
      <c r="T218">
        <f t="shared" si="963"/>
        <v>5.9430073396912038</v>
      </c>
    </row>
    <row r="219" spans="1:20" x14ac:dyDescent="0.25">
      <c r="A219" s="5">
        <v>44374</v>
      </c>
      <c r="B219">
        <v>6.5609999999999999</v>
      </c>
      <c r="C219">
        <v>6.9290000000000003</v>
      </c>
      <c r="D219">
        <v>6.3490000000000002</v>
      </c>
      <c r="E219">
        <v>6.9180000000000001</v>
      </c>
      <c r="F219">
        <v>13244026.364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0.96206896551724097</v>
      </c>
      <c r="Q219">
        <f t="shared" si="960"/>
        <v>12741666.743296547</v>
      </c>
      <c r="R219">
        <f t="shared" si="961"/>
        <v>594150921.77266538</v>
      </c>
      <c r="S219">
        <f t="shared" si="962"/>
        <v>5941.5092177266542</v>
      </c>
      <c r="T219">
        <f t="shared" si="963"/>
        <v>5.9415092177266544</v>
      </c>
    </row>
    <row r="220" spans="1:20" x14ac:dyDescent="0.25">
      <c r="A220" s="5">
        <v>44373</v>
      </c>
      <c r="B220">
        <v>6.6749999999999998</v>
      </c>
      <c r="C220">
        <v>6.9340000000000002</v>
      </c>
      <c r="D220">
        <v>6.1189999999999998</v>
      </c>
      <c r="E220">
        <v>6.5570000000000004</v>
      </c>
      <c r="F220">
        <v>17847845.795000002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7.4846625766872149E-2</v>
      </c>
      <c r="Q220">
        <f t="shared" si="960"/>
        <v>1335851.0349632078</v>
      </c>
      <c r="R220">
        <f t="shared" si="961"/>
        <v>581409255.02936888</v>
      </c>
      <c r="S220">
        <f t="shared" si="962"/>
        <v>5814.0925502936889</v>
      </c>
      <c r="T220">
        <f t="shared" si="963"/>
        <v>5.8140925502936884</v>
      </c>
    </row>
    <row r="221" spans="1:20" x14ac:dyDescent="0.25">
      <c r="A221" s="5">
        <v>44372</v>
      </c>
      <c r="B221">
        <v>7.3040000000000003</v>
      </c>
      <c r="C221">
        <v>7.4459999999999997</v>
      </c>
      <c r="D221">
        <v>6.3689999999999998</v>
      </c>
      <c r="E221">
        <v>6.6769999999999996</v>
      </c>
      <c r="F221">
        <v>20189784.307999998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-0.42804085422469851</v>
      </c>
      <c r="Q221">
        <f t="shared" si="960"/>
        <v>-8642052.5218087323</v>
      </c>
      <c r="R221">
        <f t="shared" si="961"/>
        <v>580073403.99440563</v>
      </c>
      <c r="S221">
        <f t="shared" si="962"/>
        <v>5800.7340399440563</v>
      </c>
      <c r="T221">
        <f t="shared" si="963"/>
        <v>5.8007340399440563</v>
      </c>
    </row>
    <row r="222" spans="1:20" x14ac:dyDescent="0.25">
      <c r="A222" s="5">
        <v>44371</v>
      </c>
      <c r="B222">
        <v>6.92</v>
      </c>
      <c r="C222">
        <v>7.3360000000000003</v>
      </c>
      <c r="D222">
        <v>6.6020000000000003</v>
      </c>
      <c r="E222">
        <v>7.3040000000000003</v>
      </c>
      <c r="F222">
        <v>17848905.41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0.91280653950953672</v>
      </c>
      <c r="Q222">
        <f t="shared" si="960"/>
        <v>16292597.58133515</v>
      </c>
      <c r="R222">
        <f t="shared" si="961"/>
        <v>588715456.51621437</v>
      </c>
      <c r="S222">
        <f t="shared" si="962"/>
        <v>5887.1545651621436</v>
      </c>
      <c r="T222">
        <f t="shared" si="963"/>
        <v>5.8871545651621435</v>
      </c>
    </row>
    <row r="223" spans="1:20" x14ac:dyDescent="0.25">
      <c r="A223" s="5">
        <v>44370</v>
      </c>
      <c r="B223">
        <v>6.4889999999999999</v>
      </c>
      <c r="C223">
        <v>7.5259999999999998</v>
      </c>
      <c r="D223">
        <v>6.0679999999999996</v>
      </c>
      <c r="E223">
        <v>6.9180000000000001</v>
      </c>
      <c r="F223">
        <v>26825020.015000001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0.16598079561042584</v>
      </c>
      <c r="Q223">
        <f t="shared" si="960"/>
        <v>4452438.1643552976</v>
      </c>
      <c r="R223">
        <f t="shared" si="961"/>
        <v>572422858.93487918</v>
      </c>
      <c r="S223">
        <f t="shared" si="962"/>
        <v>5724.2285893487915</v>
      </c>
      <c r="T223">
        <f t="shared" si="963"/>
        <v>5.7242285893487912</v>
      </c>
    </row>
    <row r="224" spans="1:20" x14ac:dyDescent="0.25">
      <c r="A224" s="5">
        <v>44369</v>
      </c>
      <c r="B224">
        <v>6.5220000000000002</v>
      </c>
      <c r="C224">
        <v>7.2990000000000004</v>
      </c>
      <c r="D224">
        <v>5.24</v>
      </c>
      <c r="E224">
        <v>6.4880000000000004</v>
      </c>
      <c r="F224">
        <v>40243062.726000004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0.2122389509470618</v>
      </c>
      <c r="Q224">
        <f t="shared" si="960"/>
        <v>8541145.4158630464</v>
      </c>
      <c r="R224">
        <f t="shared" si="961"/>
        <v>567970420.77052391</v>
      </c>
      <c r="S224">
        <f t="shared" si="962"/>
        <v>5679.7042077052392</v>
      </c>
      <c r="T224">
        <f t="shared" si="963"/>
        <v>5.6797042077052389</v>
      </c>
    </row>
    <row r="225" spans="1:20" x14ac:dyDescent="0.25">
      <c r="A225" s="5">
        <v>44368</v>
      </c>
      <c r="B225">
        <v>8.6989999999999998</v>
      </c>
      <c r="C225">
        <v>8.7870000000000008</v>
      </c>
      <c r="D225">
        <v>6.4770000000000003</v>
      </c>
      <c r="E225">
        <v>6.5179999999999998</v>
      </c>
      <c r="F225">
        <v>21620399.054000001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-0.96450216450216497</v>
      </c>
      <c r="Q225">
        <f t="shared" si="960"/>
        <v>-20852921.684983563</v>
      </c>
      <c r="R225">
        <f t="shared" si="961"/>
        <v>559429275.35466087</v>
      </c>
      <c r="S225">
        <f t="shared" si="962"/>
        <v>5594.2927535466088</v>
      </c>
      <c r="T225">
        <f t="shared" si="963"/>
        <v>5.5942927535466085</v>
      </c>
    </row>
    <row r="226" spans="1:20" x14ac:dyDescent="0.25">
      <c r="A226" s="5">
        <v>44367</v>
      </c>
      <c r="B226">
        <v>8.8079999999999998</v>
      </c>
      <c r="C226">
        <v>8.8979999999999997</v>
      </c>
      <c r="D226">
        <v>8.0500000000000007</v>
      </c>
      <c r="E226">
        <v>8.6999999999999993</v>
      </c>
      <c r="F226">
        <v>10442100.289999999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0.5330188679245268</v>
      </c>
      <c r="Q226">
        <f t="shared" si="960"/>
        <v>5565836.4753301721</v>
      </c>
      <c r="R226">
        <f t="shared" si="961"/>
        <v>580282197.03964448</v>
      </c>
      <c r="S226">
        <f t="shared" si="962"/>
        <v>5802.8219703964451</v>
      </c>
      <c r="T226">
        <f t="shared" si="963"/>
        <v>5.8028219703964448</v>
      </c>
    </row>
    <row r="227" spans="1:20" x14ac:dyDescent="0.25">
      <c r="A227" s="5">
        <v>44366</v>
      </c>
      <c r="B227">
        <v>9.0109999999999992</v>
      </c>
      <c r="C227">
        <v>9.1929999999999996</v>
      </c>
      <c r="D227">
        <v>8.6370000000000005</v>
      </c>
      <c r="E227">
        <v>8.8109999999999999</v>
      </c>
      <c r="F227">
        <v>8306492.9840000002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-0.37410071942446133</v>
      </c>
      <c r="Q227">
        <f t="shared" si="960"/>
        <v>-3107465.0012086406</v>
      </c>
      <c r="R227">
        <f t="shared" si="961"/>
        <v>574716360.56431437</v>
      </c>
      <c r="S227">
        <f t="shared" si="962"/>
        <v>5747.1636056431435</v>
      </c>
      <c r="T227">
        <f t="shared" si="963"/>
        <v>5.7471636056431432</v>
      </c>
    </row>
    <row r="228" spans="1:20" x14ac:dyDescent="0.25">
      <c r="A228" s="5">
        <v>44365</v>
      </c>
      <c r="B228">
        <v>9.52</v>
      </c>
      <c r="C228">
        <v>10.103</v>
      </c>
      <c r="D228">
        <v>8.5030000000000001</v>
      </c>
      <c r="E228">
        <v>9.0109999999999992</v>
      </c>
      <c r="F228">
        <v>21558291.543000001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-0.36500000000000093</v>
      </c>
      <c r="Q228">
        <f t="shared" si="960"/>
        <v>-7868776.4131950205</v>
      </c>
      <c r="R228">
        <f t="shared" si="961"/>
        <v>577823825.56552303</v>
      </c>
      <c r="S228">
        <f t="shared" si="962"/>
        <v>5778.2382556552302</v>
      </c>
      <c r="T228">
        <f t="shared" si="963"/>
        <v>5.7782382556552303</v>
      </c>
    </row>
    <row r="229" spans="1:20" x14ac:dyDescent="0.25">
      <c r="A229" s="5">
        <v>44364</v>
      </c>
      <c r="B229">
        <v>8.9719999999999995</v>
      </c>
      <c r="C229">
        <v>9.6549999999999994</v>
      </c>
      <c r="D229">
        <v>8.9260000000000002</v>
      </c>
      <c r="E229">
        <v>9.5190000000000001</v>
      </c>
      <c r="F229">
        <v>16461027.893999999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0.62688614540466558</v>
      </c>
      <c r="Q229">
        <f t="shared" si="960"/>
        <v>10319190.32586834</v>
      </c>
      <c r="R229">
        <f t="shared" si="961"/>
        <v>585692601.97871804</v>
      </c>
      <c r="S229">
        <f t="shared" si="962"/>
        <v>5856.9260197871808</v>
      </c>
      <c r="T229">
        <f t="shared" si="963"/>
        <v>5.8569260197871804</v>
      </c>
    </row>
    <row r="230" spans="1:20" x14ac:dyDescent="0.25">
      <c r="A230" s="5">
        <v>44363</v>
      </c>
      <c r="B230">
        <v>8.9130000000000003</v>
      </c>
      <c r="C230">
        <v>9.1039999999999992</v>
      </c>
      <c r="D230">
        <v>8.5579999999999998</v>
      </c>
      <c r="E230">
        <v>8.9730000000000008</v>
      </c>
      <c r="F230">
        <v>8940795.1659999993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0.52014652014652529</v>
      </c>
      <c r="Q230">
        <f t="shared" si="960"/>
        <v>4650523.4929377744</v>
      </c>
      <c r="R230">
        <f t="shared" si="961"/>
        <v>575373411.65284967</v>
      </c>
      <c r="S230">
        <f t="shared" si="962"/>
        <v>5753.734116528497</v>
      </c>
      <c r="T230">
        <f t="shared" si="963"/>
        <v>5.7537341165284968</v>
      </c>
    </row>
    <row r="231" spans="1:20" x14ac:dyDescent="0.25">
      <c r="A231" s="5">
        <v>44362</v>
      </c>
      <c r="B231">
        <v>9.0619999999999994</v>
      </c>
      <c r="C231">
        <v>9.34</v>
      </c>
      <c r="D231">
        <v>8.8040000000000003</v>
      </c>
      <c r="E231">
        <v>8.9149999999999991</v>
      </c>
      <c r="F231">
        <v>8888289.1359999999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-0.58582089552239192</v>
      </c>
      <c r="Q231">
        <f t="shared" si="960"/>
        <v>-5206945.5013134675</v>
      </c>
      <c r="R231">
        <f t="shared" si="961"/>
        <v>570722888.15991187</v>
      </c>
      <c r="S231">
        <f t="shared" si="962"/>
        <v>5707.2288815991187</v>
      </c>
      <c r="T231">
        <f t="shared" si="963"/>
        <v>5.7072288815991188</v>
      </c>
    </row>
    <row r="232" spans="1:20" x14ac:dyDescent="0.25">
      <c r="A232" s="5">
        <v>44361</v>
      </c>
      <c r="B232">
        <v>8.7710000000000008</v>
      </c>
      <c r="C232">
        <v>9.4429999999999996</v>
      </c>
      <c r="D232">
        <v>8.5939999999999994</v>
      </c>
      <c r="E232">
        <v>9.0619999999999994</v>
      </c>
      <c r="F232">
        <v>15526193.722999999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0.10247349823321522</v>
      </c>
      <c r="Q232">
        <f t="shared" si="960"/>
        <v>1591023.3850423978</v>
      </c>
      <c r="R232">
        <f t="shared" si="961"/>
        <v>575929833.66122532</v>
      </c>
      <c r="S232">
        <f t="shared" si="962"/>
        <v>5759.2983366122535</v>
      </c>
      <c r="T232">
        <f t="shared" si="963"/>
        <v>5.7592983366122539</v>
      </c>
    </row>
    <row r="233" spans="1:20" x14ac:dyDescent="0.25">
      <c r="A233" s="5">
        <v>44360</v>
      </c>
      <c r="B233">
        <v>7.8079999999999998</v>
      </c>
      <c r="C233">
        <v>8.9</v>
      </c>
      <c r="D233">
        <v>7.6520000000000001</v>
      </c>
      <c r="E233">
        <v>8.7710000000000008</v>
      </c>
      <c r="F233">
        <v>13714691.828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0.7932692307692315</v>
      </c>
      <c r="Q233">
        <f t="shared" si="960"/>
        <v>10879443.036634626</v>
      </c>
      <c r="R233">
        <f t="shared" si="961"/>
        <v>574338810.27618289</v>
      </c>
      <c r="S233">
        <f t="shared" si="962"/>
        <v>5743.388102761829</v>
      </c>
      <c r="T233">
        <f t="shared" si="963"/>
        <v>5.7433881027618288</v>
      </c>
    </row>
    <row r="234" spans="1:20" x14ac:dyDescent="0.25">
      <c r="A234" s="5">
        <v>44359</v>
      </c>
      <c r="B234">
        <v>7.94</v>
      </c>
      <c r="C234">
        <v>8.2430000000000003</v>
      </c>
      <c r="D234">
        <v>7.3369999999999997</v>
      </c>
      <c r="E234">
        <v>7.8079999999999998</v>
      </c>
      <c r="F234">
        <v>14943257.521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3.9735099337747867E-2</v>
      </c>
      <c r="Q234">
        <f t="shared" si="960"/>
        <v>593771.8220264829</v>
      </c>
      <c r="R234">
        <f t="shared" si="961"/>
        <v>563459367.23954821</v>
      </c>
      <c r="S234">
        <f t="shared" si="962"/>
        <v>5634.5936723954819</v>
      </c>
      <c r="T234">
        <f t="shared" si="963"/>
        <v>5.6345936723954821</v>
      </c>
    </row>
    <row r="235" spans="1:20" x14ac:dyDescent="0.25">
      <c r="A235" s="5">
        <v>44358</v>
      </c>
      <c r="B235">
        <v>8.7360000000000007</v>
      </c>
      <c r="C235">
        <v>8.75</v>
      </c>
      <c r="D235">
        <v>7.6130000000000004</v>
      </c>
      <c r="E235">
        <v>7.9429999999999996</v>
      </c>
      <c r="F235">
        <v>15313150.537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-0.41952506596306188</v>
      </c>
      <c r="Q235">
        <f t="shared" si="960"/>
        <v>-6424250.4891372221</v>
      </c>
      <c r="R235">
        <f t="shared" si="961"/>
        <v>562865595.41752172</v>
      </c>
      <c r="S235">
        <f t="shared" si="962"/>
        <v>5628.6559541752167</v>
      </c>
      <c r="T235">
        <f t="shared" si="963"/>
        <v>5.6286559541752164</v>
      </c>
    </row>
    <row r="236" spans="1:20" x14ac:dyDescent="0.25">
      <c r="A236" s="5">
        <v>44357</v>
      </c>
      <c r="B236">
        <v>9.3840000000000003</v>
      </c>
      <c r="C236">
        <v>9.5030000000000001</v>
      </c>
      <c r="D236">
        <v>8.5210000000000008</v>
      </c>
      <c r="E236">
        <v>8.7319999999999993</v>
      </c>
      <c r="F236">
        <v>15419280.922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-0.57026476578411678</v>
      </c>
      <c r="Q236">
        <f t="shared" si="960"/>
        <v>-8793072.6235438306</v>
      </c>
      <c r="R236">
        <f t="shared" si="961"/>
        <v>569289845.90665889</v>
      </c>
      <c r="S236">
        <f t="shared" si="962"/>
        <v>5692.8984590665887</v>
      </c>
      <c r="T236">
        <f t="shared" si="963"/>
        <v>5.6928984590665888</v>
      </c>
    </row>
    <row r="237" spans="1:20" x14ac:dyDescent="0.25">
      <c r="A237" s="5">
        <v>44356</v>
      </c>
      <c r="B237">
        <v>8.9209999999999994</v>
      </c>
      <c r="C237">
        <v>9.6760000000000002</v>
      </c>
      <c r="D237">
        <v>8.3330000000000002</v>
      </c>
      <c r="E237">
        <v>9.3849999999999998</v>
      </c>
      <c r="F237">
        <v>27706555.919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0.56664184661206196</v>
      </c>
      <c r="Q237">
        <f t="shared" si="960"/>
        <v>15699694.009202516</v>
      </c>
      <c r="R237">
        <f t="shared" si="961"/>
        <v>578082918.53020275</v>
      </c>
      <c r="S237">
        <f t="shared" si="962"/>
        <v>5780.8291853020273</v>
      </c>
      <c r="T237">
        <f t="shared" si="963"/>
        <v>5.7808291853020277</v>
      </c>
    </row>
    <row r="238" spans="1:20" x14ac:dyDescent="0.25">
      <c r="A238" s="5">
        <v>44355</v>
      </c>
      <c r="B238">
        <v>8.7270000000000003</v>
      </c>
      <c r="C238">
        <v>9.1780000000000008</v>
      </c>
      <c r="D238">
        <v>8.0350000000000001</v>
      </c>
      <c r="E238">
        <v>8.92</v>
      </c>
      <c r="F238">
        <v>33647649.832000002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0.54855643044619296</v>
      </c>
      <c r="Q238">
        <f t="shared" si="960"/>
        <v>18457634.684745364</v>
      </c>
      <c r="R238">
        <f t="shared" si="961"/>
        <v>562383224.52100027</v>
      </c>
      <c r="S238">
        <f t="shared" si="962"/>
        <v>5623.8322452100028</v>
      </c>
      <c r="T238">
        <f t="shared" si="963"/>
        <v>5.6238322452100027</v>
      </c>
    </row>
    <row r="239" spans="1:20" x14ac:dyDescent="0.25">
      <c r="A239" s="5">
        <v>44354</v>
      </c>
      <c r="B239">
        <v>8.8439999999999994</v>
      </c>
      <c r="C239">
        <v>10.093</v>
      </c>
      <c r="D239">
        <v>8.6</v>
      </c>
      <c r="E239">
        <v>8.7289999999999992</v>
      </c>
      <c r="F239">
        <v>29429438.436000001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-0.82719356999330274</v>
      </c>
      <c r="Q239">
        <f t="shared" si="960"/>
        <v>-24343842.242772959</v>
      </c>
      <c r="R239">
        <f t="shared" si="961"/>
        <v>543925589.83625495</v>
      </c>
      <c r="S239">
        <f t="shared" si="962"/>
        <v>5439.2558983625495</v>
      </c>
      <c r="T239">
        <f t="shared" si="963"/>
        <v>5.4392558983625499</v>
      </c>
    </row>
    <row r="240" spans="1:20" x14ac:dyDescent="0.25">
      <c r="A240" s="5">
        <v>44353</v>
      </c>
      <c r="B240">
        <v>8.9510000000000005</v>
      </c>
      <c r="C240">
        <v>9.2929999999999993</v>
      </c>
      <c r="D240">
        <v>8.5299999999999994</v>
      </c>
      <c r="E240">
        <v>8.8439999999999994</v>
      </c>
      <c r="F240">
        <v>13239588.448999999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-0.17693315858453448</v>
      </c>
      <c r="Q240">
        <f t="shared" si="960"/>
        <v>-2342522.2026408878</v>
      </c>
      <c r="R240">
        <f t="shared" si="961"/>
        <v>568269432.07902789</v>
      </c>
      <c r="S240">
        <f t="shared" si="962"/>
        <v>5682.6943207902787</v>
      </c>
      <c r="T240">
        <f t="shared" si="963"/>
        <v>5.6826943207902785</v>
      </c>
    </row>
    <row r="241" spans="1:20" x14ac:dyDescent="0.25">
      <c r="A241" s="5">
        <v>44352</v>
      </c>
      <c r="B241">
        <v>8.8450000000000006</v>
      </c>
      <c r="C241">
        <v>9.9949999999999992</v>
      </c>
      <c r="D241">
        <v>8.6419999999999995</v>
      </c>
      <c r="E241">
        <v>8.9499999999999993</v>
      </c>
      <c r="F241">
        <v>30036707.179000001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-0.54471544715447173</v>
      </c>
      <c r="Q241">
        <f t="shared" si="960"/>
        <v>-16361458.382056916</v>
      </c>
      <c r="R241">
        <f t="shared" si="961"/>
        <v>570611954.28166878</v>
      </c>
      <c r="S241">
        <f t="shared" si="962"/>
        <v>5706.1195428166875</v>
      </c>
      <c r="T241">
        <f t="shared" si="963"/>
        <v>5.7061195428166878</v>
      </c>
    </row>
    <row r="242" spans="1:20" x14ac:dyDescent="0.25">
      <c r="A242" s="5">
        <v>44351</v>
      </c>
      <c r="B242">
        <v>9.5730000000000004</v>
      </c>
      <c r="C242">
        <v>10.477</v>
      </c>
      <c r="D242">
        <v>8.0169999999999995</v>
      </c>
      <c r="E242">
        <v>8.8409999999999993</v>
      </c>
      <c r="F242">
        <v>43518133.163000003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-0.33008130081300852</v>
      </c>
      <c r="Q242">
        <f t="shared" si="960"/>
        <v>-14364522.003396766</v>
      </c>
      <c r="R242">
        <f t="shared" si="961"/>
        <v>586973412.66372573</v>
      </c>
      <c r="S242">
        <f t="shared" si="962"/>
        <v>5869.7341266372578</v>
      </c>
      <c r="T242">
        <f t="shared" si="963"/>
        <v>5.8697341266372574</v>
      </c>
    </row>
    <row r="243" spans="1:20" x14ac:dyDescent="0.25">
      <c r="A243" s="5">
        <v>44350</v>
      </c>
      <c r="B243">
        <v>7.9470000000000001</v>
      </c>
      <c r="C243">
        <v>9.6890000000000001</v>
      </c>
      <c r="D243">
        <v>7.8620000000000001</v>
      </c>
      <c r="E243">
        <v>9.5730000000000004</v>
      </c>
      <c r="F243">
        <v>20291267.737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0.87301587301587336</v>
      </c>
      <c r="Q243">
        <f t="shared" si="960"/>
        <v>17714598.818015881</v>
      </c>
      <c r="R243">
        <f t="shared" si="961"/>
        <v>601337934.66712248</v>
      </c>
      <c r="S243">
        <f t="shared" si="962"/>
        <v>6013.379346671225</v>
      </c>
      <c r="T243">
        <f t="shared" si="963"/>
        <v>6.0133793466712246</v>
      </c>
    </row>
    <row r="244" spans="1:20" x14ac:dyDescent="0.25">
      <c r="A244" s="5">
        <v>44349</v>
      </c>
      <c r="B244">
        <v>7.5060000000000002</v>
      </c>
      <c r="C244">
        <v>8.173</v>
      </c>
      <c r="D244">
        <v>7.5039999999999996</v>
      </c>
      <c r="E244">
        <v>7.944</v>
      </c>
      <c r="F244">
        <v>13986986.097999999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0.31539611360239184</v>
      </c>
      <c r="Q244">
        <f t="shared" si="960"/>
        <v>4411441.0563198831</v>
      </c>
      <c r="R244">
        <f t="shared" si="961"/>
        <v>583623335.84910655</v>
      </c>
      <c r="S244">
        <f t="shared" si="962"/>
        <v>5836.2333584910657</v>
      </c>
      <c r="T244">
        <f t="shared" si="963"/>
        <v>5.8362333584910653</v>
      </c>
    </row>
    <row r="245" spans="1:20" x14ac:dyDescent="0.25">
      <c r="A245" s="5">
        <v>44348</v>
      </c>
      <c r="B245">
        <v>7.1040000000000001</v>
      </c>
      <c r="C245">
        <v>7.9370000000000003</v>
      </c>
      <c r="D245">
        <v>6.9829999999999997</v>
      </c>
      <c r="E245">
        <v>7.5039999999999996</v>
      </c>
      <c r="F245">
        <v>24729131.634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9.224318658280832E-2</v>
      </c>
      <c r="Q245">
        <f t="shared" si="960"/>
        <v>2281093.9033458894</v>
      </c>
      <c r="R245">
        <f t="shared" si="961"/>
        <v>579211894.79278672</v>
      </c>
      <c r="S245">
        <f t="shared" si="962"/>
        <v>5792.1189479278673</v>
      </c>
      <c r="T245">
        <f t="shared" si="963"/>
        <v>5.7921189479278672</v>
      </c>
    </row>
    <row r="246" spans="1:20" x14ac:dyDescent="0.25">
      <c r="A246" s="5">
        <v>44347</v>
      </c>
      <c r="B246">
        <v>6.5119999999999996</v>
      </c>
      <c r="C246">
        <v>7.1360000000000001</v>
      </c>
      <c r="D246">
        <v>6.0419999999999998</v>
      </c>
      <c r="E246">
        <v>7.1059999999999999</v>
      </c>
      <c r="F246">
        <v>15377675.539999999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0.94515539305301599</v>
      </c>
      <c r="Q246">
        <f t="shared" si="960"/>
        <v>14534292.96925045</v>
      </c>
      <c r="R246">
        <f t="shared" si="961"/>
        <v>576930800.88944077</v>
      </c>
      <c r="S246">
        <f t="shared" si="962"/>
        <v>5769.308008894408</v>
      </c>
      <c r="T246">
        <f t="shared" si="963"/>
        <v>5.7693080088944075</v>
      </c>
    </row>
    <row r="247" spans="1:20" x14ac:dyDescent="0.25">
      <c r="A247" s="5">
        <v>44346</v>
      </c>
      <c r="B247">
        <v>6.343</v>
      </c>
      <c r="C247">
        <v>6.8380000000000001</v>
      </c>
      <c r="D247">
        <v>5.9089999999999998</v>
      </c>
      <c r="E247">
        <v>6.5119999999999996</v>
      </c>
      <c r="F247">
        <v>15235538.228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0.29817007534983764</v>
      </c>
      <c r="Q247">
        <f t="shared" si="960"/>
        <v>4542781.5814380916</v>
      </c>
      <c r="R247">
        <f t="shared" si="961"/>
        <v>562396507.92019033</v>
      </c>
      <c r="S247">
        <f t="shared" si="962"/>
        <v>5623.9650792019038</v>
      </c>
      <c r="T247">
        <f t="shared" si="963"/>
        <v>5.6239650792019038</v>
      </c>
    </row>
    <row r="248" spans="1:20" x14ac:dyDescent="0.25">
      <c r="A248" s="5">
        <v>44345</v>
      </c>
      <c r="B248">
        <v>6.5579999999999998</v>
      </c>
      <c r="C248">
        <v>6.9930000000000003</v>
      </c>
      <c r="D248">
        <v>5.9269999999999996</v>
      </c>
      <c r="E248">
        <v>6.3419999999999996</v>
      </c>
      <c r="F248">
        <v>18518091.568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-0.22138836772983161</v>
      </c>
      <c r="Q248">
        <f t="shared" si="960"/>
        <v>-4099690.0657110782</v>
      </c>
      <c r="R248">
        <f t="shared" si="961"/>
        <v>557853726.33875227</v>
      </c>
      <c r="S248">
        <f t="shared" si="962"/>
        <v>5578.5372633875231</v>
      </c>
      <c r="T248">
        <f t="shared" si="963"/>
        <v>5.5785372633875232</v>
      </c>
    </row>
    <row r="249" spans="1:20" x14ac:dyDescent="0.25">
      <c r="A249" s="5">
        <v>44344</v>
      </c>
      <c r="B249">
        <v>7.8810000000000002</v>
      </c>
      <c r="C249">
        <v>8.5</v>
      </c>
      <c r="D249">
        <v>6.4669999999999996</v>
      </c>
      <c r="E249">
        <v>6.5570000000000004</v>
      </c>
      <c r="F249">
        <v>38414633.711000003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-0.91146089522872531</v>
      </c>
      <c r="Q249">
        <f t="shared" si="960"/>
        <v>-35013436.432111636</v>
      </c>
      <c r="R249">
        <f t="shared" si="961"/>
        <v>561953416.40446329</v>
      </c>
      <c r="S249">
        <f t="shared" si="962"/>
        <v>5619.5341640446331</v>
      </c>
      <c r="T249">
        <f t="shared" si="963"/>
        <v>5.6195341640446328</v>
      </c>
    </row>
    <row r="250" spans="1:20" x14ac:dyDescent="0.25">
      <c r="A250" s="5">
        <v>44343</v>
      </c>
      <c r="B250">
        <v>7.65</v>
      </c>
      <c r="C250">
        <v>8.0980000000000008</v>
      </c>
      <c r="D250">
        <v>6.8540000000000001</v>
      </c>
      <c r="E250">
        <v>7.8789999999999996</v>
      </c>
      <c r="F250">
        <v>18006716.182999998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0.64790996784565746</v>
      </c>
      <c r="Q250">
        <f t="shared" si="960"/>
        <v>11666730.903133409</v>
      </c>
      <c r="R250">
        <f t="shared" si="961"/>
        <v>596966852.83657491</v>
      </c>
      <c r="S250">
        <f t="shared" si="962"/>
        <v>5969.6685283657489</v>
      </c>
      <c r="T250">
        <f t="shared" si="963"/>
        <v>5.9696685283657489</v>
      </c>
    </row>
    <row r="251" spans="1:20" x14ac:dyDescent="0.25">
      <c r="A251" s="5">
        <v>44342</v>
      </c>
      <c r="B251">
        <v>6.8949999999999996</v>
      </c>
      <c r="C251">
        <v>8</v>
      </c>
      <c r="D251">
        <v>6.6559999999999997</v>
      </c>
      <c r="E251">
        <v>7.6470000000000002</v>
      </c>
      <c r="F251">
        <v>24435179.835000001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0.47470238095238143</v>
      </c>
      <c r="Q251">
        <f t="shared" si="960"/>
        <v>11599438.046674119</v>
      </c>
      <c r="R251">
        <f t="shared" si="961"/>
        <v>585300121.93344152</v>
      </c>
      <c r="S251">
        <f t="shared" si="962"/>
        <v>5853.0012193344155</v>
      </c>
      <c r="T251">
        <f t="shared" si="963"/>
        <v>5.8530012193344154</v>
      </c>
    </row>
    <row r="252" spans="1:20" x14ac:dyDescent="0.25">
      <c r="A252" s="5">
        <v>44341</v>
      </c>
      <c r="B252">
        <v>6.7560000000000002</v>
      </c>
      <c r="C252">
        <v>7.2850000000000001</v>
      </c>
      <c r="D252">
        <v>5.9119999999999999</v>
      </c>
      <c r="E252">
        <v>6.8959999999999999</v>
      </c>
      <c r="F252">
        <v>23469575.670000002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0.43335761107064796</v>
      </c>
      <c r="Q252">
        <f t="shared" si="960"/>
        <v>10170719.245193003</v>
      </c>
      <c r="R252">
        <f t="shared" si="961"/>
        <v>573700683.88676739</v>
      </c>
      <c r="S252">
        <f t="shared" si="962"/>
        <v>5737.0068388676737</v>
      </c>
      <c r="T252">
        <f t="shared" si="963"/>
        <v>5.737006838867674</v>
      </c>
    </row>
    <row r="253" spans="1:20" x14ac:dyDescent="0.25">
      <c r="A253" s="5">
        <v>44340</v>
      </c>
      <c r="B253">
        <v>5.9169999999999998</v>
      </c>
      <c r="C253">
        <v>6.7729999999999997</v>
      </c>
      <c r="D253">
        <v>5.6870000000000003</v>
      </c>
      <c r="E253">
        <v>6.7560000000000002</v>
      </c>
      <c r="F253">
        <v>25108494.223000001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0.96869244935543375</v>
      </c>
      <c r="Q253">
        <f t="shared" si="960"/>
        <v>24322408.768504631</v>
      </c>
      <c r="R253">
        <f t="shared" si="961"/>
        <v>563529964.64157438</v>
      </c>
      <c r="S253">
        <f t="shared" si="962"/>
        <v>5635.2996464157441</v>
      </c>
      <c r="T253">
        <f t="shared" si="963"/>
        <v>5.6352996464157439</v>
      </c>
    </row>
    <row r="254" spans="1:20" x14ac:dyDescent="0.25">
      <c r="A254" s="5">
        <v>44339</v>
      </c>
      <c r="B254">
        <v>6.8810000000000002</v>
      </c>
      <c r="C254">
        <v>7.3</v>
      </c>
      <c r="D254">
        <v>4.57</v>
      </c>
      <c r="E254">
        <v>5.9020000000000001</v>
      </c>
      <c r="F254">
        <v>46836888.045000002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-2.4175824175824121E-2</v>
      </c>
      <c r="Q254">
        <f t="shared" si="960"/>
        <v>-1132320.3703186789</v>
      </c>
      <c r="R254">
        <f t="shared" si="961"/>
        <v>539207555.87306976</v>
      </c>
      <c r="S254">
        <f t="shared" si="962"/>
        <v>5392.0755587306976</v>
      </c>
      <c r="T254">
        <f t="shared" si="963"/>
        <v>5.3920755587306974</v>
      </c>
    </row>
    <row r="255" spans="1:20" x14ac:dyDescent="0.25">
      <c r="A255" s="5">
        <v>44338</v>
      </c>
      <c r="B255">
        <v>6.3639999999999999</v>
      </c>
      <c r="C255">
        <v>7.2750000000000004</v>
      </c>
      <c r="D255">
        <v>5.5810000000000004</v>
      </c>
      <c r="E255">
        <v>6.8840000000000003</v>
      </c>
      <c r="F255">
        <v>29025022.916000001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0.53837072018890197</v>
      </c>
      <c r="Q255">
        <f t="shared" si="960"/>
        <v>15626222.490786305</v>
      </c>
      <c r="R255">
        <f t="shared" si="961"/>
        <v>540339876.24338841</v>
      </c>
      <c r="S255">
        <f t="shared" si="962"/>
        <v>5403.3987624338843</v>
      </c>
      <c r="T255">
        <f t="shared" si="963"/>
        <v>5.4033987624338842</v>
      </c>
    </row>
    <row r="256" spans="1:20" x14ac:dyDescent="0.25">
      <c r="A256" s="5">
        <v>44337</v>
      </c>
      <c r="B256">
        <v>7.2859999999999996</v>
      </c>
      <c r="C256">
        <v>7.7590000000000003</v>
      </c>
      <c r="D256">
        <v>5.431</v>
      </c>
      <c r="E256">
        <v>6.3620000000000001</v>
      </c>
      <c r="F256">
        <v>30961982.997000001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-0.20017182130584199</v>
      </c>
      <c r="Q256">
        <f t="shared" si="960"/>
        <v>-6197716.5277500022</v>
      </c>
      <c r="R256">
        <f t="shared" si="961"/>
        <v>524713653.75260216</v>
      </c>
      <c r="S256">
        <f t="shared" si="962"/>
        <v>5247.136537526022</v>
      </c>
      <c r="T256">
        <f t="shared" si="963"/>
        <v>5.2471365375260222</v>
      </c>
    </row>
    <row r="257" spans="1:20" x14ac:dyDescent="0.25">
      <c r="A257" s="5">
        <v>44336</v>
      </c>
      <c r="B257">
        <v>5.8369999999999997</v>
      </c>
      <c r="C257">
        <v>8.16</v>
      </c>
      <c r="D257">
        <v>5</v>
      </c>
      <c r="E257">
        <v>7.2869999999999999</v>
      </c>
      <c r="F257">
        <v>37461759.487999998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0.44746835443037963</v>
      </c>
      <c r="Q257">
        <f t="shared" si="960"/>
        <v>16762951.87216202</v>
      </c>
      <c r="R257">
        <f t="shared" si="961"/>
        <v>530911370.28035218</v>
      </c>
      <c r="S257">
        <f t="shared" si="962"/>
        <v>5309.1137028035218</v>
      </c>
      <c r="T257">
        <f t="shared" si="963"/>
        <v>5.309113702803522</v>
      </c>
    </row>
    <row r="258" spans="1:20" x14ac:dyDescent="0.25">
      <c r="A258" s="5">
        <v>44335</v>
      </c>
      <c r="B258">
        <v>9.7789999999999999</v>
      </c>
      <c r="C258">
        <v>9.8919999999999995</v>
      </c>
      <c r="D258">
        <v>3.85</v>
      </c>
      <c r="E258">
        <v>5.8440000000000003</v>
      </c>
      <c r="F258">
        <v>53454519.001000002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-0.33995365772922859</v>
      </c>
      <c r="Q258">
        <f t="shared" si="960"/>
        <v>-18172059.256546501</v>
      </c>
      <c r="R258">
        <f t="shared" si="961"/>
        <v>514148418.40819013</v>
      </c>
      <c r="S258">
        <f t="shared" si="962"/>
        <v>5141.4841840819017</v>
      </c>
      <c r="T258">
        <f t="shared" si="963"/>
        <v>5.1414841840819019</v>
      </c>
    </row>
    <row r="259" spans="1:20" x14ac:dyDescent="0.25">
      <c r="A259" s="5">
        <v>44334</v>
      </c>
      <c r="B259">
        <v>9.6850000000000005</v>
      </c>
      <c r="C259">
        <v>10.292</v>
      </c>
      <c r="D259">
        <v>9.4290000000000003</v>
      </c>
      <c r="E259">
        <v>9.7750000000000004</v>
      </c>
      <c r="F259">
        <v>12668434.628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-0.19814600231749649</v>
      </c>
      <c r="Q259">
        <f t="shared" si="960"/>
        <v>-2510199.6771587408</v>
      </c>
      <c r="R259">
        <f t="shared" si="961"/>
        <v>532320477.66473663</v>
      </c>
      <c r="S259">
        <f t="shared" si="962"/>
        <v>5323.2047766473661</v>
      </c>
      <c r="T259">
        <f t="shared" si="963"/>
        <v>5.3232047766473665</v>
      </c>
    </row>
    <row r="260" spans="1:20" x14ac:dyDescent="0.25">
      <c r="A260" s="5">
        <v>44333</v>
      </c>
      <c r="B260">
        <v>9.4309999999999992</v>
      </c>
      <c r="C260">
        <v>10.585000000000001</v>
      </c>
      <c r="D260">
        <v>8.4749999999999996</v>
      </c>
      <c r="E260">
        <v>9.6880000000000006</v>
      </c>
      <c r="F260">
        <v>23620242.991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0.14976303317535572</v>
      </c>
      <c r="Q260">
        <f t="shared" si="960"/>
        <v>3537439.2346710963</v>
      </c>
      <c r="R260">
        <f t="shared" si="961"/>
        <v>534830677.34189534</v>
      </c>
      <c r="S260">
        <f t="shared" si="962"/>
        <v>5348.3067734189535</v>
      </c>
      <c r="T260">
        <f t="shared" si="963"/>
        <v>5.3483067734189538</v>
      </c>
    </row>
    <row r="261" spans="1:20" x14ac:dyDescent="0.25">
      <c r="A261" s="5">
        <v>44332</v>
      </c>
      <c r="B261">
        <v>9.3369999999999997</v>
      </c>
      <c r="C261">
        <v>10.483000000000001</v>
      </c>
      <c r="D261">
        <v>8.7789999999999999</v>
      </c>
      <c r="E261">
        <v>9.4329999999999998</v>
      </c>
      <c r="F261">
        <v>14946675.244999999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-0.23239436619718348</v>
      </c>
      <c r="Q261">
        <f t="shared" si="960"/>
        <v>-3473523.1203169068</v>
      </c>
      <c r="R261">
        <f t="shared" si="961"/>
        <v>531293238.10722423</v>
      </c>
      <c r="S261">
        <f t="shared" si="962"/>
        <v>5312.9323810722426</v>
      </c>
      <c r="T261">
        <f t="shared" si="963"/>
        <v>5.3129323810722422</v>
      </c>
    </row>
    <row r="262" spans="1:20" x14ac:dyDescent="0.25">
      <c r="A262" s="5">
        <v>44331</v>
      </c>
      <c r="B262">
        <v>10.004</v>
      </c>
      <c r="C262">
        <v>10.113</v>
      </c>
      <c r="D262">
        <v>9.26</v>
      </c>
      <c r="E262">
        <v>9.3379999999999992</v>
      </c>
      <c r="F262">
        <v>10696004.444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-0.81711606096131439</v>
      </c>
      <c r="Q262">
        <f t="shared" ref="Q262:Q325" si="965">F262*P262</f>
        <v>-8739877.0193059929</v>
      </c>
      <c r="R262">
        <f t="shared" ref="R262:R325" si="966">R263+Q262</f>
        <v>534766761.22754115</v>
      </c>
      <c r="S262">
        <f t="shared" ref="S262:S325" si="967">R262/100000</f>
        <v>5347.6676122754116</v>
      </c>
      <c r="T262">
        <f t="shared" ref="T262:T325" si="968">S262/1000</f>
        <v>5.3476676122754112</v>
      </c>
    </row>
    <row r="263" spans="1:20" x14ac:dyDescent="0.25">
      <c r="A263" s="5">
        <v>44330</v>
      </c>
      <c r="B263">
        <v>9.7799999999999994</v>
      </c>
      <c r="C263">
        <v>10.468</v>
      </c>
      <c r="D263">
        <v>9.702</v>
      </c>
      <c r="E263">
        <v>10.005000000000001</v>
      </c>
      <c r="F263">
        <v>13208641.589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-0.20887728459529811</v>
      </c>
      <c r="Q263">
        <f t="shared" si="965"/>
        <v>-2758985.1883028438</v>
      </c>
      <c r="R263">
        <f t="shared" si="966"/>
        <v>543506638.24684715</v>
      </c>
      <c r="S263">
        <f t="shared" si="967"/>
        <v>5435.0663824684716</v>
      </c>
      <c r="T263">
        <f t="shared" si="968"/>
        <v>5.435066382468472</v>
      </c>
    </row>
    <row r="264" spans="1:20" x14ac:dyDescent="0.25">
      <c r="A264" s="5">
        <v>44329</v>
      </c>
      <c r="B264">
        <v>9.16</v>
      </c>
      <c r="C264">
        <v>10.144</v>
      </c>
      <c r="D264">
        <v>8.3040000000000003</v>
      </c>
      <c r="E264">
        <v>9.7799999999999994</v>
      </c>
      <c r="F264">
        <v>24861022.129000001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0.6043478260869557</v>
      </c>
      <c r="Q264">
        <f t="shared" si="965"/>
        <v>15024704.67796085</v>
      </c>
      <c r="R264">
        <f t="shared" si="966"/>
        <v>546265623.43515003</v>
      </c>
      <c r="S264">
        <f t="shared" si="967"/>
        <v>5462.6562343515006</v>
      </c>
      <c r="T264">
        <f t="shared" si="968"/>
        <v>5.4626562343515008</v>
      </c>
    </row>
    <row r="265" spans="1:20" x14ac:dyDescent="0.25">
      <c r="A265" s="5">
        <v>44328</v>
      </c>
      <c r="B265">
        <v>10.843</v>
      </c>
      <c r="C265">
        <v>11.319000000000001</v>
      </c>
      <c r="D265">
        <v>8.7050000000000001</v>
      </c>
      <c r="E265">
        <v>9.16</v>
      </c>
      <c r="F265">
        <v>19585300.767999999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-0.65187452180566186</v>
      </c>
      <c r="Q265">
        <f t="shared" si="965"/>
        <v>-12767158.572560061</v>
      </c>
      <c r="R265">
        <f t="shared" si="966"/>
        <v>531240918.75718915</v>
      </c>
      <c r="S265">
        <f t="shared" si="967"/>
        <v>5312.4091875718914</v>
      </c>
      <c r="T265">
        <f t="shared" si="968"/>
        <v>5.3124091875718911</v>
      </c>
    </row>
    <row r="266" spans="1:20" x14ac:dyDescent="0.25">
      <c r="A266" s="5">
        <v>44327</v>
      </c>
      <c r="B266">
        <v>10.49</v>
      </c>
      <c r="C266">
        <v>10.958</v>
      </c>
      <c r="D266">
        <v>10.042</v>
      </c>
      <c r="E266">
        <v>10.842000000000001</v>
      </c>
      <c r="F266">
        <v>15894825.073999999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0.74672489082969518</v>
      </c>
      <c r="Q266">
        <f t="shared" si="965"/>
        <v>11869061.518139752</v>
      </c>
      <c r="R266">
        <f t="shared" si="966"/>
        <v>544008077.32974923</v>
      </c>
      <c r="S266">
        <f t="shared" si="967"/>
        <v>5440.0807732974927</v>
      </c>
      <c r="T266">
        <f t="shared" si="968"/>
        <v>5.4400807732974927</v>
      </c>
    </row>
    <row r="267" spans="1:20" x14ac:dyDescent="0.25">
      <c r="A267" s="5">
        <v>44326</v>
      </c>
      <c r="B267">
        <v>11.956</v>
      </c>
      <c r="C267">
        <v>12.19</v>
      </c>
      <c r="D267">
        <v>9.5</v>
      </c>
      <c r="E267">
        <v>10.491</v>
      </c>
      <c r="F267">
        <v>19212796.563000001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-0.26319702602230494</v>
      </c>
      <c r="Q267">
        <f t="shared" si="965"/>
        <v>-5056750.9169531623</v>
      </c>
      <c r="R267">
        <f t="shared" si="966"/>
        <v>532139015.81160945</v>
      </c>
      <c r="S267">
        <f t="shared" si="967"/>
        <v>5321.3901581160944</v>
      </c>
      <c r="T267">
        <f t="shared" si="968"/>
        <v>5.3213901581160945</v>
      </c>
    </row>
    <row r="268" spans="1:20" x14ac:dyDescent="0.25">
      <c r="A268" s="5">
        <v>44325</v>
      </c>
      <c r="B268">
        <v>12.298</v>
      </c>
      <c r="C268">
        <v>13.18</v>
      </c>
      <c r="D268">
        <v>11.4</v>
      </c>
      <c r="E268">
        <v>11.956</v>
      </c>
      <c r="F268">
        <v>16116713.649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-0.3752808988764052</v>
      </c>
      <c r="Q268">
        <f t="shared" si="965"/>
        <v>-6048294.785130349</v>
      </c>
      <c r="R268">
        <f t="shared" si="966"/>
        <v>537195766.72856259</v>
      </c>
      <c r="S268">
        <f t="shared" si="967"/>
        <v>5371.9576672856256</v>
      </c>
      <c r="T268">
        <f t="shared" si="968"/>
        <v>5.371957667285626</v>
      </c>
    </row>
    <row r="269" spans="1:20" x14ac:dyDescent="0.25">
      <c r="A269" s="5">
        <v>44324</v>
      </c>
      <c r="B269">
        <v>11.506</v>
      </c>
      <c r="C269">
        <v>13.2</v>
      </c>
      <c r="D269">
        <v>11.382</v>
      </c>
      <c r="E269">
        <v>12.297000000000001</v>
      </c>
      <c r="F269">
        <v>21036976.647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6.6006600660078289E-3</v>
      </c>
      <c r="Q269">
        <f t="shared" si="965"/>
        <v>138857.93166339217</v>
      </c>
      <c r="R269">
        <f t="shared" si="966"/>
        <v>543244061.51369298</v>
      </c>
      <c r="S269">
        <f t="shared" si="967"/>
        <v>5432.4406151369294</v>
      </c>
      <c r="T269">
        <f t="shared" si="968"/>
        <v>5.4324406151369296</v>
      </c>
    </row>
    <row r="270" spans="1:20" x14ac:dyDescent="0.25">
      <c r="A270" s="5">
        <v>44323</v>
      </c>
      <c r="B270">
        <v>10.868</v>
      </c>
      <c r="C270">
        <v>12.667999999999999</v>
      </c>
      <c r="D270">
        <v>10.788</v>
      </c>
      <c r="E270">
        <v>11.507</v>
      </c>
      <c r="F270">
        <v>22850182.453000002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-0.23510638297872363</v>
      </c>
      <c r="Q270">
        <f t="shared" si="965"/>
        <v>-5372223.7469287291</v>
      </c>
      <c r="R270">
        <f t="shared" si="966"/>
        <v>543105203.58202958</v>
      </c>
      <c r="S270">
        <f t="shared" si="967"/>
        <v>5431.0520358202957</v>
      </c>
      <c r="T270">
        <f t="shared" si="968"/>
        <v>5.4310520358202954</v>
      </c>
    </row>
    <row r="271" spans="1:20" x14ac:dyDescent="0.25">
      <c r="A271" s="5">
        <v>44322</v>
      </c>
      <c r="B271">
        <v>10.986000000000001</v>
      </c>
      <c r="C271">
        <v>11.385999999999999</v>
      </c>
      <c r="D271">
        <v>10.512</v>
      </c>
      <c r="E271">
        <v>10.868</v>
      </c>
      <c r="F271">
        <v>13103001.779999999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-0.18535469107551403</v>
      </c>
      <c r="Q271">
        <f t="shared" si="965"/>
        <v>-2428702.8470938103</v>
      </c>
      <c r="R271">
        <f t="shared" si="966"/>
        <v>548477427.32895827</v>
      </c>
      <c r="S271">
        <f t="shared" si="967"/>
        <v>5484.7742732895831</v>
      </c>
      <c r="T271">
        <f t="shared" si="968"/>
        <v>5.4847742732895828</v>
      </c>
    </row>
    <row r="272" spans="1:20" x14ac:dyDescent="0.25">
      <c r="A272" s="5">
        <v>44321</v>
      </c>
      <c r="B272">
        <v>10.210000000000001</v>
      </c>
      <c r="C272">
        <v>11.1</v>
      </c>
      <c r="D272">
        <v>10.031000000000001</v>
      </c>
      <c r="E272">
        <v>10.992000000000001</v>
      </c>
      <c r="F272">
        <v>14923527.923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0.79794200187090958</v>
      </c>
      <c r="Q272">
        <f t="shared" si="965"/>
        <v>11908109.745855037</v>
      </c>
      <c r="R272">
        <f t="shared" si="966"/>
        <v>550906130.17605209</v>
      </c>
      <c r="S272">
        <f t="shared" si="967"/>
        <v>5509.061301760521</v>
      </c>
      <c r="T272">
        <f t="shared" si="968"/>
        <v>5.5090613017605214</v>
      </c>
    </row>
    <row r="273" spans="1:20" x14ac:dyDescent="0.25">
      <c r="A273" s="5">
        <v>44320</v>
      </c>
      <c r="B273">
        <v>11.494999999999999</v>
      </c>
      <c r="C273">
        <v>11.541</v>
      </c>
      <c r="D273">
        <v>10.013</v>
      </c>
      <c r="E273">
        <v>10.211</v>
      </c>
      <c r="F273">
        <v>19580410.936999999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-0.74083769633507812</v>
      </c>
      <c r="Q273">
        <f t="shared" si="965"/>
        <v>-14505906.531861247</v>
      </c>
      <c r="R273">
        <f t="shared" si="966"/>
        <v>538998020.430197</v>
      </c>
      <c r="S273">
        <f t="shared" si="967"/>
        <v>5389.9802043019699</v>
      </c>
      <c r="T273">
        <f t="shared" si="968"/>
        <v>5.3899802043019696</v>
      </c>
    </row>
    <row r="274" spans="1:20" x14ac:dyDescent="0.25">
      <c r="A274" s="5">
        <v>44319</v>
      </c>
      <c r="B274">
        <v>10.946999999999999</v>
      </c>
      <c r="C274">
        <v>12.222</v>
      </c>
      <c r="D274">
        <v>10.930999999999999</v>
      </c>
      <c r="E274">
        <v>11.497999999999999</v>
      </c>
      <c r="F274">
        <v>16874186.664000001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-0.12161115414407435</v>
      </c>
      <c r="Q274">
        <f t="shared" si="965"/>
        <v>-2052089.3154515878</v>
      </c>
      <c r="R274">
        <f t="shared" si="966"/>
        <v>553503926.96205831</v>
      </c>
      <c r="S274">
        <f t="shared" si="967"/>
        <v>5535.0392696205827</v>
      </c>
      <c r="T274">
        <f t="shared" si="968"/>
        <v>5.535039269620583</v>
      </c>
    </row>
    <row r="275" spans="1:20" x14ac:dyDescent="0.25">
      <c r="A275" s="5">
        <v>44318</v>
      </c>
      <c r="B275">
        <v>11.486000000000001</v>
      </c>
      <c r="C275">
        <v>11.568</v>
      </c>
      <c r="D275">
        <v>10.657999999999999</v>
      </c>
      <c r="E275">
        <v>10.946</v>
      </c>
      <c r="F275">
        <v>10937261.256999999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-0.36703296703296656</v>
      </c>
      <c r="Q275">
        <f t="shared" si="965"/>
        <v>-4014335.4503714233</v>
      </c>
      <c r="R275">
        <f t="shared" si="966"/>
        <v>555556016.27750993</v>
      </c>
      <c r="S275">
        <f t="shared" si="967"/>
        <v>5555.5601627750993</v>
      </c>
      <c r="T275">
        <f t="shared" si="968"/>
        <v>5.555560162775099</v>
      </c>
    </row>
    <row r="276" spans="1:20" x14ac:dyDescent="0.25">
      <c r="A276" s="5">
        <v>44317</v>
      </c>
      <c r="B276">
        <v>11.182</v>
      </c>
      <c r="C276">
        <v>11.65</v>
      </c>
      <c r="D276">
        <v>11.109</v>
      </c>
      <c r="E276">
        <v>11.484999999999999</v>
      </c>
      <c r="F276">
        <v>11868078.696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0.3900184842883519</v>
      </c>
      <c r="Q276">
        <f t="shared" si="965"/>
        <v>4628770.0644287998</v>
      </c>
      <c r="R276">
        <f t="shared" si="966"/>
        <v>559570351.72788131</v>
      </c>
      <c r="S276">
        <f t="shared" si="967"/>
        <v>5595.7035172788128</v>
      </c>
      <c r="T276">
        <f t="shared" si="968"/>
        <v>5.595703517278813</v>
      </c>
    </row>
    <row r="277" spans="1:20" x14ac:dyDescent="0.25">
      <c r="A277" s="5">
        <v>44316</v>
      </c>
      <c r="B277">
        <v>10.898999999999999</v>
      </c>
      <c r="C277">
        <v>11.409000000000001</v>
      </c>
      <c r="D277">
        <v>10.663</v>
      </c>
      <c r="E277">
        <v>11.183999999999999</v>
      </c>
      <c r="F277">
        <v>9644254.6300000008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0.39678284182305285</v>
      </c>
      <c r="Q277">
        <f t="shared" si="965"/>
        <v>3826674.7593565355</v>
      </c>
      <c r="R277">
        <f t="shared" si="966"/>
        <v>554941581.66345251</v>
      </c>
      <c r="S277">
        <f t="shared" si="967"/>
        <v>5549.4158166345251</v>
      </c>
      <c r="T277">
        <f t="shared" si="968"/>
        <v>5.5494158166345251</v>
      </c>
    </row>
    <row r="278" spans="1:20" x14ac:dyDescent="0.25">
      <c r="A278" s="5">
        <v>44315</v>
      </c>
      <c r="B278">
        <v>11.045</v>
      </c>
      <c r="C278">
        <v>11.55</v>
      </c>
      <c r="D278">
        <v>10.4</v>
      </c>
      <c r="E278">
        <v>10.896000000000001</v>
      </c>
      <c r="F278">
        <v>11404802.944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-0.13739130434782559</v>
      </c>
      <c r="Q278">
        <f t="shared" si="965"/>
        <v>-1566920.7523060814</v>
      </c>
      <c r="R278">
        <f t="shared" si="966"/>
        <v>551114906.90409601</v>
      </c>
      <c r="S278">
        <f t="shared" si="967"/>
        <v>5511.1490690409601</v>
      </c>
      <c r="T278">
        <f t="shared" si="968"/>
        <v>5.5111490690409601</v>
      </c>
    </row>
    <row r="279" spans="1:20" x14ac:dyDescent="0.25">
      <c r="A279" s="5">
        <v>44314</v>
      </c>
      <c r="B279">
        <v>11.263999999999999</v>
      </c>
      <c r="C279">
        <v>11.706</v>
      </c>
      <c r="D279">
        <v>10.53</v>
      </c>
      <c r="E279">
        <v>11.041</v>
      </c>
      <c r="F279">
        <v>11610324.455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-0.13095238095237935</v>
      </c>
      <c r="Q279">
        <f t="shared" si="965"/>
        <v>-1520399.6310118861</v>
      </c>
      <c r="R279">
        <f t="shared" si="966"/>
        <v>552681827.65640211</v>
      </c>
      <c r="S279">
        <f t="shared" si="967"/>
        <v>5526.8182765640213</v>
      </c>
      <c r="T279">
        <f t="shared" si="968"/>
        <v>5.526818276564021</v>
      </c>
    </row>
    <row r="280" spans="1:20" x14ac:dyDescent="0.25">
      <c r="A280" s="5">
        <v>44313</v>
      </c>
      <c r="B280">
        <v>10.762</v>
      </c>
      <c r="C280">
        <v>11.775</v>
      </c>
      <c r="D280">
        <v>10.5</v>
      </c>
      <c r="E280">
        <v>11.265000000000001</v>
      </c>
      <c r="F280">
        <v>12601937.24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0.20000000000000057</v>
      </c>
      <c r="Q280">
        <f t="shared" si="965"/>
        <v>2520387.4480000073</v>
      </c>
      <c r="R280">
        <f t="shared" si="966"/>
        <v>554202227.28741395</v>
      </c>
      <c r="S280">
        <f t="shared" si="967"/>
        <v>5542.0222728741392</v>
      </c>
      <c r="T280">
        <f t="shared" si="968"/>
        <v>5.5420222728741395</v>
      </c>
    </row>
    <row r="281" spans="1:20" x14ac:dyDescent="0.25">
      <c r="A281" s="5">
        <v>44312</v>
      </c>
      <c r="B281">
        <v>9.1739999999999995</v>
      </c>
      <c r="C281">
        <v>11.327</v>
      </c>
      <c r="D281">
        <v>8.9420000000000002</v>
      </c>
      <c r="E281">
        <v>10.759</v>
      </c>
      <c r="F281">
        <v>23658090.252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0.52368972746331266</v>
      </c>
      <c r="Q281">
        <f t="shared" si="965"/>
        <v>12389498.836372335</v>
      </c>
      <c r="R281">
        <f t="shared" si="966"/>
        <v>551681839.839414</v>
      </c>
      <c r="S281">
        <f t="shared" si="967"/>
        <v>5516.8183983941399</v>
      </c>
      <c r="T281">
        <f t="shared" si="968"/>
        <v>5.5168183983941397</v>
      </c>
    </row>
    <row r="282" spans="1:20" x14ac:dyDescent="0.25">
      <c r="A282" s="5">
        <v>44311</v>
      </c>
      <c r="B282">
        <v>8.66099</v>
      </c>
      <c r="C282">
        <v>9.69</v>
      </c>
      <c r="D282">
        <v>8.2319999999999993</v>
      </c>
      <c r="E282">
        <v>9.1669999999999998</v>
      </c>
      <c r="F282">
        <v>15379588.465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0.28257887517146829</v>
      </c>
      <c r="Q282">
        <f t="shared" si="965"/>
        <v>4345946.8090397883</v>
      </c>
      <c r="R282">
        <f t="shared" si="966"/>
        <v>539292341.00304163</v>
      </c>
      <c r="S282">
        <f t="shared" si="967"/>
        <v>5392.9234100304166</v>
      </c>
      <c r="T282">
        <f t="shared" si="968"/>
        <v>5.3929234100304164</v>
      </c>
    </row>
    <row r="283" spans="1:20" x14ac:dyDescent="0.25">
      <c r="A283" s="5">
        <v>44310</v>
      </c>
      <c r="B283">
        <v>9.9409799999999997</v>
      </c>
      <c r="C283">
        <v>9.9691600000000005</v>
      </c>
      <c r="D283">
        <v>8.5215300000000003</v>
      </c>
      <c r="E283">
        <v>8.6601700000000008</v>
      </c>
      <c r="F283">
        <v>18542815.899999999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-0.80845934389312113</v>
      </c>
      <c r="Q283">
        <f t="shared" si="965"/>
        <v>-14991112.776444932</v>
      </c>
      <c r="R283">
        <f t="shared" si="966"/>
        <v>534946394.19400179</v>
      </c>
      <c r="S283">
        <f t="shared" si="967"/>
        <v>5349.4639419400182</v>
      </c>
      <c r="T283">
        <f t="shared" si="968"/>
        <v>5.3494639419400185</v>
      </c>
    </row>
    <row r="284" spans="1:20" x14ac:dyDescent="0.25">
      <c r="A284" s="5">
        <v>44309</v>
      </c>
      <c r="B284">
        <v>9.9034499999999994</v>
      </c>
      <c r="C284">
        <v>10.17076</v>
      </c>
      <c r="D284">
        <v>7.2</v>
      </c>
      <c r="E284">
        <v>9.9452800000000003</v>
      </c>
      <c r="F284">
        <v>42026625.100000001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0.84820046048822573</v>
      </c>
      <c r="Q284">
        <f t="shared" si="965"/>
        <v>35647002.762586027</v>
      </c>
      <c r="R284">
        <f t="shared" si="966"/>
        <v>549937506.97044671</v>
      </c>
      <c r="S284">
        <f t="shared" si="967"/>
        <v>5499.375069704467</v>
      </c>
      <c r="T284">
        <f t="shared" si="968"/>
        <v>5.4993750697044668</v>
      </c>
    </row>
    <row r="285" spans="1:20" x14ac:dyDescent="0.25">
      <c r="A285" s="5">
        <v>44308</v>
      </c>
      <c r="B285">
        <v>11.01993</v>
      </c>
      <c r="C285">
        <v>11.34342</v>
      </c>
      <c r="D285">
        <v>9.3786199999999997</v>
      </c>
      <c r="E285">
        <v>9.9040800000000004</v>
      </c>
      <c r="F285">
        <v>18503220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-0.46512622149837068</v>
      </c>
      <c r="Q285">
        <f t="shared" si="965"/>
        <v>-8606332.8041530829</v>
      </c>
      <c r="R285">
        <f t="shared" si="966"/>
        <v>514290504.20786071</v>
      </c>
      <c r="S285">
        <f t="shared" si="967"/>
        <v>5142.905042078607</v>
      </c>
      <c r="T285">
        <f t="shared" si="968"/>
        <v>5.1429050420786071</v>
      </c>
    </row>
    <row r="286" spans="1:20" x14ac:dyDescent="0.25">
      <c r="A286" s="5">
        <v>44307</v>
      </c>
      <c r="B286">
        <v>11.75543</v>
      </c>
      <c r="C286">
        <v>12.259539999999999</v>
      </c>
      <c r="D286">
        <v>10.9</v>
      </c>
      <c r="E286">
        <v>11.013590000000001</v>
      </c>
      <c r="F286">
        <v>13308541.300000001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-0.83289936301984435</v>
      </c>
      <c r="Q286">
        <f t="shared" si="965"/>
        <v>-11084675.571493292</v>
      </c>
      <c r="R286">
        <f t="shared" si="966"/>
        <v>522896837.01201379</v>
      </c>
      <c r="S286">
        <f t="shared" si="967"/>
        <v>5228.9683701201375</v>
      </c>
      <c r="T286">
        <f t="shared" si="968"/>
        <v>5.2289683701201373</v>
      </c>
    </row>
    <row r="287" spans="1:20" x14ac:dyDescent="0.25">
      <c r="A287" s="5">
        <v>44306</v>
      </c>
      <c r="B287">
        <v>10.80439</v>
      </c>
      <c r="C287">
        <v>12.177339999999999</v>
      </c>
      <c r="D287">
        <v>9.8541299999999996</v>
      </c>
      <c r="E287">
        <v>11.751860000000001</v>
      </c>
      <c r="F287">
        <v>16432978.199999999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0.6337136978577067</v>
      </c>
      <c r="Q287">
        <f t="shared" si="965"/>
        <v>10413803.381937081</v>
      </c>
      <c r="R287">
        <f t="shared" si="966"/>
        <v>533981512.58350706</v>
      </c>
      <c r="S287">
        <f t="shared" si="967"/>
        <v>5339.8151258350708</v>
      </c>
      <c r="T287">
        <f t="shared" si="968"/>
        <v>5.339815125835071</v>
      </c>
    </row>
    <row r="288" spans="1:20" x14ac:dyDescent="0.25">
      <c r="A288" s="5">
        <v>44305</v>
      </c>
      <c r="B288">
        <v>11.771089999999999</v>
      </c>
      <c r="C288">
        <v>12.559990000000001</v>
      </c>
      <c r="D288">
        <v>10.29</v>
      </c>
      <c r="E288">
        <v>10.79894</v>
      </c>
      <c r="F288">
        <v>17434179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-0.55159273829400091</v>
      </c>
      <c r="Q288">
        <f t="shared" si="965"/>
        <v>-9616566.5345177669</v>
      </c>
      <c r="R288">
        <f t="shared" si="966"/>
        <v>523567709.20156997</v>
      </c>
      <c r="S288">
        <f t="shared" si="967"/>
        <v>5235.6770920156996</v>
      </c>
      <c r="T288">
        <f t="shared" si="968"/>
        <v>5.2356770920156999</v>
      </c>
    </row>
    <row r="289" spans="1:20" x14ac:dyDescent="0.25">
      <c r="A289" s="5">
        <v>44304</v>
      </c>
      <c r="B289">
        <v>13.28519</v>
      </c>
      <c r="C289">
        <v>13.534789999999999</v>
      </c>
      <c r="D289">
        <v>8.9411100000000001</v>
      </c>
      <c r="E289">
        <v>11.765129999999999</v>
      </c>
      <c r="F289">
        <v>31899815.800000001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0.2295240417268942</v>
      </c>
      <c r="Q289">
        <f t="shared" si="965"/>
        <v>7321774.6527594393</v>
      </c>
      <c r="R289">
        <f t="shared" si="966"/>
        <v>533184275.73608774</v>
      </c>
      <c r="S289">
        <f t="shared" si="967"/>
        <v>5331.8427573608778</v>
      </c>
      <c r="T289">
        <f t="shared" si="968"/>
        <v>5.331842757360878</v>
      </c>
    </row>
    <row r="290" spans="1:20" x14ac:dyDescent="0.25">
      <c r="A290" s="5">
        <v>44303</v>
      </c>
      <c r="B290">
        <v>14.20007</v>
      </c>
      <c r="C290">
        <v>14.98</v>
      </c>
      <c r="D290">
        <v>12.922190000000001</v>
      </c>
      <c r="E290">
        <v>13.289149999999999</v>
      </c>
      <c r="F290">
        <v>17763784.600000001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-0.64334899723492567</v>
      </c>
      <c r="Q290">
        <f t="shared" si="965"/>
        <v>-11428313.009507217</v>
      </c>
      <c r="R290">
        <f t="shared" si="966"/>
        <v>525862501.08332831</v>
      </c>
      <c r="S290">
        <f t="shared" si="967"/>
        <v>5258.6250108332833</v>
      </c>
      <c r="T290">
        <f t="shared" si="968"/>
        <v>5.258625010833283</v>
      </c>
    </row>
    <row r="291" spans="1:20" x14ac:dyDescent="0.25">
      <c r="A291" s="5">
        <v>44302</v>
      </c>
      <c r="B291">
        <v>12.565049999999999</v>
      </c>
      <c r="C291">
        <v>15.88</v>
      </c>
      <c r="D291">
        <v>11.970269999999999</v>
      </c>
      <c r="E291">
        <v>14.20003</v>
      </c>
      <c r="F291">
        <v>46776470.299999997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0.14062096359595153</v>
      </c>
      <c r="Q291">
        <f t="shared" si="965"/>
        <v>6577752.327203407</v>
      </c>
      <c r="R291">
        <f t="shared" si="966"/>
        <v>537290814.09283555</v>
      </c>
      <c r="S291">
        <f t="shared" si="967"/>
        <v>5372.9081409283554</v>
      </c>
      <c r="T291">
        <f t="shared" si="968"/>
        <v>5.372908140928355</v>
      </c>
    </row>
    <row r="292" spans="1:20" x14ac:dyDescent="0.25">
      <c r="A292" s="5">
        <v>44301</v>
      </c>
      <c r="B292">
        <v>12.144030000000001</v>
      </c>
      <c r="C292">
        <v>12.651</v>
      </c>
      <c r="D292">
        <v>11.885249999999999</v>
      </c>
      <c r="E292">
        <v>12.565799999999999</v>
      </c>
      <c r="F292">
        <v>6950789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0.77747306562193841</v>
      </c>
      <c r="Q292">
        <f t="shared" si="965"/>
        <v>5404051.2323212475</v>
      </c>
      <c r="R292">
        <f t="shared" si="966"/>
        <v>530713061.76563215</v>
      </c>
      <c r="S292">
        <f t="shared" si="967"/>
        <v>5307.1306176563212</v>
      </c>
      <c r="T292">
        <f t="shared" si="968"/>
        <v>5.3071306176563215</v>
      </c>
    </row>
    <row r="293" spans="1:20" x14ac:dyDescent="0.25">
      <c r="A293" s="5">
        <v>44300</v>
      </c>
      <c r="B293">
        <v>12.42</v>
      </c>
      <c r="C293">
        <v>12.828849999999999</v>
      </c>
      <c r="D293">
        <v>11.345000000000001</v>
      </c>
      <c r="E293">
        <v>12.147220000000001</v>
      </c>
      <c r="F293">
        <v>12916655.5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8.1268322269772458E-2</v>
      </c>
      <c r="Q293">
        <f t="shared" si="965"/>
        <v>1049714.9218216289</v>
      </c>
      <c r="R293">
        <f t="shared" si="966"/>
        <v>525309010.53331089</v>
      </c>
      <c r="S293">
        <f t="shared" si="967"/>
        <v>5253.090105333109</v>
      </c>
      <c r="T293">
        <f t="shared" si="968"/>
        <v>5.2530901053331087</v>
      </c>
    </row>
    <row r="294" spans="1:20" x14ac:dyDescent="0.25">
      <c r="A294" s="5">
        <v>44299</v>
      </c>
      <c r="B294">
        <v>12.132860000000001</v>
      </c>
      <c r="C294">
        <v>12.61162</v>
      </c>
      <c r="D294">
        <v>11.821719999999999</v>
      </c>
      <c r="E294">
        <v>12.423080000000001</v>
      </c>
      <c r="F294">
        <v>10359895.9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0.52262311685023566</v>
      </c>
      <c r="Q294">
        <f t="shared" si="965"/>
        <v>5414321.0855019772</v>
      </c>
      <c r="R294">
        <f t="shared" si="966"/>
        <v>524259295.61148924</v>
      </c>
      <c r="S294">
        <f t="shared" si="967"/>
        <v>5242.5929561148923</v>
      </c>
      <c r="T294">
        <f t="shared" si="968"/>
        <v>5.2425929561148923</v>
      </c>
    </row>
    <row r="295" spans="1:20" x14ac:dyDescent="0.25">
      <c r="A295" s="5">
        <v>44298</v>
      </c>
      <c r="B295">
        <v>12.198969999999999</v>
      </c>
      <c r="C295">
        <v>12.355230000000001</v>
      </c>
      <c r="D295">
        <v>11.81345</v>
      </c>
      <c r="E295">
        <v>12.132860000000001</v>
      </c>
      <c r="F295">
        <v>6737431.0999999996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0.17911329321865219</v>
      </c>
      <c r="Q295">
        <f t="shared" si="965"/>
        <v>1206763.4721547663</v>
      </c>
      <c r="R295">
        <f t="shared" si="966"/>
        <v>518844974.52598727</v>
      </c>
      <c r="S295">
        <f t="shared" si="967"/>
        <v>5188.4497452598725</v>
      </c>
      <c r="T295">
        <f t="shared" si="968"/>
        <v>5.1884497452598728</v>
      </c>
    </row>
    <row r="296" spans="1:20" x14ac:dyDescent="0.25">
      <c r="A296" s="5">
        <v>44297</v>
      </c>
      <c r="B296">
        <v>12.37701</v>
      </c>
      <c r="C296">
        <v>12.58526</v>
      </c>
      <c r="D296">
        <v>11.996639999999999</v>
      </c>
      <c r="E296">
        <v>12.19659</v>
      </c>
      <c r="F296">
        <v>7206855.2999999998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-0.32061431823587039</v>
      </c>
      <c r="Q296">
        <f t="shared" si="965"/>
        <v>-2310620.9986340692</v>
      </c>
      <c r="R296">
        <f t="shared" si="966"/>
        <v>517638211.05383247</v>
      </c>
      <c r="S296">
        <f t="shared" si="967"/>
        <v>5176.3821105383249</v>
      </c>
      <c r="T296">
        <f t="shared" si="968"/>
        <v>5.1763821105383245</v>
      </c>
    </row>
    <row r="297" spans="1:20" x14ac:dyDescent="0.25">
      <c r="A297" s="5">
        <v>44296</v>
      </c>
      <c r="B297">
        <v>12.63874</v>
      </c>
      <c r="C297">
        <v>13.1</v>
      </c>
      <c r="D297">
        <v>12.024559999999999</v>
      </c>
      <c r="E297">
        <v>12.37453</v>
      </c>
      <c r="F297">
        <v>8246263.5999999996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-0.34915941382131843</v>
      </c>
      <c r="Q297">
        <f t="shared" si="965"/>
        <v>-2879260.5647920747</v>
      </c>
      <c r="R297">
        <f t="shared" si="966"/>
        <v>519948832.05246651</v>
      </c>
      <c r="S297">
        <f t="shared" si="967"/>
        <v>5199.4883205246651</v>
      </c>
      <c r="T297">
        <f t="shared" si="968"/>
        <v>5.1994883205246651</v>
      </c>
    </row>
    <row r="298" spans="1:20" x14ac:dyDescent="0.25">
      <c r="A298" s="5">
        <v>44295</v>
      </c>
      <c r="B298">
        <v>12.907679999999999</v>
      </c>
      <c r="C298">
        <v>13.17863</v>
      </c>
      <c r="D298">
        <v>12.304489999999999</v>
      </c>
      <c r="E298">
        <v>12.63749</v>
      </c>
      <c r="F298">
        <v>8285275.7999999998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-0.23810831216967543</v>
      </c>
      <c r="Q298">
        <f t="shared" si="965"/>
        <v>-1972793.0365982573</v>
      </c>
      <c r="R298">
        <f t="shared" si="966"/>
        <v>522828092.61725861</v>
      </c>
      <c r="S298">
        <f t="shared" si="967"/>
        <v>5228.2809261725861</v>
      </c>
      <c r="T298">
        <f t="shared" si="968"/>
        <v>5.2282809261725864</v>
      </c>
    </row>
    <row r="299" spans="1:20" x14ac:dyDescent="0.25">
      <c r="A299" s="5">
        <v>44294</v>
      </c>
      <c r="B299">
        <v>12.28778</v>
      </c>
      <c r="C299">
        <v>13.40939</v>
      </c>
      <c r="D299">
        <v>11.82746</v>
      </c>
      <c r="E299">
        <v>12.913360000000001</v>
      </c>
      <c r="F299">
        <v>14861342.800000001</v>
      </c>
      <c r="G299">
        <v>0</v>
      </c>
      <c r="L299" t="s">
        <v>7</v>
      </c>
      <c r="M299" t="s">
        <v>8</v>
      </c>
      <c r="N299" t="s">
        <v>7</v>
      </c>
      <c r="P299">
        <f t="shared" si="964"/>
        <v>0.37287996308307025</v>
      </c>
      <c r="Q299">
        <f t="shared" si="965"/>
        <v>5541496.9546288522</v>
      </c>
      <c r="R299">
        <f t="shared" si="966"/>
        <v>524800885.65385687</v>
      </c>
      <c r="S299">
        <f t="shared" si="967"/>
        <v>5248.0088565385686</v>
      </c>
      <c r="T299">
        <f t="shared" si="968"/>
        <v>5.2480088565385685</v>
      </c>
    </row>
    <row r="300" spans="1:20" x14ac:dyDescent="0.25">
      <c r="A300" s="5">
        <v>44293</v>
      </c>
      <c r="B300">
        <v>11.72655</v>
      </c>
      <c r="C300">
        <v>13.75</v>
      </c>
      <c r="D300">
        <v>11.42755</v>
      </c>
      <c r="E300">
        <v>12.287699999999999</v>
      </c>
      <c r="F300">
        <v>38361267.600000001</v>
      </c>
      <c r="G300">
        <v>0</v>
      </c>
      <c r="L300" t="s">
        <v>8</v>
      </c>
      <c r="M300" t="s">
        <v>8</v>
      </c>
      <c r="N300" t="s">
        <v>7</v>
      </c>
      <c r="P300">
        <f t="shared" si="964"/>
        <v>-0.25927361191844894</v>
      </c>
      <c r="Q300">
        <f t="shared" si="965"/>
        <v>-9946064.4084221702</v>
      </c>
      <c r="R300">
        <f t="shared" si="966"/>
        <v>519259388.69922805</v>
      </c>
      <c r="S300">
        <f t="shared" si="967"/>
        <v>5192.5938869922802</v>
      </c>
      <c r="T300">
        <f t="shared" si="968"/>
        <v>5.1925938869922801</v>
      </c>
    </row>
    <row r="301" spans="1:20" x14ac:dyDescent="0.25">
      <c r="A301" s="5">
        <v>44292</v>
      </c>
      <c r="B301">
        <v>11.604979999999999</v>
      </c>
      <c r="C301">
        <v>11.95176</v>
      </c>
      <c r="D301">
        <v>11.396000000000001</v>
      </c>
      <c r="E301">
        <v>11.71977</v>
      </c>
      <c r="F301">
        <v>9642474.5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0.16514322729235656</v>
      </c>
      <c r="Q301">
        <f t="shared" si="965"/>
        <v>1592389.3580142523</v>
      </c>
      <c r="R301">
        <f t="shared" si="966"/>
        <v>529205453.10765022</v>
      </c>
      <c r="S301">
        <f t="shared" si="967"/>
        <v>5292.0545310765019</v>
      </c>
      <c r="T301">
        <f t="shared" si="968"/>
        <v>5.2920545310765021</v>
      </c>
    </row>
    <row r="302" spans="1:20" x14ac:dyDescent="0.25">
      <c r="A302" s="5">
        <v>44291</v>
      </c>
      <c r="B302">
        <v>11.7859</v>
      </c>
      <c r="C302">
        <v>11.882070000000001</v>
      </c>
      <c r="D302">
        <v>11.273529999999999</v>
      </c>
      <c r="E302">
        <v>11.604419999999999</v>
      </c>
      <c r="F302">
        <v>9512574.1999999993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8.7488086239193352E-2</v>
      </c>
      <c r="Q302">
        <f t="shared" si="965"/>
        <v>832236.9119663256</v>
      </c>
      <c r="R302">
        <f t="shared" si="966"/>
        <v>527613063.74963599</v>
      </c>
      <c r="S302">
        <f t="shared" si="967"/>
        <v>5276.1306374963597</v>
      </c>
      <c r="T302">
        <f t="shared" si="968"/>
        <v>5.2761306374963599</v>
      </c>
    </row>
    <row r="303" spans="1:20" x14ac:dyDescent="0.25">
      <c r="A303" s="5">
        <v>44290</v>
      </c>
      <c r="B303">
        <v>11.381589999999999</v>
      </c>
      <c r="C303">
        <v>11.865550000000001</v>
      </c>
      <c r="D303">
        <v>11.20505</v>
      </c>
      <c r="E303">
        <v>11.787269999999999</v>
      </c>
      <c r="F303">
        <v>7702993.9000000004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0.76296744890234325</v>
      </c>
      <c r="Q303">
        <f t="shared" si="965"/>
        <v>5877133.604793312</v>
      </c>
      <c r="R303">
        <f t="shared" si="966"/>
        <v>526780826.83766967</v>
      </c>
      <c r="S303">
        <f t="shared" si="967"/>
        <v>5267.808268376697</v>
      </c>
      <c r="T303">
        <f t="shared" si="968"/>
        <v>5.2678082683766974</v>
      </c>
    </row>
    <row r="304" spans="1:20" x14ac:dyDescent="0.25">
      <c r="A304" s="5">
        <v>44289</v>
      </c>
      <c r="B304">
        <v>11.67281</v>
      </c>
      <c r="C304">
        <v>12.588710000000001</v>
      </c>
      <c r="D304">
        <v>11.23</v>
      </c>
      <c r="E304">
        <v>11.390420000000001</v>
      </c>
      <c r="F304">
        <v>14265026.699999999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-0.76386425359348176</v>
      </c>
      <c r="Q304">
        <f t="shared" si="965"/>
        <v>-10896543.972686587</v>
      </c>
      <c r="R304">
        <f t="shared" si="966"/>
        <v>520903693.23287636</v>
      </c>
      <c r="S304">
        <f t="shared" si="967"/>
        <v>5209.0369323287632</v>
      </c>
      <c r="T304">
        <f t="shared" si="968"/>
        <v>5.2090369323287629</v>
      </c>
    </row>
    <row r="305" spans="1:20" x14ac:dyDescent="0.25">
      <c r="A305" s="5">
        <v>44288</v>
      </c>
      <c r="B305">
        <v>11.511979999999999</v>
      </c>
      <c r="C305">
        <v>12.25</v>
      </c>
      <c r="D305">
        <v>11.216240000000001</v>
      </c>
      <c r="E305">
        <v>11.67188</v>
      </c>
      <c r="F305">
        <v>13442720.300000001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-0.11848011143785923</v>
      </c>
      <c r="Q305">
        <f t="shared" si="965"/>
        <v>-1592694.9991719725</v>
      </c>
      <c r="R305">
        <f t="shared" si="966"/>
        <v>531800237.20556295</v>
      </c>
      <c r="S305">
        <f t="shared" si="967"/>
        <v>5318.0023720556292</v>
      </c>
      <c r="T305">
        <f t="shared" si="968"/>
        <v>5.3180023720556289</v>
      </c>
    </row>
    <row r="306" spans="1:20" x14ac:dyDescent="0.25">
      <c r="A306" s="5">
        <v>44287</v>
      </c>
      <c r="B306">
        <v>12.327909999999999</v>
      </c>
      <c r="C306">
        <v>12.479430000000001</v>
      </c>
      <c r="D306">
        <v>11.280609999999999</v>
      </c>
      <c r="E306">
        <v>11.518140000000001</v>
      </c>
      <c r="F306">
        <v>15626030.699999999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-0.60372699821490949</v>
      </c>
      <c r="Q306">
        <f t="shared" si="965"/>
        <v>-9433856.608525021</v>
      </c>
      <c r="R306">
        <f t="shared" si="966"/>
        <v>533392932.20473492</v>
      </c>
      <c r="S306">
        <f t="shared" si="967"/>
        <v>5333.9293220473492</v>
      </c>
      <c r="T306">
        <f t="shared" si="968"/>
        <v>5.3339293220473492</v>
      </c>
    </row>
    <row r="307" spans="1:20" x14ac:dyDescent="0.25">
      <c r="A307" s="5">
        <v>44286</v>
      </c>
      <c r="B307">
        <v>12.889279999999999</v>
      </c>
      <c r="C307">
        <v>13.56119</v>
      </c>
      <c r="D307">
        <v>11.6</v>
      </c>
      <c r="E307">
        <v>12.32709</v>
      </c>
      <c r="F307">
        <v>15213500.699999999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-0.25852161187850198</v>
      </c>
      <c r="Q307">
        <f t="shared" si="965"/>
        <v>-3933018.7232787181</v>
      </c>
      <c r="R307">
        <f t="shared" si="966"/>
        <v>542826788.81325996</v>
      </c>
      <c r="S307">
        <f t="shared" si="967"/>
        <v>5428.2678881325992</v>
      </c>
      <c r="T307">
        <f t="shared" si="968"/>
        <v>5.4282678881325994</v>
      </c>
    </row>
    <row r="308" spans="1:20" x14ac:dyDescent="0.25">
      <c r="A308" s="5">
        <v>44285</v>
      </c>
      <c r="B308">
        <v>13.13374</v>
      </c>
      <c r="C308">
        <v>13.31</v>
      </c>
      <c r="D308">
        <v>12.682829999999999</v>
      </c>
      <c r="E308">
        <v>12.882110000000001</v>
      </c>
      <c r="F308">
        <v>11135145.4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-0.3645104198223727</v>
      </c>
      <c r="Q308">
        <f t="shared" si="965"/>
        <v>-4058876.5245371624</v>
      </c>
      <c r="R308">
        <f t="shared" si="966"/>
        <v>546759807.53653872</v>
      </c>
      <c r="S308">
        <f t="shared" si="967"/>
        <v>5467.5980753653876</v>
      </c>
      <c r="T308">
        <f t="shared" si="968"/>
        <v>5.4675980753653874</v>
      </c>
    </row>
    <row r="309" spans="1:20" x14ac:dyDescent="0.25">
      <c r="A309" s="5">
        <v>44284</v>
      </c>
      <c r="B309">
        <v>12.85637</v>
      </c>
      <c r="C309">
        <v>13.95</v>
      </c>
      <c r="D309">
        <v>12.8</v>
      </c>
      <c r="E309">
        <v>13.132820000000001</v>
      </c>
      <c r="F309">
        <v>20104939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-0.42118260869565166</v>
      </c>
      <c r="Q309">
        <f t="shared" si="965"/>
        <v>-8467850.6556869466</v>
      </c>
      <c r="R309">
        <f t="shared" si="966"/>
        <v>550818684.06107593</v>
      </c>
      <c r="S309">
        <f t="shared" si="967"/>
        <v>5508.1868406107596</v>
      </c>
      <c r="T309">
        <f t="shared" si="968"/>
        <v>5.5081868406107599</v>
      </c>
    </row>
    <row r="310" spans="1:20" x14ac:dyDescent="0.25">
      <c r="A310" s="5">
        <v>44283</v>
      </c>
      <c r="B310">
        <v>11.8032</v>
      </c>
      <c r="C310">
        <v>13.09</v>
      </c>
      <c r="D310">
        <v>11.56</v>
      </c>
      <c r="E310">
        <v>12.863020000000001</v>
      </c>
      <c r="F310">
        <v>20350558.699999999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0.70329411764705962</v>
      </c>
      <c r="Q310">
        <f t="shared" si="965"/>
        <v>14312428.224541193</v>
      </c>
      <c r="R310">
        <f t="shared" si="966"/>
        <v>559286534.7167629</v>
      </c>
      <c r="S310">
        <f t="shared" si="967"/>
        <v>5592.8653471676289</v>
      </c>
      <c r="T310">
        <f t="shared" si="968"/>
        <v>5.5928653471676286</v>
      </c>
    </row>
    <row r="311" spans="1:20" x14ac:dyDescent="0.25">
      <c r="A311" s="5">
        <v>44282</v>
      </c>
      <c r="B311">
        <v>12.62616</v>
      </c>
      <c r="C311">
        <v>12.63592</v>
      </c>
      <c r="D311">
        <v>11.4825</v>
      </c>
      <c r="E311">
        <v>11.813750000000001</v>
      </c>
      <c r="F311">
        <v>16112401.300000001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-0.42562119609509014</v>
      </c>
      <c r="Q311">
        <f t="shared" si="965"/>
        <v>-6857779.5132700857</v>
      </c>
      <c r="R311">
        <f t="shared" si="966"/>
        <v>544974106.49222171</v>
      </c>
      <c r="S311">
        <f t="shared" si="967"/>
        <v>5449.7410649222174</v>
      </c>
      <c r="T311">
        <f t="shared" si="968"/>
        <v>5.4497410649222173</v>
      </c>
    </row>
    <row r="312" spans="1:20" x14ac:dyDescent="0.25">
      <c r="A312" s="5">
        <v>44281</v>
      </c>
      <c r="B312">
        <v>13.142989999999999</v>
      </c>
      <c r="C312">
        <v>13.65558</v>
      </c>
      <c r="D312">
        <v>11.88226</v>
      </c>
      <c r="E312">
        <v>12.61731</v>
      </c>
      <c r="F312">
        <v>28127102.800000001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-0.17099000744366577</v>
      </c>
      <c r="Q312">
        <f t="shared" si="965"/>
        <v>-4809453.5171407526</v>
      </c>
      <c r="R312">
        <f t="shared" si="966"/>
        <v>551831886.00549185</v>
      </c>
      <c r="S312">
        <f t="shared" si="967"/>
        <v>5518.3188600549183</v>
      </c>
      <c r="T312">
        <f t="shared" si="968"/>
        <v>5.5183188600549187</v>
      </c>
    </row>
    <row r="313" spans="1:20" x14ac:dyDescent="0.25">
      <c r="A313" s="5">
        <v>44280</v>
      </c>
      <c r="B313">
        <v>11.209569999999999</v>
      </c>
      <c r="C313">
        <v>13.399979999999999</v>
      </c>
      <c r="D313">
        <v>10.35</v>
      </c>
      <c r="E313">
        <v>13.12322</v>
      </c>
      <c r="F313">
        <v>55710826.200000003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0.81851684273339531</v>
      </c>
      <c r="Q313">
        <f t="shared" si="965"/>
        <v>45600249.567292921</v>
      </c>
      <c r="R313">
        <f t="shared" si="966"/>
        <v>556641339.5226326</v>
      </c>
      <c r="S313">
        <f t="shared" si="967"/>
        <v>5566.4133952263264</v>
      </c>
      <c r="T313">
        <f t="shared" si="968"/>
        <v>5.5664133952263262</v>
      </c>
    </row>
    <row r="314" spans="1:20" x14ac:dyDescent="0.25">
      <c r="A314" s="5">
        <v>44279</v>
      </c>
      <c r="B314">
        <v>12.89024</v>
      </c>
      <c r="C314">
        <v>14.961410000000001</v>
      </c>
      <c r="D314">
        <v>10.64068</v>
      </c>
      <c r="E314">
        <v>11.223599999999999</v>
      </c>
      <c r="F314">
        <v>61137554.399999999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-0.73017522501984644</v>
      </c>
      <c r="Q314">
        <f t="shared" si="965"/>
        <v>-44641127.541183099</v>
      </c>
      <c r="R314">
        <f t="shared" si="966"/>
        <v>511041089.95533967</v>
      </c>
      <c r="S314">
        <f t="shared" si="967"/>
        <v>5110.410899553397</v>
      </c>
      <c r="T314">
        <f t="shared" si="968"/>
        <v>5.110410899553397</v>
      </c>
    </row>
    <row r="315" spans="1:20" x14ac:dyDescent="0.25">
      <c r="A315" s="5">
        <v>44278</v>
      </c>
      <c r="B315">
        <v>10.009209999999999</v>
      </c>
      <c r="C315">
        <v>14.608930000000001</v>
      </c>
      <c r="D315">
        <v>9.9558599999999995</v>
      </c>
      <c r="E315">
        <v>12.9</v>
      </c>
      <c r="F315">
        <v>67080217.100000001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0.26546129759492121</v>
      </c>
      <c r="Q315">
        <f t="shared" si="965"/>
        <v>17807201.474315021</v>
      </c>
      <c r="R315">
        <f t="shared" si="966"/>
        <v>555682217.49652278</v>
      </c>
      <c r="S315">
        <f t="shared" si="967"/>
        <v>5556.8221749652275</v>
      </c>
      <c r="T315">
        <f t="shared" si="968"/>
        <v>5.5568221749652276</v>
      </c>
    </row>
    <row r="316" spans="1:20" x14ac:dyDescent="0.25">
      <c r="A316" s="5">
        <v>44277</v>
      </c>
      <c r="B316">
        <v>9.6216600000000003</v>
      </c>
      <c r="C316">
        <v>10.73725</v>
      </c>
      <c r="D316">
        <v>9.53993</v>
      </c>
      <c r="E316">
        <v>10.006220000000001</v>
      </c>
      <c r="F316">
        <v>29888821.600000001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-0.22111048007215955</v>
      </c>
      <c r="Q316">
        <f t="shared" si="965"/>
        <v>-6608731.6927671321</v>
      </c>
      <c r="R316">
        <f t="shared" si="966"/>
        <v>537875016.02220774</v>
      </c>
      <c r="S316">
        <f t="shared" si="967"/>
        <v>5378.7501602220773</v>
      </c>
      <c r="T316">
        <f t="shared" si="968"/>
        <v>5.3787501602220775</v>
      </c>
    </row>
    <row r="317" spans="1:20" x14ac:dyDescent="0.25">
      <c r="A317" s="5">
        <v>44276</v>
      </c>
      <c r="B317">
        <v>8.3018099999999997</v>
      </c>
      <c r="C317">
        <v>9.77</v>
      </c>
      <c r="D317">
        <v>8.2283600000000003</v>
      </c>
      <c r="E317">
        <v>9.6251599999999993</v>
      </c>
      <c r="F317">
        <v>18708384.699999999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0.81209620923172676</v>
      </c>
      <c r="Q317">
        <f t="shared" si="965"/>
        <v>15193008.295718836</v>
      </c>
      <c r="R317">
        <f t="shared" si="966"/>
        <v>544483747.71497488</v>
      </c>
      <c r="S317">
        <f t="shared" si="967"/>
        <v>5444.8374771497492</v>
      </c>
      <c r="T317">
        <f t="shared" si="968"/>
        <v>5.4448374771497496</v>
      </c>
    </row>
    <row r="318" spans="1:20" x14ac:dyDescent="0.25">
      <c r="A318" s="5">
        <v>44275</v>
      </c>
      <c r="B318">
        <v>8.2047899999999991</v>
      </c>
      <c r="C318">
        <v>8.56</v>
      </c>
      <c r="D318">
        <v>8.0270600000000005</v>
      </c>
      <c r="E318">
        <v>8.3018099999999997</v>
      </c>
      <c r="F318">
        <v>11017565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3.1072916275750283E-2</v>
      </c>
      <c r="Q318">
        <f t="shared" si="965"/>
        <v>342347.87480763666</v>
      </c>
      <c r="R318">
        <f t="shared" si="966"/>
        <v>529290739.41925609</v>
      </c>
      <c r="S318">
        <f t="shared" si="967"/>
        <v>5292.9073941925608</v>
      </c>
      <c r="T318">
        <f t="shared" si="968"/>
        <v>5.2929073941925608</v>
      </c>
    </row>
    <row r="319" spans="1:20" x14ac:dyDescent="0.25">
      <c r="A319" s="5">
        <v>44274</v>
      </c>
      <c r="B319">
        <v>8.4098000000000006</v>
      </c>
      <c r="C319">
        <v>8.9700000000000006</v>
      </c>
      <c r="D319">
        <v>8.1002299999999998</v>
      </c>
      <c r="E319">
        <v>8.2102299999999993</v>
      </c>
      <c r="F319">
        <v>20131520.800000001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-0.74705956747186197</v>
      </c>
      <c r="Q319">
        <f t="shared" si="965"/>
        <v>-15039445.221398793</v>
      </c>
      <c r="R319">
        <f t="shared" si="966"/>
        <v>528948391.54444844</v>
      </c>
      <c r="S319">
        <f t="shared" si="967"/>
        <v>5289.4839154444844</v>
      </c>
      <c r="T319">
        <f t="shared" si="968"/>
        <v>5.2894839154444844</v>
      </c>
    </row>
    <row r="320" spans="1:20" x14ac:dyDescent="0.25">
      <c r="A320" s="5">
        <v>44273</v>
      </c>
      <c r="B320">
        <v>7.8624299999999998</v>
      </c>
      <c r="C320">
        <v>8.58</v>
      </c>
      <c r="D320">
        <v>7.45</v>
      </c>
      <c r="E320">
        <v>8.4047199999999993</v>
      </c>
      <c r="F320">
        <v>22664639.600000001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0.68976991150442335</v>
      </c>
      <c r="Q320">
        <f t="shared" si="965"/>
        <v>15633386.45117165</v>
      </c>
      <c r="R320">
        <f t="shared" si="966"/>
        <v>543987836.76584721</v>
      </c>
      <c r="S320">
        <f t="shared" si="967"/>
        <v>5439.8783676584717</v>
      </c>
      <c r="T320">
        <f t="shared" si="968"/>
        <v>5.4398783676584719</v>
      </c>
    </row>
    <row r="321" spans="1:20" x14ac:dyDescent="0.25">
      <c r="A321" s="5">
        <v>44272</v>
      </c>
      <c r="B321">
        <v>7.0172699999999999</v>
      </c>
      <c r="C321">
        <v>7.87</v>
      </c>
      <c r="D321">
        <v>6.76</v>
      </c>
      <c r="E321">
        <v>7.87</v>
      </c>
      <c r="F321">
        <v>13441798.9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1</v>
      </c>
      <c r="Q321">
        <f t="shared" si="965"/>
        <v>13441798.9</v>
      </c>
      <c r="R321">
        <f t="shared" si="966"/>
        <v>528354450.31467551</v>
      </c>
      <c r="S321">
        <f t="shared" si="967"/>
        <v>5283.5445031467552</v>
      </c>
      <c r="T321">
        <f t="shared" si="968"/>
        <v>5.2835445031467554</v>
      </c>
    </row>
    <row r="322" spans="1:20" x14ac:dyDescent="0.25">
      <c r="A322" s="5">
        <v>44271</v>
      </c>
      <c r="B322">
        <v>6.7524800000000003</v>
      </c>
      <c r="C322">
        <v>7.55</v>
      </c>
      <c r="D322">
        <v>6.3593299999999999</v>
      </c>
      <c r="E322">
        <v>7.0216599999999998</v>
      </c>
      <c r="F322">
        <v>19449764.800000001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0.11253327958208391</v>
      </c>
      <c r="Q322">
        <f t="shared" si="965"/>
        <v>2188745.8200441743</v>
      </c>
      <c r="R322">
        <f t="shared" si="966"/>
        <v>514912651.41467553</v>
      </c>
      <c r="S322">
        <f t="shared" si="967"/>
        <v>5149.1265141467557</v>
      </c>
      <c r="T322">
        <f t="shared" si="968"/>
        <v>5.1491265141467553</v>
      </c>
    </row>
    <row r="323" spans="1:20" x14ac:dyDescent="0.25">
      <c r="A323" s="5">
        <v>44270</v>
      </c>
      <c r="B323">
        <v>7.3379200000000004</v>
      </c>
      <c r="C323">
        <v>7.62</v>
      </c>
      <c r="D323">
        <v>6.5948799999999999</v>
      </c>
      <c r="E323">
        <v>6.7529199999999996</v>
      </c>
      <c r="F323">
        <v>18028866.199999999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-0.69166536600593165</v>
      </c>
      <c r="Q323">
        <f t="shared" si="965"/>
        <v>-12469942.338894969</v>
      </c>
      <c r="R323">
        <f t="shared" si="966"/>
        <v>512723905.59463137</v>
      </c>
      <c r="S323">
        <f t="shared" si="967"/>
        <v>5127.2390559463138</v>
      </c>
      <c r="T323">
        <f t="shared" si="968"/>
        <v>5.1272390559463137</v>
      </c>
    </row>
    <row r="324" spans="1:20" x14ac:dyDescent="0.25">
      <c r="A324" s="5">
        <v>44269</v>
      </c>
      <c r="B324">
        <v>6.83</v>
      </c>
      <c r="C324">
        <v>7.7377700000000003</v>
      </c>
      <c r="D324">
        <v>6.5909399999999998</v>
      </c>
      <c r="E324">
        <v>7.3378800000000002</v>
      </c>
      <c r="F324">
        <v>28657481.399999999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0.3026167784240037</v>
      </c>
      <c r="Q324">
        <f t="shared" si="965"/>
        <v>8672234.6990138069</v>
      </c>
      <c r="R324">
        <f t="shared" si="966"/>
        <v>525193847.93352634</v>
      </c>
      <c r="S324">
        <f t="shared" si="967"/>
        <v>5251.9384793352638</v>
      </c>
      <c r="T324">
        <f t="shared" si="968"/>
        <v>5.2519384793352639</v>
      </c>
    </row>
    <row r="325" spans="1:20" x14ac:dyDescent="0.25">
      <c r="A325" s="5">
        <v>44268</v>
      </c>
      <c r="B325">
        <v>6.9331100000000001</v>
      </c>
      <c r="C325">
        <v>7.17</v>
      </c>
      <c r="D325">
        <v>6.4057199999999996</v>
      </c>
      <c r="E325">
        <v>6.83</v>
      </c>
      <c r="F325">
        <v>19044639.899999999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0.11027372167268612</v>
      </c>
      <c r="Q325">
        <f t="shared" si="965"/>
        <v>2100123.3196891327</v>
      </c>
      <c r="R325">
        <f t="shared" si="966"/>
        <v>516521613.23451251</v>
      </c>
      <c r="S325">
        <f t="shared" si="967"/>
        <v>5165.2161323451255</v>
      </c>
      <c r="T325">
        <f t="shared" si="968"/>
        <v>5.1652161323451251</v>
      </c>
    </row>
    <row r="326" spans="1:20" x14ac:dyDescent="0.25">
      <c r="A326" s="5">
        <v>44267</v>
      </c>
      <c r="B326">
        <v>7.0403900000000004</v>
      </c>
      <c r="C326">
        <v>7.58</v>
      </c>
      <c r="D326">
        <v>6.25</v>
      </c>
      <c r="E326">
        <v>6.9264900000000003</v>
      </c>
      <c r="F326">
        <v>37650483.100000001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1.7278195488722139E-2</v>
      </c>
      <c r="Q326">
        <f t="shared" ref="Q326:Q389" si="970">F326*P326</f>
        <v>650532.40724662913</v>
      </c>
      <c r="R326">
        <f t="shared" ref="R326:R389" si="971">R327+Q326</f>
        <v>514421489.91482335</v>
      </c>
      <c r="S326">
        <f t="shared" ref="S326:S389" si="972">R326/100000</f>
        <v>5144.2148991482336</v>
      </c>
      <c r="T326">
        <f t="shared" ref="T326:T389" si="973">S326/1000</f>
        <v>5.1442148991482339</v>
      </c>
    </row>
    <row r="327" spans="1:20" x14ac:dyDescent="0.25">
      <c r="A327" s="5">
        <v>44266</v>
      </c>
      <c r="B327">
        <v>6.4976200000000004</v>
      </c>
      <c r="C327">
        <v>7.9999000000000002</v>
      </c>
      <c r="D327">
        <v>6.2312900000000004</v>
      </c>
      <c r="E327">
        <v>7.0307899999999997</v>
      </c>
      <c r="F327">
        <v>64356372.100000001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-9.5900170190150111E-2</v>
      </c>
      <c r="Q327">
        <f t="shared" si="970"/>
        <v>-6171787.0372106284</v>
      </c>
      <c r="R327">
        <f t="shared" si="971"/>
        <v>513770957.5075767</v>
      </c>
      <c r="S327">
        <f t="shared" si="972"/>
        <v>5137.7095750757671</v>
      </c>
      <c r="T327">
        <f t="shared" si="973"/>
        <v>5.1377095750757675</v>
      </c>
    </row>
    <row r="328" spans="1:20" x14ac:dyDescent="0.25">
      <c r="A328" s="5">
        <v>44265</v>
      </c>
      <c r="B328">
        <v>5.3686100000000003</v>
      </c>
      <c r="C328">
        <v>6.71</v>
      </c>
      <c r="D328">
        <v>5.22051</v>
      </c>
      <c r="E328">
        <v>6.49261</v>
      </c>
      <c r="F328">
        <v>27855943.5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0.70810143069104192</v>
      </c>
      <c r="Q328">
        <f t="shared" si="970"/>
        <v>19724833.44559883</v>
      </c>
      <c r="R328">
        <f t="shared" si="971"/>
        <v>519942744.54478735</v>
      </c>
      <c r="S328">
        <f t="shared" si="972"/>
        <v>5199.4274454478737</v>
      </c>
      <c r="T328">
        <f t="shared" si="973"/>
        <v>5.1994274454478733</v>
      </c>
    </row>
    <row r="329" spans="1:20" x14ac:dyDescent="0.25">
      <c r="A329" s="5">
        <v>44264</v>
      </c>
      <c r="B329">
        <v>4.92943</v>
      </c>
      <c r="C329">
        <v>5.4885700000000002</v>
      </c>
      <c r="D329">
        <v>4.8910999999999998</v>
      </c>
      <c r="E329">
        <v>5.3642599999999998</v>
      </c>
      <c r="F329">
        <v>18184077.399999999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0.58387868846971303</v>
      </c>
      <c r="Q329">
        <f t="shared" si="970"/>
        <v>10617295.263343748</v>
      </c>
      <c r="R329">
        <f t="shared" si="971"/>
        <v>500217911.09918851</v>
      </c>
      <c r="S329">
        <f t="shared" si="972"/>
        <v>5002.179110991885</v>
      </c>
      <c r="T329">
        <f t="shared" si="973"/>
        <v>5.0021791109918849</v>
      </c>
    </row>
    <row r="330" spans="1:20" x14ac:dyDescent="0.25">
      <c r="A330" s="5">
        <v>44263</v>
      </c>
      <c r="B330">
        <v>4.3400400000000001</v>
      </c>
      <c r="C330">
        <v>4.9911099999999999</v>
      </c>
      <c r="D330">
        <v>4.2514200000000004</v>
      </c>
      <c r="E330">
        <v>4.9283599999999996</v>
      </c>
      <c r="F330">
        <v>20218596.5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0.83033432924603456</v>
      </c>
      <c r="Q330">
        <f t="shared" si="970"/>
        <v>16788194.763123721</v>
      </c>
      <c r="R330">
        <f t="shared" si="971"/>
        <v>489600615.83584476</v>
      </c>
      <c r="S330">
        <f t="shared" si="972"/>
        <v>4896.0061583584475</v>
      </c>
      <c r="T330">
        <f t="shared" si="973"/>
        <v>4.8960061583584471</v>
      </c>
    </row>
    <row r="331" spans="1:20" x14ac:dyDescent="0.25">
      <c r="A331" s="5">
        <v>44262</v>
      </c>
      <c r="B331">
        <v>4.1582800000000004</v>
      </c>
      <c r="C331">
        <v>4.4899899999999997</v>
      </c>
      <c r="D331">
        <v>4.1323600000000003</v>
      </c>
      <c r="E331">
        <v>4.33521</v>
      </c>
      <c r="F331">
        <v>11912824.1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0.13441266113021874</v>
      </c>
      <c r="Q331">
        <f t="shared" si="970"/>
        <v>1601234.3888572031</v>
      </c>
      <c r="R331">
        <f t="shared" si="971"/>
        <v>472812421.072721</v>
      </c>
      <c r="S331">
        <f t="shared" si="972"/>
        <v>4728.1242107272101</v>
      </c>
      <c r="T331">
        <f t="shared" si="973"/>
        <v>4.7281242107272101</v>
      </c>
    </row>
    <row r="332" spans="1:20" x14ac:dyDescent="0.25">
      <c r="A332" s="5">
        <v>44261</v>
      </c>
      <c r="B332">
        <v>4.1289600000000002</v>
      </c>
      <c r="C332">
        <v>4.2</v>
      </c>
      <c r="D332">
        <v>3.8250000000000002</v>
      </c>
      <c r="E332">
        <v>4.1567499999999997</v>
      </c>
      <c r="F332">
        <v>13118655.9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0.76933333333333087</v>
      </c>
      <c r="Q332">
        <f t="shared" si="970"/>
        <v>10092619.272399968</v>
      </c>
      <c r="R332">
        <f t="shared" si="971"/>
        <v>471211186.68386382</v>
      </c>
      <c r="S332">
        <f t="shared" si="972"/>
        <v>4712.111866838638</v>
      </c>
      <c r="T332">
        <f t="shared" si="973"/>
        <v>4.7121118668386384</v>
      </c>
    </row>
    <row r="333" spans="1:20" x14ac:dyDescent="0.25">
      <c r="A333" s="5">
        <v>44260</v>
      </c>
      <c r="B333">
        <v>4.4499700000000004</v>
      </c>
      <c r="C333">
        <v>4.72</v>
      </c>
      <c r="D333">
        <v>4.0223399999999998</v>
      </c>
      <c r="E333">
        <v>4.1289600000000002</v>
      </c>
      <c r="F333">
        <v>23428159.100000001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-0.69434968322678559</v>
      </c>
      <c r="Q333">
        <f t="shared" si="970"/>
        <v>-16267334.849671734</v>
      </c>
      <c r="R333">
        <f t="shared" si="971"/>
        <v>461118567.41146386</v>
      </c>
      <c r="S333">
        <f t="shared" si="972"/>
        <v>4611.1856741146385</v>
      </c>
      <c r="T333">
        <f t="shared" si="973"/>
        <v>4.6111856741146386</v>
      </c>
    </row>
    <row r="334" spans="1:20" x14ac:dyDescent="0.25">
      <c r="A334" s="5">
        <v>44259</v>
      </c>
      <c r="B334">
        <v>3.9919799999999999</v>
      </c>
      <c r="C334">
        <v>4.58</v>
      </c>
      <c r="D334">
        <v>3.8506</v>
      </c>
      <c r="E334">
        <v>4.45092</v>
      </c>
      <c r="F334">
        <v>30559783.5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0.64606525911708235</v>
      </c>
      <c r="Q334">
        <f t="shared" si="970"/>
        <v>19743614.445489436</v>
      </c>
      <c r="R334">
        <f t="shared" si="971"/>
        <v>477385902.26113558</v>
      </c>
      <c r="S334">
        <f t="shared" si="972"/>
        <v>4773.8590226113556</v>
      </c>
      <c r="T334">
        <f t="shared" si="973"/>
        <v>4.7738590226113553</v>
      </c>
    </row>
    <row r="335" spans="1:20" x14ac:dyDescent="0.25">
      <c r="A335" s="5">
        <v>44258</v>
      </c>
      <c r="B335">
        <v>3.7004100000000002</v>
      </c>
      <c r="C335">
        <v>4.03</v>
      </c>
      <c r="D335">
        <v>3.6299000000000001</v>
      </c>
      <c r="E335">
        <v>3.9903499999999998</v>
      </c>
      <c r="F335">
        <v>15958527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0.80179955011246995</v>
      </c>
      <c r="Q335">
        <f t="shared" si="970"/>
        <v>12795539.769057704</v>
      </c>
      <c r="R335">
        <f t="shared" si="971"/>
        <v>457642287.81564617</v>
      </c>
      <c r="S335">
        <f t="shared" si="972"/>
        <v>4576.4228781564616</v>
      </c>
      <c r="T335">
        <f t="shared" si="973"/>
        <v>4.5764228781564613</v>
      </c>
    </row>
    <row r="336" spans="1:20" x14ac:dyDescent="0.25">
      <c r="A336" s="5">
        <v>44257</v>
      </c>
      <c r="B336">
        <v>3.2819400000000001</v>
      </c>
      <c r="C336">
        <v>3.8888799999999999</v>
      </c>
      <c r="D336">
        <v>3.2400099999999998</v>
      </c>
      <c r="E336">
        <v>3.70038</v>
      </c>
      <c r="F336">
        <v>23849023.899999999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0.41898993635088733</v>
      </c>
      <c r="Q336">
        <f t="shared" si="970"/>
        <v>9992501.0058917906</v>
      </c>
      <c r="R336">
        <f t="shared" si="971"/>
        <v>444846748.04658848</v>
      </c>
      <c r="S336">
        <f t="shared" si="972"/>
        <v>4448.4674804658844</v>
      </c>
      <c r="T336">
        <f t="shared" si="973"/>
        <v>4.4484674804658848</v>
      </c>
    </row>
    <row r="337" spans="1:20" x14ac:dyDescent="0.25">
      <c r="A337" s="5">
        <v>44256</v>
      </c>
      <c r="B337">
        <v>3.1373099999999998</v>
      </c>
      <c r="C337">
        <v>3.2879</v>
      </c>
      <c r="D337">
        <v>3.08223</v>
      </c>
      <c r="E337">
        <v>3.2819400000000001</v>
      </c>
      <c r="F337">
        <v>6820952.5999999996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0.94204307871833559</v>
      </c>
      <c r="Q337">
        <f t="shared" si="970"/>
        <v>6425631.1870958358</v>
      </c>
      <c r="R337">
        <f t="shared" si="971"/>
        <v>434854247.04069668</v>
      </c>
      <c r="S337">
        <f t="shared" si="972"/>
        <v>4348.5424704069665</v>
      </c>
      <c r="T337">
        <f t="shared" si="973"/>
        <v>4.3485424704069668</v>
      </c>
    </row>
    <row r="338" spans="1:20" x14ac:dyDescent="0.25">
      <c r="A338" s="5">
        <v>44255</v>
      </c>
      <c r="B338">
        <v>3.1556700000000002</v>
      </c>
      <c r="C338">
        <v>3.19909</v>
      </c>
      <c r="D338">
        <v>2.8175699999999999</v>
      </c>
      <c r="E338">
        <v>3.1347499999999999</v>
      </c>
      <c r="F338">
        <v>7357745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0.66271755084923434</v>
      </c>
      <c r="Q338">
        <f t="shared" si="970"/>
        <v>4876106.7461731993</v>
      </c>
      <c r="R338">
        <f t="shared" si="971"/>
        <v>428428615.85360086</v>
      </c>
      <c r="S338">
        <f t="shared" si="972"/>
        <v>4284.2861585360088</v>
      </c>
      <c r="T338">
        <f t="shared" si="973"/>
        <v>4.284286158536009</v>
      </c>
    </row>
    <row r="339" spans="1:20" x14ac:dyDescent="0.25">
      <c r="A339" s="5">
        <v>44254</v>
      </c>
      <c r="B339">
        <v>3.05768</v>
      </c>
      <c r="C339">
        <v>3.2490000000000001</v>
      </c>
      <c r="D339">
        <v>3.0472000000000001</v>
      </c>
      <c r="E339">
        <v>3.1564100000000002</v>
      </c>
      <c r="F339">
        <v>7027346.5999999996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8.2358771060456304E-2</v>
      </c>
      <c r="Q339">
        <f t="shared" si="970"/>
        <v>578763.62979187595</v>
      </c>
      <c r="R339">
        <f t="shared" si="971"/>
        <v>423552509.10742766</v>
      </c>
      <c r="S339">
        <f t="shared" si="972"/>
        <v>4235.5250910742761</v>
      </c>
      <c r="T339">
        <f t="shared" si="973"/>
        <v>4.2355250910742761</v>
      </c>
    </row>
    <row r="340" spans="1:20" x14ac:dyDescent="0.25">
      <c r="A340" s="5">
        <v>44253</v>
      </c>
      <c r="B340">
        <v>2.9868600000000001</v>
      </c>
      <c r="C340">
        <v>3.16256</v>
      </c>
      <c r="D340">
        <v>2.8673999999999999</v>
      </c>
      <c r="E340">
        <v>3.0550799999999998</v>
      </c>
      <c r="F340">
        <v>9470531.8000000007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0.27171703482856613</v>
      </c>
      <c r="Q340">
        <f t="shared" si="970"/>
        <v>2573304.8189456435</v>
      </c>
      <c r="R340">
        <f t="shared" si="971"/>
        <v>422973745.4776358</v>
      </c>
      <c r="S340">
        <f t="shared" si="972"/>
        <v>4229.7374547763584</v>
      </c>
      <c r="T340">
        <f t="shared" si="973"/>
        <v>4.229737454776358</v>
      </c>
    </row>
    <row r="341" spans="1:20" x14ac:dyDescent="0.25">
      <c r="A341" s="5">
        <v>44252</v>
      </c>
      <c r="B341">
        <v>3.3206000000000002</v>
      </c>
      <c r="C341">
        <v>3.4338600000000001</v>
      </c>
      <c r="D341">
        <v>2.9600499999999998</v>
      </c>
      <c r="E341">
        <v>2.9926900000000001</v>
      </c>
      <c r="F341">
        <v>9940968.0999999996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-0.86222325404697997</v>
      </c>
      <c r="Q341">
        <f t="shared" si="970"/>
        <v>-8571333.8635592237</v>
      </c>
      <c r="R341">
        <f t="shared" si="971"/>
        <v>420400440.65869015</v>
      </c>
      <c r="S341">
        <f t="shared" si="972"/>
        <v>4204.0044065869015</v>
      </c>
      <c r="T341">
        <f t="shared" si="973"/>
        <v>4.2040044065869013</v>
      </c>
    </row>
    <row r="342" spans="1:20" x14ac:dyDescent="0.25">
      <c r="A342" s="5">
        <v>44251</v>
      </c>
      <c r="B342">
        <v>3.0598800000000002</v>
      </c>
      <c r="C342">
        <v>3.4982799999999998</v>
      </c>
      <c r="D342">
        <v>2.90143</v>
      </c>
      <c r="E342">
        <v>3.32063</v>
      </c>
      <c r="F342">
        <v>14363526.800000001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0.4047080505989783</v>
      </c>
      <c r="Q342">
        <f t="shared" si="970"/>
        <v>5813034.9309541816</v>
      </c>
      <c r="R342">
        <f t="shared" si="971"/>
        <v>428971774.5222494</v>
      </c>
      <c r="S342">
        <f t="shared" si="972"/>
        <v>4289.7177452224942</v>
      </c>
      <c r="T342">
        <f t="shared" si="973"/>
        <v>4.2897177452224939</v>
      </c>
    </row>
    <row r="343" spans="1:20" x14ac:dyDescent="0.25">
      <c r="A343" s="5">
        <v>44250</v>
      </c>
      <c r="B343">
        <v>3.3332899999999999</v>
      </c>
      <c r="C343">
        <v>3.35385</v>
      </c>
      <c r="D343">
        <v>2.6417799999999998</v>
      </c>
      <c r="E343">
        <v>3.0597500000000002</v>
      </c>
      <c r="F343">
        <v>22252236.199999999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0.17395761652646588</v>
      </c>
      <c r="Q343">
        <f t="shared" si="970"/>
        <v>3870945.9717359422</v>
      </c>
      <c r="R343">
        <f t="shared" si="971"/>
        <v>423158739.59129524</v>
      </c>
      <c r="S343">
        <f t="shared" si="972"/>
        <v>4231.5873959129522</v>
      </c>
      <c r="T343">
        <f t="shared" si="973"/>
        <v>4.2315873959129524</v>
      </c>
    </row>
    <row r="344" spans="1:20" x14ac:dyDescent="0.25">
      <c r="A344" s="5">
        <v>44249</v>
      </c>
      <c r="B344">
        <v>3.5696300000000001</v>
      </c>
      <c r="C344">
        <v>3.5733600000000001</v>
      </c>
      <c r="D344">
        <v>2.8412899999999999</v>
      </c>
      <c r="E344">
        <v>3.3358599999999998</v>
      </c>
      <c r="F344">
        <v>16123911.4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0.35115494419932469</v>
      </c>
      <c r="Q344">
        <f t="shared" si="970"/>
        <v>5661991.2079418553</v>
      </c>
      <c r="R344">
        <f t="shared" si="971"/>
        <v>419287793.61955929</v>
      </c>
      <c r="S344">
        <f t="shared" si="972"/>
        <v>4192.8779361955931</v>
      </c>
      <c r="T344">
        <f t="shared" si="973"/>
        <v>4.1928779361955932</v>
      </c>
    </row>
    <row r="345" spans="1:20" x14ac:dyDescent="0.25">
      <c r="A345" s="5">
        <v>44248</v>
      </c>
      <c r="B345">
        <v>3.6812299999999998</v>
      </c>
      <c r="C345">
        <v>3.7526199999999998</v>
      </c>
      <c r="D345">
        <v>3.5135399999999999</v>
      </c>
      <c r="E345">
        <v>3.56677</v>
      </c>
      <c r="F345">
        <v>7274541.9000000004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-0.55470972059561552</v>
      </c>
      <c r="Q345">
        <f t="shared" si="970"/>
        <v>-4035259.1048100982</v>
      </c>
      <c r="R345">
        <f t="shared" si="971"/>
        <v>413625802.41161746</v>
      </c>
      <c r="S345">
        <f t="shared" si="972"/>
        <v>4136.258024116175</v>
      </c>
      <c r="T345">
        <f t="shared" si="973"/>
        <v>4.1362580241161746</v>
      </c>
    </row>
    <row r="346" spans="1:20" x14ac:dyDescent="0.25">
      <c r="A346" s="5">
        <v>44247</v>
      </c>
      <c r="B346">
        <v>3.7085599999999999</v>
      </c>
      <c r="C346">
        <v>3.97</v>
      </c>
      <c r="D346">
        <v>3.5783399999999999</v>
      </c>
      <c r="E346">
        <v>3.68594</v>
      </c>
      <c r="F346">
        <v>13171993.300000001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-0.45054383904406858</v>
      </c>
      <c r="Q346">
        <f t="shared" si="970"/>
        <v>-5934560.4292447502</v>
      </c>
      <c r="R346">
        <f t="shared" si="971"/>
        <v>417661061.51642758</v>
      </c>
      <c r="S346">
        <f t="shared" si="972"/>
        <v>4176.6106151642762</v>
      </c>
      <c r="T346">
        <f t="shared" si="973"/>
        <v>4.1766106151642761</v>
      </c>
    </row>
    <row r="347" spans="1:20" x14ac:dyDescent="0.25">
      <c r="A347" s="5">
        <v>44246</v>
      </c>
      <c r="B347">
        <v>3.56623</v>
      </c>
      <c r="C347">
        <v>3.78851</v>
      </c>
      <c r="D347">
        <v>3.5</v>
      </c>
      <c r="E347">
        <v>3.7093699999999998</v>
      </c>
      <c r="F347">
        <v>13976094.6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0.45138816678797827</v>
      </c>
      <c r="Q347">
        <f t="shared" si="970"/>
        <v>6308643.7203493621</v>
      </c>
      <c r="R347">
        <f t="shared" si="971"/>
        <v>423595621.94567233</v>
      </c>
      <c r="S347">
        <f t="shared" si="972"/>
        <v>4235.9562194567234</v>
      </c>
      <c r="T347">
        <f t="shared" si="973"/>
        <v>4.2359562194567237</v>
      </c>
    </row>
    <row r="348" spans="1:20" x14ac:dyDescent="0.25">
      <c r="A348" s="5">
        <v>44245</v>
      </c>
      <c r="B348">
        <v>3.5098400000000001</v>
      </c>
      <c r="C348">
        <v>3.6299000000000001</v>
      </c>
      <c r="D348">
        <v>3.4769000000000001</v>
      </c>
      <c r="E348">
        <v>3.5666899999999999</v>
      </c>
      <c r="F348">
        <v>7662515.7000000002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0.1737254901960758</v>
      </c>
      <c r="Q348">
        <f t="shared" si="970"/>
        <v>1331174.2961176271</v>
      </c>
      <c r="R348">
        <f t="shared" si="971"/>
        <v>417286978.22532296</v>
      </c>
      <c r="S348">
        <f t="shared" si="972"/>
        <v>4172.8697822532295</v>
      </c>
      <c r="T348">
        <f t="shared" si="973"/>
        <v>4.1728697822532297</v>
      </c>
    </row>
    <row r="349" spans="1:20" x14ac:dyDescent="0.25">
      <c r="A349" s="5">
        <v>44244</v>
      </c>
      <c r="B349">
        <v>3.4053800000000001</v>
      </c>
      <c r="C349">
        <v>3.5880000000000001</v>
      </c>
      <c r="D349">
        <v>3.23</v>
      </c>
      <c r="E349">
        <v>3.5079899999999999</v>
      </c>
      <c r="F349">
        <v>11666448.199999999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0.55301675977653564</v>
      </c>
      <c r="Q349">
        <f t="shared" si="970"/>
        <v>6451741.3816647958</v>
      </c>
      <c r="R349">
        <f t="shared" si="971"/>
        <v>415955803.92920536</v>
      </c>
      <c r="S349">
        <f t="shared" si="972"/>
        <v>4159.5580392920538</v>
      </c>
      <c r="T349">
        <f t="shared" si="973"/>
        <v>4.1595580392920537</v>
      </c>
    </row>
    <row r="350" spans="1:20" x14ac:dyDescent="0.25">
      <c r="A350" s="5">
        <v>44243</v>
      </c>
      <c r="B350">
        <v>3.3987500000000002</v>
      </c>
      <c r="C350">
        <v>3.6</v>
      </c>
      <c r="D350">
        <v>3.21333</v>
      </c>
      <c r="E350">
        <v>3.4084300000000001</v>
      </c>
      <c r="F350">
        <v>12333315.1</v>
      </c>
      <c r="G350">
        <v>0</v>
      </c>
      <c r="L350" t="s">
        <v>7</v>
      </c>
      <c r="M350" t="s">
        <v>8</v>
      </c>
      <c r="N350" t="s">
        <v>8</v>
      </c>
      <c r="P350">
        <f t="shared" si="969"/>
        <v>9.1292316445548728E-3</v>
      </c>
      <c r="Q350">
        <f t="shared" si="970"/>
        <v>112593.69049318644</v>
      </c>
      <c r="R350">
        <f t="shared" si="971"/>
        <v>409504062.54754055</v>
      </c>
      <c r="S350">
        <f t="shared" si="972"/>
        <v>4095.0406254754052</v>
      </c>
      <c r="T350">
        <f t="shared" si="973"/>
        <v>4.0950406254754048</v>
      </c>
    </row>
    <row r="351" spans="1:20" x14ac:dyDescent="0.25">
      <c r="A351" s="5">
        <v>44242</v>
      </c>
      <c r="B351">
        <v>3.1880500000000001</v>
      </c>
      <c r="C351">
        <v>3.72</v>
      </c>
      <c r="D351">
        <v>3.0347900000000001</v>
      </c>
      <c r="E351">
        <v>3.38903</v>
      </c>
      <c r="F351">
        <v>29721123.899999999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3.3960391704732383E-2</v>
      </c>
      <c r="Q351">
        <f t="shared" si="970"/>
        <v>1009341.0095488833</v>
      </c>
      <c r="R351">
        <f t="shared" si="971"/>
        <v>409391468.85704738</v>
      </c>
      <c r="S351">
        <f t="shared" si="972"/>
        <v>4093.9146885704736</v>
      </c>
      <c r="T351">
        <f t="shared" si="973"/>
        <v>4.0939146885704734</v>
      </c>
    </row>
    <row r="352" spans="1:20" x14ac:dyDescent="0.25">
      <c r="A352" s="5">
        <v>44241</v>
      </c>
      <c r="B352">
        <v>3.3471799999999998</v>
      </c>
      <c r="C352">
        <v>3.4950000000000001</v>
      </c>
      <c r="D352">
        <v>3.0880000000000001</v>
      </c>
      <c r="E352">
        <v>3.1831800000000001</v>
      </c>
      <c r="F352">
        <v>17048871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-0.53228501228501213</v>
      </c>
      <c r="Q352">
        <f t="shared" si="970"/>
        <v>-9074858.5096805878</v>
      </c>
      <c r="R352">
        <f t="shared" si="971"/>
        <v>408382127.84749848</v>
      </c>
      <c r="S352">
        <f t="shared" si="972"/>
        <v>4083.8212784749849</v>
      </c>
      <c r="T352">
        <f t="shared" si="973"/>
        <v>4.0838212784749848</v>
      </c>
    </row>
    <row r="353" spans="1:20" x14ac:dyDescent="0.25">
      <c r="A353" s="5">
        <v>44240</v>
      </c>
      <c r="B353">
        <v>2.9943599999999999</v>
      </c>
      <c r="C353">
        <v>3.4615200000000002</v>
      </c>
      <c r="D353">
        <v>2.9754900000000002</v>
      </c>
      <c r="E353">
        <v>3.3486899999999999</v>
      </c>
      <c r="F353">
        <v>30959143.399999999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0.53570767236590244</v>
      </c>
      <c r="Q353">
        <f t="shared" si="970"/>
        <v>16585050.64925619</v>
      </c>
      <c r="R353">
        <f t="shared" si="971"/>
        <v>417456986.35717905</v>
      </c>
      <c r="S353">
        <f t="shared" si="972"/>
        <v>4174.5698635717908</v>
      </c>
      <c r="T353">
        <f t="shared" si="973"/>
        <v>4.1745698635717909</v>
      </c>
    </row>
    <row r="354" spans="1:20" x14ac:dyDescent="0.25">
      <c r="A354" s="5">
        <v>44239</v>
      </c>
      <c r="B354">
        <v>2.9242699999999999</v>
      </c>
      <c r="C354">
        <v>3.0870000000000002</v>
      </c>
      <c r="D354">
        <v>2.8628399999999998</v>
      </c>
      <c r="E354">
        <v>2.99681</v>
      </c>
      <c r="F354">
        <v>14644589.4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0.19530692362598082</v>
      </c>
      <c r="Q354">
        <f t="shared" si="970"/>
        <v>2860189.7034796481</v>
      </c>
      <c r="R354">
        <f t="shared" si="971"/>
        <v>400871935.70792288</v>
      </c>
      <c r="S354">
        <f t="shared" si="972"/>
        <v>4008.7193570792288</v>
      </c>
      <c r="T354">
        <f t="shared" si="973"/>
        <v>4.0087193570792286</v>
      </c>
    </row>
    <row r="355" spans="1:20" x14ac:dyDescent="0.25">
      <c r="A355" s="5">
        <v>44238</v>
      </c>
      <c r="B355">
        <v>2.8333499999999998</v>
      </c>
      <c r="C355">
        <v>3.0550000000000002</v>
      </c>
      <c r="D355">
        <v>2.79359</v>
      </c>
      <c r="E355">
        <v>2.9256199999999999</v>
      </c>
      <c r="F355">
        <v>21499329.100000001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1.0137332160206555E-2</v>
      </c>
      <c r="Q355">
        <f t="shared" si="970"/>
        <v>217945.84030829466</v>
      </c>
      <c r="R355">
        <f t="shared" si="971"/>
        <v>398011746.00444323</v>
      </c>
      <c r="S355">
        <f t="shared" si="972"/>
        <v>3980.1174600444324</v>
      </c>
      <c r="T355">
        <f t="shared" si="973"/>
        <v>3.9801174600444322</v>
      </c>
    </row>
    <row r="356" spans="1:20" x14ac:dyDescent="0.25">
      <c r="A356" s="5">
        <v>44237</v>
      </c>
      <c r="B356">
        <v>2.9087700000000001</v>
      </c>
      <c r="C356">
        <v>3.05</v>
      </c>
      <c r="D356">
        <v>2.6309999999999998</v>
      </c>
      <c r="E356">
        <v>2.8309899999999999</v>
      </c>
      <c r="F356">
        <v>18042157.800000001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-4.5393794749402895E-2</v>
      </c>
      <c r="Q356">
        <f t="shared" si="970"/>
        <v>-819002.00800953852</v>
      </c>
      <c r="R356">
        <f t="shared" si="971"/>
        <v>397793800.16413492</v>
      </c>
      <c r="S356">
        <f t="shared" si="972"/>
        <v>3977.9380016413493</v>
      </c>
      <c r="T356">
        <f t="shared" si="973"/>
        <v>3.9779380016413493</v>
      </c>
    </row>
    <row r="357" spans="1:20" x14ac:dyDescent="0.25">
      <c r="A357" s="5">
        <v>44236</v>
      </c>
      <c r="B357">
        <v>2.9104399999999999</v>
      </c>
      <c r="C357">
        <v>3.0472700000000001</v>
      </c>
      <c r="D357">
        <v>2.7521</v>
      </c>
      <c r="E357">
        <v>2.90652</v>
      </c>
      <c r="F357">
        <v>22630084.5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4.6312294609885292E-2</v>
      </c>
      <c r="Q357">
        <f t="shared" si="970"/>
        <v>1048051.1404105987</v>
      </c>
      <c r="R357">
        <f t="shared" si="971"/>
        <v>398612802.17214447</v>
      </c>
      <c r="S357">
        <f t="shared" si="972"/>
        <v>3986.1280217214448</v>
      </c>
      <c r="T357">
        <f t="shared" si="973"/>
        <v>3.986128021721445</v>
      </c>
    </row>
    <row r="358" spans="1:20" x14ac:dyDescent="0.25">
      <c r="A358" s="5">
        <v>44235</v>
      </c>
      <c r="B358">
        <v>2.2931599999999999</v>
      </c>
      <c r="C358">
        <v>2.94</v>
      </c>
      <c r="D358">
        <v>2.28471</v>
      </c>
      <c r="E358">
        <v>2.9094899999999999</v>
      </c>
      <c r="F358">
        <v>33986487.200000003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0.90688092295014411</v>
      </c>
      <c r="Q358">
        <f t="shared" si="970"/>
        <v>30821696.879769262</v>
      </c>
      <c r="R358">
        <f t="shared" si="971"/>
        <v>397564751.03173387</v>
      </c>
      <c r="S358">
        <f t="shared" si="972"/>
        <v>3975.6475103173389</v>
      </c>
      <c r="T358">
        <f t="shared" si="973"/>
        <v>3.975647510317339</v>
      </c>
    </row>
    <row r="359" spans="1:20" x14ac:dyDescent="0.25">
      <c r="A359" s="5">
        <v>44234</v>
      </c>
      <c r="B359">
        <v>2.2803599999999999</v>
      </c>
      <c r="C359">
        <v>2.3310300000000002</v>
      </c>
      <c r="D359">
        <v>2.1124100000000001</v>
      </c>
      <c r="E359">
        <v>2.2906900000000001</v>
      </c>
      <c r="F359">
        <v>10250901.6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0.63095782636538256</v>
      </c>
      <c r="Q359">
        <f t="shared" si="970"/>
        <v>6467886.5918214219</v>
      </c>
      <c r="R359">
        <f t="shared" si="971"/>
        <v>366743054.1519646</v>
      </c>
      <c r="S359">
        <f t="shared" si="972"/>
        <v>3667.4305415196459</v>
      </c>
      <c r="T359">
        <f t="shared" si="973"/>
        <v>3.667430541519646</v>
      </c>
    </row>
    <row r="360" spans="1:20" x14ac:dyDescent="0.25">
      <c r="A360" s="5">
        <v>44233</v>
      </c>
      <c r="B360">
        <v>2.4329900000000002</v>
      </c>
      <c r="C360">
        <v>2.4641299999999999</v>
      </c>
      <c r="D360">
        <v>2.1861999999999999</v>
      </c>
      <c r="E360">
        <v>2.27908</v>
      </c>
      <c r="F360">
        <v>11910947.9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-0.33163026661389505</v>
      </c>
      <c r="Q360">
        <f t="shared" si="970"/>
        <v>-3950030.8277012133</v>
      </c>
      <c r="R360">
        <f t="shared" si="971"/>
        <v>360275167.56014317</v>
      </c>
      <c r="S360">
        <f t="shared" si="972"/>
        <v>3602.7516756014315</v>
      </c>
      <c r="T360">
        <f t="shared" si="973"/>
        <v>3.6027516756014317</v>
      </c>
    </row>
    <row r="361" spans="1:20" x14ac:dyDescent="0.25">
      <c r="A361" s="5">
        <v>44232</v>
      </c>
      <c r="B361">
        <v>2.1289500000000001</v>
      </c>
      <c r="C361">
        <v>2.5844</v>
      </c>
      <c r="D361">
        <v>2.12052</v>
      </c>
      <c r="E361">
        <v>2.4286599999999998</v>
      </c>
      <c r="F361">
        <v>25677441.699999999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0.32853324135552214</v>
      </c>
      <c r="Q361">
        <f t="shared" si="970"/>
        <v>8435893.1514184494</v>
      </c>
      <c r="R361">
        <f t="shared" si="971"/>
        <v>364225198.38784438</v>
      </c>
      <c r="S361">
        <f t="shared" si="972"/>
        <v>3642.2519838784438</v>
      </c>
      <c r="T361">
        <f t="shared" si="973"/>
        <v>3.642251983878444</v>
      </c>
    </row>
    <row r="362" spans="1:20" x14ac:dyDescent="0.25">
      <c r="A362" s="5">
        <v>44231</v>
      </c>
      <c r="B362">
        <v>2.1872099999999999</v>
      </c>
      <c r="C362">
        <v>2.23</v>
      </c>
      <c r="D362">
        <v>2.1022699999999999</v>
      </c>
      <c r="E362">
        <v>2.129</v>
      </c>
      <c r="F362">
        <v>9697906.0999999996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-0.58146089407343426</v>
      </c>
      <c r="Q362">
        <f t="shared" si="970"/>
        <v>-5638953.1515462119</v>
      </c>
      <c r="R362">
        <f t="shared" si="971"/>
        <v>355789305.23642594</v>
      </c>
      <c r="S362">
        <f t="shared" si="972"/>
        <v>3557.8930523642593</v>
      </c>
      <c r="T362">
        <f t="shared" si="973"/>
        <v>3.5578930523642596</v>
      </c>
    </row>
    <row r="363" spans="1:20" x14ac:dyDescent="0.25">
      <c r="A363" s="5">
        <v>44230</v>
      </c>
      <c r="B363">
        <v>2.15577</v>
      </c>
      <c r="C363">
        <v>2.2799999999999998</v>
      </c>
      <c r="D363">
        <v>2.1280100000000002</v>
      </c>
      <c r="E363">
        <v>2.1875100000000001</v>
      </c>
      <c r="F363">
        <v>8480027.5999999996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-0.21705375353641643</v>
      </c>
      <c r="Q363">
        <f t="shared" si="970"/>
        <v>-1840621.8206724089</v>
      </c>
      <c r="R363">
        <f t="shared" si="971"/>
        <v>361428258.38797218</v>
      </c>
      <c r="S363">
        <f t="shared" si="972"/>
        <v>3614.2825838797216</v>
      </c>
      <c r="T363">
        <f t="shared" si="973"/>
        <v>3.6142825838797217</v>
      </c>
    </row>
    <row r="364" spans="1:20" x14ac:dyDescent="0.25">
      <c r="A364" s="5">
        <v>44229</v>
      </c>
      <c r="B364">
        <v>2.0370400000000002</v>
      </c>
      <c r="C364">
        <v>2.27</v>
      </c>
      <c r="D364">
        <v>2.0035400000000001</v>
      </c>
      <c r="E364">
        <v>2.1533000000000002</v>
      </c>
      <c r="F364">
        <v>16065886.199999999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0.12407115514523877</v>
      </c>
      <c r="Q364">
        <f t="shared" si="970"/>
        <v>1993313.0592659505</v>
      </c>
      <c r="R364">
        <f t="shared" si="971"/>
        <v>363268880.20864457</v>
      </c>
      <c r="S364">
        <f t="shared" si="972"/>
        <v>3632.6888020864458</v>
      </c>
      <c r="T364">
        <f t="shared" si="973"/>
        <v>3.6326888020864456</v>
      </c>
    </row>
    <row r="365" spans="1:20" x14ac:dyDescent="0.25">
      <c r="A365" s="5">
        <v>44228</v>
      </c>
      <c r="B365">
        <v>1.91001</v>
      </c>
      <c r="C365">
        <v>2.0487500000000001</v>
      </c>
      <c r="D365">
        <v>1.84426</v>
      </c>
      <c r="E365">
        <v>2.04053</v>
      </c>
      <c r="F365">
        <v>11320602.1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0.91960487065382057</v>
      </c>
      <c r="Q365">
        <f t="shared" si="970"/>
        <v>10410480.829893868</v>
      </c>
      <c r="R365">
        <f t="shared" si="971"/>
        <v>361275567.1493786</v>
      </c>
      <c r="S365">
        <f t="shared" si="972"/>
        <v>3612.7556714937859</v>
      </c>
      <c r="T365">
        <f t="shared" si="973"/>
        <v>3.6127556714937858</v>
      </c>
    </row>
    <row r="366" spans="1:20" x14ac:dyDescent="0.25">
      <c r="A366" s="5">
        <v>44227</v>
      </c>
      <c r="B366">
        <v>2.0031599999999998</v>
      </c>
      <c r="C366">
        <v>2.03688</v>
      </c>
      <c r="D366">
        <v>1.8819999999999999</v>
      </c>
      <c r="E366">
        <v>1.91015</v>
      </c>
      <c r="F366">
        <v>8503981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-0.63649276859504011</v>
      </c>
      <c r="Q366">
        <f t="shared" si="970"/>
        <v>-5412722.4107696181</v>
      </c>
      <c r="R366">
        <f t="shared" si="971"/>
        <v>350865086.31948471</v>
      </c>
      <c r="S366">
        <f t="shared" si="972"/>
        <v>3508.6508631948473</v>
      </c>
      <c r="T366">
        <f t="shared" si="973"/>
        <v>3.5086508631948474</v>
      </c>
    </row>
    <row r="367" spans="1:20" x14ac:dyDescent="0.25">
      <c r="A367" s="5">
        <v>44226</v>
      </c>
      <c r="B367">
        <v>2.0567799999999998</v>
      </c>
      <c r="C367">
        <v>2.08</v>
      </c>
      <c r="D367">
        <v>1.98417</v>
      </c>
      <c r="E367">
        <v>2.00197</v>
      </c>
      <c r="F367">
        <v>7356504.0999999996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-0.62850881769800637</v>
      </c>
      <c r="Q367">
        <f t="shared" si="970"/>
        <v>-4623627.6942815362</v>
      </c>
      <c r="R367">
        <f t="shared" si="971"/>
        <v>356277808.73025435</v>
      </c>
      <c r="S367">
        <f t="shared" si="972"/>
        <v>3562.7780873025436</v>
      </c>
      <c r="T367">
        <f t="shared" si="973"/>
        <v>3.5627780873025436</v>
      </c>
    </row>
    <row r="368" spans="1:20" x14ac:dyDescent="0.25">
      <c r="A368" s="5">
        <v>44225</v>
      </c>
      <c r="B368">
        <v>1.99072</v>
      </c>
      <c r="C368">
        <v>2.1760000000000002</v>
      </c>
      <c r="D368">
        <v>1.96638</v>
      </c>
      <c r="E368">
        <v>2.0564100000000001</v>
      </c>
      <c r="F368">
        <v>15277359.1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-0.14101707852304174</v>
      </c>
      <c r="Q368">
        <f t="shared" si="970"/>
        <v>-2154368.5478294063</v>
      </c>
      <c r="R368">
        <f t="shared" si="971"/>
        <v>360901436.42453587</v>
      </c>
      <c r="S368">
        <f t="shared" si="972"/>
        <v>3609.0143642453586</v>
      </c>
      <c r="T368">
        <f t="shared" si="973"/>
        <v>3.6090143642453585</v>
      </c>
    </row>
    <row r="369" spans="1:20" x14ac:dyDescent="0.25">
      <c r="A369" s="5">
        <v>44224</v>
      </c>
      <c r="B369">
        <v>1.9911300000000001</v>
      </c>
      <c r="C369">
        <v>2.1054400000000002</v>
      </c>
      <c r="D369">
        <v>1.93</v>
      </c>
      <c r="E369">
        <v>1.99193</v>
      </c>
      <c r="F369">
        <v>12325627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-0.29400364797081685</v>
      </c>
      <c r="Q369">
        <f t="shared" si="970"/>
        <v>-3623779.3015275956</v>
      </c>
      <c r="R369">
        <f t="shared" si="971"/>
        <v>363055804.97236526</v>
      </c>
      <c r="S369">
        <f t="shared" si="972"/>
        <v>3630.5580497236524</v>
      </c>
      <c r="T369">
        <f t="shared" si="973"/>
        <v>3.6305580497236525</v>
      </c>
    </row>
    <row r="370" spans="1:20" x14ac:dyDescent="0.25">
      <c r="A370" s="5">
        <v>44223</v>
      </c>
      <c r="B370">
        <v>2.2838400000000001</v>
      </c>
      <c r="C370">
        <v>2.2870300000000001</v>
      </c>
      <c r="D370">
        <v>1.9562299999999999</v>
      </c>
      <c r="E370">
        <v>1.9930699999999999</v>
      </c>
      <c r="F370">
        <v>15025977.4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-0.77726723095526018</v>
      </c>
      <c r="Q370">
        <f t="shared" si="970"/>
        <v>-11679199.84609432</v>
      </c>
      <c r="R370">
        <f t="shared" si="971"/>
        <v>366679584.27389288</v>
      </c>
      <c r="S370">
        <f t="shared" si="972"/>
        <v>3666.795842738929</v>
      </c>
      <c r="T370">
        <f t="shared" si="973"/>
        <v>3.6667958427389289</v>
      </c>
    </row>
    <row r="371" spans="1:20" x14ac:dyDescent="0.25">
      <c r="A371" s="5">
        <v>44222</v>
      </c>
      <c r="B371">
        <v>2.0775199999999998</v>
      </c>
      <c r="C371">
        <v>2.4195000000000002</v>
      </c>
      <c r="D371">
        <v>2.05559</v>
      </c>
      <c r="E371">
        <v>2.2869999999999999</v>
      </c>
      <c r="F371">
        <v>25414333.600000001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0.27179797202604922</v>
      </c>
      <c r="Q371">
        <f t="shared" si="970"/>
        <v>6907564.3328734832</v>
      </c>
      <c r="R371">
        <f t="shared" si="971"/>
        <v>378358784.11998719</v>
      </c>
      <c r="S371">
        <f t="shared" si="972"/>
        <v>3783.5878411998719</v>
      </c>
      <c r="T371">
        <f t="shared" si="973"/>
        <v>3.7835878411998718</v>
      </c>
    </row>
    <row r="372" spans="1:20" x14ac:dyDescent="0.25">
      <c r="A372" s="5">
        <v>44221</v>
      </c>
      <c r="B372">
        <v>1.94903</v>
      </c>
      <c r="C372">
        <v>2.30626</v>
      </c>
      <c r="D372">
        <v>1.92808</v>
      </c>
      <c r="E372">
        <v>2.0752899999999999</v>
      </c>
      <c r="F372">
        <v>23655913.800000001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-0.22148183404727984</v>
      </c>
      <c r="Q372">
        <f t="shared" si="970"/>
        <v>-5239355.1744883573</v>
      </c>
      <c r="R372">
        <f t="shared" si="971"/>
        <v>371451219.78711373</v>
      </c>
      <c r="S372">
        <f t="shared" si="972"/>
        <v>3714.5121978711372</v>
      </c>
      <c r="T372">
        <f t="shared" si="973"/>
        <v>3.7145121978711373</v>
      </c>
    </row>
    <row r="373" spans="1:20" x14ac:dyDescent="0.25">
      <c r="A373" s="5">
        <v>44220</v>
      </c>
      <c r="B373">
        <v>1.9307099999999999</v>
      </c>
      <c r="C373">
        <v>2.01363</v>
      </c>
      <c r="D373">
        <v>1.8803399999999999</v>
      </c>
      <c r="E373">
        <v>1.95055</v>
      </c>
      <c r="F373">
        <v>8255673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5.3492385025133725E-2</v>
      </c>
      <c r="Q373">
        <f t="shared" si="970"/>
        <v>441615.6387576008</v>
      </c>
      <c r="R373">
        <f t="shared" si="971"/>
        <v>376690574.96160209</v>
      </c>
      <c r="S373">
        <f t="shared" si="972"/>
        <v>3766.9057496160208</v>
      </c>
      <c r="T373">
        <f t="shared" si="973"/>
        <v>3.7669057496160208</v>
      </c>
    </row>
    <row r="374" spans="1:20" x14ac:dyDescent="0.25">
      <c r="A374" s="5">
        <v>44219</v>
      </c>
      <c r="B374">
        <v>1.8966000000000001</v>
      </c>
      <c r="C374">
        <v>2.02</v>
      </c>
      <c r="D374">
        <v>1.8642099999999999</v>
      </c>
      <c r="E374">
        <v>1.9288000000000001</v>
      </c>
      <c r="F374">
        <v>10153428.300000001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-0.17080685538224394</v>
      </c>
      <c r="Q374">
        <f t="shared" si="970"/>
        <v>-1734275.1592720831</v>
      </c>
      <c r="R374">
        <f t="shared" si="971"/>
        <v>376248959.32284451</v>
      </c>
      <c r="S374">
        <f t="shared" si="972"/>
        <v>3762.4895932284448</v>
      </c>
      <c r="T374">
        <f t="shared" si="973"/>
        <v>3.762489593228445</v>
      </c>
    </row>
    <row r="375" spans="1:20" x14ac:dyDescent="0.25">
      <c r="A375" s="5">
        <v>44218</v>
      </c>
      <c r="B375">
        <v>1.7402599999999999</v>
      </c>
      <c r="C375">
        <v>1.9822</v>
      </c>
      <c r="D375">
        <v>1.6050899999999999</v>
      </c>
      <c r="E375">
        <v>1.89757</v>
      </c>
      <c r="F375">
        <v>14016588.6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0.55116544244384946</v>
      </c>
      <c r="Q375">
        <f t="shared" si="970"/>
        <v>7725459.2572724167</v>
      </c>
      <c r="R375">
        <f t="shared" si="971"/>
        <v>377983234.48211658</v>
      </c>
      <c r="S375">
        <f t="shared" si="972"/>
        <v>3779.8323448211659</v>
      </c>
      <c r="T375">
        <f t="shared" si="973"/>
        <v>3.7798323448211657</v>
      </c>
    </row>
    <row r="376" spans="1:20" x14ac:dyDescent="0.25">
      <c r="A376" s="5">
        <v>44217</v>
      </c>
      <c r="B376">
        <v>2.03294</v>
      </c>
      <c r="C376">
        <v>2.0424199999999999</v>
      </c>
      <c r="D376">
        <v>1.71</v>
      </c>
      <c r="E376">
        <v>1.7418</v>
      </c>
      <c r="F376">
        <v>11328508.6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-0.80867577161422266</v>
      </c>
      <c r="Q376">
        <f t="shared" si="970"/>
        <v>-9161090.4333433565</v>
      </c>
      <c r="R376">
        <f t="shared" si="971"/>
        <v>370257775.22484416</v>
      </c>
      <c r="S376">
        <f t="shared" si="972"/>
        <v>3702.5777522484414</v>
      </c>
      <c r="T376">
        <f t="shared" si="973"/>
        <v>3.7025777522484415</v>
      </c>
    </row>
    <row r="377" spans="1:20" x14ac:dyDescent="0.25">
      <c r="A377" s="5">
        <v>44216</v>
      </c>
      <c r="B377">
        <v>1.9980100000000001</v>
      </c>
      <c r="C377">
        <v>2.0421999999999998</v>
      </c>
      <c r="D377">
        <v>1.8368100000000001</v>
      </c>
      <c r="E377">
        <v>2.03281</v>
      </c>
      <c r="F377">
        <v>11811593.699999999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0.90856419494620189</v>
      </c>
      <c r="Q377">
        <f t="shared" si="970"/>
        <v>10731591.12107213</v>
      </c>
      <c r="R377">
        <f t="shared" si="971"/>
        <v>379418865.65818751</v>
      </c>
      <c r="S377">
        <f t="shared" si="972"/>
        <v>3794.188656581875</v>
      </c>
      <c r="T377">
        <f t="shared" si="973"/>
        <v>3.7941886565818748</v>
      </c>
    </row>
    <row r="378" spans="1:20" x14ac:dyDescent="0.25">
      <c r="A378" s="5">
        <v>44215</v>
      </c>
      <c r="B378">
        <v>2.0463300000000002</v>
      </c>
      <c r="C378">
        <v>2.1061000000000001</v>
      </c>
      <c r="D378">
        <v>1.9830000000000001</v>
      </c>
      <c r="E378">
        <v>1.998</v>
      </c>
      <c r="F378">
        <v>13780252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-0.75629569455727208</v>
      </c>
      <c r="Q378">
        <f t="shared" si="970"/>
        <v>-10421945.257514238</v>
      </c>
      <c r="R378">
        <f t="shared" si="971"/>
        <v>368687274.5371154</v>
      </c>
      <c r="S378">
        <f t="shared" si="972"/>
        <v>3686.872745371154</v>
      </c>
      <c r="T378">
        <f t="shared" si="973"/>
        <v>3.6868727453711538</v>
      </c>
    </row>
    <row r="379" spans="1:20" x14ac:dyDescent="0.25">
      <c r="A379" s="5">
        <v>44214</v>
      </c>
      <c r="B379">
        <v>2.0075599999999998</v>
      </c>
      <c r="C379">
        <v>2.0888800000000001</v>
      </c>
      <c r="D379">
        <v>1.9638199999999999</v>
      </c>
      <c r="E379">
        <v>2.0469499999999998</v>
      </c>
      <c r="F379">
        <v>14452064.699999999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0.32944186790340335</v>
      </c>
      <c r="Q379">
        <f t="shared" si="970"/>
        <v>4761115.1898288382</v>
      </c>
      <c r="R379">
        <f t="shared" si="971"/>
        <v>379109219.79462963</v>
      </c>
      <c r="S379">
        <f t="shared" si="972"/>
        <v>3791.0921979462964</v>
      </c>
      <c r="T379">
        <f t="shared" si="973"/>
        <v>3.7910921979462966</v>
      </c>
    </row>
    <row r="380" spans="1:20" x14ac:dyDescent="0.25">
      <c r="A380" s="5">
        <v>44213</v>
      </c>
      <c r="B380">
        <v>2.0430100000000002</v>
      </c>
      <c r="C380">
        <v>2.1099100000000002</v>
      </c>
      <c r="D380">
        <v>1.9339500000000001</v>
      </c>
      <c r="E380">
        <v>2.00854</v>
      </c>
      <c r="F380">
        <v>14187806.699999999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-0.15219368038190628</v>
      </c>
      <c r="Q380">
        <f t="shared" si="970"/>
        <v>-2159294.5182200684</v>
      </c>
      <c r="R380">
        <f t="shared" si="971"/>
        <v>374348104.60480082</v>
      </c>
      <c r="S380">
        <f t="shared" si="972"/>
        <v>3743.481046048008</v>
      </c>
      <c r="T380">
        <f t="shared" si="973"/>
        <v>3.7434810460480081</v>
      </c>
    </row>
    <row r="381" spans="1:20" x14ac:dyDescent="0.25">
      <c r="A381" s="5">
        <v>44212</v>
      </c>
      <c r="B381">
        <v>2.0520200000000002</v>
      </c>
      <c r="C381">
        <v>2.2799999999999998</v>
      </c>
      <c r="D381">
        <v>1.98</v>
      </c>
      <c r="E381">
        <v>2.04406</v>
      </c>
      <c r="F381">
        <v>17359135.199999999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-0.57293333333333307</v>
      </c>
      <c r="Q381">
        <f t="shared" si="970"/>
        <v>-9945627.1939199958</v>
      </c>
      <c r="R381">
        <f t="shared" si="971"/>
        <v>376507399.12302089</v>
      </c>
      <c r="S381">
        <f t="shared" si="972"/>
        <v>3765.0739912302088</v>
      </c>
      <c r="T381">
        <f t="shared" si="973"/>
        <v>3.7650739912302087</v>
      </c>
    </row>
    <row r="382" spans="1:20" x14ac:dyDescent="0.25">
      <c r="A382" s="5">
        <v>44211</v>
      </c>
      <c r="B382">
        <v>2.19163</v>
      </c>
      <c r="C382">
        <v>2.2084199999999998</v>
      </c>
      <c r="D382">
        <v>1.8759999999999999</v>
      </c>
      <c r="E382">
        <v>2.0554899999999998</v>
      </c>
      <c r="F382">
        <v>18049797.699999999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7.9898923049154455E-2</v>
      </c>
      <c r="Q382">
        <f t="shared" si="970"/>
        <v>1442159.3974851051</v>
      </c>
      <c r="R382">
        <f t="shared" si="971"/>
        <v>386453026.3169409</v>
      </c>
      <c r="S382">
        <f t="shared" si="972"/>
        <v>3864.530263169409</v>
      </c>
      <c r="T382">
        <f t="shared" si="973"/>
        <v>3.8645302631694092</v>
      </c>
    </row>
    <row r="383" spans="1:20" x14ac:dyDescent="0.25">
      <c r="A383" s="5">
        <v>44210</v>
      </c>
      <c r="B383">
        <v>2.0977399999999999</v>
      </c>
      <c r="C383">
        <v>2.26017</v>
      </c>
      <c r="D383">
        <v>2.0141100000000001</v>
      </c>
      <c r="E383">
        <v>2.1914600000000002</v>
      </c>
      <c r="F383">
        <v>19837101.800000001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0.44151832886288028</v>
      </c>
      <c r="Q383">
        <f t="shared" si="970"/>
        <v>8758444.036218835</v>
      </c>
      <c r="R383">
        <f t="shared" si="971"/>
        <v>385010866.91945583</v>
      </c>
      <c r="S383">
        <f t="shared" si="972"/>
        <v>3850.1086691945584</v>
      </c>
      <c r="T383">
        <f t="shared" si="973"/>
        <v>3.8501086691945585</v>
      </c>
    </row>
    <row r="384" spans="1:20" x14ac:dyDescent="0.25">
      <c r="A384" s="5">
        <v>44209</v>
      </c>
      <c r="B384">
        <v>1.823</v>
      </c>
      <c r="C384">
        <v>2.1543999999999999</v>
      </c>
      <c r="D384">
        <v>1.7638799999999999</v>
      </c>
      <c r="E384">
        <v>2.0952199999999999</v>
      </c>
      <c r="F384">
        <v>17511794.100000001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0.69691693127112564</v>
      </c>
      <c r="Q384">
        <f t="shared" si="970"/>
        <v>12204265.805223804</v>
      </c>
      <c r="R384">
        <f t="shared" si="971"/>
        <v>376252422.883237</v>
      </c>
      <c r="S384">
        <f t="shared" si="972"/>
        <v>3762.5242288323702</v>
      </c>
      <c r="T384">
        <f t="shared" si="973"/>
        <v>3.7625242288323704</v>
      </c>
    </row>
    <row r="385" spans="1:20" x14ac:dyDescent="0.25">
      <c r="A385" s="5">
        <v>44208</v>
      </c>
      <c r="B385">
        <v>1.82056</v>
      </c>
      <c r="C385">
        <v>2</v>
      </c>
      <c r="D385">
        <v>1.7350099999999999</v>
      </c>
      <c r="E385">
        <v>1.8214999999999999</v>
      </c>
      <c r="F385">
        <v>19010550.5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-0.34722064983584333</v>
      </c>
      <c r="Q385">
        <f t="shared" si="970"/>
        <v>-6600855.6983471168</v>
      </c>
      <c r="R385">
        <f t="shared" si="971"/>
        <v>364048157.07801318</v>
      </c>
      <c r="S385">
        <f t="shared" si="972"/>
        <v>3640.4815707801317</v>
      </c>
      <c r="T385">
        <f t="shared" si="973"/>
        <v>3.6404815707801319</v>
      </c>
    </row>
    <row r="386" spans="1:20" x14ac:dyDescent="0.25">
      <c r="A386" s="5">
        <v>44207</v>
      </c>
      <c r="B386">
        <v>1.98593</v>
      </c>
      <c r="C386">
        <v>1.99058</v>
      </c>
      <c r="D386">
        <v>1.46</v>
      </c>
      <c r="E386">
        <v>1.81684</v>
      </c>
      <c r="F386">
        <v>27068737.600000001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0.34509404802291838</v>
      </c>
      <c r="Q386">
        <f t="shared" si="970"/>
        <v>9341260.2332541775</v>
      </c>
      <c r="R386">
        <f t="shared" si="971"/>
        <v>370649012.77636027</v>
      </c>
      <c r="S386">
        <f t="shared" si="972"/>
        <v>3706.4901277636027</v>
      </c>
      <c r="T386">
        <f t="shared" si="973"/>
        <v>3.7064901277636029</v>
      </c>
    </row>
    <row r="387" spans="1:20" x14ac:dyDescent="0.25">
      <c r="A387" s="5">
        <v>44206</v>
      </c>
      <c r="B387">
        <v>2.0411600000000001</v>
      </c>
      <c r="C387">
        <v>2.1040000000000001</v>
      </c>
      <c r="D387">
        <v>1.8399099999999999</v>
      </c>
      <c r="E387">
        <v>1.98621</v>
      </c>
      <c r="F387">
        <v>17604909.199999999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0.10795562118974598</v>
      </c>
      <c r="Q387">
        <f t="shared" si="970"/>
        <v>1900548.9086750739</v>
      </c>
      <c r="R387">
        <f t="shared" si="971"/>
        <v>361307752.54310608</v>
      </c>
      <c r="S387">
        <f t="shared" si="972"/>
        <v>3613.0775254310606</v>
      </c>
      <c r="T387">
        <f t="shared" si="973"/>
        <v>3.6130775254310605</v>
      </c>
    </row>
    <row r="388" spans="1:20" x14ac:dyDescent="0.25">
      <c r="A388" s="5">
        <v>44205</v>
      </c>
      <c r="B388">
        <v>1.9880599999999999</v>
      </c>
      <c r="C388">
        <v>2.20214</v>
      </c>
      <c r="D388">
        <v>1.88947</v>
      </c>
      <c r="E388">
        <v>2.0410300000000001</v>
      </c>
      <c r="F388">
        <v>16532632.699999999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-3.0543384398886125E-2</v>
      </c>
      <c r="Q388">
        <f t="shared" si="970"/>
        <v>-504962.55568169459</v>
      </c>
      <c r="R388">
        <f t="shared" si="971"/>
        <v>359407203.634431</v>
      </c>
      <c r="S388">
        <f t="shared" si="972"/>
        <v>3594.0720363443102</v>
      </c>
      <c r="T388">
        <f t="shared" si="973"/>
        <v>3.5940720363443104</v>
      </c>
    </row>
    <row r="389" spans="1:20" x14ac:dyDescent="0.25">
      <c r="A389" s="5">
        <v>44204</v>
      </c>
      <c r="B389">
        <v>1.9912700000000001</v>
      </c>
      <c r="C389">
        <v>2.0408499999999998</v>
      </c>
      <c r="D389">
        <v>1.7800100000000001</v>
      </c>
      <c r="E389">
        <v>1.99427</v>
      </c>
      <c r="F389">
        <v>16842287.199999999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0.64284618923478076</v>
      </c>
      <c r="Q389">
        <f t="shared" si="970"/>
        <v>10827000.144517725</v>
      </c>
      <c r="R389">
        <f t="shared" si="971"/>
        <v>359912166.19011271</v>
      </c>
      <c r="S389">
        <f t="shared" si="972"/>
        <v>3599.121661901127</v>
      </c>
      <c r="T389">
        <f t="shared" si="973"/>
        <v>3.599121661901127</v>
      </c>
    </row>
    <row r="390" spans="1:20" x14ac:dyDescent="0.25">
      <c r="A390" s="5">
        <v>44203</v>
      </c>
      <c r="B390">
        <v>2.1671999999999998</v>
      </c>
      <c r="C390">
        <v>2.1731699999999998</v>
      </c>
      <c r="D390">
        <v>1.8845000000000001</v>
      </c>
      <c r="E390">
        <v>1.9879100000000001</v>
      </c>
      <c r="F390">
        <v>19169268.899999999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-0.28354176048775359</v>
      </c>
      <c r="Q390">
        <f t="shared" ref="Q390:Q453" si="975">F390*P390</f>
        <v>-5435288.2511691432</v>
      </c>
      <c r="R390">
        <f t="shared" ref="R390:R453" si="976">R391+Q390</f>
        <v>349085166.04559499</v>
      </c>
      <c r="S390">
        <f t="shared" ref="S390:S453" si="977">R390/100000</f>
        <v>3490.85166045595</v>
      </c>
      <c r="T390">
        <f t="shared" ref="T390:T453" si="978">S390/1000</f>
        <v>3.4908516604559501</v>
      </c>
    </row>
    <row r="391" spans="1:20" x14ac:dyDescent="0.25">
      <c r="A391" s="5">
        <v>44202</v>
      </c>
      <c r="B391">
        <v>2.1322299999999998</v>
      </c>
      <c r="C391">
        <v>2.3149999999999999</v>
      </c>
      <c r="D391">
        <v>2.0660099999999999</v>
      </c>
      <c r="E391">
        <v>2.16676</v>
      </c>
      <c r="F391">
        <v>22699316.100000001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-0.19073055142776738</v>
      </c>
      <c r="Q391">
        <f t="shared" si="975"/>
        <v>-4329453.0767861987</v>
      </c>
      <c r="R391">
        <f t="shared" si="976"/>
        <v>354520454.29676414</v>
      </c>
      <c r="S391">
        <f t="shared" si="977"/>
        <v>3545.2045429676414</v>
      </c>
      <c r="T391">
        <f t="shared" si="978"/>
        <v>3.5452045429676415</v>
      </c>
    </row>
    <row r="392" spans="1:20" x14ac:dyDescent="0.25">
      <c r="A392" s="5">
        <v>44201</v>
      </c>
      <c r="B392">
        <v>1.9698899999999999</v>
      </c>
      <c r="C392">
        <v>2.3558599999999998</v>
      </c>
      <c r="D392">
        <v>1.9130100000000001</v>
      </c>
      <c r="E392">
        <v>2.1319300000000001</v>
      </c>
      <c r="F392">
        <v>37264460.100000001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-1.1313085694929975E-2</v>
      </c>
      <c r="Q392">
        <f t="shared" si="975"/>
        <v>-421576.03048659884</v>
      </c>
      <c r="R392">
        <f t="shared" si="976"/>
        <v>358849907.37355036</v>
      </c>
      <c r="S392">
        <f t="shared" si="977"/>
        <v>3588.4990737355038</v>
      </c>
      <c r="T392">
        <f t="shared" si="978"/>
        <v>3.5884990737355036</v>
      </c>
    </row>
    <row r="393" spans="1:20" x14ac:dyDescent="0.25">
      <c r="A393" s="5">
        <v>44200</v>
      </c>
      <c r="B393">
        <v>2.1290399999999998</v>
      </c>
      <c r="C393">
        <v>2.2617500000000001</v>
      </c>
      <c r="D393">
        <v>1.7611000000000001</v>
      </c>
      <c r="E393">
        <v>1.96868</v>
      </c>
      <c r="F393">
        <v>39107791.899999999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-0.1707580145810452</v>
      </c>
      <c r="Q393">
        <f t="shared" si="975"/>
        <v>-6677968.899492681</v>
      </c>
      <c r="R393">
        <f t="shared" si="976"/>
        <v>359271483.40403694</v>
      </c>
      <c r="S393">
        <f t="shared" si="977"/>
        <v>3592.7148340403692</v>
      </c>
      <c r="T393">
        <f t="shared" si="978"/>
        <v>3.5927148340403692</v>
      </c>
    </row>
    <row r="394" spans="1:20" x14ac:dyDescent="0.25">
      <c r="A394" s="5">
        <v>44199</v>
      </c>
      <c r="B394">
        <v>2.4042599999999998</v>
      </c>
      <c r="C394">
        <v>2.42</v>
      </c>
      <c r="D394">
        <v>2.0611000000000002</v>
      </c>
      <c r="E394">
        <v>2.1259700000000001</v>
      </c>
      <c r="F394">
        <v>34800595.799999997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-0.63850654778489813</v>
      </c>
      <c r="Q394">
        <f t="shared" si="975"/>
        <v>-22220408.285115622</v>
      </c>
      <c r="R394">
        <f t="shared" si="976"/>
        <v>365949452.30352962</v>
      </c>
      <c r="S394">
        <f t="shared" si="977"/>
        <v>3659.4945230352964</v>
      </c>
      <c r="T394">
        <f t="shared" si="978"/>
        <v>3.6594945230352964</v>
      </c>
    </row>
    <row r="395" spans="1:20" x14ac:dyDescent="0.25">
      <c r="A395" s="5">
        <v>44198</v>
      </c>
      <c r="B395">
        <v>1.97024</v>
      </c>
      <c r="C395">
        <v>2.5099999999999998</v>
      </c>
      <c r="D395">
        <v>1.9261600000000001</v>
      </c>
      <c r="E395">
        <v>2.4002400000000002</v>
      </c>
      <c r="F395">
        <v>49550110.700000003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0.6240065771444242</v>
      </c>
      <c r="Q395">
        <f t="shared" si="975"/>
        <v>30919594.975034311</v>
      </c>
      <c r="R395">
        <f t="shared" si="976"/>
        <v>388169860.58864522</v>
      </c>
      <c r="S395">
        <f t="shared" si="977"/>
        <v>3881.6986058864522</v>
      </c>
      <c r="T395">
        <f t="shared" si="978"/>
        <v>3.8816986058864522</v>
      </c>
    </row>
    <row r="396" spans="1:20" x14ac:dyDescent="0.25">
      <c r="A396" s="5">
        <v>44197</v>
      </c>
      <c r="B396">
        <v>1.8605700000000001</v>
      </c>
      <c r="C396">
        <v>2.3010000000000002</v>
      </c>
      <c r="D396">
        <v>1.78</v>
      </c>
      <c r="E396">
        <v>1.96621</v>
      </c>
      <c r="F396">
        <v>61686488.299999997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-0.28518234165067202</v>
      </c>
      <c r="Q396">
        <f t="shared" si="975"/>
        <v>-17591897.181600783</v>
      </c>
      <c r="R396">
        <f t="shared" si="976"/>
        <v>357250265.61361092</v>
      </c>
      <c r="S396">
        <f t="shared" si="977"/>
        <v>3572.5026561361092</v>
      </c>
      <c r="T396">
        <f t="shared" si="978"/>
        <v>3.5725026561361091</v>
      </c>
    </row>
    <row r="397" spans="1:20" x14ac:dyDescent="0.25">
      <c r="A397" s="5">
        <v>44196</v>
      </c>
      <c r="B397">
        <v>1.59545</v>
      </c>
      <c r="C397">
        <v>1.89</v>
      </c>
      <c r="D397">
        <v>1.5306500000000001</v>
      </c>
      <c r="E397">
        <v>1.8622399999999999</v>
      </c>
      <c r="F397">
        <v>34122577.899999999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0.84549881730903009</v>
      </c>
      <c r="Q397">
        <f t="shared" si="975"/>
        <v>28850599.257985245</v>
      </c>
      <c r="R397">
        <f t="shared" si="976"/>
        <v>374842162.79521173</v>
      </c>
      <c r="S397">
        <f t="shared" si="977"/>
        <v>3748.4216279521174</v>
      </c>
      <c r="T397">
        <f t="shared" si="978"/>
        <v>3.7484216279521174</v>
      </c>
    </row>
    <row r="398" spans="1:20" x14ac:dyDescent="0.25">
      <c r="A398" s="5">
        <v>44195</v>
      </c>
      <c r="B398">
        <v>1.4320999999999999</v>
      </c>
      <c r="C398">
        <v>1.63622</v>
      </c>
      <c r="D398">
        <v>1.42038</v>
      </c>
      <c r="E398">
        <v>1.5969199999999999</v>
      </c>
      <c r="F398">
        <v>20537370.5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0.63584136397331259</v>
      </c>
      <c r="Q398">
        <f t="shared" si="975"/>
        <v>13058509.671145273</v>
      </c>
      <c r="R398">
        <f t="shared" si="976"/>
        <v>345991563.5372265</v>
      </c>
      <c r="S398">
        <f t="shared" si="977"/>
        <v>3459.9156353722651</v>
      </c>
      <c r="T398">
        <f t="shared" si="978"/>
        <v>3.4599156353722651</v>
      </c>
    </row>
    <row r="399" spans="1:20" x14ac:dyDescent="0.25">
      <c r="A399" s="5">
        <v>44194</v>
      </c>
      <c r="B399">
        <v>1.5588</v>
      </c>
      <c r="C399">
        <v>1.61486</v>
      </c>
      <c r="D399">
        <v>1.3520300000000001</v>
      </c>
      <c r="E399">
        <v>1.4320600000000001</v>
      </c>
      <c r="F399">
        <v>22301287.399999999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-0.39101320245025245</v>
      </c>
      <c r="Q399">
        <f t="shared" si="975"/>
        <v>-8720097.8050374631</v>
      </c>
      <c r="R399">
        <f t="shared" si="976"/>
        <v>332933053.86608124</v>
      </c>
      <c r="S399">
        <f t="shared" si="977"/>
        <v>3329.3305386608122</v>
      </c>
      <c r="T399">
        <f t="shared" si="978"/>
        <v>3.3293305386608121</v>
      </c>
    </row>
    <row r="400" spans="1:20" x14ac:dyDescent="0.25">
      <c r="A400" s="5">
        <v>44193</v>
      </c>
      <c r="B400">
        <v>1.35005</v>
      </c>
      <c r="C400">
        <v>1.60782</v>
      </c>
      <c r="D400">
        <v>1.32</v>
      </c>
      <c r="E400">
        <v>1.55606</v>
      </c>
      <c r="F400">
        <v>32934409.199999999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0.6403307622819816</v>
      </c>
      <c r="Q400">
        <f t="shared" si="975"/>
        <v>21088915.348342709</v>
      </c>
      <c r="R400">
        <f t="shared" si="976"/>
        <v>341653151.67111868</v>
      </c>
      <c r="S400">
        <f t="shared" si="977"/>
        <v>3416.5315167111867</v>
      </c>
      <c r="T400">
        <f t="shared" si="978"/>
        <v>3.4165315167111867</v>
      </c>
    </row>
    <row r="401" spans="1:20" x14ac:dyDescent="0.25">
      <c r="A401" s="5">
        <v>44192</v>
      </c>
      <c r="B401">
        <v>1.6682999999999999</v>
      </c>
      <c r="C401">
        <v>1.7144600000000001</v>
      </c>
      <c r="D401">
        <v>1.3</v>
      </c>
      <c r="E401">
        <v>1.3504499999999999</v>
      </c>
      <c r="F401">
        <v>60664618.799999997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-0.75655069246730744</v>
      </c>
      <c r="Q401">
        <f t="shared" si="975"/>
        <v>-45895859.361405239</v>
      </c>
      <c r="R401">
        <f t="shared" si="976"/>
        <v>320564236.32277596</v>
      </c>
      <c r="S401">
        <f t="shared" si="977"/>
        <v>3205.6423632277597</v>
      </c>
      <c r="T401">
        <f t="shared" si="978"/>
        <v>3.2056423632277595</v>
      </c>
    </row>
    <row r="402" spans="1:20" x14ac:dyDescent="0.25">
      <c r="A402" s="5">
        <v>44191</v>
      </c>
      <c r="B402">
        <v>1.28108</v>
      </c>
      <c r="C402">
        <v>1.742</v>
      </c>
      <c r="D402">
        <v>1.25501</v>
      </c>
      <c r="E402">
        <v>1.66866</v>
      </c>
      <c r="F402">
        <v>49513319.200000003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0.69880285016119448</v>
      </c>
      <c r="Q402">
        <f t="shared" si="975"/>
        <v>34600048.577900998</v>
      </c>
      <c r="R402">
        <f t="shared" si="976"/>
        <v>366460095.68418121</v>
      </c>
      <c r="S402">
        <f t="shared" si="977"/>
        <v>3664.6009568418121</v>
      </c>
      <c r="T402">
        <f t="shared" si="978"/>
        <v>3.6646009568418121</v>
      </c>
    </row>
    <row r="403" spans="1:20" x14ac:dyDescent="0.25">
      <c r="A403" s="5">
        <v>44190</v>
      </c>
      <c r="B403">
        <v>1.1857500000000001</v>
      </c>
      <c r="C403">
        <v>1.34619</v>
      </c>
      <c r="D403">
        <v>1.1594899999999999</v>
      </c>
      <c r="E403">
        <v>1.28291</v>
      </c>
      <c r="F403">
        <v>28104768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0.32212104981253376</v>
      </c>
      <c r="Q403">
        <f t="shared" si="975"/>
        <v>9053137.3728977051</v>
      </c>
      <c r="R403">
        <f t="shared" si="976"/>
        <v>331860047.10628021</v>
      </c>
      <c r="S403">
        <f t="shared" si="977"/>
        <v>3318.6004710628022</v>
      </c>
      <c r="T403">
        <f t="shared" si="978"/>
        <v>3.3186004710628021</v>
      </c>
    </row>
    <row r="404" spans="1:20" x14ac:dyDescent="0.25">
      <c r="A404" s="5">
        <v>44189</v>
      </c>
      <c r="B404">
        <v>1.0688599999999999</v>
      </c>
      <c r="C404">
        <v>1.21919</v>
      </c>
      <c r="D404">
        <v>0.99136999999999997</v>
      </c>
      <c r="E404">
        <v>1.18574</v>
      </c>
      <c r="F404">
        <v>25644018.899999999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0.70634711614432466</v>
      </c>
      <c r="Q404">
        <f t="shared" si="975"/>
        <v>18113578.796365555</v>
      </c>
      <c r="R404">
        <f t="shared" si="976"/>
        <v>322806909.73338252</v>
      </c>
      <c r="S404">
        <f t="shared" si="977"/>
        <v>3228.0690973338251</v>
      </c>
      <c r="T404">
        <f t="shared" si="978"/>
        <v>3.2280690973338251</v>
      </c>
    </row>
    <row r="405" spans="1:20" x14ac:dyDescent="0.25">
      <c r="A405" s="5">
        <v>44188</v>
      </c>
      <c r="B405">
        <v>1.0857000000000001</v>
      </c>
      <c r="C405">
        <v>1.1862200000000001</v>
      </c>
      <c r="D405">
        <v>0.999</v>
      </c>
      <c r="E405">
        <v>1.0691200000000001</v>
      </c>
      <c r="F405">
        <v>43607249.700000003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-0.25093472919559823</v>
      </c>
      <c r="Q405">
        <f t="shared" si="975"/>
        <v>-10942573.394434333</v>
      </c>
      <c r="R405">
        <f t="shared" si="976"/>
        <v>304693330.93701696</v>
      </c>
      <c r="S405">
        <f t="shared" si="977"/>
        <v>3046.9333093701698</v>
      </c>
      <c r="T405">
        <f t="shared" si="978"/>
        <v>3.0469333093701696</v>
      </c>
    </row>
    <row r="406" spans="1:20" x14ac:dyDescent="0.25">
      <c r="A406" s="5">
        <v>44187</v>
      </c>
      <c r="B406">
        <v>0.92673000000000005</v>
      </c>
      <c r="C406">
        <v>1.1194500000000001</v>
      </c>
      <c r="D406">
        <v>0.92157999999999995</v>
      </c>
      <c r="E406">
        <v>1.0861799999999999</v>
      </c>
      <c r="F406">
        <v>53230691.899999999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0.66371860312326159</v>
      </c>
      <c r="Q406">
        <f t="shared" si="975"/>
        <v>35330200.471152715</v>
      </c>
      <c r="R406">
        <f t="shared" si="976"/>
        <v>315635904.3314513</v>
      </c>
      <c r="S406">
        <f t="shared" si="977"/>
        <v>3156.3590433145127</v>
      </c>
      <c r="T406">
        <f t="shared" si="978"/>
        <v>3.1563590433145126</v>
      </c>
    </row>
    <row r="407" spans="1:20" x14ac:dyDescent="0.25">
      <c r="A407" s="5">
        <v>44186</v>
      </c>
      <c r="B407">
        <v>0.91447000000000001</v>
      </c>
      <c r="C407">
        <v>0.96750000000000003</v>
      </c>
      <c r="D407">
        <v>0.87729999999999997</v>
      </c>
      <c r="E407">
        <v>0.92725000000000002</v>
      </c>
      <c r="F407">
        <v>17993722.5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0.10753880266075427</v>
      </c>
      <c r="Q407">
        <f t="shared" si="975"/>
        <v>1935023.3730598739</v>
      </c>
      <c r="R407">
        <f t="shared" si="976"/>
        <v>280305703.86029857</v>
      </c>
      <c r="S407">
        <f t="shared" si="977"/>
        <v>2803.0570386029858</v>
      </c>
      <c r="T407">
        <f t="shared" si="978"/>
        <v>2.8030570386029856</v>
      </c>
    </row>
    <row r="408" spans="1:20" x14ac:dyDescent="0.25">
      <c r="A408" s="5">
        <v>44185</v>
      </c>
      <c r="B408">
        <v>0.90003999999999995</v>
      </c>
      <c r="C408">
        <v>0.95099999999999996</v>
      </c>
      <c r="D408">
        <v>0.86745000000000005</v>
      </c>
      <c r="E408">
        <v>0.91500000000000004</v>
      </c>
      <c r="F408">
        <v>13694661.199999999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0.13824057450628455</v>
      </c>
      <c r="Q408">
        <f t="shared" si="975"/>
        <v>1893157.8319569239</v>
      </c>
      <c r="R408">
        <f t="shared" si="976"/>
        <v>278370680.48723871</v>
      </c>
      <c r="S408">
        <f t="shared" si="977"/>
        <v>2783.7068048723872</v>
      </c>
      <c r="T408">
        <f t="shared" si="978"/>
        <v>2.7837068048723874</v>
      </c>
    </row>
    <row r="409" spans="1:20" x14ac:dyDescent="0.25">
      <c r="A409" s="5">
        <v>44184</v>
      </c>
      <c r="B409">
        <v>0.90702000000000005</v>
      </c>
      <c r="C409">
        <v>0.94499999999999995</v>
      </c>
      <c r="D409">
        <v>0.89387000000000005</v>
      </c>
      <c r="E409">
        <v>0.90017000000000003</v>
      </c>
      <c r="F409">
        <v>15021051.699999999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-0.75356933307256069</v>
      </c>
      <c r="Q409">
        <f t="shared" si="975"/>
        <v>-11319403.911617454</v>
      </c>
      <c r="R409">
        <f t="shared" si="976"/>
        <v>276477522.65528178</v>
      </c>
      <c r="S409">
        <f t="shared" si="977"/>
        <v>2764.7752265528179</v>
      </c>
      <c r="T409">
        <f t="shared" si="978"/>
        <v>2.764775226552818</v>
      </c>
    </row>
    <row r="410" spans="1:20" x14ac:dyDescent="0.25">
      <c r="A410" s="5">
        <v>44183</v>
      </c>
      <c r="B410">
        <v>0.81501999999999997</v>
      </c>
      <c r="C410">
        <v>0.92132999999999998</v>
      </c>
      <c r="D410">
        <v>0.79600000000000004</v>
      </c>
      <c r="E410">
        <v>0.90712999999999999</v>
      </c>
      <c r="F410">
        <v>21689593.5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0.7733982286762946</v>
      </c>
      <c r="Q410">
        <f t="shared" si="975"/>
        <v>16774693.193608873</v>
      </c>
      <c r="R410">
        <f t="shared" si="976"/>
        <v>287796926.56689924</v>
      </c>
      <c r="S410">
        <f t="shared" si="977"/>
        <v>2877.9692656689922</v>
      </c>
      <c r="T410">
        <f t="shared" si="978"/>
        <v>2.8779692656689924</v>
      </c>
    </row>
    <row r="411" spans="1:20" x14ac:dyDescent="0.25">
      <c r="A411" s="5">
        <v>44182</v>
      </c>
      <c r="B411">
        <v>0.85562000000000005</v>
      </c>
      <c r="C411">
        <v>0.91264999999999996</v>
      </c>
      <c r="D411">
        <v>0.80500000000000005</v>
      </c>
      <c r="E411">
        <v>0.81540000000000001</v>
      </c>
      <c r="F411">
        <v>24249093.100000001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-0.80678123548536973</v>
      </c>
      <c r="Q411">
        <f t="shared" si="975"/>
        <v>-19563713.290617757</v>
      </c>
      <c r="R411">
        <f t="shared" si="976"/>
        <v>271022233.37329036</v>
      </c>
      <c r="S411">
        <f t="shared" si="977"/>
        <v>2710.2223337329037</v>
      </c>
      <c r="T411">
        <f t="shared" si="978"/>
        <v>2.7102223337329039</v>
      </c>
    </row>
    <row r="412" spans="1:20" x14ac:dyDescent="0.25">
      <c r="A412" s="5">
        <v>44181</v>
      </c>
      <c r="B412">
        <v>0.76405999999999996</v>
      </c>
      <c r="C412">
        <v>0.85680999999999996</v>
      </c>
      <c r="D412">
        <v>0.73853999999999997</v>
      </c>
      <c r="E412">
        <v>0.85623000000000005</v>
      </c>
      <c r="F412">
        <v>22350609.300000001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0.99019193371100167</v>
      </c>
      <c r="Q412">
        <f t="shared" si="975"/>
        <v>22131393.0423861</v>
      </c>
      <c r="R412">
        <f t="shared" si="976"/>
        <v>290585946.66390812</v>
      </c>
      <c r="S412">
        <f t="shared" si="977"/>
        <v>2905.8594666390813</v>
      </c>
      <c r="T412">
        <f t="shared" si="978"/>
        <v>2.9058594666390816</v>
      </c>
    </row>
    <row r="413" spans="1:20" x14ac:dyDescent="0.25">
      <c r="A413" s="5">
        <v>44180</v>
      </c>
      <c r="B413">
        <v>0.75241999999999998</v>
      </c>
      <c r="C413">
        <v>0.77602000000000004</v>
      </c>
      <c r="D413">
        <v>0.73346</v>
      </c>
      <c r="E413">
        <v>0.76353000000000004</v>
      </c>
      <c r="F413">
        <v>9269670.0999999996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0.41306390977443663</v>
      </c>
      <c r="Q413">
        <f t="shared" si="975"/>
        <v>3828966.1738251927</v>
      </c>
      <c r="R413">
        <f t="shared" si="976"/>
        <v>268454553.62152201</v>
      </c>
      <c r="S413">
        <f t="shared" si="977"/>
        <v>2684.5455362152202</v>
      </c>
      <c r="T413">
        <f t="shared" si="978"/>
        <v>2.6845455362152202</v>
      </c>
    </row>
    <row r="414" spans="1:20" x14ac:dyDescent="0.25">
      <c r="A414" s="5">
        <v>44179</v>
      </c>
      <c r="B414">
        <v>0.72940000000000005</v>
      </c>
      <c r="C414">
        <v>0.77</v>
      </c>
      <c r="D414">
        <v>0.71626999999999996</v>
      </c>
      <c r="E414">
        <v>0.75209000000000004</v>
      </c>
      <c r="F414">
        <v>14936816.6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0.3333333333333347</v>
      </c>
      <c r="Q414">
        <f t="shared" si="975"/>
        <v>4978938.8666666867</v>
      </c>
      <c r="R414">
        <f t="shared" si="976"/>
        <v>264625587.44769683</v>
      </c>
      <c r="S414">
        <f t="shared" si="977"/>
        <v>2646.2558744769685</v>
      </c>
      <c r="T414">
        <f t="shared" si="978"/>
        <v>2.6462558744769686</v>
      </c>
    </row>
    <row r="415" spans="1:20" x14ac:dyDescent="0.25">
      <c r="A415" s="5">
        <v>44178</v>
      </c>
      <c r="B415">
        <v>0.69242999999999999</v>
      </c>
      <c r="C415">
        <v>0.74229999999999996</v>
      </c>
      <c r="D415">
        <v>0.68220999999999998</v>
      </c>
      <c r="E415">
        <v>0.72938000000000003</v>
      </c>
      <c r="F415">
        <v>8640678.9000000004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0.56997836578465844</v>
      </c>
      <c r="Q415">
        <f t="shared" si="975"/>
        <v>4925000.0386919808</v>
      </c>
      <c r="R415">
        <f t="shared" si="976"/>
        <v>259646648.58103016</v>
      </c>
      <c r="S415">
        <f t="shared" si="977"/>
        <v>2596.4664858103015</v>
      </c>
      <c r="T415">
        <f t="shared" si="978"/>
        <v>2.5964664858103017</v>
      </c>
    </row>
    <row r="416" spans="1:20" x14ac:dyDescent="0.25">
      <c r="A416" s="5">
        <v>44177</v>
      </c>
      <c r="B416">
        <v>0.68059000000000003</v>
      </c>
      <c r="C416">
        <v>0.71704000000000001</v>
      </c>
      <c r="D416">
        <v>0.67949999999999999</v>
      </c>
      <c r="E416">
        <v>0.69225000000000003</v>
      </c>
      <c r="F416">
        <v>6909509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-0.32072456046883147</v>
      </c>
      <c r="Q416">
        <f t="shared" si="975"/>
        <v>-2216049.2370804353</v>
      </c>
      <c r="R416">
        <f t="shared" si="976"/>
        <v>254721648.54233819</v>
      </c>
      <c r="S416">
        <f t="shared" si="977"/>
        <v>2547.216485423382</v>
      </c>
      <c r="T416">
        <f t="shared" si="978"/>
        <v>2.5472164854233821</v>
      </c>
    </row>
    <row r="417" spans="1:20" x14ac:dyDescent="0.25">
      <c r="A417" s="5">
        <v>44176</v>
      </c>
      <c r="B417">
        <v>0.68037000000000003</v>
      </c>
      <c r="C417">
        <v>0.69413000000000002</v>
      </c>
      <c r="D417">
        <v>0.63714000000000004</v>
      </c>
      <c r="E417">
        <v>0.68052000000000001</v>
      </c>
      <c r="F417">
        <v>9773627.5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0.522372346025618</v>
      </c>
      <c r="Q417">
        <f t="shared" si="975"/>
        <v>5105472.7263554959</v>
      </c>
      <c r="R417">
        <f t="shared" si="976"/>
        <v>256937697.77941862</v>
      </c>
      <c r="S417">
        <f t="shared" si="977"/>
        <v>2569.3769777941861</v>
      </c>
      <c r="T417">
        <f t="shared" si="978"/>
        <v>2.5693769777941862</v>
      </c>
    </row>
    <row r="418" spans="1:20" x14ac:dyDescent="0.25">
      <c r="A418" s="5">
        <v>44175</v>
      </c>
      <c r="B418">
        <v>0.72396000000000005</v>
      </c>
      <c r="C418">
        <v>0.72782999999999998</v>
      </c>
      <c r="D418">
        <v>0.67835000000000001</v>
      </c>
      <c r="E418">
        <v>0.67991999999999997</v>
      </c>
      <c r="F418">
        <v>14152246.199999999</v>
      </c>
      <c r="G418">
        <v>0</v>
      </c>
      <c r="L418" t="s">
        <v>7</v>
      </c>
      <c r="M418" t="s">
        <v>8</v>
      </c>
      <c r="N418" t="s">
        <v>8</v>
      </c>
      <c r="P418">
        <f t="shared" si="974"/>
        <v>-0.9365400161681503</v>
      </c>
      <c r="Q418">
        <f t="shared" si="975"/>
        <v>-13254144.884963643</v>
      </c>
      <c r="R418">
        <f t="shared" si="976"/>
        <v>251832225.05306312</v>
      </c>
      <c r="S418">
        <f t="shared" si="977"/>
        <v>2518.3222505306312</v>
      </c>
      <c r="T418">
        <f t="shared" si="978"/>
        <v>2.5183222505306313</v>
      </c>
    </row>
    <row r="419" spans="1:20" x14ac:dyDescent="0.25">
      <c r="A419" s="5">
        <v>44174</v>
      </c>
      <c r="B419">
        <v>0.745</v>
      </c>
      <c r="C419">
        <v>0.79669999999999996</v>
      </c>
      <c r="D419">
        <v>0.71023000000000003</v>
      </c>
      <c r="E419">
        <v>0.72396000000000005</v>
      </c>
      <c r="F419">
        <v>36531440.399999999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-0.68243321383138589</v>
      </c>
      <c r="Q419">
        <f t="shared" si="975"/>
        <v>-24930268.278061729</v>
      </c>
      <c r="R419">
        <f t="shared" si="976"/>
        <v>265086369.93802676</v>
      </c>
      <c r="S419">
        <f t="shared" si="977"/>
        <v>2650.8636993802675</v>
      </c>
      <c r="T419">
        <f t="shared" si="978"/>
        <v>2.6508636993802677</v>
      </c>
    </row>
    <row r="420" spans="1:20" x14ac:dyDescent="0.25">
      <c r="A420" s="5">
        <v>44173</v>
      </c>
      <c r="B420">
        <v>0.68247000000000002</v>
      </c>
      <c r="C420">
        <v>0.77200000000000002</v>
      </c>
      <c r="D420">
        <v>0.67835999999999996</v>
      </c>
      <c r="E420">
        <v>0.745</v>
      </c>
      <c r="F420">
        <v>33388087.699999999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0.42332336608287041</v>
      </c>
      <c r="Q420">
        <f t="shared" si="975"/>
        <v>14133957.672234083</v>
      </c>
      <c r="R420">
        <f t="shared" si="976"/>
        <v>290016638.21608847</v>
      </c>
      <c r="S420">
        <f t="shared" si="977"/>
        <v>2900.166382160885</v>
      </c>
      <c r="T420">
        <f t="shared" si="978"/>
        <v>2.9001663821608847</v>
      </c>
    </row>
    <row r="421" spans="1:20" x14ac:dyDescent="0.25">
      <c r="A421" s="5">
        <v>44172</v>
      </c>
      <c r="B421">
        <v>0.69933000000000001</v>
      </c>
      <c r="C421">
        <v>0.70050999999999997</v>
      </c>
      <c r="D421">
        <v>0.66601999999999995</v>
      </c>
      <c r="E421">
        <v>0.68215999999999999</v>
      </c>
      <c r="F421">
        <v>8253482.2000000002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-6.4076543925773638E-2</v>
      </c>
      <c r="Q421">
        <f t="shared" si="975"/>
        <v>-528854.61472889083</v>
      </c>
      <c r="R421">
        <f t="shared" si="976"/>
        <v>275882680.54385442</v>
      </c>
      <c r="S421">
        <f t="shared" si="977"/>
        <v>2758.8268054385439</v>
      </c>
      <c r="T421">
        <f t="shared" si="978"/>
        <v>2.7588268054385439</v>
      </c>
    </row>
    <row r="422" spans="1:20" x14ac:dyDescent="0.25">
      <c r="A422" s="5">
        <v>44171</v>
      </c>
      <c r="B422">
        <v>0.73831999999999998</v>
      </c>
      <c r="C422">
        <v>0.74334</v>
      </c>
      <c r="D422">
        <v>0.67718999999999996</v>
      </c>
      <c r="E422">
        <v>0.69940999999999998</v>
      </c>
      <c r="F422">
        <v>13064401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-0.32819349962207095</v>
      </c>
      <c r="Q422">
        <f t="shared" si="975"/>
        <v>-4287651.4846560834</v>
      </c>
      <c r="R422">
        <f t="shared" si="976"/>
        <v>276411535.15858328</v>
      </c>
      <c r="S422">
        <f t="shared" si="977"/>
        <v>2764.1153515858327</v>
      </c>
      <c r="T422">
        <f t="shared" si="978"/>
        <v>2.7641153515858328</v>
      </c>
    </row>
    <row r="423" spans="1:20" x14ac:dyDescent="0.25">
      <c r="A423" s="5">
        <v>44170</v>
      </c>
      <c r="B423">
        <v>0.66652</v>
      </c>
      <c r="C423">
        <v>0.7389</v>
      </c>
      <c r="D423">
        <v>0.65654999999999997</v>
      </c>
      <c r="E423">
        <v>0.73777999999999999</v>
      </c>
      <c r="F423">
        <v>14525921.800000001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0.97279902853673328</v>
      </c>
      <c r="Q423">
        <f t="shared" si="975"/>
        <v>14130802.615640556</v>
      </c>
      <c r="R423">
        <f t="shared" si="976"/>
        <v>280699186.64323938</v>
      </c>
      <c r="S423">
        <f t="shared" si="977"/>
        <v>2806.9918664323936</v>
      </c>
      <c r="T423">
        <f t="shared" si="978"/>
        <v>2.8069918664323938</v>
      </c>
    </row>
    <row r="424" spans="1:20" x14ac:dyDescent="0.25">
      <c r="A424" s="5">
        <v>44169</v>
      </c>
      <c r="B424">
        <v>0.66364000000000001</v>
      </c>
      <c r="C424">
        <v>0.71309999999999996</v>
      </c>
      <c r="D424">
        <v>0.65076999999999996</v>
      </c>
      <c r="E424">
        <v>0.66647999999999996</v>
      </c>
      <c r="F424">
        <v>20131991.199999999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-0.49590887213219947</v>
      </c>
      <c r="Q424">
        <f t="shared" si="975"/>
        <v>-9983633.0497673638</v>
      </c>
      <c r="R424">
        <f t="shared" si="976"/>
        <v>266568384.0275988</v>
      </c>
      <c r="S424">
        <f t="shared" si="977"/>
        <v>2665.6838402759881</v>
      </c>
      <c r="T424">
        <f t="shared" si="978"/>
        <v>2.6656838402759879</v>
      </c>
    </row>
    <row r="425" spans="1:20" x14ac:dyDescent="0.25">
      <c r="A425" s="5">
        <v>44168</v>
      </c>
      <c r="B425">
        <v>0.63177000000000005</v>
      </c>
      <c r="C425">
        <v>0.66771999999999998</v>
      </c>
      <c r="D425">
        <v>0.62519999999999998</v>
      </c>
      <c r="E425">
        <v>0.66364999999999996</v>
      </c>
      <c r="F425">
        <v>5734185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0.80856067732831527</v>
      </c>
      <c r="Q425">
        <f t="shared" si="975"/>
        <v>4636436.5075258659</v>
      </c>
      <c r="R425">
        <f t="shared" si="976"/>
        <v>276552017.07736617</v>
      </c>
      <c r="S425">
        <f t="shared" si="977"/>
        <v>2765.5201707736619</v>
      </c>
      <c r="T425">
        <f t="shared" si="978"/>
        <v>2.7655201707736619</v>
      </c>
    </row>
    <row r="426" spans="1:20" x14ac:dyDescent="0.25">
      <c r="A426" s="5">
        <v>44167</v>
      </c>
      <c r="B426">
        <v>0.61385000000000001</v>
      </c>
      <c r="C426">
        <v>0.64790999999999999</v>
      </c>
      <c r="D426">
        <v>0.60277000000000003</v>
      </c>
      <c r="E426">
        <v>0.63197999999999999</v>
      </c>
      <c r="F426">
        <v>8297154.2000000002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0.29419583517944109</v>
      </c>
      <c r="Q426">
        <f t="shared" si="975"/>
        <v>2440988.2094816077</v>
      </c>
      <c r="R426">
        <f t="shared" si="976"/>
        <v>271915580.56984031</v>
      </c>
      <c r="S426">
        <f t="shared" si="977"/>
        <v>2719.1558056984031</v>
      </c>
      <c r="T426">
        <f t="shared" si="978"/>
        <v>2.7191558056984033</v>
      </c>
    </row>
    <row r="427" spans="1:20" x14ac:dyDescent="0.25">
      <c r="A427" s="5">
        <v>44166</v>
      </c>
      <c r="B427">
        <v>0.64273999999999998</v>
      </c>
      <c r="C427">
        <v>0.66425999999999996</v>
      </c>
      <c r="D427">
        <v>0.58399999999999996</v>
      </c>
      <c r="E427">
        <v>0.61372000000000004</v>
      </c>
      <c r="F427">
        <v>14011903.699999999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-0.25940692748566957</v>
      </c>
      <c r="Q427">
        <f t="shared" si="975"/>
        <v>-3634784.8870420852</v>
      </c>
      <c r="R427">
        <f t="shared" si="976"/>
        <v>269474592.36035872</v>
      </c>
      <c r="S427">
        <f t="shared" si="977"/>
        <v>2694.745923603587</v>
      </c>
      <c r="T427">
        <f t="shared" si="978"/>
        <v>2.6947459236035871</v>
      </c>
    </row>
    <row r="428" spans="1:20" x14ac:dyDescent="0.25">
      <c r="A428" s="5">
        <v>44165</v>
      </c>
      <c r="B428">
        <v>0.61824000000000001</v>
      </c>
      <c r="C428">
        <v>0.64534000000000002</v>
      </c>
      <c r="D428">
        <v>0.60494999999999999</v>
      </c>
      <c r="E428">
        <v>0.64280000000000004</v>
      </c>
      <c r="F428">
        <v>6735687.2999999998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0.87422629363703963</v>
      </c>
      <c r="Q428">
        <f t="shared" si="975"/>
        <v>5888514.9433770785</v>
      </c>
      <c r="R428">
        <f t="shared" si="976"/>
        <v>273109377.24740082</v>
      </c>
      <c r="S428">
        <f t="shared" si="977"/>
        <v>2731.0937724740083</v>
      </c>
      <c r="T428">
        <f t="shared" si="978"/>
        <v>2.7310937724740083</v>
      </c>
    </row>
    <row r="429" spans="1:20" x14ac:dyDescent="0.25">
      <c r="A429" s="5">
        <v>44164</v>
      </c>
      <c r="B429">
        <v>0.62451000000000001</v>
      </c>
      <c r="C429">
        <v>0.62568000000000001</v>
      </c>
      <c r="D429">
        <v>0.59802999999999995</v>
      </c>
      <c r="E429">
        <v>0.61777000000000004</v>
      </c>
      <c r="F429">
        <v>4258064.5999999996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0.42784810126582606</v>
      </c>
      <c r="Q429">
        <f t="shared" si="975"/>
        <v>1821804.8541772291</v>
      </c>
      <c r="R429">
        <f t="shared" si="976"/>
        <v>267220862.30402374</v>
      </c>
      <c r="S429">
        <f t="shared" si="977"/>
        <v>2672.2086230402374</v>
      </c>
      <c r="T429">
        <f t="shared" si="978"/>
        <v>2.6722086230402375</v>
      </c>
    </row>
    <row r="430" spans="1:20" x14ac:dyDescent="0.25">
      <c r="A430" s="5">
        <v>44163</v>
      </c>
      <c r="B430">
        <v>0.60690999999999995</v>
      </c>
      <c r="C430">
        <v>0.63249999999999995</v>
      </c>
      <c r="D430">
        <v>0.59072000000000002</v>
      </c>
      <c r="E430">
        <v>0.62438000000000005</v>
      </c>
      <c r="F430">
        <v>4693155.3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0.61129727142173673</v>
      </c>
      <c r="Q430">
        <f t="shared" si="975"/>
        <v>2868913.0292484621</v>
      </c>
      <c r="R430">
        <f t="shared" si="976"/>
        <v>265399057.44984651</v>
      </c>
      <c r="S430">
        <f t="shared" si="977"/>
        <v>2653.9905744984649</v>
      </c>
      <c r="T430">
        <f t="shared" si="978"/>
        <v>2.6539905744984646</v>
      </c>
    </row>
    <row r="431" spans="1:20" x14ac:dyDescent="0.25">
      <c r="A431" s="5">
        <v>44162</v>
      </c>
      <c r="B431">
        <v>0.62060999999999999</v>
      </c>
      <c r="C431">
        <v>0.63653000000000004</v>
      </c>
      <c r="D431">
        <v>0.57743999999999995</v>
      </c>
      <c r="E431">
        <v>0.60687999999999998</v>
      </c>
      <c r="F431">
        <v>6531892.2000000002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-3.5539008292442575E-3</v>
      </c>
      <c r="Q431">
        <f t="shared" si="975"/>
        <v>-23213.697106114098</v>
      </c>
      <c r="R431">
        <f t="shared" si="976"/>
        <v>262530144.42059803</v>
      </c>
      <c r="S431">
        <f t="shared" si="977"/>
        <v>2625.3014442059803</v>
      </c>
      <c r="T431">
        <f t="shared" si="978"/>
        <v>2.6253014442059803</v>
      </c>
    </row>
    <row r="432" spans="1:20" x14ac:dyDescent="0.25">
      <c r="A432" s="5">
        <v>44161</v>
      </c>
      <c r="B432">
        <v>0.69471000000000005</v>
      </c>
      <c r="C432">
        <v>0.71306000000000003</v>
      </c>
      <c r="D432">
        <v>0.57335000000000003</v>
      </c>
      <c r="E432">
        <v>0.62041000000000002</v>
      </c>
      <c r="F432">
        <v>20953424.699999999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-0.32631880323527318</v>
      </c>
      <c r="Q432">
        <f t="shared" si="975"/>
        <v>-6837496.4717844129</v>
      </c>
      <c r="R432">
        <f t="shared" si="976"/>
        <v>262553358.11770415</v>
      </c>
      <c r="S432">
        <f t="shared" si="977"/>
        <v>2625.5335811770415</v>
      </c>
      <c r="T432">
        <f t="shared" si="978"/>
        <v>2.6255335811770415</v>
      </c>
    </row>
    <row r="433" spans="1:20" x14ac:dyDescent="0.25">
      <c r="A433" s="5">
        <v>44160</v>
      </c>
      <c r="B433">
        <v>0.69145999999999996</v>
      </c>
      <c r="C433">
        <v>0.75129000000000001</v>
      </c>
      <c r="D433">
        <v>0.67559999999999998</v>
      </c>
      <c r="E433">
        <v>0.69374000000000002</v>
      </c>
      <c r="F433">
        <v>16783997.199999999</v>
      </c>
      <c r="G433">
        <v>0</v>
      </c>
      <c r="L433" t="s">
        <v>7</v>
      </c>
      <c r="M433" t="s">
        <v>8</v>
      </c>
      <c r="N433" t="s">
        <v>7</v>
      </c>
      <c r="P433">
        <f t="shared" si="974"/>
        <v>-0.52067644338750063</v>
      </c>
      <c r="Q433">
        <f t="shared" si="975"/>
        <v>-8739031.9679217692</v>
      </c>
      <c r="R433">
        <f t="shared" si="976"/>
        <v>269390854.58948857</v>
      </c>
      <c r="S433">
        <f t="shared" si="977"/>
        <v>2693.9085458948857</v>
      </c>
      <c r="T433">
        <f t="shared" si="978"/>
        <v>2.6939085458948857</v>
      </c>
    </row>
    <row r="434" spans="1:20" x14ac:dyDescent="0.25">
      <c r="A434" s="5">
        <v>44159</v>
      </c>
      <c r="B434">
        <v>0.66529000000000005</v>
      </c>
      <c r="C434">
        <v>0.74570000000000003</v>
      </c>
      <c r="D434">
        <v>0.66222999999999999</v>
      </c>
      <c r="E434">
        <v>0.69194</v>
      </c>
      <c r="F434">
        <v>21761416.800000001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-0.2881274709476459</v>
      </c>
      <c r="Q434">
        <f t="shared" si="975"/>
        <v>-6270061.9868216133</v>
      </c>
      <c r="R434">
        <f t="shared" si="976"/>
        <v>278129886.55741036</v>
      </c>
      <c r="S434">
        <f t="shared" si="977"/>
        <v>2781.2988655741037</v>
      </c>
      <c r="T434">
        <f t="shared" si="978"/>
        <v>2.7812988655741036</v>
      </c>
    </row>
    <row r="435" spans="1:20" x14ac:dyDescent="0.25">
      <c r="A435" s="5">
        <v>44158</v>
      </c>
      <c r="B435">
        <v>0.64968000000000004</v>
      </c>
      <c r="C435">
        <v>0.68796000000000002</v>
      </c>
      <c r="D435">
        <v>0.64500000000000002</v>
      </c>
      <c r="E435">
        <v>0.66535</v>
      </c>
      <c r="F435">
        <v>21137052.399999999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-5.260707635009404E-2</v>
      </c>
      <c r="Q435">
        <f t="shared" si="975"/>
        <v>-1111958.5294227384</v>
      </c>
      <c r="R435">
        <f t="shared" si="976"/>
        <v>284399948.54423195</v>
      </c>
      <c r="S435">
        <f t="shared" si="977"/>
        <v>2843.9994854423194</v>
      </c>
      <c r="T435">
        <f t="shared" si="978"/>
        <v>2.8439994854423194</v>
      </c>
    </row>
    <row r="436" spans="1:20" x14ac:dyDescent="0.25">
      <c r="A436" s="5">
        <v>44157</v>
      </c>
      <c r="B436">
        <v>0.70204999999999995</v>
      </c>
      <c r="C436">
        <v>0.71</v>
      </c>
      <c r="D436">
        <v>0.622</v>
      </c>
      <c r="E436">
        <v>0.64934000000000003</v>
      </c>
      <c r="F436">
        <v>15217560.4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-0.37863636363636272</v>
      </c>
      <c r="Q436">
        <f t="shared" si="975"/>
        <v>-5761921.7332727136</v>
      </c>
      <c r="R436">
        <f t="shared" si="976"/>
        <v>285511907.07365471</v>
      </c>
      <c r="S436">
        <f t="shared" si="977"/>
        <v>2855.1190707365472</v>
      </c>
      <c r="T436">
        <f t="shared" si="978"/>
        <v>2.855119070736547</v>
      </c>
    </row>
    <row r="437" spans="1:20" x14ac:dyDescent="0.25">
      <c r="A437" s="5">
        <v>44156</v>
      </c>
      <c r="B437">
        <v>0.64351999999999998</v>
      </c>
      <c r="C437">
        <v>0.71099999999999997</v>
      </c>
      <c r="D437">
        <v>0.62502999999999997</v>
      </c>
      <c r="E437">
        <v>0.70206999999999997</v>
      </c>
      <c r="F437">
        <v>27481291.899999999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0.79225311155054101</v>
      </c>
      <c r="Q437">
        <f t="shared" si="975"/>
        <v>21772139.017203677</v>
      </c>
      <c r="R437">
        <f t="shared" si="976"/>
        <v>291273828.80692744</v>
      </c>
      <c r="S437">
        <f t="shared" si="977"/>
        <v>2912.7382880692744</v>
      </c>
      <c r="T437">
        <f t="shared" si="978"/>
        <v>2.9127382880692743</v>
      </c>
    </row>
    <row r="438" spans="1:20" x14ac:dyDescent="0.25">
      <c r="A438" s="5">
        <v>44155</v>
      </c>
      <c r="B438">
        <v>0.62256</v>
      </c>
      <c r="C438">
        <v>0.65488999999999997</v>
      </c>
      <c r="D438">
        <v>0.62160000000000004</v>
      </c>
      <c r="E438">
        <v>0.64344999999999997</v>
      </c>
      <c r="F438">
        <v>23479476.399999999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0.31270651847401443</v>
      </c>
      <c r="Q438">
        <f t="shared" si="975"/>
        <v>7342185.3206367856</v>
      </c>
      <c r="R438">
        <f t="shared" si="976"/>
        <v>269501689.78972375</v>
      </c>
      <c r="S438">
        <f t="shared" si="977"/>
        <v>2695.0168978972374</v>
      </c>
      <c r="T438">
        <f t="shared" si="978"/>
        <v>2.6950168978972373</v>
      </c>
    </row>
    <row r="439" spans="1:20" x14ac:dyDescent="0.25">
      <c r="A439" s="5">
        <v>44154</v>
      </c>
      <c r="B439">
        <v>0.62265999999999999</v>
      </c>
      <c r="C439">
        <v>0.64097999999999999</v>
      </c>
      <c r="D439">
        <v>0.61079000000000006</v>
      </c>
      <c r="E439">
        <v>0.62244999999999995</v>
      </c>
      <c r="F439">
        <v>9253238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-0.2275587943027548</v>
      </c>
      <c r="Q439">
        <f t="shared" si="975"/>
        <v>-2105655.6826764341</v>
      </c>
      <c r="R439">
        <f t="shared" si="976"/>
        <v>262159504.46908695</v>
      </c>
      <c r="S439">
        <f t="shared" si="977"/>
        <v>2621.5950446908696</v>
      </c>
      <c r="T439">
        <f t="shared" si="978"/>
        <v>2.6215950446908698</v>
      </c>
    </row>
    <row r="440" spans="1:20" x14ac:dyDescent="0.25">
      <c r="A440" s="5">
        <v>44153</v>
      </c>
      <c r="B440">
        <v>0.65408999999999995</v>
      </c>
      <c r="C440">
        <v>0.67947999999999997</v>
      </c>
      <c r="D440">
        <v>0.60979000000000005</v>
      </c>
      <c r="E440">
        <v>0.62258999999999998</v>
      </c>
      <c r="F440">
        <v>12115966.6</v>
      </c>
      <c r="G440">
        <v>0</v>
      </c>
      <c r="L440" t="s">
        <v>8</v>
      </c>
      <c r="M440" t="s">
        <v>7</v>
      </c>
      <c r="N440" t="s">
        <v>7</v>
      </c>
      <c r="P440">
        <f t="shared" si="974"/>
        <v>-0.63265891806572139</v>
      </c>
      <c r="Q440">
        <f t="shared" si="975"/>
        <v>-7665274.3204764165</v>
      </c>
      <c r="R440">
        <f t="shared" si="976"/>
        <v>264265160.15176338</v>
      </c>
      <c r="S440">
        <f t="shared" si="977"/>
        <v>2642.6516015176339</v>
      </c>
      <c r="T440">
        <f t="shared" si="978"/>
        <v>2.6426516015176338</v>
      </c>
    </row>
    <row r="441" spans="1:20" x14ac:dyDescent="0.25">
      <c r="A441" s="5">
        <v>44152</v>
      </c>
      <c r="B441">
        <v>0.61909999999999998</v>
      </c>
      <c r="C441">
        <v>0.65598000000000001</v>
      </c>
      <c r="D441">
        <v>0.61792999999999998</v>
      </c>
      <c r="E441">
        <v>0.65410999999999997</v>
      </c>
      <c r="F441">
        <v>11695944.4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0.90170827858081282</v>
      </c>
      <c r="Q441">
        <f t="shared" si="975"/>
        <v>10546329.891300898</v>
      </c>
      <c r="R441">
        <f t="shared" si="976"/>
        <v>271930434.47223979</v>
      </c>
      <c r="S441">
        <f t="shared" si="977"/>
        <v>2719.3043447223981</v>
      </c>
      <c r="T441">
        <f t="shared" si="978"/>
        <v>2.7193043447223983</v>
      </c>
    </row>
    <row r="442" spans="1:20" x14ac:dyDescent="0.25">
      <c r="A442" s="5">
        <v>44151</v>
      </c>
      <c r="B442">
        <v>0.60277000000000003</v>
      </c>
      <c r="C442">
        <v>0.63032999999999995</v>
      </c>
      <c r="D442">
        <v>0.59492</v>
      </c>
      <c r="E442">
        <v>0.61960999999999999</v>
      </c>
      <c r="F442">
        <v>9762548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0.3945213216605496</v>
      </c>
      <c r="Q442">
        <f t="shared" si="975"/>
        <v>3851533.3397345552</v>
      </c>
      <c r="R442">
        <f t="shared" si="976"/>
        <v>261384104.58093891</v>
      </c>
      <c r="S442">
        <f t="shared" si="977"/>
        <v>2613.841045809389</v>
      </c>
      <c r="T442">
        <f t="shared" si="978"/>
        <v>2.613841045809389</v>
      </c>
    </row>
    <row r="443" spans="1:20" x14ac:dyDescent="0.25">
      <c r="A443" s="5">
        <v>44150</v>
      </c>
      <c r="B443">
        <v>0.61251</v>
      </c>
      <c r="C443">
        <v>0.62255000000000005</v>
      </c>
      <c r="D443">
        <v>0.59291000000000005</v>
      </c>
      <c r="E443">
        <v>0.60341</v>
      </c>
      <c r="F443">
        <v>8498352.4000000004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-0.29149797570850511</v>
      </c>
      <c r="Q443">
        <f t="shared" si="975"/>
        <v>-2477252.5214575161</v>
      </c>
      <c r="R443">
        <f t="shared" si="976"/>
        <v>257532571.24120435</v>
      </c>
      <c r="S443">
        <f t="shared" si="977"/>
        <v>2575.3257124120437</v>
      </c>
      <c r="T443">
        <f t="shared" si="978"/>
        <v>2.5753257124120439</v>
      </c>
    </row>
    <row r="444" spans="1:20" x14ac:dyDescent="0.25">
      <c r="A444" s="5">
        <v>44149</v>
      </c>
      <c r="B444">
        <v>0.63185999999999998</v>
      </c>
      <c r="C444">
        <v>0.63819000000000004</v>
      </c>
      <c r="D444">
        <v>0.59430000000000005</v>
      </c>
      <c r="E444">
        <v>0.61226000000000003</v>
      </c>
      <c r="F444">
        <v>7827515.9000000004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-0.18159033948507713</v>
      </c>
      <c r="Q444">
        <f t="shared" si="975"/>
        <v>-1421401.2696058392</v>
      </c>
      <c r="R444">
        <f t="shared" si="976"/>
        <v>260009823.76266187</v>
      </c>
      <c r="S444">
        <f t="shared" si="977"/>
        <v>2600.0982376266188</v>
      </c>
      <c r="T444">
        <f t="shared" si="978"/>
        <v>2.6000982376266188</v>
      </c>
    </row>
    <row r="445" spans="1:20" x14ac:dyDescent="0.25">
      <c r="A445" s="5">
        <v>44148</v>
      </c>
      <c r="B445">
        <v>0.60052000000000005</v>
      </c>
      <c r="C445">
        <v>0.63480000000000003</v>
      </c>
      <c r="D445">
        <v>0.59131999999999996</v>
      </c>
      <c r="E445">
        <v>0.63124999999999998</v>
      </c>
      <c r="F445">
        <v>15139238.9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0.83670653173872833</v>
      </c>
      <c r="Q445">
        <f t="shared" si="975"/>
        <v>12667100.073183041</v>
      </c>
      <c r="R445">
        <f t="shared" si="976"/>
        <v>261431225.03226772</v>
      </c>
      <c r="S445">
        <f t="shared" si="977"/>
        <v>2614.3122503226773</v>
      </c>
      <c r="T445">
        <f t="shared" si="978"/>
        <v>2.6143122503226772</v>
      </c>
    </row>
    <row r="446" spans="1:20" x14ac:dyDescent="0.25">
      <c r="A446" s="5">
        <v>44147</v>
      </c>
      <c r="B446">
        <v>0.61095999999999995</v>
      </c>
      <c r="C446">
        <v>0.62771999999999994</v>
      </c>
      <c r="D446">
        <v>0.58799999999999997</v>
      </c>
      <c r="E446">
        <v>0.60068999999999995</v>
      </c>
      <c r="F446">
        <v>9740806.3000000007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-0.361027190332327</v>
      </c>
      <c r="Q446">
        <f t="shared" si="975"/>
        <v>-3516695.93006043</v>
      </c>
      <c r="R446">
        <f t="shared" si="976"/>
        <v>248764124.95908469</v>
      </c>
      <c r="S446">
        <f t="shared" si="977"/>
        <v>2487.6412495908471</v>
      </c>
      <c r="T446">
        <f t="shared" si="978"/>
        <v>2.4876412495908471</v>
      </c>
    </row>
    <row r="447" spans="1:20" x14ac:dyDescent="0.25">
      <c r="A447" s="5">
        <v>44146</v>
      </c>
      <c r="B447">
        <v>0.64114000000000004</v>
      </c>
      <c r="C447">
        <v>0.65385000000000004</v>
      </c>
      <c r="D447">
        <v>0.61001000000000005</v>
      </c>
      <c r="E447">
        <v>0.61131999999999997</v>
      </c>
      <c r="F447">
        <v>12284378.800000001</v>
      </c>
      <c r="G447">
        <v>0</v>
      </c>
      <c r="L447" t="s">
        <v>8</v>
      </c>
      <c r="M447" t="s">
        <v>7</v>
      </c>
      <c r="N447" t="s">
        <v>7</v>
      </c>
      <c r="P447">
        <f t="shared" si="974"/>
        <v>-0.94023722627737583</v>
      </c>
      <c r="Q447">
        <f t="shared" si="975"/>
        <v>-11550230.249452598</v>
      </c>
      <c r="R447">
        <f t="shared" si="976"/>
        <v>252280820.88914511</v>
      </c>
      <c r="S447">
        <f t="shared" si="977"/>
        <v>2522.8082088914512</v>
      </c>
      <c r="T447">
        <f t="shared" si="978"/>
        <v>2.5228082088914512</v>
      </c>
    </row>
    <row r="448" spans="1:20" x14ac:dyDescent="0.25">
      <c r="A448" s="5">
        <v>44145</v>
      </c>
      <c r="B448">
        <v>0.64254999999999995</v>
      </c>
      <c r="C448">
        <v>0.65825</v>
      </c>
      <c r="D448">
        <v>0.62029999999999996</v>
      </c>
      <c r="E448">
        <v>0.64041000000000003</v>
      </c>
      <c r="F448">
        <v>13161552.800000001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5.9815546772071224E-2</v>
      </c>
      <c r="Q448">
        <f t="shared" si="975"/>
        <v>787265.47710148501</v>
      </c>
      <c r="R448">
        <f t="shared" si="976"/>
        <v>263831051.1385977</v>
      </c>
      <c r="S448">
        <f t="shared" si="977"/>
        <v>2638.310511385977</v>
      </c>
      <c r="T448">
        <f t="shared" si="978"/>
        <v>2.6383105113859768</v>
      </c>
    </row>
    <row r="449" spans="1:20" x14ac:dyDescent="0.25">
      <c r="A449" s="5">
        <v>44144</v>
      </c>
      <c r="B449">
        <v>0.66446000000000005</v>
      </c>
      <c r="C449">
        <v>0.67357999999999996</v>
      </c>
      <c r="D449">
        <v>0.60785</v>
      </c>
      <c r="E449">
        <v>0.64278000000000002</v>
      </c>
      <c r="F449">
        <v>12892433.800000001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6.2832800851971418E-2</v>
      </c>
      <c r="Q449">
        <f t="shared" si="975"/>
        <v>810067.72545262519</v>
      </c>
      <c r="R449">
        <f t="shared" si="976"/>
        <v>263043785.66149622</v>
      </c>
      <c r="S449">
        <f t="shared" si="977"/>
        <v>2630.4378566149621</v>
      </c>
      <c r="T449">
        <f t="shared" si="978"/>
        <v>2.6304378566149622</v>
      </c>
    </row>
    <row r="450" spans="1:20" x14ac:dyDescent="0.25">
      <c r="A450" s="5">
        <v>44143</v>
      </c>
      <c r="B450">
        <v>0.63878000000000001</v>
      </c>
      <c r="C450">
        <v>0.67608000000000001</v>
      </c>
      <c r="D450">
        <v>0.62934000000000001</v>
      </c>
      <c r="E450">
        <v>0.66452</v>
      </c>
      <c r="F450">
        <v>6228838.7999999998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0.50534873769790267</v>
      </c>
      <c r="Q450">
        <f t="shared" si="975"/>
        <v>3147735.8249037187</v>
      </c>
      <c r="R450">
        <f t="shared" si="976"/>
        <v>262233717.93604359</v>
      </c>
      <c r="S450">
        <f t="shared" si="977"/>
        <v>2622.337179360436</v>
      </c>
      <c r="T450">
        <f t="shared" si="978"/>
        <v>2.6223371793604362</v>
      </c>
    </row>
    <row r="451" spans="1:20" x14ac:dyDescent="0.25">
      <c r="A451" s="5">
        <v>44142</v>
      </c>
      <c r="B451">
        <v>0.67849999999999999</v>
      </c>
      <c r="C451">
        <v>0.71616000000000002</v>
      </c>
      <c r="D451">
        <v>0.61151</v>
      </c>
      <c r="E451">
        <v>0.63819999999999999</v>
      </c>
      <c r="F451">
        <v>15096922.800000001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-0.48991877687529889</v>
      </c>
      <c r="Q451">
        <f t="shared" si="975"/>
        <v>-7396265.9527568128</v>
      </c>
      <c r="R451">
        <f t="shared" si="976"/>
        <v>259085982.11113986</v>
      </c>
      <c r="S451">
        <f t="shared" si="977"/>
        <v>2590.8598211113986</v>
      </c>
      <c r="T451">
        <f t="shared" si="978"/>
        <v>2.5908598211113985</v>
      </c>
    </row>
    <row r="452" spans="1:20" x14ac:dyDescent="0.25">
      <c r="A452" s="5">
        <v>44141</v>
      </c>
      <c r="B452">
        <v>0.62924999999999998</v>
      </c>
      <c r="C452">
        <v>0.68791000000000002</v>
      </c>
      <c r="D452">
        <v>0.62621000000000004</v>
      </c>
      <c r="E452">
        <v>0.67759000000000003</v>
      </c>
      <c r="F452">
        <v>8649318.5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0.66547811993517014</v>
      </c>
      <c r="Q452">
        <f t="shared" si="975"/>
        <v>5755932.2141004857</v>
      </c>
      <c r="R452">
        <f t="shared" si="976"/>
        <v>266482248.06389669</v>
      </c>
      <c r="S452">
        <f t="shared" si="977"/>
        <v>2664.8224806389667</v>
      </c>
      <c r="T452">
        <f t="shared" si="978"/>
        <v>2.6648224806389669</v>
      </c>
    </row>
    <row r="453" spans="1:20" x14ac:dyDescent="0.25">
      <c r="A453" s="5">
        <v>44140</v>
      </c>
      <c r="B453">
        <v>0.5917</v>
      </c>
      <c r="C453">
        <v>0.63400000000000001</v>
      </c>
      <c r="D453">
        <v>0.57299999999999995</v>
      </c>
      <c r="E453">
        <v>0.62873000000000001</v>
      </c>
      <c r="F453">
        <v>6770222.7999999998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0.82721311475409864</v>
      </c>
      <c r="Q453">
        <f t="shared" si="975"/>
        <v>5600417.0899672145</v>
      </c>
      <c r="R453">
        <f t="shared" si="976"/>
        <v>260726315.84979621</v>
      </c>
      <c r="S453">
        <f t="shared" si="977"/>
        <v>2607.2631584979622</v>
      </c>
      <c r="T453">
        <f t="shared" si="978"/>
        <v>2.607263158497962</v>
      </c>
    </row>
    <row r="454" spans="1:20" x14ac:dyDescent="0.25">
      <c r="A454" s="5">
        <v>44139</v>
      </c>
      <c r="B454">
        <v>0.58277999999999996</v>
      </c>
      <c r="C454">
        <v>0.59853000000000001</v>
      </c>
      <c r="D454">
        <v>0.55310000000000004</v>
      </c>
      <c r="E454">
        <v>0.59119999999999995</v>
      </c>
      <c r="F454">
        <v>4999605.2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0.67730574510235253</v>
      </c>
      <c r="Q454">
        <f t="shared" ref="Q454:Q517" si="980">F454*P454</f>
        <v>3386261.3252035961</v>
      </c>
      <c r="R454">
        <f t="shared" ref="R454:R517" si="981">R455+Q454</f>
        <v>255125898.75982898</v>
      </c>
      <c r="S454">
        <f t="shared" ref="S454:S517" si="982">R454/100000</f>
        <v>2551.2589875982899</v>
      </c>
      <c r="T454">
        <f t="shared" ref="T454:T517" si="983">S454/1000</f>
        <v>2.5512589875982901</v>
      </c>
    </row>
    <row r="455" spans="1:20" x14ac:dyDescent="0.25">
      <c r="A455" s="5">
        <v>44138</v>
      </c>
      <c r="B455">
        <v>0.58801999999999999</v>
      </c>
      <c r="C455">
        <v>0.60299999999999998</v>
      </c>
      <c r="D455">
        <v>0.56299999999999994</v>
      </c>
      <c r="E455">
        <v>0.58274999999999999</v>
      </c>
      <c r="F455">
        <v>5983701.0999999996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-1.2499999999998613E-2</v>
      </c>
      <c r="Q455">
        <f t="shared" si="980"/>
        <v>-74796.263749991689</v>
      </c>
      <c r="R455">
        <f t="shared" si="981"/>
        <v>251739637.43462539</v>
      </c>
      <c r="S455">
        <f t="shared" si="982"/>
        <v>2517.3963743462537</v>
      </c>
      <c r="T455">
        <f t="shared" si="983"/>
        <v>2.5173963743462537</v>
      </c>
    </row>
    <row r="456" spans="1:20" x14ac:dyDescent="0.25">
      <c r="A456" s="5">
        <v>44137</v>
      </c>
      <c r="B456">
        <v>0.61175000000000002</v>
      </c>
      <c r="C456">
        <v>0.64</v>
      </c>
      <c r="D456">
        <v>0.58579000000000003</v>
      </c>
      <c r="E456">
        <v>0.58875</v>
      </c>
      <c r="F456">
        <v>9571499.0999999996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-0.89079505626268352</v>
      </c>
      <c r="Q456">
        <f t="shared" si="980"/>
        <v>-8526244.0793027245</v>
      </c>
      <c r="R456">
        <f t="shared" si="981"/>
        <v>251814433.69837537</v>
      </c>
      <c r="S456">
        <f t="shared" si="982"/>
        <v>2518.1443369837539</v>
      </c>
      <c r="T456">
        <f t="shared" si="983"/>
        <v>2.5181443369837537</v>
      </c>
    </row>
    <row r="457" spans="1:20" x14ac:dyDescent="0.25">
      <c r="A457" s="5">
        <v>44136</v>
      </c>
      <c r="B457">
        <v>0.61001000000000005</v>
      </c>
      <c r="C457">
        <v>0.61936999999999998</v>
      </c>
      <c r="D457">
        <v>0.58062000000000002</v>
      </c>
      <c r="E457">
        <v>0.61156999999999995</v>
      </c>
      <c r="F457">
        <v>5899383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0.59741935483870767</v>
      </c>
      <c r="Q457">
        <f t="shared" si="980"/>
        <v>3524405.5858064396</v>
      </c>
      <c r="R457">
        <f t="shared" si="981"/>
        <v>260340677.7776781</v>
      </c>
      <c r="S457">
        <f t="shared" si="982"/>
        <v>2603.4067777767809</v>
      </c>
      <c r="T457">
        <f t="shared" si="983"/>
        <v>2.6034067777767809</v>
      </c>
    </row>
    <row r="458" spans="1:20" x14ac:dyDescent="0.25">
      <c r="A458" s="5">
        <v>44135</v>
      </c>
      <c r="B458">
        <v>0.61084000000000005</v>
      </c>
      <c r="C458">
        <v>0.61785999999999996</v>
      </c>
      <c r="D458">
        <v>0.59611999999999998</v>
      </c>
      <c r="E458">
        <v>0.61053999999999997</v>
      </c>
      <c r="F458">
        <v>7573247.0999999996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0.32658693652253917</v>
      </c>
      <c r="Q458">
        <f t="shared" si="980"/>
        <v>2473323.5699172039</v>
      </c>
      <c r="R458">
        <f t="shared" si="981"/>
        <v>256816272.19187167</v>
      </c>
      <c r="S458">
        <f t="shared" si="982"/>
        <v>2568.1627219187167</v>
      </c>
      <c r="T458">
        <f t="shared" si="983"/>
        <v>2.5681627219187169</v>
      </c>
    </row>
    <row r="459" spans="1:20" x14ac:dyDescent="0.25">
      <c r="A459" s="5">
        <v>44134</v>
      </c>
      <c r="B459">
        <v>0.59279999999999999</v>
      </c>
      <c r="C459">
        <v>0.63443000000000005</v>
      </c>
      <c r="D459">
        <v>0.57672000000000001</v>
      </c>
      <c r="E459">
        <v>0.61075999999999997</v>
      </c>
      <c r="F459">
        <v>10037016.9</v>
      </c>
      <c r="G459">
        <v>0</v>
      </c>
      <c r="L459" t="s">
        <v>8</v>
      </c>
      <c r="M459" t="s">
        <v>7</v>
      </c>
      <c r="N459" t="s">
        <v>8</v>
      </c>
      <c r="P459">
        <f t="shared" si="979"/>
        <v>0.17969156125454638</v>
      </c>
      <c r="Q459">
        <f t="shared" si="980"/>
        <v>1803567.2370992673</v>
      </c>
      <c r="R459">
        <f t="shared" si="981"/>
        <v>254342948.62195447</v>
      </c>
      <c r="S459">
        <f t="shared" si="982"/>
        <v>2543.4294862195447</v>
      </c>
      <c r="T459">
        <f t="shared" si="983"/>
        <v>2.5434294862195448</v>
      </c>
    </row>
    <row r="460" spans="1:20" x14ac:dyDescent="0.25">
      <c r="A460" s="5">
        <v>44133</v>
      </c>
      <c r="B460">
        <v>0.62395</v>
      </c>
      <c r="C460">
        <v>0.63227</v>
      </c>
      <c r="D460">
        <v>0.58230000000000004</v>
      </c>
      <c r="E460">
        <v>0.59394999999999998</v>
      </c>
      <c r="F460">
        <v>5687198.0999999996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-0.53372023213928566</v>
      </c>
      <c r="Q460">
        <f t="shared" si="980"/>
        <v>-3035372.690154104</v>
      </c>
      <c r="R460">
        <f t="shared" si="981"/>
        <v>252539381.38485521</v>
      </c>
      <c r="S460">
        <f t="shared" si="982"/>
        <v>2525.3938138485523</v>
      </c>
      <c r="T460">
        <f t="shared" si="983"/>
        <v>2.5253938138485523</v>
      </c>
    </row>
    <row r="461" spans="1:20" x14ac:dyDescent="0.25">
      <c r="A461" s="5">
        <v>44132</v>
      </c>
      <c r="B461">
        <v>0.65888000000000002</v>
      </c>
      <c r="C461">
        <v>0.66213</v>
      </c>
      <c r="D461">
        <v>0.60799999999999998</v>
      </c>
      <c r="E461">
        <v>0.62366999999999995</v>
      </c>
      <c r="F461">
        <v>6087164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-0.42102346203584118</v>
      </c>
      <c r="Q461">
        <f t="shared" si="980"/>
        <v>-2562838.8612599391</v>
      </c>
      <c r="R461">
        <f t="shared" si="981"/>
        <v>255574754.07500932</v>
      </c>
      <c r="S461">
        <f t="shared" si="982"/>
        <v>2555.7475407500933</v>
      </c>
      <c r="T461">
        <f t="shared" si="983"/>
        <v>2.5557475407500934</v>
      </c>
    </row>
    <row r="462" spans="1:20" x14ac:dyDescent="0.25">
      <c r="A462" s="5">
        <v>44131</v>
      </c>
      <c r="B462">
        <v>0.65366999999999997</v>
      </c>
      <c r="C462">
        <v>0.66998000000000002</v>
      </c>
      <c r="D462">
        <v>0.63249999999999995</v>
      </c>
      <c r="E462">
        <v>0.65888999999999998</v>
      </c>
      <c r="F462">
        <v>6118277.7000000002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0.4082177161152602</v>
      </c>
      <c r="Q462">
        <f t="shared" si="980"/>
        <v>2497589.3492529271</v>
      </c>
      <c r="R462">
        <f t="shared" si="981"/>
        <v>258137592.93626925</v>
      </c>
      <c r="S462">
        <f t="shared" si="982"/>
        <v>2581.3759293626927</v>
      </c>
      <c r="T462">
        <f t="shared" si="983"/>
        <v>2.5813759293626926</v>
      </c>
    </row>
    <row r="463" spans="1:20" x14ac:dyDescent="0.25">
      <c r="A463" s="5">
        <v>44130</v>
      </c>
      <c r="B463">
        <v>0.69577999999999995</v>
      </c>
      <c r="C463">
        <v>0.71555000000000002</v>
      </c>
      <c r="D463">
        <v>0.64119000000000004</v>
      </c>
      <c r="E463">
        <v>0.65422999999999998</v>
      </c>
      <c r="F463">
        <v>6940433.9000000004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-0.64927380311995853</v>
      </c>
      <c r="Q463">
        <f t="shared" si="980"/>
        <v>-4506241.9135556864</v>
      </c>
      <c r="R463">
        <f t="shared" si="981"/>
        <v>255640003.58701631</v>
      </c>
      <c r="S463">
        <f t="shared" si="982"/>
        <v>2556.4000358701633</v>
      </c>
      <c r="T463">
        <f t="shared" si="983"/>
        <v>2.5564000358701633</v>
      </c>
    </row>
    <row r="464" spans="1:20" x14ac:dyDescent="0.25">
      <c r="A464" s="5">
        <v>44129</v>
      </c>
      <c r="B464">
        <v>0.72006999999999999</v>
      </c>
      <c r="C464">
        <v>0.73106000000000004</v>
      </c>
      <c r="D464">
        <v>0.68547999999999998</v>
      </c>
      <c r="E464">
        <v>0.69501999999999997</v>
      </c>
      <c r="F464">
        <v>8078371.2000000002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-0.58139534883721022</v>
      </c>
      <c r="Q464">
        <f t="shared" si="980"/>
        <v>-4696727.4418604728</v>
      </c>
      <c r="R464">
        <f t="shared" si="981"/>
        <v>260146245.500572</v>
      </c>
      <c r="S464">
        <f t="shared" si="982"/>
        <v>2601.4624550057201</v>
      </c>
      <c r="T464">
        <f t="shared" si="983"/>
        <v>2.6014624550057199</v>
      </c>
    </row>
    <row r="465" spans="1:20" x14ac:dyDescent="0.25">
      <c r="A465" s="5">
        <v>44128</v>
      </c>
      <c r="B465">
        <v>0.64454999999999996</v>
      </c>
      <c r="C465">
        <v>0.73</v>
      </c>
      <c r="D465">
        <v>0.63446000000000002</v>
      </c>
      <c r="E465">
        <v>0.72109000000000001</v>
      </c>
      <c r="F465">
        <v>14580344.6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0.81348126439187818</v>
      </c>
      <c r="Q465">
        <f t="shared" si="980"/>
        <v>11860837.160477294</v>
      </c>
      <c r="R465">
        <f t="shared" si="981"/>
        <v>264842972.94243246</v>
      </c>
      <c r="S465">
        <f t="shared" si="982"/>
        <v>2648.4297294243247</v>
      </c>
      <c r="T465">
        <f t="shared" si="983"/>
        <v>2.6484297294243246</v>
      </c>
    </row>
    <row r="466" spans="1:20" x14ac:dyDescent="0.25">
      <c r="A466" s="5">
        <v>44127</v>
      </c>
      <c r="B466">
        <v>0.65473000000000003</v>
      </c>
      <c r="C466">
        <v>0.66847999999999996</v>
      </c>
      <c r="D466">
        <v>0.62122999999999995</v>
      </c>
      <c r="E466">
        <v>0.64431000000000005</v>
      </c>
      <c r="F466">
        <v>7214454.0999999996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-2.306878306877911E-2</v>
      </c>
      <c r="Q466">
        <f t="shared" si="980"/>
        <v>-166428.67659256404</v>
      </c>
      <c r="R466">
        <f t="shared" si="981"/>
        <v>252982135.78195518</v>
      </c>
      <c r="S466">
        <f t="shared" si="982"/>
        <v>2529.8213578195518</v>
      </c>
      <c r="T466">
        <f t="shared" si="983"/>
        <v>2.5298213578195519</v>
      </c>
    </row>
    <row r="467" spans="1:20" x14ac:dyDescent="0.25">
      <c r="A467" s="5">
        <v>44126</v>
      </c>
      <c r="B467">
        <v>0.63729000000000002</v>
      </c>
      <c r="C467">
        <v>0.67300000000000004</v>
      </c>
      <c r="D467">
        <v>0.63502000000000003</v>
      </c>
      <c r="E467">
        <v>0.65471999999999997</v>
      </c>
      <c r="F467">
        <v>5918797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3.7388098999469863E-2</v>
      </c>
      <c r="Q467">
        <f t="shared" si="980"/>
        <v>221292.56819376521</v>
      </c>
      <c r="R467">
        <f t="shared" si="981"/>
        <v>253148564.45854774</v>
      </c>
      <c r="S467">
        <f t="shared" si="982"/>
        <v>2531.4856445854775</v>
      </c>
      <c r="T467">
        <f t="shared" si="983"/>
        <v>2.5314856445854774</v>
      </c>
    </row>
    <row r="468" spans="1:20" x14ac:dyDescent="0.25">
      <c r="A468" s="5">
        <v>44125</v>
      </c>
      <c r="B468">
        <v>0.59872999999999998</v>
      </c>
      <c r="C468">
        <v>0.66107000000000005</v>
      </c>
      <c r="D468">
        <v>0.59533000000000003</v>
      </c>
      <c r="E468">
        <v>0.63729999999999998</v>
      </c>
      <c r="F468">
        <v>11674237.9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0.27684818983875686</v>
      </c>
      <c r="Q468">
        <f t="shared" si="980"/>
        <v>3231991.6303620106</v>
      </c>
      <c r="R468">
        <f t="shared" si="981"/>
        <v>252927271.89035398</v>
      </c>
      <c r="S468">
        <f t="shared" si="982"/>
        <v>2529.27271890354</v>
      </c>
      <c r="T468">
        <f t="shared" si="983"/>
        <v>2.52927271890354</v>
      </c>
    </row>
    <row r="469" spans="1:20" x14ac:dyDescent="0.25">
      <c r="A469" s="5">
        <v>44124</v>
      </c>
      <c r="B469">
        <v>0.63177000000000005</v>
      </c>
      <c r="C469">
        <v>0.64017999999999997</v>
      </c>
      <c r="D469">
        <v>0.57277</v>
      </c>
      <c r="E469">
        <v>0.59840000000000004</v>
      </c>
      <c r="F469">
        <v>14160324.5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-0.23957869752262118</v>
      </c>
      <c r="Q469">
        <f t="shared" si="980"/>
        <v>-3392512.1002076617</v>
      </c>
      <c r="R469">
        <f t="shared" si="981"/>
        <v>249695280.25999197</v>
      </c>
      <c r="S469">
        <f t="shared" si="982"/>
        <v>2496.9528025999198</v>
      </c>
      <c r="T469">
        <f t="shared" si="983"/>
        <v>2.4969528025999197</v>
      </c>
    </row>
    <row r="470" spans="1:20" x14ac:dyDescent="0.25">
      <c r="A470" s="5">
        <v>44123</v>
      </c>
      <c r="B470">
        <v>0.67</v>
      </c>
      <c r="C470">
        <v>0.67800000000000005</v>
      </c>
      <c r="D470">
        <v>0.62605999999999995</v>
      </c>
      <c r="E470">
        <v>0.63117999999999996</v>
      </c>
      <c r="F470">
        <v>6195844.5999999996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-0.80284944166345773</v>
      </c>
      <c r="Q470">
        <f t="shared" si="980"/>
        <v>-4974330.3777435496</v>
      </c>
      <c r="R470">
        <f t="shared" si="981"/>
        <v>253087792.36019963</v>
      </c>
      <c r="S470">
        <f t="shared" si="982"/>
        <v>2530.8779236019964</v>
      </c>
      <c r="T470">
        <f t="shared" si="983"/>
        <v>2.5308779236019965</v>
      </c>
    </row>
    <row r="471" spans="1:20" x14ac:dyDescent="0.25">
      <c r="A471" s="5">
        <v>44122</v>
      </c>
      <c r="B471">
        <v>0.62419999999999998</v>
      </c>
      <c r="C471">
        <v>0.67235</v>
      </c>
      <c r="D471">
        <v>0.61833000000000005</v>
      </c>
      <c r="E471">
        <v>0.66983000000000004</v>
      </c>
      <c r="F471">
        <v>10639009.4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0.90670122176971613</v>
      </c>
      <c r="Q471">
        <f t="shared" si="980"/>
        <v>9646402.821399495</v>
      </c>
      <c r="R471">
        <f t="shared" si="981"/>
        <v>258062122.73794317</v>
      </c>
      <c r="S471">
        <f t="shared" si="982"/>
        <v>2580.6212273794317</v>
      </c>
      <c r="T471">
        <f t="shared" si="983"/>
        <v>2.5806212273794316</v>
      </c>
    </row>
    <row r="472" spans="1:20" x14ac:dyDescent="0.25">
      <c r="A472" s="5">
        <v>44121</v>
      </c>
      <c r="B472">
        <v>0.66054000000000002</v>
      </c>
      <c r="C472">
        <v>0.66054000000000002</v>
      </c>
      <c r="D472">
        <v>0.61411000000000004</v>
      </c>
      <c r="E472">
        <v>0.62436999999999998</v>
      </c>
      <c r="F472">
        <v>6290173.7999999998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-0.55804436786560663</v>
      </c>
      <c r="Q472">
        <f t="shared" si="980"/>
        <v>-3510196.0619858005</v>
      </c>
      <c r="R472">
        <f t="shared" si="981"/>
        <v>248415719.91654369</v>
      </c>
      <c r="S472">
        <f t="shared" si="982"/>
        <v>2484.1571991654369</v>
      </c>
      <c r="T472">
        <f t="shared" si="983"/>
        <v>2.4841571991654368</v>
      </c>
    </row>
    <row r="473" spans="1:20" x14ac:dyDescent="0.25">
      <c r="A473" s="5">
        <v>44120</v>
      </c>
      <c r="B473">
        <v>0.6885</v>
      </c>
      <c r="C473">
        <v>0.70425000000000004</v>
      </c>
      <c r="D473">
        <v>0.65522000000000002</v>
      </c>
      <c r="E473">
        <v>0.66164999999999996</v>
      </c>
      <c r="F473">
        <v>7248495.9000000004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-0.73771160513971312</v>
      </c>
      <c r="Q473">
        <f t="shared" si="980"/>
        <v>-5347299.5452376297</v>
      </c>
      <c r="R473">
        <f t="shared" si="981"/>
        <v>251925915.97852948</v>
      </c>
      <c r="S473">
        <f t="shared" si="982"/>
        <v>2519.2591597852947</v>
      </c>
      <c r="T473">
        <f t="shared" si="983"/>
        <v>2.5192591597852947</v>
      </c>
    </row>
    <row r="474" spans="1:20" x14ac:dyDescent="0.25">
      <c r="A474" s="5">
        <v>44119</v>
      </c>
      <c r="B474">
        <v>0.73534999999999995</v>
      </c>
      <c r="C474">
        <v>0.73538999999999999</v>
      </c>
      <c r="D474">
        <v>0.67283000000000004</v>
      </c>
      <c r="E474">
        <v>0.6885</v>
      </c>
      <c r="F474">
        <v>11879870.4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-0.49904092071611333</v>
      </c>
      <c r="Q474">
        <f t="shared" si="980"/>
        <v>-5928541.4624041021</v>
      </c>
      <c r="R474">
        <f t="shared" si="981"/>
        <v>257273215.52376711</v>
      </c>
      <c r="S474">
        <f t="shared" si="982"/>
        <v>2572.7321552376711</v>
      </c>
      <c r="T474">
        <f t="shared" si="983"/>
        <v>2.572732155237671</v>
      </c>
    </row>
    <row r="475" spans="1:20" x14ac:dyDescent="0.25">
      <c r="A475" s="5">
        <v>44118</v>
      </c>
      <c r="B475">
        <v>0.75475000000000003</v>
      </c>
      <c r="C475">
        <v>0.76</v>
      </c>
      <c r="D475">
        <v>0.71899999999999997</v>
      </c>
      <c r="E475">
        <v>0.73438000000000003</v>
      </c>
      <c r="F475">
        <v>14351549.300000001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-0.24975609756097333</v>
      </c>
      <c r="Q475">
        <f t="shared" si="980"/>
        <v>-3584386.9471219187</v>
      </c>
      <c r="R475">
        <f t="shared" si="981"/>
        <v>263201756.98617122</v>
      </c>
      <c r="S475">
        <f t="shared" si="982"/>
        <v>2632.0175698617122</v>
      </c>
      <c r="T475">
        <f t="shared" si="983"/>
        <v>2.6320175698617123</v>
      </c>
    </row>
    <row r="476" spans="1:20" x14ac:dyDescent="0.25">
      <c r="A476" s="5">
        <v>44117</v>
      </c>
      <c r="B476">
        <v>0.73204999999999998</v>
      </c>
      <c r="C476">
        <v>0.77</v>
      </c>
      <c r="D476">
        <v>0.72750000000000004</v>
      </c>
      <c r="E476">
        <v>0.754</v>
      </c>
      <c r="F476">
        <v>17749022.699999999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0.24705882352941078</v>
      </c>
      <c r="Q476">
        <f t="shared" si="980"/>
        <v>4385052.6670588059</v>
      </c>
      <c r="R476">
        <f t="shared" si="981"/>
        <v>266786143.93329313</v>
      </c>
      <c r="S476">
        <f t="shared" si="982"/>
        <v>2667.8614393329312</v>
      </c>
      <c r="T476">
        <f t="shared" si="983"/>
        <v>2.6678614393329312</v>
      </c>
    </row>
    <row r="477" spans="1:20" x14ac:dyDescent="0.25">
      <c r="A477" s="5">
        <v>44116</v>
      </c>
      <c r="B477">
        <v>0.74502999999999997</v>
      </c>
      <c r="C477">
        <v>0.75490999999999997</v>
      </c>
      <c r="D477">
        <v>0.71665999999999996</v>
      </c>
      <c r="E477">
        <v>0.73336000000000001</v>
      </c>
      <c r="F477">
        <v>8755967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-0.12679738562091267</v>
      </c>
      <c r="Q477">
        <f t="shared" si="980"/>
        <v>-1110233.7241829857</v>
      </c>
      <c r="R477">
        <f t="shared" si="981"/>
        <v>262401091.26623434</v>
      </c>
      <c r="S477">
        <f t="shared" si="982"/>
        <v>2624.0109126623433</v>
      </c>
      <c r="T477">
        <f t="shared" si="983"/>
        <v>2.6240109126623432</v>
      </c>
    </row>
    <row r="478" spans="1:20" x14ac:dyDescent="0.25">
      <c r="A478" s="5">
        <v>44115</v>
      </c>
      <c r="B478">
        <v>0.76602000000000003</v>
      </c>
      <c r="C478">
        <v>0.77500000000000002</v>
      </c>
      <c r="D478">
        <v>0.72399999999999998</v>
      </c>
      <c r="E478">
        <v>0.74500999999999995</v>
      </c>
      <c r="F478">
        <v>8068011.2000000002</v>
      </c>
      <c r="G478">
        <v>0</v>
      </c>
      <c r="L478" t="s">
        <v>7</v>
      </c>
      <c r="M478" t="s">
        <v>7</v>
      </c>
      <c r="N478" t="s">
        <v>8</v>
      </c>
      <c r="P478">
        <f t="shared" si="979"/>
        <v>-0.1760784313725508</v>
      </c>
      <c r="Q478">
        <f t="shared" si="980"/>
        <v>-1420602.7563921714</v>
      </c>
      <c r="R478">
        <f t="shared" si="981"/>
        <v>263511324.99041733</v>
      </c>
      <c r="S478">
        <f t="shared" si="982"/>
        <v>2635.1132499041732</v>
      </c>
      <c r="T478">
        <f t="shared" si="983"/>
        <v>2.6351132499041734</v>
      </c>
    </row>
    <row r="479" spans="1:20" x14ac:dyDescent="0.25">
      <c r="A479" s="5">
        <v>44114</v>
      </c>
      <c r="B479">
        <v>0.71531999999999996</v>
      </c>
      <c r="C479">
        <v>0.78100000000000003</v>
      </c>
      <c r="D479">
        <v>0.71275999999999995</v>
      </c>
      <c r="E479">
        <v>0.76602000000000003</v>
      </c>
      <c r="F479">
        <v>10663116.9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0.56096131301289631</v>
      </c>
      <c r="Q479">
        <f t="shared" si="980"/>
        <v>5981596.0570340045</v>
      </c>
      <c r="R479">
        <f t="shared" si="981"/>
        <v>264931927.74680951</v>
      </c>
      <c r="S479">
        <f t="shared" si="982"/>
        <v>2649.3192774680952</v>
      </c>
      <c r="T479">
        <f t="shared" si="983"/>
        <v>2.6493192774680954</v>
      </c>
    </row>
    <row r="480" spans="1:20" x14ac:dyDescent="0.25">
      <c r="A480" s="5">
        <v>44113</v>
      </c>
      <c r="B480">
        <v>0.72</v>
      </c>
      <c r="C480">
        <v>0.748</v>
      </c>
      <c r="D480">
        <v>0.69454000000000005</v>
      </c>
      <c r="E480">
        <v>0.71523999999999999</v>
      </c>
      <c r="F480">
        <v>8435946.0999999996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-0.22558922558922712</v>
      </c>
      <c r="Q480">
        <f t="shared" si="980"/>
        <v>-1903058.5478114607</v>
      </c>
      <c r="R480">
        <f t="shared" si="981"/>
        <v>258950331.6897755</v>
      </c>
      <c r="S480">
        <f t="shared" si="982"/>
        <v>2589.5033168977548</v>
      </c>
      <c r="T480">
        <f t="shared" si="983"/>
        <v>2.5895033168977548</v>
      </c>
    </row>
    <row r="481" spans="1:20" x14ac:dyDescent="0.25">
      <c r="A481" s="5">
        <v>44112</v>
      </c>
      <c r="B481">
        <v>0.73951999999999996</v>
      </c>
      <c r="C481">
        <v>0.74199000000000004</v>
      </c>
      <c r="D481">
        <v>0.68300000000000005</v>
      </c>
      <c r="E481">
        <v>0.71955000000000002</v>
      </c>
      <c r="F481">
        <v>11148353.1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0.23919308357348634</v>
      </c>
      <c r="Q481">
        <f t="shared" si="980"/>
        <v>2666608.9547550352</v>
      </c>
      <c r="R481">
        <f t="shared" si="981"/>
        <v>260853390.23758695</v>
      </c>
      <c r="S481">
        <f t="shared" si="982"/>
        <v>2608.5339023758693</v>
      </c>
      <c r="T481">
        <f t="shared" si="983"/>
        <v>2.6085339023758691</v>
      </c>
    </row>
    <row r="482" spans="1:20" x14ac:dyDescent="0.25">
      <c r="A482" s="5">
        <v>44111</v>
      </c>
      <c r="B482">
        <v>0.68533999999999995</v>
      </c>
      <c r="C482">
        <v>0.75029000000000001</v>
      </c>
      <c r="D482">
        <v>0.65871000000000002</v>
      </c>
      <c r="E482">
        <v>0.73953999999999998</v>
      </c>
      <c r="F482">
        <v>16545572.300000001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0.76523258353352175</v>
      </c>
      <c r="Q482">
        <f t="shared" si="980"/>
        <v>12661211.037169674</v>
      </c>
      <c r="R482">
        <f t="shared" si="981"/>
        <v>258186781.28283191</v>
      </c>
      <c r="S482">
        <f t="shared" si="982"/>
        <v>2581.8678128283191</v>
      </c>
      <c r="T482">
        <f t="shared" si="983"/>
        <v>2.5818678128283192</v>
      </c>
    </row>
    <row r="483" spans="1:20" x14ac:dyDescent="0.25">
      <c r="A483" s="5">
        <v>44110</v>
      </c>
      <c r="B483">
        <v>0.74360999999999999</v>
      </c>
      <c r="C483">
        <v>0.74770000000000003</v>
      </c>
      <c r="D483">
        <v>0.67</v>
      </c>
      <c r="E483">
        <v>0.68625000000000003</v>
      </c>
      <c r="F483">
        <v>17514229.600000001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-0.58172458172458197</v>
      </c>
      <c r="Q483">
        <f t="shared" si="980"/>
        <v>-10188457.888288293</v>
      </c>
      <c r="R483">
        <f t="shared" si="981"/>
        <v>245525570.24566224</v>
      </c>
      <c r="S483">
        <f t="shared" si="982"/>
        <v>2455.2557024566222</v>
      </c>
      <c r="T483">
        <f t="shared" si="983"/>
        <v>2.4552557024566224</v>
      </c>
    </row>
    <row r="484" spans="1:20" x14ac:dyDescent="0.25">
      <c r="A484" s="5">
        <v>44109</v>
      </c>
      <c r="B484">
        <v>0.77070000000000005</v>
      </c>
      <c r="C484">
        <v>0.77739000000000003</v>
      </c>
      <c r="D484">
        <v>0.73768999999999996</v>
      </c>
      <c r="E484">
        <v>0.74280000000000002</v>
      </c>
      <c r="F484">
        <v>10475254.4</v>
      </c>
      <c r="G484">
        <v>0</v>
      </c>
      <c r="L484" t="s">
        <v>7</v>
      </c>
      <c r="M484" t="s">
        <v>8</v>
      </c>
      <c r="N484" t="s">
        <v>8</v>
      </c>
      <c r="P484">
        <f t="shared" si="979"/>
        <v>-0.742569269521408</v>
      </c>
      <c r="Q484">
        <f t="shared" si="980"/>
        <v>-7778602.0078589153</v>
      </c>
      <c r="R484">
        <f t="shared" si="981"/>
        <v>255714028.13395053</v>
      </c>
      <c r="S484">
        <f t="shared" si="982"/>
        <v>2557.1402813395052</v>
      </c>
      <c r="T484">
        <f t="shared" si="983"/>
        <v>2.5571402813395054</v>
      </c>
    </row>
    <row r="485" spans="1:20" x14ac:dyDescent="0.25">
      <c r="A485" s="5">
        <v>44108</v>
      </c>
      <c r="B485">
        <v>0.75170000000000003</v>
      </c>
      <c r="C485">
        <v>0.79435999999999996</v>
      </c>
      <c r="D485">
        <v>0.72599999999999998</v>
      </c>
      <c r="E485">
        <v>0.77239999999999998</v>
      </c>
      <c r="F485">
        <v>13813818</v>
      </c>
      <c r="G485">
        <v>0</v>
      </c>
      <c r="L485" t="s">
        <v>8</v>
      </c>
      <c r="M485" t="s">
        <v>8</v>
      </c>
      <c r="N485" t="s">
        <v>8</v>
      </c>
      <c r="P485">
        <f t="shared" si="979"/>
        <v>0.35751901696898808</v>
      </c>
      <c r="Q485">
        <f t="shared" si="980"/>
        <v>4938702.631948513</v>
      </c>
      <c r="R485">
        <f t="shared" si="981"/>
        <v>263492630.14180943</v>
      </c>
      <c r="S485">
        <f t="shared" si="982"/>
        <v>2634.9263014180942</v>
      </c>
      <c r="T485">
        <f t="shared" si="983"/>
        <v>2.6349263014180941</v>
      </c>
    </row>
    <row r="486" spans="1:20" x14ac:dyDescent="0.25">
      <c r="A486" s="5">
        <v>44107</v>
      </c>
      <c r="B486">
        <v>0.69879000000000002</v>
      </c>
      <c r="C486">
        <v>0.77769999999999995</v>
      </c>
      <c r="D486">
        <v>0.68640999999999996</v>
      </c>
      <c r="E486">
        <v>0.75199000000000005</v>
      </c>
      <c r="F486">
        <v>12608948.300000001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0.43674005915215458</v>
      </c>
      <c r="Q486">
        <f t="shared" si="980"/>
        <v>5506832.8263884597</v>
      </c>
      <c r="R486">
        <f t="shared" si="981"/>
        <v>258553927.50986093</v>
      </c>
      <c r="S486">
        <f t="shared" si="982"/>
        <v>2585.5392750986093</v>
      </c>
      <c r="T486">
        <f t="shared" si="983"/>
        <v>2.5855392750986095</v>
      </c>
    </row>
    <row r="487" spans="1:20" x14ac:dyDescent="0.25">
      <c r="A487" s="5">
        <v>44106</v>
      </c>
      <c r="B487">
        <v>0.72775000000000001</v>
      </c>
      <c r="C487">
        <v>0.73684000000000005</v>
      </c>
      <c r="D487">
        <v>0.65100000000000002</v>
      </c>
      <c r="E487">
        <v>0.69901999999999997</v>
      </c>
      <c r="F487">
        <v>14689163.800000001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0.11882572227399665</v>
      </c>
      <c r="Q487">
        <f t="shared" si="980"/>
        <v>1745450.4981360454</v>
      </c>
      <c r="R487">
        <f t="shared" si="981"/>
        <v>253047094.68347248</v>
      </c>
      <c r="S487">
        <f t="shared" si="982"/>
        <v>2530.4709468347251</v>
      </c>
      <c r="T487">
        <f t="shared" si="983"/>
        <v>2.5304709468347251</v>
      </c>
    </row>
    <row r="488" spans="1:20" x14ac:dyDescent="0.25">
      <c r="A488" s="5">
        <v>44105</v>
      </c>
      <c r="B488">
        <v>0.74860000000000004</v>
      </c>
      <c r="C488">
        <v>0.75980000000000003</v>
      </c>
      <c r="D488">
        <v>0.68100000000000005</v>
      </c>
      <c r="E488">
        <v>0.72770000000000001</v>
      </c>
      <c r="F488">
        <v>22901959.600000001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0.18527918781725825</v>
      </c>
      <c r="Q488">
        <f t="shared" si="980"/>
        <v>4243256.4741116604</v>
      </c>
      <c r="R488">
        <f t="shared" si="981"/>
        <v>251301644.18533644</v>
      </c>
      <c r="S488">
        <f t="shared" si="982"/>
        <v>2513.0164418533645</v>
      </c>
      <c r="T488">
        <f t="shared" si="983"/>
        <v>2.5130164418533645</v>
      </c>
    </row>
    <row r="489" spans="1:20" x14ac:dyDescent="0.25">
      <c r="A489" s="5">
        <v>44104</v>
      </c>
      <c r="B489">
        <v>0.77832999999999997</v>
      </c>
      <c r="C489">
        <v>0.79893000000000003</v>
      </c>
      <c r="D489">
        <v>0.70899999999999996</v>
      </c>
      <c r="E489">
        <v>0.74858999999999998</v>
      </c>
      <c r="F489">
        <v>29996390.300000001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-0.1195374179917717</v>
      </c>
      <c r="Q489">
        <f t="shared" si="980"/>
        <v>-3585691.0455354261</v>
      </c>
      <c r="R489">
        <f t="shared" si="981"/>
        <v>247058387.71122479</v>
      </c>
      <c r="S489">
        <f t="shared" si="982"/>
        <v>2470.583877112248</v>
      </c>
      <c r="T489">
        <f t="shared" si="983"/>
        <v>2.4705838771122481</v>
      </c>
    </row>
    <row r="490" spans="1:20" x14ac:dyDescent="0.25">
      <c r="A490" s="5">
        <v>44103</v>
      </c>
      <c r="B490">
        <v>0.71592999999999996</v>
      </c>
      <c r="C490">
        <v>0.77925</v>
      </c>
      <c r="D490">
        <v>0.71</v>
      </c>
      <c r="E490">
        <v>0.77832999999999997</v>
      </c>
      <c r="F490">
        <v>17914248.100000001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0.97342960288808578</v>
      </c>
      <c r="Q490">
        <f t="shared" si="980"/>
        <v>17438259.414021645</v>
      </c>
      <c r="R490">
        <f t="shared" si="981"/>
        <v>250644078.75676021</v>
      </c>
      <c r="S490">
        <f t="shared" si="982"/>
        <v>2506.440787567602</v>
      </c>
      <c r="T490">
        <f t="shared" si="983"/>
        <v>2.5064407875676018</v>
      </c>
    </row>
    <row r="491" spans="1:20" x14ac:dyDescent="0.25">
      <c r="A491" s="5">
        <v>44102</v>
      </c>
      <c r="B491">
        <v>0.74922999999999995</v>
      </c>
      <c r="C491">
        <v>0.76</v>
      </c>
      <c r="D491">
        <v>0.70755000000000001</v>
      </c>
      <c r="E491">
        <v>0.71582999999999997</v>
      </c>
      <c r="F491">
        <v>18407304.300000001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-0.68427073403241356</v>
      </c>
      <c r="Q491">
        <f t="shared" si="980"/>
        <v>-12595579.624919003</v>
      </c>
      <c r="R491">
        <f t="shared" si="981"/>
        <v>233205819.34273857</v>
      </c>
      <c r="S491">
        <f t="shared" si="982"/>
        <v>2332.0581934273855</v>
      </c>
      <c r="T491">
        <f t="shared" si="983"/>
        <v>2.3320581934273856</v>
      </c>
    </row>
    <row r="492" spans="1:20" x14ac:dyDescent="0.25">
      <c r="A492" s="5">
        <v>44101</v>
      </c>
      <c r="B492">
        <v>0.69650000000000001</v>
      </c>
      <c r="C492">
        <v>0.75180000000000002</v>
      </c>
      <c r="D492">
        <v>0.66617000000000004</v>
      </c>
      <c r="E492">
        <v>0.74922999999999995</v>
      </c>
      <c r="F492">
        <v>22369009.100000001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0.93997430806960003</v>
      </c>
      <c r="Q492">
        <f t="shared" si="980"/>
        <v>21026293.850975089</v>
      </c>
      <c r="R492">
        <f t="shared" si="981"/>
        <v>245801398.96765757</v>
      </c>
      <c r="S492">
        <f t="shared" si="982"/>
        <v>2458.0139896765759</v>
      </c>
      <c r="T492">
        <f t="shared" si="983"/>
        <v>2.458013989676576</v>
      </c>
    </row>
    <row r="493" spans="1:20" x14ac:dyDescent="0.25">
      <c r="A493" s="5">
        <v>44100</v>
      </c>
      <c r="B493">
        <v>0.66527000000000003</v>
      </c>
      <c r="C493">
        <v>0.73119999999999996</v>
      </c>
      <c r="D493">
        <v>0.65210000000000001</v>
      </c>
      <c r="E493">
        <v>0.69650000000000001</v>
      </c>
      <c r="F493">
        <v>23314057.899999999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0.12262958280657457</v>
      </c>
      <c r="Q493">
        <f t="shared" si="980"/>
        <v>2858993.1938053239</v>
      </c>
      <c r="R493">
        <f t="shared" si="981"/>
        <v>224775105.11668247</v>
      </c>
      <c r="S493">
        <f t="shared" si="982"/>
        <v>2247.7510511668247</v>
      </c>
      <c r="T493">
        <f t="shared" si="983"/>
        <v>2.2477510511668246</v>
      </c>
    </row>
    <row r="494" spans="1:20" x14ac:dyDescent="0.25">
      <c r="A494" s="5">
        <v>44099</v>
      </c>
      <c r="B494">
        <v>0.63943000000000005</v>
      </c>
      <c r="C494">
        <v>0.68820000000000003</v>
      </c>
      <c r="D494">
        <v>0.61080000000000001</v>
      </c>
      <c r="E494">
        <v>0.66532999999999998</v>
      </c>
      <c r="F494">
        <v>27481442.399999999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0.4090439276485775</v>
      </c>
      <c r="Q494">
        <f t="shared" si="980"/>
        <v>11241117.136744149</v>
      </c>
      <c r="R494">
        <f t="shared" si="981"/>
        <v>221916111.92287713</v>
      </c>
      <c r="S494">
        <f t="shared" si="982"/>
        <v>2219.1611192287714</v>
      </c>
      <c r="T494">
        <f t="shared" si="983"/>
        <v>2.2191611192287715</v>
      </c>
    </row>
    <row r="495" spans="1:20" x14ac:dyDescent="0.25">
      <c r="A495" s="5">
        <v>44098</v>
      </c>
      <c r="B495">
        <v>0.55501</v>
      </c>
      <c r="C495">
        <v>0.65298999999999996</v>
      </c>
      <c r="D495">
        <v>0.54701999999999995</v>
      </c>
      <c r="E495">
        <v>0.63897000000000004</v>
      </c>
      <c r="F495">
        <v>24088769.300000001</v>
      </c>
      <c r="G495">
        <v>0</v>
      </c>
      <c r="L495" t="s">
        <v>8</v>
      </c>
      <c r="M495" t="s">
        <v>8</v>
      </c>
      <c r="N495" t="s">
        <v>8</v>
      </c>
      <c r="P495">
        <f t="shared" si="979"/>
        <v>0.73539681041804439</v>
      </c>
      <c r="Q495">
        <f t="shared" si="980"/>
        <v>17714804.110116109</v>
      </c>
      <c r="R495">
        <f t="shared" si="981"/>
        <v>210674994.78613299</v>
      </c>
      <c r="S495">
        <f t="shared" si="982"/>
        <v>2106.7499478613299</v>
      </c>
      <c r="T495">
        <f t="shared" si="983"/>
        <v>2.1067499478613301</v>
      </c>
    </row>
    <row r="496" spans="1:20" x14ac:dyDescent="0.25">
      <c r="A496" s="5">
        <v>44097</v>
      </c>
      <c r="B496">
        <v>0.57347999999999999</v>
      </c>
      <c r="C496">
        <v>0.59199000000000002</v>
      </c>
      <c r="D496">
        <v>0.53905000000000003</v>
      </c>
      <c r="E496">
        <v>0.55481999999999998</v>
      </c>
      <c r="F496">
        <v>13849530.800000001</v>
      </c>
      <c r="G496">
        <v>0</v>
      </c>
      <c r="L496" t="s">
        <v>8</v>
      </c>
      <c r="M496" t="s">
        <v>8</v>
      </c>
      <c r="N496" t="s">
        <v>8</v>
      </c>
      <c r="P496">
        <f t="shared" si="979"/>
        <v>-0.40423120513789368</v>
      </c>
      <c r="Q496">
        <f t="shared" si="980"/>
        <v>-5598412.5258783773</v>
      </c>
      <c r="R496">
        <f t="shared" si="981"/>
        <v>192960190.67601687</v>
      </c>
      <c r="S496">
        <f t="shared" si="982"/>
        <v>1929.6019067601687</v>
      </c>
      <c r="T496">
        <f t="shared" si="983"/>
        <v>1.9296019067601686</v>
      </c>
    </row>
    <row r="497" spans="1:20" x14ac:dyDescent="0.25">
      <c r="A497" s="5">
        <v>44096</v>
      </c>
      <c r="B497">
        <v>0.57020999999999999</v>
      </c>
      <c r="C497">
        <v>0.57860999999999996</v>
      </c>
      <c r="D497">
        <v>0.53308</v>
      </c>
      <c r="E497">
        <v>0.57472000000000001</v>
      </c>
      <c r="F497">
        <v>9257122.5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0.82912365473314509</v>
      </c>
      <c r="Q497">
        <f t="shared" si="980"/>
        <v>7675299.2395124286</v>
      </c>
      <c r="R497">
        <f t="shared" si="981"/>
        <v>198558603.20189524</v>
      </c>
      <c r="S497">
        <f t="shared" si="982"/>
        <v>1985.5860320189524</v>
      </c>
      <c r="T497">
        <f t="shared" si="983"/>
        <v>1.9855860320189525</v>
      </c>
    </row>
    <row r="498" spans="1:20" x14ac:dyDescent="0.25">
      <c r="A498" s="5">
        <v>44095</v>
      </c>
      <c r="B498">
        <v>0.55705000000000005</v>
      </c>
      <c r="C498">
        <v>0.59658999999999995</v>
      </c>
      <c r="D498">
        <v>0.52700000000000002</v>
      </c>
      <c r="E498">
        <v>0.57113999999999998</v>
      </c>
      <c r="F498">
        <v>22425203.5</v>
      </c>
      <c r="G498">
        <v>0</v>
      </c>
      <c r="L498" t="s">
        <v>7</v>
      </c>
      <c r="M498" t="s">
        <v>8</v>
      </c>
      <c r="N498" t="s">
        <v>8</v>
      </c>
      <c r="P498">
        <f t="shared" si="979"/>
        <v>0.26857307084351206</v>
      </c>
      <c r="Q498">
        <f t="shared" si="980"/>
        <v>6022805.768285675</v>
      </c>
      <c r="R498">
        <f t="shared" si="981"/>
        <v>190883303.96238279</v>
      </c>
      <c r="S498">
        <f t="shared" si="982"/>
        <v>1908.833039623828</v>
      </c>
      <c r="T498">
        <f t="shared" si="983"/>
        <v>1.908833039623828</v>
      </c>
    </row>
    <row r="499" spans="1:20" x14ac:dyDescent="0.25">
      <c r="A499" s="5">
        <v>44094</v>
      </c>
      <c r="B499">
        <v>0.57840999999999998</v>
      </c>
      <c r="C499">
        <v>0.58992999999999995</v>
      </c>
      <c r="D499">
        <v>0.53293000000000001</v>
      </c>
      <c r="E499">
        <v>0.55705000000000005</v>
      </c>
      <c r="F499">
        <v>10292674.4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-0.15368421052631384</v>
      </c>
      <c r="Q499">
        <f t="shared" si="980"/>
        <v>-1581821.539368401</v>
      </c>
      <c r="R499">
        <f t="shared" si="981"/>
        <v>184860498.19409713</v>
      </c>
      <c r="S499">
        <f t="shared" si="982"/>
        <v>1848.6049819409714</v>
      </c>
      <c r="T499">
        <f t="shared" si="983"/>
        <v>1.8486049819409713</v>
      </c>
    </row>
    <row r="500" spans="1:20" x14ac:dyDescent="0.25">
      <c r="A500" s="5">
        <v>44093</v>
      </c>
      <c r="B500">
        <v>0.57632000000000005</v>
      </c>
      <c r="C500">
        <v>0.61</v>
      </c>
      <c r="D500">
        <v>0.55662999999999996</v>
      </c>
      <c r="E500">
        <v>0.57862000000000002</v>
      </c>
      <c r="F500">
        <v>15219373.699999999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-0.1759415401911166</v>
      </c>
      <c r="Q500">
        <f t="shared" si="980"/>
        <v>-2677720.0495221727</v>
      </c>
      <c r="R500">
        <f t="shared" si="981"/>
        <v>186442319.73346552</v>
      </c>
      <c r="S500">
        <f t="shared" si="982"/>
        <v>1864.4231973346552</v>
      </c>
      <c r="T500">
        <f t="shared" si="983"/>
        <v>1.8644231973346552</v>
      </c>
    </row>
    <row r="501" spans="1:20" x14ac:dyDescent="0.25">
      <c r="A501" s="5">
        <v>44092</v>
      </c>
      <c r="B501">
        <v>0.55964000000000003</v>
      </c>
      <c r="C501">
        <v>0.60199000000000003</v>
      </c>
      <c r="D501">
        <v>0.53510999999999997</v>
      </c>
      <c r="E501">
        <v>0.57489000000000001</v>
      </c>
      <c r="F501">
        <v>23193763.5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0.18959330143540692</v>
      </c>
      <c r="Q501">
        <f t="shared" si="980"/>
        <v>4397382.194677039</v>
      </c>
      <c r="R501">
        <f t="shared" si="981"/>
        <v>189120039.78298768</v>
      </c>
      <c r="S501">
        <f t="shared" si="982"/>
        <v>1891.2003978298769</v>
      </c>
      <c r="T501">
        <f t="shared" si="983"/>
        <v>1.8912003978298768</v>
      </c>
    </row>
    <row r="502" spans="1:20" x14ac:dyDescent="0.25">
      <c r="A502" s="5">
        <v>44091</v>
      </c>
      <c r="B502">
        <v>0.52666999999999997</v>
      </c>
      <c r="C502">
        <v>0.56120000000000003</v>
      </c>
      <c r="D502">
        <v>0.50483999999999996</v>
      </c>
      <c r="E502">
        <v>0.55972</v>
      </c>
      <c r="F502">
        <v>16048408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0.94748048261178019</v>
      </c>
      <c r="Q502">
        <f t="shared" si="980"/>
        <v>15205553.356990755</v>
      </c>
      <c r="R502">
        <f t="shared" si="981"/>
        <v>184722657.58831066</v>
      </c>
      <c r="S502">
        <f t="shared" si="982"/>
        <v>1847.2265758831065</v>
      </c>
      <c r="T502">
        <f t="shared" si="983"/>
        <v>1.8472265758831066</v>
      </c>
    </row>
    <row r="503" spans="1:20" x14ac:dyDescent="0.25">
      <c r="A503" s="5">
        <v>44090</v>
      </c>
      <c r="B503">
        <v>0.53498999999999997</v>
      </c>
      <c r="C503">
        <v>0.53781000000000001</v>
      </c>
      <c r="D503">
        <v>0.5</v>
      </c>
      <c r="E503">
        <v>0.52668000000000004</v>
      </c>
      <c r="F503">
        <v>10589759.5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0.41126686061888545</v>
      </c>
      <c r="Q503">
        <f t="shared" si="980"/>
        <v>4355217.1442740178</v>
      </c>
      <c r="R503">
        <f t="shared" si="981"/>
        <v>169517104.2313199</v>
      </c>
      <c r="S503">
        <f t="shared" si="982"/>
        <v>1695.171042313199</v>
      </c>
      <c r="T503">
        <f t="shared" si="983"/>
        <v>1.6951710423131989</v>
      </c>
    </row>
    <row r="504" spans="1:20" x14ac:dyDescent="0.25">
      <c r="A504" s="5">
        <v>44089</v>
      </c>
      <c r="B504">
        <v>0.52951999999999999</v>
      </c>
      <c r="C504">
        <v>0.56274999999999997</v>
      </c>
      <c r="D504">
        <v>0.51761999999999997</v>
      </c>
      <c r="E504">
        <v>0.53595999999999999</v>
      </c>
      <c r="F504">
        <v>10183678.800000001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-0.18723687126080119</v>
      </c>
      <c r="Q504">
        <f t="shared" si="980"/>
        <v>-1906760.1564369504</v>
      </c>
      <c r="R504">
        <f t="shared" si="981"/>
        <v>165161887.08704588</v>
      </c>
      <c r="S504">
        <f t="shared" si="982"/>
        <v>1651.6188708704587</v>
      </c>
      <c r="T504">
        <f t="shared" si="983"/>
        <v>1.6516188708704587</v>
      </c>
    </row>
    <row r="505" spans="1:20" x14ac:dyDescent="0.25">
      <c r="A505" s="5">
        <v>44088</v>
      </c>
      <c r="B505">
        <v>0.54151000000000005</v>
      </c>
      <c r="C505">
        <v>0.56718999999999997</v>
      </c>
      <c r="D505">
        <v>0.51968000000000003</v>
      </c>
      <c r="E505">
        <v>0.52978999999999998</v>
      </c>
      <c r="F505">
        <v>14442030.800000001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-0.57440538833929844</v>
      </c>
      <c r="Q505">
        <f t="shared" si="980"/>
        <v>-8295580.3100821096</v>
      </c>
      <c r="R505">
        <f t="shared" si="981"/>
        <v>167068647.24348283</v>
      </c>
      <c r="S505">
        <f t="shared" si="982"/>
        <v>1670.6864724348284</v>
      </c>
      <c r="T505">
        <f t="shared" si="983"/>
        <v>1.6706864724348285</v>
      </c>
    </row>
    <row r="506" spans="1:20" x14ac:dyDescent="0.25">
      <c r="A506" s="5">
        <v>44087</v>
      </c>
      <c r="B506">
        <v>0.54779</v>
      </c>
      <c r="C506">
        <v>0.54949999999999999</v>
      </c>
      <c r="D506">
        <v>0.49460999999999999</v>
      </c>
      <c r="E506">
        <v>0.54237999999999997</v>
      </c>
      <c r="F506">
        <v>9876926.5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0.74057205319730313</v>
      </c>
      <c r="Q506">
        <f t="shared" si="980"/>
        <v>7314575.7373838527</v>
      </c>
      <c r="R506">
        <f t="shared" si="981"/>
        <v>175364227.55356494</v>
      </c>
      <c r="S506">
        <f t="shared" si="982"/>
        <v>1753.6422755356493</v>
      </c>
      <c r="T506">
        <f t="shared" si="983"/>
        <v>1.7536422755356493</v>
      </c>
    </row>
    <row r="507" spans="1:20" x14ac:dyDescent="0.25">
      <c r="A507" s="5">
        <v>44086</v>
      </c>
      <c r="B507">
        <v>0.50019999999999998</v>
      </c>
      <c r="C507">
        <v>0.54940999999999995</v>
      </c>
      <c r="D507">
        <v>0.50019999999999998</v>
      </c>
      <c r="E507">
        <v>0.54873000000000005</v>
      </c>
      <c r="F507">
        <v>11516827.199999999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0.97236334078439735</v>
      </c>
      <c r="Q507">
        <f t="shared" si="980"/>
        <v>11198540.571428616</v>
      </c>
      <c r="R507">
        <f t="shared" si="981"/>
        <v>168049651.81618109</v>
      </c>
      <c r="S507">
        <f t="shared" si="982"/>
        <v>1680.4965181618109</v>
      </c>
      <c r="T507">
        <f t="shared" si="983"/>
        <v>1.6804965181618108</v>
      </c>
    </row>
    <row r="508" spans="1:20" x14ac:dyDescent="0.25">
      <c r="A508" s="5">
        <v>44085</v>
      </c>
      <c r="B508">
        <v>0.48771999999999999</v>
      </c>
      <c r="C508">
        <v>0.50251999999999997</v>
      </c>
      <c r="D508">
        <v>0.45345000000000002</v>
      </c>
      <c r="E508">
        <v>0.50007999999999997</v>
      </c>
      <c r="F508">
        <v>7647406.5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0.90055023435907888</v>
      </c>
      <c r="Q508">
        <f t="shared" si="980"/>
        <v>6886873.7158141434</v>
      </c>
      <c r="R508">
        <f t="shared" si="981"/>
        <v>156851111.24475247</v>
      </c>
      <c r="S508">
        <f t="shared" si="982"/>
        <v>1568.5111124475247</v>
      </c>
      <c r="T508">
        <f t="shared" si="983"/>
        <v>1.5685111124475248</v>
      </c>
    </row>
    <row r="509" spans="1:20" x14ac:dyDescent="0.25">
      <c r="A509" s="5">
        <v>44084</v>
      </c>
      <c r="B509">
        <v>0.47725000000000001</v>
      </c>
      <c r="C509">
        <v>0.50985999999999998</v>
      </c>
      <c r="D509">
        <v>0.43589</v>
      </c>
      <c r="E509">
        <v>0.48698000000000002</v>
      </c>
      <c r="F509">
        <v>14810927.300000001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0.38137082601054584</v>
      </c>
      <c r="Q509">
        <f t="shared" si="980"/>
        <v>5648455.578383144</v>
      </c>
      <c r="R509">
        <f t="shared" si="981"/>
        <v>149964237.52893832</v>
      </c>
      <c r="S509">
        <f t="shared" si="982"/>
        <v>1499.6423752893832</v>
      </c>
      <c r="T509">
        <f t="shared" si="983"/>
        <v>1.499642375289383</v>
      </c>
    </row>
    <row r="510" spans="1:20" x14ac:dyDescent="0.25">
      <c r="A510" s="5">
        <v>44083</v>
      </c>
      <c r="B510">
        <v>0.39917999999999998</v>
      </c>
      <c r="C510">
        <v>0.49</v>
      </c>
      <c r="D510">
        <v>0.39643</v>
      </c>
      <c r="E510">
        <v>0.47727000000000003</v>
      </c>
      <c r="F510">
        <v>19121515.699999999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0.72790424281286814</v>
      </c>
      <c r="Q510">
        <f t="shared" si="980"/>
        <v>13918632.40704287</v>
      </c>
      <c r="R510">
        <f t="shared" si="981"/>
        <v>144315781.95055518</v>
      </c>
      <c r="S510">
        <f t="shared" si="982"/>
        <v>1443.1578195055517</v>
      </c>
      <c r="T510">
        <f t="shared" si="983"/>
        <v>1.4431578195055517</v>
      </c>
    </row>
    <row r="511" spans="1:20" x14ac:dyDescent="0.25">
      <c r="A511" s="5">
        <v>44082</v>
      </c>
      <c r="B511">
        <v>0.41565999999999997</v>
      </c>
      <c r="C511">
        <v>0.43586999999999998</v>
      </c>
      <c r="D511">
        <v>0.38850000000000001</v>
      </c>
      <c r="E511">
        <v>0.39839999999999998</v>
      </c>
      <c r="F511">
        <v>8846539.1999999993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-0.58201393286890557</v>
      </c>
      <c r="Q511">
        <f t="shared" si="980"/>
        <v>-5148809.0720709413</v>
      </c>
      <c r="R511">
        <f t="shared" si="981"/>
        <v>130397149.5435123</v>
      </c>
      <c r="S511">
        <f t="shared" si="982"/>
        <v>1303.971495435123</v>
      </c>
      <c r="T511">
        <f t="shared" si="983"/>
        <v>1.3039714954351229</v>
      </c>
    </row>
    <row r="512" spans="1:20" x14ac:dyDescent="0.25">
      <c r="A512" s="5">
        <v>44081</v>
      </c>
      <c r="B512">
        <v>0.42703000000000002</v>
      </c>
      <c r="C512">
        <v>0.43378</v>
      </c>
      <c r="D512">
        <v>0.38101000000000002</v>
      </c>
      <c r="E512">
        <v>0.41566999999999998</v>
      </c>
      <c r="F512">
        <v>9138071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0.31362516581390865</v>
      </c>
      <c r="Q512">
        <f t="shared" si="980"/>
        <v>2865929.0325942701</v>
      </c>
      <c r="R512">
        <f t="shared" si="981"/>
        <v>135545958.61558324</v>
      </c>
      <c r="S512">
        <f t="shared" si="982"/>
        <v>1355.4595861558323</v>
      </c>
      <c r="T512">
        <f t="shared" si="983"/>
        <v>1.3554595861558323</v>
      </c>
    </row>
    <row r="513" spans="1:20" x14ac:dyDescent="0.25">
      <c r="A513" s="5">
        <v>44080</v>
      </c>
      <c r="B513">
        <v>0.39438000000000001</v>
      </c>
      <c r="C513">
        <v>0.435</v>
      </c>
      <c r="D513">
        <v>0.37528</v>
      </c>
      <c r="E513">
        <v>0.42602000000000001</v>
      </c>
      <c r="F513">
        <v>9943496.3000000007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0.69926322839919663</v>
      </c>
      <c r="Q513">
        <f t="shared" si="980"/>
        <v>6953121.3243134674</v>
      </c>
      <c r="R513">
        <f t="shared" si="981"/>
        <v>132680029.58298898</v>
      </c>
      <c r="S513">
        <f t="shared" si="982"/>
        <v>1326.8002958298898</v>
      </c>
      <c r="T513">
        <f t="shared" si="983"/>
        <v>1.3268002958298899</v>
      </c>
    </row>
    <row r="514" spans="1:20" x14ac:dyDescent="0.25">
      <c r="A514" s="5">
        <v>44079</v>
      </c>
      <c r="B514">
        <v>0.42559000000000002</v>
      </c>
      <c r="C514">
        <v>0.45805000000000001</v>
      </c>
      <c r="D514">
        <v>0.37</v>
      </c>
      <c r="E514">
        <v>0.39345999999999998</v>
      </c>
      <c r="F514">
        <v>17224252.100000001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-0.4671209540034077</v>
      </c>
      <c r="Q514">
        <f t="shared" si="980"/>
        <v>-8045809.0729471995</v>
      </c>
      <c r="R514">
        <f t="shared" si="981"/>
        <v>125726908.25867552</v>
      </c>
      <c r="S514">
        <f t="shared" si="982"/>
        <v>1257.2690825867551</v>
      </c>
      <c r="T514">
        <f t="shared" si="983"/>
        <v>1.2572690825867552</v>
      </c>
    </row>
    <row r="515" spans="1:20" x14ac:dyDescent="0.25">
      <c r="A515" s="5">
        <v>44078</v>
      </c>
      <c r="B515">
        <v>0.40153</v>
      </c>
      <c r="C515">
        <v>0.42564000000000002</v>
      </c>
      <c r="D515">
        <v>0.37220999999999999</v>
      </c>
      <c r="E515">
        <v>0.42421999999999999</v>
      </c>
      <c r="F515">
        <v>16631090.1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0.94684634100692378</v>
      </c>
      <c r="Q515">
        <f t="shared" si="980"/>
        <v>15747086.808141474</v>
      </c>
      <c r="R515">
        <f t="shared" si="981"/>
        <v>133772717.33162272</v>
      </c>
      <c r="S515">
        <f t="shared" si="982"/>
        <v>1337.7271733162272</v>
      </c>
      <c r="T515">
        <f t="shared" si="983"/>
        <v>1.3377271733162273</v>
      </c>
    </row>
    <row r="516" spans="1:20" x14ac:dyDescent="0.25">
      <c r="A516" s="5">
        <v>44077</v>
      </c>
      <c r="B516">
        <v>0.47408</v>
      </c>
      <c r="C516">
        <v>0.48394999999999999</v>
      </c>
      <c r="D516">
        <v>0.4</v>
      </c>
      <c r="E516">
        <v>0.40189999999999998</v>
      </c>
      <c r="F516">
        <v>17543616.800000001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-0.95473496128648105</v>
      </c>
      <c r="Q516">
        <f t="shared" si="980"/>
        <v>-16749504.306372859</v>
      </c>
      <c r="R516">
        <f t="shared" si="981"/>
        <v>118025630.52348125</v>
      </c>
      <c r="S516">
        <f t="shared" si="982"/>
        <v>1180.2563052348125</v>
      </c>
      <c r="T516">
        <f t="shared" si="983"/>
        <v>1.1802563052348125</v>
      </c>
    </row>
    <row r="517" spans="1:20" x14ac:dyDescent="0.25">
      <c r="A517" s="5">
        <v>44076</v>
      </c>
      <c r="B517">
        <v>0.48898000000000003</v>
      </c>
      <c r="C517">
        <v>0.51</v>
      </c>
      <c r="D517">
        <v>0.44666</v>
      </c>
      <c r="E517">
        <v>0.47499000000000002</v>
      </c>
      <c r="F517">
        <v>13362260.800000001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-0.10546258288601142</v>
      </c>
      <c r="Q517">
        <f t="shared" si="980"/>
        <v>-1409218.5371645014</v>
      </c>
      <c r="R517">
        <f t="shared" si="981"/>
        <v>134775134.8298541</v>
      </c>
      <c r="S517">
        <f t="shared" si="982"/>
        <v>1347.751348298541</v>
      </c>
      <c r="T517">
        <f t="shared" si="983"/>
        <v>1.347751348298541</v>
      </c>
    </row>
    <row r="518" spans="1:20" x14ac:dyDescent="0.25">
      <c r="A518" s="5">
        <v>44075</v>
      </c>
      <c r="B518">
        <v>0.47676000000000002</v>
      </c>
      <c r="C518">
        <v>0.51287000000000005</v>
      </c>
      <c r="D518">
        <v>0.46888000000000002</v>
      </c>
      <c r="E518">
        <v>0.48899999999999999</v>
      </c>
      <c r="F518">
        <v>11339788.4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-8.5246646965221287E-2</v>
      </c>
      <c r="Q518">
        <f t="shared" ref="Q518:Q581" si="985">F518*P518</f>
        <v>-966678.93839511159</v>
      </c>
      <c r="R518">
        <f t="shared" ref="R518:R581" si="986">R519+Q518</f>
        <v>136184353.36701861</v>
      </c>
      <c r="S518">
        <f t="shared" ref="S518:S581" si="987">R518/100000</f>
        <v>1361.8435336701862</v>
      </c>
      <c r="T518">
        <f t="shared" ref="T518:T581" si="988">S518/1000</f>
        <v>1.3618435336701862</v>
      </c>
    </row>
    <row r="519" spans="1:20" x14ac:dyDescent="0.25">
      <c r="A519" s="5">
        <v>44074</v>
      </c>
      <c r="B519">
        <v>0.49811</v>
      </c>
      <c r="C519">
        <v>0.51370000000000005</v>
      </c>
      <c r="D519">
        <v>0.47</v>
      </c>
      <c r="E519">
        <v>0.47619</v>
      </c>
      <c r="F519">
        <v>9739866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-0.71670480549199</v>
      </c>
      <c r="Q519">
        <f t="shared" si="985"/>
        <v>-6980608.7670480469</v>
      </c>
      <c r="R519">
        <f t="shared" si="986"/>
        <v>137151032.30541372</v>
      </c>
      <c r="S519">
        <f t="shared" si="987"/>
        <v>1371.5103230541372</v>
      </c>
      <c r="T519">
        <f t="shared" si="988"/>
        <v>1.3715103230541372</v>
      </c>
    </row>
    <row r="520" spans="1:20" x14ac:dyDescent="0.25">
      <c r="A520" s="5">
        <v>44073</v>
      </c>
      <c r="B520">
        <v>0.50434000000000001</v>
      </c>
      <c r="C520">
        <v>0.54590000000000005</v>
      </c>
      <c r="D520">
        <v>0.49460999999999999</v>
      </c>
      <c r="E520">
        <v>0.49811</v>
      </c>
      <c r="F520">
        <v>13330596.199999999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-0.86352115422109577</v>
      </c>
      <c r="Q520">
        <f t="shared" si="985"/>
        <v>-11511251.817079352</v>
      </c>
      <c r="R520">
        <f t="shared" si="986"/>
        <v>144131641.07246178</v>
      </c>
      <c r="S520">
        <f t="shared" si="987"/>
        <v>1441.3164107246178</v>
      </c>
      <c r="T520">
        <f t="shared" si="988"/>
        <v>1.4413164107246177</v>
      </c>
    </row>
    <row r="521" spans="1:20" x14ac:dyDescent="0.25">
      <c r="A521" s="5">
        <v>44072</v>
      </c>
      <c r="B521">
        <v>0.47443000000000002</v>
      </c>
      <c r="C521">
        <v>0.52383999999999997</v>
      </c>
      <c r="D521">
        <v>0.46483000000000002</v>
      </c>
      <c r="E521">
        <v>0.50517999999999996</v>
      </c>
      <c r="F521">
        <v>11932651.5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0.36756481952211406</v>
      </c>
      <c r="Q521">
        <f t="shared" si="985"/>
        <v>4386022.8950177841</v>
      </c>
      <c r="R521">
        <f t="shared" si="986"/>
        <v>155642892.88954115</v>
      </c>
      <c r="S521">
        <f t="shared" si="987"/>
        <v>1556.4289288954114</v>
      </c>
      <c r="T521">
        <f t="shared" si="988"/>
        <v>1.5564289288954114</v>
      </c>
    </row>
    <row r="522" spans="1:20" x14ac:dyDescent="0.25">
      <c r="A522" s="5">
        <v>44071</v>
      </c>
      <c r="B522">
        <v>0.44979999999999998</v>
      </c>
      <c r="C522">
        <v>0.48887999999999998</v>
      </c>
      <c r="D522">
        <v>0.43169999999999997</v>
      </c>
      <c r="E522">
        <v>0.47443000000000002</v>
      </c>
      <c r="F522">
        <v>18852901.699999999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0.49457852395942775</v>
      </c>
      <c r="Q522">
        <f t="shared" si="985"/>
        <v>9324240.2951381858</v>
      </c>
      <c r="R522">
        <f t="shared" si="986"/>
        <v>151256869.99452338</v>
      </c>
      <c r="S522">
        <f t="shared" si="987"/>
        <v>1512.5686999452337</v>
      </c>
      <c r="T522">
        <f t="shared" si="988"/>
        <v>1.5125686999452337</v>
      </c>
    </row>
    <row r="523" spans="1:20" x14ac:dyDescent="0.25">
      <c r="A523" s="5">
        <v>44070</v>
      </c>
      <c r="B523">
        <v>0.49528</v>
      </c>
      <c r="C523">
        <v>0.49939</v>
      </c>
      <c r="D523">
        <v>0.42431000000000002</v>
      </c>
      <c r="E523">
        <v>0.44932</v>
      </c>
      <c r="F523">
        <v>20742166.600000001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-0.33377730420884433</v>
      </c>
      <c r="Q523">
        <f t="shared" si="985"/>
        <v>-6923264.4511987306</v>
      </c>
      <c r="R523">
        <f t="shared" si="986"/>
        <v>141932629.6993852</v>
      </c>
      <c r="S523">
        <f t="shared" si="987"/>
        <v>1419.3262969938519</v>
      </c>
      <c r="T523">
        <f t="shared" si="988"/>
        <v>1.4193262969938518</v>
      </c>
    </row>
    <row r="524" spans="1:20" x14ac:dyDescent="0.25">
      <c r="A524" s="5">
        <v>44069</v>
      </c>
      <c r="B524">
        <v>0.50729000000000002</v>
      </c>
      <c r="C524">
        <v>0.54705999999999999</v>
      </c>
      <c r="D524">
        <v>0.48499999999999999</v>
      </c>
      <c r="E524">
        <v>0.49529000000000001</v>
      </c>
      <c r="F524">
        <v>23551099.699999999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-0.66838543345149792</v>
      </c>
      <c r="Q524">
        <f t="shared" si="985"/>
        <v>-15741211.981243942</v>
      </c>
      <c r="R524">
        <f t="shared" si="986"/>
        <v>148855894.15058392</v>
      </c>
      <c r="S524">
        <f t="shared" si="987"/>
        <v>1488.5589415058391</v>
      </c>
      <c r="T524">
        <f t="shared" si="988"/>
        <v>1.4885589415058391</v>
      </c>
    </row>
    <row r="525" spans="1:20" x14ac:dyDescent="0.25">
      <c r="A525" s="5">
        <v>44068</v>
      </c>
      <c r="B525">
        <v>0.55201999999999996</v>
      </c>
      <c r="C525">
        <v>0.55718999999999996</v>
      </c>
      <c r="D525">
        <v>0.46709000000000001</v>
      </c>
      <c r="E525">
        <v>0.50751000000000002</v>
      </c>
      <c r="F525">
        <v>32997472.399999999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-0.10277469478357314</v>
      </c>
      <c r="Q525">
        <f t="shared" si="985"/>
        <v>-3391305.1545393784</v>
      </c>
      <c r="R525">
        <f t="shared" si="986"/>
        <v>164597106.13182786</v>
      </c>
      <c r="S525">
        <f t="shared" si="987"/>
        <v>1645.9710613182785</v>
      </c>
      <c r="T525">
        <f t="shared" si="988"/>
        <v>1.6459710613182785</v>
      </c>
    </row>
    <row r="526" spans="1:20" x14ac:dyDescent="0.25">
      <c r="A526" s="5">
        <v>44067</v>
      </c>
      <c r="B526">
        <v>0.48413</v>
      </c>
      <c r="C526">
        <v>0.58867000000000003</v>
      </c>
      <c r="D526">
        <v>0.46903</v>
      </c>
      <c r="E526">
        <v>0.55198999999999998</v>
      </c>
      <c r="F526">
        <v>54944586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0.386827148110999</v>
      </c>
      <c r="Q526">
        <f t="shared" si="985"/>
        <v>21254057.506519523</v>
      </c>
      <c r="R526">
        <f t="shared" si="986"/>
        <v>167988411.28636724</v>
      </c>
      <c r="S526">
        <f t="shared" si="987"/>
        <v>1679.8841128636723</v>
      </c>
      <c r="T526">
        <f t="shared" si="988"/>
        <v>1.6798841128636723</v>
      </c>
    </row>
    <row r="527" spans="1:20" x14ac:dyDescent="0.25">
      <c r="A527" s="5">
        <v>44066</v>
      </c>
      <c r="B527">
        <v>0.44979999999999998</v>
      </c>
      <c r="C527">
        <v>0.4909</v>
      </c>
      <c r="D527">
        <v>0.44323000000000001</v>
      </c>
      <c r="E527">
        <v>0.48402000000000001</v>
      </c>
      <c r="F527">
        <v>22213802.5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0.71134885672330617</v>
      </c>
      <c r="Q527">
        <f t="shared" si="985"/>
        <v>15801763.01185232</v>
      </c>
      <c r="R527">
        <f t="shared" si="986"/>
        <v>146734353.77984771</v>
      </c>
      <c r="S527">
        <f t="shared" si="987"/>
        <v>1467.3435377984772</v>
      </c>
      <c r="T527">
        <f t="shared" si="988"/>
        <v>1.4673435377984771</v>
      </c>
    </row>
    <row r="528" spans="1:20" x14ac:dyDescent="0.25">
      <c r="A528" s="5">
        <v>44065</v>
      </c>
      <c r="B528">
        <v>0.42030000000000001</v>
      </c>
      <c r="C528">
        <v>0.45500000000000002</v>
      </c>
      <c r="D528">
        <v>0.40089999999999998</v>
      </c>
      <c r="E528">
        <v>0.44905</v>
      </c>
      <c r="F528">
        <v>18519589.300000001</v>
      </c>
      <c r="G528">
        <v>0</v>
      </c>
      <c r="L528" t="s">
        <v>7</v>
      </c>
      <c r="M528" t="s">
        <v>8</v>
      </c>
      <c r="N528" t="s">
        <v>8</v>
      </c>
      <c r="P528">
        <f t="shared" si="984"/>
        <v>0.78003696857670957</v>
      </c>
      <c r="Q528">
        <f t="shared" si="985"/>
        <v>14445964.296857668</v>
      </c>
      <c r="R528">
        <f t="shared" si="986"/>
        <v>130932590.7679954</v>
      </c>
      <c r="S528">
        <f t="shared" si="987"/>
        <v>1309.3259076799541</v>
      </c>
      <c r="T528">
        <f t="shared" si="988"/>
        <v>1.3093259076799542</v>
      </c>
    </row>
    <row r="529" spans="1:20" x14ac:dyDescent="0.25">
      <c r="A529" s="5">
        <v>44064</v>
      </c>
      <c r="B529">
        <v>0.45524999999999999</v>
      </c>
      <c r="C529">
        <v>0.47899999999999998</v>
      </c>
      <c r="D529">
        <v>0.41399999999999998</v>
      </c>
      <c r="E529">
        <v>0.42093000000000003</v>
      </c>
      <c r="F529">
        <v>34697794.399999999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-0.78676923076922933</v>
      </c>
      <c r="Q529">
        <f t="shared" si="985"/>
        <v>-27299157.00947687</v>
      </c>
      <c r="R529">
        <f t="shared" si="986"/>
        <v>116486626.47113773</v>
      </c>
      <c r="S529">
        <f t="shared" si="987"/>
        <v>1164.8662647113774</v>
      </c>
      <c r="T529">
        <f t="shared" si="988"/>
        <v>1.1648662647113774</v>
      </c>
    </row>
    <row r="530" spans="1:20" x14ac:dyDescent="0.25">
      <c r="A530" s="5">
        <v>44063</v>
      </c>
      <c r="B530">
        <v>0.40375</v>
      </c>
      <c r="C530">
        <v>0.45841999999999999</v>
      </c>
      <c r="D530">
        <v>0.40255000000000002</v>
      </c>
      <c r="E530">
        <v>0.45499000000000001</v>
      </c>
      <c r="F530">
        <v>18595373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0.8772149633076789</v>
      </c>
      <c r="Q530">
        <f t="shared" si="985"/>
        <v>16312139.443887603</v>
      </c>
      <c r="R530">
        <f t="shared" si="986"/>
        <v>143785783.4806146</v>
      </c>
      <c r="S530">
        <f t="shared" si="987"/>
        <v>1437.857834806146</v>
      </c>
      <c r="T530">
        <f t="shared" si="988"/>
        <v>1.4378578348061459</v>
      </c>
    </row>
    <row r="531" spans="1:20" x14ac:dyDescent="0.25">
      <c r="A531" s="5">
        <v>44062</v>
      </c>
      <c r="B531">
        <v>0.43497000000000002</v>
      </c>
      <c r="C531">
        <v>0.46400000000000002</v>
      </c>
      <c r="D531">
        <v>0.39274999999999999</v>
      </c>
      <c r="E531">
        <v>0.40443000000000001</v>
      </c>
      <c r="F531">
        <v>33096295.699999999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-0.67214035087719248</v>
      </c>
      <c r="Q531">
        <f t="shared" si="985"/>
        <v>-22245355.804533318</v>
      </c>
      <c r="R531">
        <f t="shared" si="986"/>
        <v>127473644.036727</v>
      </c>
      <c r="S531">
        <f t="shared" si="987"/>
        <v>1274.73644036727</v>
      </c>
      <c r="T531">
        <f t="shared" si="988"/>
        <v>1.2747364403672701</v>
      </c>
    </row>
    <row r="532" spans="1:20" x14ac:dyDescent="0.25">
      <c r="A532" s="5">
        <v>44061</v>
      </c>
      <c r="B532">
        <v>0.38640000000000002</v>
      </c>
      <c r="C532">
        <v>0.44890000000000002</v>
      </c>
      <c r="D532">
        <v>0.38400000000000001</v>
      </c>
      <c r="E532">
        <v>0.43525999999999998</v>
      </c>
      <c r="F532">
        <v>38355017.100000001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0.5796610169491514</v>
      </c>
      <c r="Q532">
        <f t="shared" si="985"/>
        <v>22232908.217288092</v>
      </c>
      <c r="R532">
        <f t="shared" si="986"/>
        <v>149718999.84126031</v>
      </c>
      <c r="S532">
        <f t="shared" si="987"/>
        <v>1497.1899984126032</v>
      </c>
      <c r="T532">
        <f t="shared" si="988"/>
        <v>1.4971899984126031</v>
      </c>
    </row>
    <row r="533" spans="1:20" x14ac:dyDescent="0.25">
      <c r="A533" s="5">
        <v>44060</v>
      </c>
      <c r="B533">
        <v>0.39567000000000002</v>
      </c>
      <c r="C533">
        <v>0.40959000000000001</v>
      </c>
      <c r="D533">
        <v>0.38238</v>
      </c>
      <c r="E533">
        <v>0.38679000000000002</v>
      </c>
      <c r="F533">
        <v>24946449.699999999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-0.67585446527011961</v>
      </c>
      <c r="Q533">
        <f t="shared" si="985"/>
        <v>-16860169.422381435</v>
      </c>
      <c r="R533">
        <f t="shared" si="986"/>
        <v>127486091.62397221</v>
      </c>
      <c r="S533">
        <f t="shared" si="987"/>
        <v>1274.860916239722</v>
      </c>
      <c r="T533">
        <f t="shared" si="988"/>
        <v>1.274860916239722</v>
      </c>
    </row>
    <row r="534" spans="1:20" x14ac:dyDescent="0.25">
      <c r="A534" s="5">
        <v>44059</v>
      </c>
      <c r="B534">
        <v>0.38450000000000001</v>
      </c>
      <c r="C534">
        <v>0.39759</v>
      </c>
      <c r="D534">
        <v>0.36875000000000002</v>
      </c>
      <c r="E534">
        <v>0.39646999999999999</v>
      </c>
      <c r="F534">
        <v>29704780.399999999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0.9223300970873779</v>
      </c>
      <c r="Q534">
        <f t="shared" si="985"/>
        <v>27397612.990291238</v>
      </c>
      <c r="R534">
        <f t="shared" si="986"/>
        <v>144346261.04635364</v>
      </c>
      <c r="S534">
        <f t="shared" si="987"/>
        <v>1443.4626104635363</v>
      </c>
      <c r="T534">
        <f t="shared" si="988"/>
        <v>1.4434626104635362</v>
      </c>
    </row>
    <row r="535" spans="1:20" x14ac:dyDescent="0.25">
      <c r="A535" s="5">
        <v>44058</v>
      </c>
      <c r="B535">
        <v>0.40145999999999998</v>
      </c>
      <c r="C535">
        <v>0.40440999999999999</v>
      </c>
      <c r="D535">
        <v>0.38100000000000001</v>
      </c>
      <c r="E535">
        <v>0.38413000000000003</v>
      </c>
      <c r="F535">
        <v>13702412.6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-0.73259290901324015</v>
      </c>
      <c r="Q535">
        <f t="shared" si="985"/>
        <v>-10038290.307133675</v>
      </c>
      <c r="R535">
        <f t="shared" si="986"/>
        <v>116948648.0560624</v>
      </c>
      <c r="S535">
        <f t="shared" si="987"/>
        <v>1169.4864805606239</v>
      </c>
      <c r="T535">
        <f t="shared" si="988"/>
        <v>1.169486480560624</v>
      </c>
    </row>
    <row r="536" spans="1:20" x14ac:dyDescent="0.25">
      <c r="A536" s="5">
        <v>44057</v>
      </c>
      <c r="B536">
        <v>0.39517999999999998</v>
      </c>
      <c r="C536">
        <v>0.41482000000000002</v>
      </c>
      <c r="D536">
        <v>0.38122</v>
      </c>
      <c r="E536">
        <v>0.40127000000000002</v>
      </c>
      <c r="F536">
        <v>26119344.399999999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0.19345238095238101</v>
      </c>
      <c r="Q536">
        <f t="shared" si="985"/>
        <v>5052849.3630952397</v>
      </c>
      <c r="R536">
        <f t="shared" si="986"/>
        <v>126986938.36319607</v>
      </c>
      <c r="S536">
        <f t="shared" si="987"/>
        <v>1269.8693836319608</v>
      </c>
      <c r="T536">
        <f t="shared" si="988"/>
        <v>1.2698693836319608</v>
      </c>
    </row>
    <row r="537" spans="1:20" x14ac:dyDescent="0.25">
      <c r="A537" s="5">
        <v>44056</v>
      </c>
      <c r="B537">
        <v>0.40400000000000003</v>
      </c>
      <c r="C537">
        <v>0.42298000000000002</v>
      </c>
      <c r="D537">
        <v>0.35736000000000001</v>
      </c>
      <c r="E537">
        <v>0.39628000000000002</v>
      </c>
      <c r="F537">
        <v>31970089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0.18622371228284071</v>
      </c>
      <c r="Q537">
        <f t="shared" si="985"/>
        <v>5953588.6555928104</v>
      </c>
      <c r="R537">
        <f t="shared" si="986"/>
        <v>121934089.00010084</v>
      </c>
      <c r="S537">
        <f t="shared" si="987"/>
        <v>1219.3408900010083</v>
      </c>
      <c r="T537">
        <f t="shared" si="988"/>
        <v>1.2193408900010083</v>
      </c>
    </row>
    <row r="538" spans="1:20" x14ac:dyDescent="0.25">
      <c r="A538" s="5">
        <v>44055</v>
      </c>
      <c r="B538">
        <v>0.35598000000000002</v>
      </c>
      <c r="C538">
        <v>0.40400000000000003</v>
      </c>
      <c r="D538">
        <v>0.32596999999999998</v>
      </c>
      <c r="E538">
        <v>0.40377000000000002</v>
      </c>
      <c r="F538">
        <v>22679440.5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0.99410483147507345</v>
      </c>
      <c r="Q538">
        <f t="shared" si="985"/>
        <v>22545741.376201455</v>
      </c>
      <c r="R538">
        <f t="shared" si="986"/>
        <v>115980500.34450802</v>
      </c>
      <c r="S538">
        <f t="shared" si="987"/>
        <v>1159.8050034450803</v>
      </c>
      <c r="T538">
        <f t="shared" si="988"/>
        <v>1.1598050034450802</v>
      </c>
    </row>
    <row r="539" spans="1:20" x14ac:dyDescent="0.25">
      <c r="A539" s="5">
        <v>44054</v>
      </c>
      <c r="B539">
        <v>0.37270999999999999</v>
      </c>
      <c r="C539">
        <v>0.39400000000000002</v>
      </c>
      <c r="D539">
        <v>0.32369999999999999</v>
      </c>
      <c r="E539">
        <v>0.35598000000000002</v>
      </c>
      <c r="F539">
        <v>29111389.699999999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-8.165007112375483E-2</v>
      </c>
      <c r="Q539">
        <f t="shared" si="985"/>
        <v>-2376947.0395163437</v>
      </c>
      <c r="R539">
        <f t="shared" si="986"/>
        <v>93434758.968306571</v>
      </c>
      <c r="S539">
        <f t="shared" si="987"/>
        <v>934.34758968306573</v>
      </c>
      <c r="T539">
        <f t="shared" si="988"/>
        <v>0.93434758968306575</v>
      </c>
    </row>
    <row r="540" spans="1:20" x14ac:dyDescent="0.25">
      <c r="A540" s="5">
        <v>44053</v>
      </c>
      <c r="B540">
        <v>0.32163999999999998</v>
      </c>
      <c r="C540">
        <v>0.39400000000000002</v>
      </c>
      <c r="D540">
        <v>0.31470999999999999</v>
      </c>
      <c r="E540">
        <v>0.37230999999999997</v>
      </c>
      <c r="F540">
        <v>40989098.200000003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0.45289443813847813</v>
      </c>
      <c r="Q540">
        <f t="shared" si="985"/>
        <v>18563734.599091906</v>
      </c>
      <c r="R540">
        <f t="shared" si="986"/>
        <v>95811706.007822916</v>
      </c>
      <c r="S540">
        <f t="shared" si="987"/>
        <v>958.1170600782292</v>
      </c>
      <c r="T540">
        <f t="shared" si="988"/>
        <v>0.95811706007822917</v>
      </c>
    </row>
    <row r="541" spans="1:20" x14ac:dyDescent="0.25">
      <c r="A541" s="5">
        <v>44052</v>
      </c>
      <c r="B541">
        <v>0.33035999999999999</v>
      </c>
      <c r="C541">
        <v>0.33100000000000002</v>
      </c>
      <c r="D541">
        <v>0.309</v>
      </c>
      <c r="E541">
        <v>0.32145000000000001</v>
      </c>
      <c r="F541">
        <v>10183160.6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0.13181818181818233</v>
      </c>
      <c r="Q541">
        <f t="shared" si="985"/>
        <v>1342325.7154545507</v>
      </c>
      <c r="R541">
        <f t="shared" si="986"/>
        <v>77247971.408731014</v>
      </c>
      <c r="S541">
        <f t="shared" si="987"/>
        <v>772.47971408731019</v>
      </c>
      <c r="T541">
        <f t="shared" si="988"/>
        <v>0.7724797140873102</v>
      </c>
    </row>
    <row r="542" spans="1:20" x14ac:dyDescent="0.25">
      <c r="A542" s="5">
        <v>44051</v>
      </c>
      <c r="B542">
        <v>0.30742999999999998</v>
      </c>
      <c r="C542">
        <v>0.33484999999999998</v>
      </c>
      <c r="D542">
        <v>0.30370000000000003</v>
      </c>
      <c r="E542">
        <v>0.33063999999999999</v>
      </c>
      <c r="F542">
        <v>10534422.699999999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0.72969502407704667</v>
      </c>
      <c r="Q542">
        <f t="shared" si="985"/>
        <v>7686915.8257142864</v>
      </c>
      <c r="R542">
        <f t="shared" si="986"/>
        <v>75905645.693276465</v>
      </c>
      <c r="S542">
        <f t="shared" si="987"/>
        <v>759.0564569327646</v>
      </c>
      <c r="T542">
        <f t="shared" si="988"/>
        <v>0.75905645693276458</v>
      </c>
    </row>
    <row r="543" spans="1:20" x14ac:dyDescent="0.25">
      <c r="A543" s="5">
        <v>44050</v>
      </c>
      <c r="B543">
        <v>0.31791999999999998</v>
      </c>
      <c r="C543">
        <v>0.32497999999999999</v>
      </c>
      <c r="D543">
        <v>0.29075000000000001</v>
      </c>
      <c r="E543">
        <v>0.30778</v>
      </c>
      <c r="F543">
        <v>13182109.300000001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-4.9664037394099789E-3</v>
      </c>
      <c r="Q543">
        <f t="shared" si="985"/>
        <v>-65467.676920831065</v>
      </c>
      <c r="R543">
        <f t="shared" si="986"/>
        <v>68218729.867562175</v>
      </c>
      <c r="S543">
        <f t="shared" si="987"/>
        <v>682.18729867562172</v>
      </c>
      <c r="T543">
        <f t="shared" si="988"/>
        <v>0.68218729867562167</v>
      </c>
    </row>
    <row r="544" spans="1:20" x14ac:dyDescent="0.25">
      <c r="A544" s="5">
        <v>44049</v>
      </c>
      <c r="B544">
        <v>0.3135</v>
      </c>
      <c r="C544">
        <v>0.32155</v>
      </c>
      <c r="D544">
        <v>0.30386999999999997</v>
      </c>
      <c r="E544">
        <v>0.31719000000000003</v>
      </c>
      <c r="F544">
        <v>30569482.600000001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0.50678733031674572</v>
      </c>
      <c r="Q544">
        <f t="shared" si="985"/>
        <v>15492226.476018211</v>
      </c>
      <c r="R544">
        <f t="shared" si="986"/>
        <v>68284197.544483006</v>
      </c>
      <c r="S544">
        <f t="shared" si="987"/>
        <v>682.84197544483004</v>
      </c>
      <c r="T544">
        <f t="shared" si="988"/>
        <v>0.68284197544483005</v>
      </c>
    </row>
    <row r="545" spans="1:20" x14ac:dyDescent="0.25">
      <c r="A545" s="5">
        <v>44048</v>
      </c>
      <c r="B545">
        <v>0.33149000000000001</v>
      </c>
      <c r="C545">
        <v>0.33949000000000001</v>
      </c>
      <c r="D545">
        <v>0.30549999999999999</v>
      </c>
      <c r="E545">
        <v>0.31381999999999999</v>
      </c>
      <c r="F545">
        <v>22988471.699999999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-0.51044424830832658</v>
      </c>
      <c r="Q545">
        <f t="shared" si="985"/>
        <v>-11734333.156663738</v>
      </c>
      <c r="R545">
        <f t="shared" si="986"/>
        <v>52791971.068464793</v>
      </c>
      <c r="S545">
        <f t="shared" si="987"/>
        <v>527.91971068464795</v>
      </c>
      <c r="T545">
        <f t="shared" si="988"/>
        <v>0.52791971068464794</v>
      </c>
    </row>
    <row r="546" spans="1:20" x14ac:dyDescent="0.25">
      <c r="A546" s="5">
        <v>44047</v>
      </c>
      <c r="B546">
        <v>0.28695999999999999</v>
      </c>
      <c r="C546">
        <v>0.33950000000000002</v>
      </c>
      <c r="D546">
        <v>0.28695999999999999</v>
      </c>
      <c r="E546">
        <v>0.33184999999999998</v>
      </c>
      <c r="F546">
        <v>31868007.699999999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0.70879330034259458</v>
      </c>
      <c r="Q546">
        <f t="shared" si="985"/>
        <v>22587830.353026215</v>
      </c>
      <c r="R546">
        <f t="shared" si="986"/>
        <v>64526304.225128531</v>
      </c>
      <c r="S546">
        <f t="shared" si="987"/>
        <v>645.26304225128536</v>
      </c>
      <c r="T546">
        <f t="shared" si="988"/>
        <v>0.64526304225128539</v>
      </c>
    </row>
    <row r="547" spans="1:20" x14ac:dyDescent="0.25">
      <c r="A547" s="5">
        <v>44046</v>
      </c>
      <c r="B547">
        <v>0.2797</v>
      </c>
      <c r="C547">
        <v>0.29646</v>
      </c>
      <c r="D547">
        <v>0.27750999999999998</v>
      </c>
      <c r="E547">
        <v>0.28687000000000001</v>
      </c>
      <c r="F547">
        <v>10987692.199999999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-1.2137203166224389E-2</v>
      </c>
      <c r="Q547">
        <f t="shared" si="985"/>
        <v>-133359.85255933902</v>
      </c>
      <c r="R547">
        <f t="shared" si="986"/>
        <v>41938473.872102313</v>
      </c>
      <c r="S547">
        <f t="shared" si="987"/>
        <v>419.38473872102315</v>
      </c>
      <c r="T547">
        <f t="shared" si="988"/>
        <v>0.41938473872102316</v>
      </c>
    </row>
    <row r="548" spans="1:20" x14ac:dyDescent="0.25">
      <c r="A548" s="5">
        <v>44045</v>
      </c>
      <c r="B548">
        <v>0.31645000000000001</v>
      </c>
      <c r="C548">
        <v>0.32068000000000002</v>
      </c>
      <c r="D548">
        <v>0.249</v>
      </c>
      <c r="E548">
        <v>0.27994999999999998</v>
      </c>
      <c r="F548">
        <v>24900201.300000001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-0.13643973214285804</v>
      </c>
      <c r="Q548">
        <f t="shared" si="985"/>
        <v>-3397376.7956752456</v>
      </c>
      <c r="R548">
        <f t="shared" si="986"/>
        <v>42071833.724661648</v>
      </c>
      <c r="S548">
        <f t="shared" si="987"/>
        <v>420.7183372466165</v>
      </c>
      <c r="T548">
        <f t="shared" si="988"/>
        <v>0.4207183372466165</v>
      </c>
    </row>
    <row r="549" spans="1:20" x14ac:dyDescent="0.25">
      <c r="A549" s="5">
        <v>44044</v>
      </c>
      <c r="B549">
        <v>0.26939999999999997</v>
      </c>
      <c r="C549">
        <v>0.32319999999999999</v>
      </c>
      <c r="D549">
        <v>0.26612000000000002</v>
      </c>
      <c r="E549">
        <v>0.31646999999999997</v>
      </c>
      <c r="F549">
        <v>43171266.200000003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0.76419060967063712</v>
      </c>
      <c r="Q549">
        <f t="shared" si="985"/>
        <v>32991076.237631373</v>
      </c>
      <c r="R549">
        <f t="shared" si="986"/>
        <v>45469210.520336896</v>
      </c>
      <c r="S549">
        <f t="shared" si="987"/>
        <v>454.69210520336895</v>
      </c>
      <c r="T549">
        <f t="shared" si="988"/>
        <v>0.45469210520336895</v>
      </c>
    </row>
    <row r="550" spans="1:20" x14ac:dyDescent="0.25">
      <c r="A550" s="5">
        <v>44043</v>
      </c>
      <c r="B550">
        <v>0.25745000000000001</v>
      </c>
      <c r="C550">
        <v>0.27200000000000002</v>
      </c>
      <c r="D550">
        <v>0.24995000000000001</v>
      </c>
      <c r="E550">
        <v>0.26938000000000001</v>
      </c>
      <c r="F550">
        <v>16589181.1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0.76235827664399003</v>
      </c>
      <c r="Q550">
        <f t="shared" si="985"/>
        <v>12646899.51433105</v>
      </c>
      <c r="R550">
        <f t="shared" si="986"/>
        <v>12478134.282705523</v>
      </c>
      <c r="S550">
        <f t="shared" si="987"/>
        <v>124.78134282705523</v>
      </c>
      <c r="T550">
        <f t="shared" si="988"/>
        <v>0.12478134282705523</v>
      </c>
    </row>
    <row r="551" spans="1:20" x14ac:dyDescent="0.25">
      <c r="A551" s="5">
        <v>44042</v>
      </c>
      <c r="B551">
        <v>0.24782000000000001</v>
      </c>
      <c r="C551">
        <v>0.25939000000000001</v>
      </c>
      <c r="D551">
        <v>0.24571000000000001</v>
      </c>
      <c r="E551">
        <v>0.25745000000000001</v>
      </c>
      <c r="F551">
        <v>7240342.7000000002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0.71637426900584833</v>
      </c>
      <c r="Q551">
        <f t="shared" si="985"/>
        <v>5186795.20906433</v>
      </c>
      <c r="R551">
        <f t="shared" si="986"/>
        <v>-168765.23162552807</v>
      </c>
      <c r="S551">
        <f t="shared" si="987"/>
        <v>-1.6876523162552808</v>
      </c>
      <c r="T551">
        <f t="shared" si="988"/>
        <v>-1.6876523162552808E-3</v>
      </c>
    </row>
    <row r="552" spans="1:20" x14ac:dyDescent="0.25">
      <c r="A552" s="5">
        <v>44041</v>
      </c>
      <c r="B552">
        <v>0.25112000000000001</v>
      </c>
      <c r="C552">
        <v>0.26</v>
      </c>
      <c r="D552">
        <v>0.24673</v>
      </c>
      <c r="E552">
        <v>0.24782999999999999</v>
      </c>
      <c r="F552">
        <v>11644095.9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-0.83421250941974534</v>
      </c>
      <c r="Q552">
        <f t="shared" si="985"/>
        <v>-9713650.4606631678</v>
      </c>
      <c r="R552">
        <f t="shared" si="986"/>
        <v>-5355560.440689858</v>
      </c>
      <c r="S552">
        <f t="shared" si="987"/>
        <v>-53.555604406898581</v>
      </c>
      <c r="T552">
        <f t="shared" si="988"/>
        <v>-5.3555604406898584E-2</v>
      </c>
    </row>
    <row r="553" spans="1:20" x14ac:dyDescent="0.25">
      <c r="A553" s="5">
        <v>44040</v>
      </c>
      <c r="B553">
        <v>0.24248</v>
      </c>
      <c r="C553">
        <v>0.2515</v>
      </c>
      <c r="D553">
        <v>0.23982000000000001</v>
      </c>
      <c r="E553">
        <v>0.25112000000000001</v>
      </c>
      <c r="F553">
        <v>9857294.8000000007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0.93493150684931647</v>
      </c>
      <c r="Q553">
        <f t="shared" si="985"/>
        <v>9215895.4808219317</v>
      </c>
      <c r="R553">
        <f t="shared" si="986"/>
        <v>4358090.0199733097</v>
      </c>
      <c r="S553">
        <f t="shared" si="987"/>
        <v>43.580900199733094</v>
      </c>
      <c r="T553">
        <f t="shared" si="988"/>
        <v>4.3580900199733097E-2</v>
      </c>
    </row>
    <row r="554" spans="1:20" x14ac:dyDescent="0.25">
      <c r="A554" s="5">
        <v>44039</v>
      </c>
      <c r="B554">
        <v>0.25087999999999999</v>
      </c>
      <c r="C554">
        <v>0.25236999999999998</v>
      </c>
      <c r="D554">
        <v>0.22509999999999999</v>
      </c>
      <c r="E554">
        <v>0.2424</v>
      </c>
      <c r="F554">
        <v>21993294.100000001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0.26879354602127004</v>
      </c>
      <c r="Q554">
        <f t="shared" si="985"/>
        <v>5911655.5098276772</v>
      </c>
      <c r="R554">
        <f t="shared" si="986"/>
        <v>-4857805.460848622</v>
      </c>
      <c r="S554">
        <f t="shared" si="987"/>
        <v>-48.578054608486219</v>
      </c>
      <c r="T554">
        <f t="shared" si="988"/>
        <v>-4.8578054608486222E-2</v>
      </c>
    </row>
    <row r="555" spans="1:20" x14ac:dyDescent="0.25">
      <c r="A555" s="5">
        <v>44038</v>
      </c>
      <c r="B555">
        <v>0.25878000000000001</v>
      </c>
      <c r="C555">
        <v>0.26096999999999998</v>
      </c>
      <c r="D555">
        <v>0.24706</v>
      </c>
      <c r="E555">
        <v>0.25083</v>
      </c>
      <c r="F555">
        <v>12447989.1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-0.45794392523364463</v>
      </c>
      <c r="Q555">
        <f t="shared" si="985"/>
        <v>-5700480.9897196228</v>
      </c>
      <c r="R555">
        <f t="shared" si="986"/>
        <v>-10769460.970676299</v>
      </c>
      <c r="S555">
        <f t="shared" si="987"/>
        <v>-107.69460970676299</v>
      </c>
      <c r="T555">
        <f t="shared" si="988"/>
        <v>-0.10769460970676299</v>
      </c>
    </row>
    <row r="556" spans="1:20" x14ac:dyDescent="0.25">
      <c r="A556" s="5">
        <v>44037</v>
      </c>
      <c r="B556">
        <v>0.25119000000000002</v>
      </c>
      <c r="C556">
        <v>0.26379000000000002</v>
      </c>
      <c r="D556">
        <v>0.24964</v>
      </c>
      <c r="E556">
        <v>0.25877</v>
      </c>
      <c r="F556">
        <v>10204093.9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0.29045936395759492</v>
      </c>
      <c r="Q556">
        <f t="shared" si="985"/>
        <v>2963874.6239575744</v>
      </c>
      <c r="R556">
        <f t="shared" si="986"/>
        <v>-5068979.9809566755</v>
      </c>
      <c r="S556">
        <f t="shared" si="987"/>
        <v>-50.689799809566757</v>
      </c>
      <c r="T556">
        <f t="shared" si="988"/>
        <v>-5.0689799809566755E-2</v>
      </c>
    </row>
    <row r="557" spans="1:20" x14ac:dyDescent="0.25">
      <c r="A557" s="5">
        <v>44036</v>
      </c>
      <c r="B557">
        <v>0.25889000000000001</v>
      </c>
      <c r="C557">
        <v>0.25901000000000002</v>
      </c>
      <c r="D557">
        <v>0.24604000000000001</v>
      </c>
      <c r="E557">
        <v>0.25072</v>
      </c>
      <c r="F557">
        <v>10186672.199999999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-0.27833461835004064</v>
      </c>
      <c r="Q557">
        <f t="shared" si="985"/>
        <v>-2835303.5190439685</v>
      </c>
      <c r="R557">
        <f t="shared" si="986"/>
        <v>-8032854.6049142499</v>
      </c>
      <c r="S557">
        <f t="shared" si="987"/>
        <v>-80.328546049142503</v>
      </c>
      <c r="T557">
        <f t="shared" si="988"/>
        <v>-8.0328546049142496E-2</v>
      </c>
    </row>
    <row r="558" spans="1:20" x14ac:dyDescent="0.25">
      <c r="A558" s="5">
        <v>44035</v>
      </c>
      <c r="B558">
        <v>0.25599</v>
      </c>
      <c r="C558">
        <v>0.26535999999999998</v>
      </c>
      <c r="D558">
        <v>0.254</v>
      </c>
      <c r="E558">
        <v>0.25890000000000002</v>
      </c>
      <c r="F558">
        <v>14715249.800000001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-0.13732394366196768</v>
      </c>
      <c r="Q558">
        <f t="shared" si="985"/>
        <v>-2020756.1345069814</v>
      </c>
      <c r="R558">
        <f t="shared" si="986"/>
        <v>-5197551.0858702809</v>
      </c>
      <c r="S558">
        <f t="shared" si="987"/>
        <v>-51.975510858702812</v>
      </c>
      <c r="T558">
        <f t="shared" si="988"/>
        <v>-5.1975510858702813E-2</v>
      </c>
    </row>
    <row r="559" spans="1:20" x14ac:dyDescent="0.25">
      <c r="A559" s="5">
        <v>44034</v>
      </c>
      <c r="B559">
        <v>0.23966000000000001</v>
      </c>
      <c r="C559">
        <v>0.25700000000000001</v>
      </c>
      <c r="D559">
        <v>0.23882999999999999</v>
      </c>
      <c r="E559">
        <v>0.25575999999999999</v>
      </c>
      <c r="F559">
        <v>11174656.300000001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0.86351128233351482</v>
      </c>
      <c r="Q559">
        <f t="shared" si="985"/>
        <v>9649441.7912492901</v>
      </c>
      <c r="R559">
        <f t="shared" si="986"/>
        <v>-3176794.951363299</v>
      </c>
      <c r="S559">
        <f t="shared" si="987"/>
        <v>-31.767949513632992</v>
      </c>
      <c r="T559">
        <f t="shared" si="988"/>
        <v>-3.1767949513632994E-2</v>
      </c>
    </row>
    <row r="560" spans="1:20" x14ac:dyDescent="0.25">
      <c r="A560" s="5">
        <v>44033</v>
      </c>
      <c r="B560">
        <v>0.23594999999999999</v>
      </c>
      <c r="C560">
        <v>0.24249999999999999</v>
      </c>
      <c r="D560">
        <v>0.23147000000000001</v>
      </c>
      <c r="E560">
        <v>0.23951</v>
      </c>
      <c r="F560">
        <v>6988190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0.45784224841341853</v>
      </c>
      <c r="Q560">
        <f t="shared" si="985"/>
        <v>3199488.6219401672</v>
      </c>
      <c r="R560">
        <f t="shared" si="986"/>
        <v>-12826236.742612589</v>
      </c>
      <c r="S560">
        <f t="shared" si="987"/>
        <v>-128.26236742612591</v>
      </c>
      <c r="T560">
        <f t="shared" si="988"/>
        <v>-0.1282623674261259</v>
      </c>
    </row>
    <row r="561" spans="1:104" x14ac:dyDescent="0.25">
      <c r="A561" s="5">
        <v>44032</v>
      </c>
      <c r="B561">
        <v>0.2409</v>
      </c>
      <c r="C561">
        <v>0.24302000000000001</v>
      </c>
      <c r="D561">
        <v>0.23119999999999999</v>
      </c>
      <c r="E561">
        <v>0.23594999999999999</v>
      </c>
      <c r="F561">
        <v>6214821.9000000004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-0.19627749576988254</v>
      </c>
      <c r="Q561">
        <f t="shared" si="985"/>
        <v>-1219829.6791878236</v>
      </c>
      <c r="R561">
        <f t="shared" si="986"/>
        <v>-16025725.364552757</v>
      </c>
      <c r="S561">
        <f t="shared" si="987"/>
        <v>-160.25725364552756</v>
      </c>
      <c r="T561">
        <f t="shared" si="988"/>
        <v>-0.16025725364552756</v>
      </c>
      <c r="CZ561" t="s">
        <v>7</v>
      </c>
    </row>
    <row r="562" spans="1:104" x14ac:dyDescent="0.25">
      <c r="A562" s="5">
        <v>44031</v>
      </c>
      <c r="B562">
        <v>0.24893999999999999</v>
      </c>
      <c r="C562">
        <v>0.25051000000000001</v>
      </c>
      <c r="D562">
        <v>0.23496</v>
      </c>
      <c r="E562">
        <v>0.2412</v>
      </c>
      <c r="F562">
        <v>8568602.8000000007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-0.19742765273311996</v>
      </c>
      <c r="Q562">
        <f t="shared" si="985"/>
        <v>-1691679.1380064394</v>
      </c>
      <c r="R562">
        <f t="shared" si="986"/>
        <v>-14805895.685364934</v>
      </c>
      <c r="S562">
        <f t="shared" si="987"/>
        <v>-148.05895685364933</v>
      </c>
      <c r="T562">
        <f t="shared" si="988"/>
        <v>-0.14805895685364934</v>
      </c>
      <c r="CZ562" t="s">
        <v>7</v>
      </c>
    </row>
    <row r="563" spans="1:104" x14ac:dyDescent="0.25">
      <c r="A563" s="5">
        <v>44030</v>
      </c>
      <c r="B563">
        <v>0.24076</v>
      </c>
      <c r="C563">
        <v>0.25180999999999998</v>
      </c>
      <c r="D563">
        <v>0.23683000000000001</v>
      </c>
      <c r="E563">
        <v>0.24893999999999999</v>
      </c>
      <c r="F563">
        <v>9751619.6999999993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0.61682242990654335</v>
      </c>
      <c r="Q563">
        <f t="shared" si="985"/>
        <v>6015017.758878517</v>
      </c>
      <c r="R563">
        <f t="shared" si="986"/>
        <v>-13114216.547358494</v>
      </c>
      <c r="S563">
        <f t="shared" si="987"/>
        <v>-131.14216547358495</v>
      </c>
      <c r="T563">
        <f t="shared" si="988"/>
        <v>-0.13114216547358495</v>
      </c>
      <c r="CZ563" t="s">
        <v>7</v>
      </c>
    </row>
    <row r="564" spans="1:104" x14ac:dyDescent="0.25">
      <c r="A564" s="5">
        <v>44029</v>
      </c>
      <c r="B564">
        <v>0.23425000000000001</v>
      </c>
      <c r="C564">
        <v>0.24560000000000001</v>
      </c>
      <c r="D564">
        <v>0.22969000000000001</v>
      </c>
      <c r="E564">
        <v>0.24131</v>
      </c>
      <c r="F564">
        <v>11761539.199999999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0.4607165304839706</v>
      </c>
      <c r="Q564">
        <f t="shared" si="985"/>
        <v>5418735.5333752148</v>
      </c>
      <c r="R564">
        <f t="shared" si="986"/>
        <v>-19129234.306237012</v>
      </c>
      <c r="S564">
        <f t="shared" si="987"/>
        <v>-191.29234306237012</v>
      </c>
      <c r="T564">
        <f t="shared" si="988"/>
        <v>-0.19129234306237011</v>
      </c>
    </row>
    <row r="565" spans="1:104" x14ac:dyDescent="0.25">
      <c r="A565" s="5">
        <v>44028</v>
      </c>
      <c r="B565">
        <v>0.23744000000000001</v>
      </c>
      <c r="C565">
        <v>0.24875</v>
      </c>
      <c r="D565">
        <v>0.2203</v>
      </c>
      <c r="E565">
        <v>0.23463999999999999</v>
      </c>
      <c r="F565">
        <v>14912835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8.0843585237251395E-3</v>
      </c>
      <c r="Q565">
        <f t="shared" si="985"/>
        <v>120560.70474515659</v>
      </c>
      <c r="R565">
        <f t="shared" si="986"/>
        <v>-24547969.839612227</v>
      </c>
      <c r="S565">
        <f t="shared" si="987"/>
        <v>-245.47969839612227</v>
      </c>
      <c r="T565">
        <f t="shared" si="988"/>
        <v>-0.24547969839612227</v>
      </c>
    </row>
    <row r="566" spans="1:104" x14ac:dyDescent="0.25">
      <c r="A566" s="5">
        <v>44027</v>
      </c>
      <c r="B566">
        <v>0.24160000000000001</v>
      </c>
      <c r="C566">
        <v>0.24193000000000001</v>
      </c>
      <c r="D566">
        <v>0.23139999999999999</v>
      </c>
      <c r="E566">
        <v>0.23719999999999999</v>
      </c>
      <c r="F566">
        <v>11321995.300000001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0.10161443494776699</v>
      </c>
      <c r="Q566">
        <f t="shared" si="985"/>
        <v>1150478.1548907738</v>
      </c>
      <c r="R566">
        <f t="shared" si="986"/>
        <v>-24668530.544357382</v>
      </c>
      <c r="S566">
        <f t="shared" si="987"/>
        <v>-246.68530544357381</v>
      </c>
      <c r="T566">
        <f t="shared" si="988"/>
        <v>-0.24668530544357381</v>
      </c>
    </row>
    <row r="567" spans="1:104" x14ac:dyDescent="0.25">
      <c r="A567" s="5">
        <v>44026</v>
      </c>
      <c r="B567">
        <v>0.2447</v>
      </c>
      <c r="C567">
        <v>0.255</v>
      </c>
      <c r="D567">
        <v>0.23347000000000001</v>
      </c>
      <c r="E567">
        <v>0.24127000000000001</v>
      </c>
      <c r="F567">
        <v>16580929.6</v>
      </c>
      <c r="G567">
        <v>0</v>
      </c>
      <c r="L567" t="s">
        <v>8</v>
      </c>
      <c r="M567" t="s">
        <v>7</v>
      </c>
      <c r="N567" t="s">
        <v>8</v>
      </c>
      <c r="P567">
        <f t="shared" si="984"/>
        <v>-0.27542963307013435</v>
      </c>
      <c r="Q567">
        <f t="shared" si="985"/>
        <v>-4566879.3556897296</v>
      </c>
      <c r="R567">
        <f t="shared" si="986"/>
        <v>-25819008.699248157</v>
      </c>
      <c r="S567">
        <f t="shared" si="987"/>
        <v>-258.19008699248155</v>
      </c>
      <c r="T567">
        <f t="shared" si="988"/>
        <v>-0.25819008699248153</v>
      </c>
    </row>
    <row r="568" spans="1:104" x14ac:dyDescent="0.25">
      <c r="A568" s="5">
        <v>44025</v>
      </c>
      <c r="B568">
        <v>0.28050000000000003</v>
      </c>
      <c r="C568">
        <v>0.28078999999999998</v>
      </c>
      <c r="D568">
        <v>0.21801000000000001</v>
      </c>
      <c r="E568">
        <v>0.24542</v>
      </c>
      <c r="F568">
        <v>21391932.100000001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-0.12679197196559411</v>
      </c>
      <c r="Q568">
        <f t="shared" si="985"/>
        <v>-2712325.2551130927</v>
      </c>
      <c r="R568">
        <f t="shared" si="986"/>
        <v>-21252129.343558427</v>
      </c>
      <c r="S568">
        <f t="shared" si="987"/>
        <v>-212.52129343558428</v>
      </c>
      <c r="T568">
        <f t="shared" si="988"/>
        <v>-0.21252129343558429</v>
      </c>
    </row>
    <row r="569" spans="1:104" x14ac:dyDescent="0.25">
      <c r="A569" s="5">
        <v>44024</v>
      </c>
      <c r="B569">
        <v>0.25385000000000002</v>
      </c>
      <c r="C569">
        <v>0.28349999999999997</v>
      </c>
      <c r="D569">
        <v>0.25373000000000001</v>
      </c>
      <c r="E569">
        <v>0.28050000000000003</v>
      </c>
      <c r="F569">
        <v>23604020.5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0.7984548202888847</v>
      </c>
      <c r="Q569">
        <f t="shared" si="985"/>
        <v>18846743.946422651</v>
      </c>
      <c r="R569">
        <f t="shared" si="986"/>
        <v>-18539804.088445336</v>
      </c>
      <c r="S569">
        <f t="shared" si="987"/>
        <v>-185.39804088445337</v>
      </c>
      <c r="T569">
        <f t="shared" si="988"/>
        <v>-0.18539804088445336</v>
      </c>
    </row>
    <row r="570" spans="1:104" x14ac:dyDescent="0.25">
      <c r="A570" s="5">
        <v>44023</v>
      </c>
      <c r="B570">
        <v>0.24360000000000001</v>
      </c>
      <c r="C570">
        <v>0.25805</v>
      </c>
      <c r="D570">
        <v>0.24307999999999999</v>
      </c>
      <c r="E570">
        <v>0.25334000000000001</v>
      </c>
      <c r="F570">
        <v>8377289.5999999996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0.3707414829659334</v>
      </c>
      <c r="Q570">
        <f t="shared" si="985"/>
        <v>3105808.7695390908</v>
      </c>
      <c r="R570">
        <f t="shared" si="986"/>
        <v>-37386548.034867987</v>
      </c>
      <c r="S570">
        <f t="shared" si="987"/>
        <v>-373.86548034867985</v>
      </c>
      <c r="T570">
        <f t="shared" si="988"/>
        <v>-0.37386548034867984</v>
      </c>
    </row>
    <row r="571" spans="1:104" x14ac:dyDescent="0.25">
      <c r="A571" s="5">
        <v>44022</v>
      </c>
      <c r="B571">
        <v>0.24106</v>
      </c>
      <c r="C571">
        <v>0.24790000000000001</v>
      </c>
      <c r="D571">
        <v>0.23075000000000001</v>
      </c>
      <c r="E571">
        <v>0.24307000000000001</v>
      </c>
      <c r="F571">
        <v>5988212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0.43673469387755087</v>
      </c>
      <c r="Q571">
        <f t="shared" si="985"/>
        <v>2615259.9346938767</v>
      </c>
      <c r="R571">
        <f t="shared" si="986"/>
        <v>-40492356.804407075</v>
      </c>
      <c r="S571">
        <f t="shared" si="987"/>
        <v>-404.92356804407075</v>
      </c>
      <c r="T571">
        <f t="shared" si="988"/>
        <v>-0.40492356804407076</v>
      </c>
    </row>
    <row r="572" spans="1:104" x14ac:dyDescent="0.25">
      <c r="A572" s="5">
        <v>44021</v>
      </c>
      <c r="B572">
        <v>0.25152999999999998</v>
      </c>
      <c r="C572">
        <v>0.25164999999999998</v>
      </c>
      <c r="D572">
        <v>0.23302999999999999</v>
      </c>
      <c r="E572">
        <v>0.24106</v>
      </c>
      <c r="F572">
        <v>7205266.7999999998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-0.13748657357679803</v>
      </c>
      <c r="Q572">
        <f t="shared" si="985"/>
        <v>-990627.44403866003</v>
      </c>
      <c r="R572">
        <f t="shared" si="986"/>
        <v>-43107616.739100948</v>
      </c>
      <c r="S572">
        <f t="shared" si="987"/>
        <v>-431.07616739100951</v>
      </c>
      <c r="T572">
        <f t="shared" si="988"/>
        <v>-0.43107616739100951</v>
      </c>
    </row>
    <row r="573" spans="1:104" x14ac:dyDescent="0.25">
      <c r="A573" s="5">
        <v>44020</v>
      </c>
      <c r="B573">
        <v>0.25731999999999999</v>
      </c>
      <c r="C573">
        <v>0.26450000000000001</v>
      </c>
      <c r="D573">
        <v>0.24471000000000001</v>
      </c>
      <c r="E573">
        <v>0.25102000000000002</v>
      </c>
      <c r="F573">
        <v>14982782.199999999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-0.36230419403739167</v>
      </c>
      <c r="Q573">
        <f t="shared" si="985"/>
        <v>-5428324.8294087779</v>
      </c>
      <c r="R573">
        <f t="shared" si="986"/>
        <v>-42116989.295062289</v>
      </c>
      <c r="S573">
        <f t="shared" si="987"/>
        <v>-421.16989295062291</v>
      </c>
      <c r="T573">
        <f t="shared" si="988"/>
        <v>-0.4211698929506229</v>
      </c>
    </row>
    <row r="574" spans="1:104" x14ac:dyDescent="0.25">
      <c r="A574" s="5">
        <v>44019</v>
      </c>
      <c r="B574">
        <v>0.2301</v>
      </c>
      <c r="C574">
        <v>0.25800000000000001</v>
      </c>
      <c r="D574">
        <v>0.22739000000000001</v>
      </c>
      <c r="E574">
        <v>0.25795000000000001</v>
      </c>
      <c r="F574">
        <v>15306944.6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0.99673309376020947</v>
      </c>
      <c r="Q574">
        <f t="shared" si="985"/>
        <v>15256938.247174131</v>
      </c>
      <c r="R574">
        <f t="shared" si="986"/>
        <v>-36688664.465653509</v>
      </c>
      <c r="S574">
        <f t="shared" si="987"/>
        <v>-366.88664465653511</v>
      </c>
      <c r="T574">
        <f t="shared" si="988"/>
        <v>-0.36688664465653509</v>
      </c>
    </row>
    <row r="575" spans="1:104" x14ac:dyDescent="0.25">
      <c r="A575" s="5">
        <v>44018</v>
      </c>
      <c r="B575">
        <v>0.21645</v>
      </c>
      <c r="C575">
        <v>0.23299</v>
      </c>
      <c r="D575">
        <v>0.21593999999999999</v>
      </c>
      <c r="E575">
        <v>0.23022999999999999</v>
      </c>
      <c r="F575">
        <v>7872655.5999999996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0.67624633431084913</v>
      </c>
      <c r="Q575">
        <f t="shared" si="985"/>
        <v>5323854.4907917781</v>
      </c>
      <c r="R575">
        <f t="shared" si="986"/>
        <v>-51945602.712827638</v>
      </c>
      <c r="S575">
        <f t="shared" si="987"/>
        <v>-519.45602712827633</v>
      </c>
      <c r="T575">
        <f t="shared" si="988"/>
        <v>-0.51945602712827632</v>
      </c>
    </row>
    <row r="576" spans="1:104" x14ac:dyDescent="0.25">
      <c r="A576" s="5">
        <v>44017</v>
      </c>
      <c r="B576">
        <v>0.22245999999999999</v>
      </c>
      <c r="C576">
        <v>0.22305</v>
      </c>
      <c r="D576">
        <v>0.21149999999999999</v>
      </c>
      <c r="E576">
        <v>0.21596000000000001</v>
      </c>
      <c r="F576">
        <v>3131868.2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-0.22770562770562464</v>
      </c>
      <c r="Q576">
        <f t="shared" si="985"/>
        <v>-713144.01437228476</v>
      </c>
      <c r="R576">
        <f t="shared" si="986"/>
        <v>-57269457.203619413</v>
      </c>
      <c r="S576">
        <f t="shared" si="987"/>
        <v>-572.69457203619413</v>
      </c>
      <c r="T576">
        <f t="shared" si="988"/>
        <v>-0.57269457203619412</v>
      </c>
    </row>
    <row r="577" spans="1:20" x14ac:dyDescent="0.25">
      <c r="A577" s="5">
        <v>44016</v>
      </c>
      <c r="B577">
        <v>0.21604999999999999</v>
      </c>
      <c r="C577">
        <v>0.2235</v>
      </c>
      <c r="D577">
        <v>0.21353</v>
      </c>
      <c r="E577">
        <v>0.22306999999999999</v>
      </c>
      <c r="F577">
        <v>4456149.5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0.91374122367101029</v>
      </c>
      <c r="Q577">
        <f t="shared" si="985"/>
        <v>4071767.4969909606</v>
      </c>
      <c r="R577">
        <f t="shared" si="986"/>
        <v>-56556313.189247131</v>
      </c>
      <c r="S577">
        <f t="shared" si="987"/>
        <v>-565.56313189247135</v>
      </c>
      <c r="T577">
        <f t="shared" si="988"/>
        <v>-0.56556313189247132</v>
      </c>
    </row>
    <row r="578" spans="1:20" x14ac:dyDescent="0.25">
      <c r="A578" s="5">
        <v>44015</v>
      </c>
      <c r="B578">
        <v>0.21889</v>
      </c>
      <c r="C578">
        <v>0.21992999999999999</v>
      </c>
      <c r="D578">
        <v>0.21</v>
      </c>
      <c r="E578">
        <v>0.21607000000000001</v>
      </c>
      <c r="F578">
        <v>3909853.3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0.22255790533736622</v>
      </c>
      <c r="Q578">
        <f t="shared" si="985"/>
        <v>870168.76062438893</v>
      </c>
      <c r="R578">
        <f t="shared" si="986"/>
        <v>-60628080.686238095</v>
      </c>
      <c r="S578">
        <f t="shared" si="987"/>
        <v>-606.28080686238093</v>
      </c>
      <c r="T578">
        <f t="shared" si="988"/>
        <v>-0.60628080686238095</v>
      </c>
    </row>
    <row r="579" spans="1:20" x14ac:dyDescent="0.25">
      <c r="A579" s="5">
        <v>44014</v>
      </c>
      <c r="B579">
        <v>0.22181000000000001</v>
      </c>
      <c r="C579">
        <v>0.22484000000000001</v>
      </c>
      <c r="D579">
        <v>0.21349000000000001</v>
      </c>
      <c r="E579">
        <v>0.21889</v>
      </c>
      <c r="F579">
        <v>5611862.7000000002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-4.8458149779737683E-2</v>
      </c>
      <c r="Q579">
        <f t="shared" si="985"/>
        <v>-271940.48325992312</v>
      </c>
      <c r="R579">
        <f t="shared" si="986"/>
        <v>-61498249.446862482</v>
      </c>
      <c r="S579">
        <f t="shared" si="987"/>
        <v>-614.98249446862485</v>
      </c>
      <c r="T579">
        <f t="shared" si="988"/>
        <v>-0.61498249446862485</v>
      </c>
    </row>
    <row r="580" spans="1:20" x14ac:dyDescent="0.25">
      <c r="A580" s="5">
        <v>44013</v>
      </c>
      <c r="B580">
        <v>0.22140000000000001</v>
      </c>
      <c r="C580">
        <v>0.22792000000000001</v>
      </c>
      <c r="D580">
        <v>0.21720999999999999</v>
      </c>
      <c r="E580">
        <v>0.22173000000000001</v>
      </c>
      <c r="F580">
        <v>3610492.6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-0.15592903828197696</v>
      </c>
      <c r="Q580">
        <f t="shared" si="985"/>
        <v>-562980.63884219457</v>
      </c>
      <c r="R580">
        <f t="shared" si="986"/>
        <v>-61226308.963602558</v>
      </c>
      <c r="S580">
        <f t="shared" si="987"/>
        <v>-612.2630896360256</v>
      </c>
      <c r="T580">
        <f t="shared" si="988"/>
        <v>-0.6122630896360256</v>
      </c>
    </row>
    <row r="581" spans="1:20" x14ac:dyDescent="0.25">
      <c r="A581" s="5">
        <v>44012</v>
      </c>
      <c r="B581">
        <v>0.22561999999999999</v>
      </c>
      <c r="C581">
        <v>0.22789999999999999</v>
      </c>
      <c r="D581">
        <v>0.21890000000000001</v>
      </c>
      <c r="E581">
        <v>0.22173000000000001</v>
      </c>
      <c r="F581">
        <v>3160914.9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-0.37111111111110989</v>
      </c>
      <c r="Q581">
        <f t="shared" si="985"/>
        <v>-1173050.6406666627</v>
      </c>
      <c r="R581">
        <f t="shared" si="986"/>
        <v>-60663328.324760363</v>
      </c>
      <c r="S581">
        <f t="shared" si="987"/>
        <v>-606.63328324760357</v>
      </c>
      <c r="T581">
        <f t="shared" si="988"/>
        <v>-0.60663328324760357</v>
      </c>
    </row>
    <row r="582" spans="1:20" x14ac:dyDescent="0.25">
      <c r="A582" s="5">
        <v>44011</v>
      </c>
      <c r="B582">
        <v>0.22423999999999999</v>
      </c>
      <c r="C582">
        <v>0.22800000000000001</v>
      </c>
      <c r="D582">
        <v>0.218</v>
      </c>
      <c r="E582">
        <v>0.22600000000000001</v>
      </c>
      <c r="F582">
        <v>6051506.9000000004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0.6</v>
      </c>
      <c r="Q582">
        <f t="shared" ref="Q582:Q645" si="990">F582*P582</f>
        <v>3630904.14</v>
      </c>
      <c r="R582">
        <f t="shared" ref="R582:R645" si="991">R583+Q582</f>
        <v>-59490277.684093699</v>
      </c>
      <c r="S582">
        <f t="shared" ref="S582:S645" si="992">R582/100000</f>
        <v>-594.90277684093701</v>
      </c>
      <c r="T582">
        <f t="shared" ref="T582:T645" si="993">S582/1000</f>
        <v>-0.59490277684093695</v>
      </c>
    </row>
    <row r="583" spans="1:20" x14ac:dyDescent="0.25">
      <c r="A583" s="5">
        <v>44010</v>
      </c>
      <c r="B583">
        <v>0.20973</v>
      </c>
      <c r="C583">
        <v>0.22500000000000001</v>
      </c>
      <c r="D583">
        <v>0.20849999999999999</v>
      </c>
      <c r="E583">
        <v>0.22442999999999999</v>
      </c>
      <c r="F583">
        <v>6029519.2999999998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0.93090909090908913</v>
      </c>
      <c r="Q583">
        <f t="shared" si="990"/>
        <v>5612934.3301818073</v>
      </c>
      <c r="R583">
        <f t="shared" si="991"/>
        <v>-63121181.824093699</v>
      </c>
      <c r="S583">
        <f t="shared" si="992"/>
        <v>-631.21181824093696</v>
      </c>
      <c r="T583">
        <f t="shared" si="993"/>
        <v>-0.63121181824093697</v>
      </c>
    </row>
    <row r="584" spans="1:20" x14ac:dyDescent="0.25">
      <c r="A584" s="5">
        <v>44009</v>
      </c>
      <c r="B584">
        <v>0.23127</v>
      </c>
      <c r="C584">
        <v>0.23399</v>
      </c>
      <c r="D584">
        <v>0.1923</v>
      </c>
      <c r="E584">
        <v>0.20985999999999999</v>
      </c>
      <c r="F584">
        <v>10032855.300000001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-0.15759174862077283</v>
      </c>
      <c r="Q584">
        <f t="shared" si="990"/>
        <v>-1581095.2103861885</v>
      </c>
      <c r="R584">
        <f t="shared" si="991"/>
        <v>-68734116.154275507</v>
      </c>
      <c r="S584">
        <f t="shared" si="992"/>
        <v>-687.34116154275512</v>
      </c>
      <c r="T584">
        <f t="shared" si="993"/>
        <v>-0.68734116154275515</v>
      </c>
    </row>
    <row r="585" spans="1:20" x14ac:dyDescent="0.25">
      <c r="A585" s="5">
        <v>44008</v>
      </c>
      <c r="B585">
        <v>0.23599000000000001</v>
      </c>
      <c r="C585">
        <v>0.2361</v>
      </c>
      <c r="D585">
        <v>0.22572</v>
      </c>
      <c r="E585">
        <v>0.23130000000000001</v>
      </c>
      <c r="F585">
        <v>5487471.5999999996</v>
      </c>
      <c r="G585">
        <v>0</v>
      </c>
      <c r="L585" t="s">
        <v>7</v>
      </c>
      <c r="M585" t="s">
        <v>8</v>
      </c>
      <c r="N585" t="s">
        <v>7</v>
      </c>
      <c r="P585">
        <f t="shared" si="989"/>
        <v>7.5144508670520513E-2</v>
      </c>
      <c r="Q585">
        <f t="shared" si="990"/>
        <v>412353.35722543503</v>
      </c>
      <c r="R585">
        <f t="shared" si="991"/>
        <v>-67153020.94388932</v>
      </c>
      <c r="S585">
        <f t="shared" si="992"/>
        <v>-671.53020943889317</v>
      </c>
      <c r="T585">
        <f t="shared" si="993"/>
        <v>-0.67153020943889319</v>
      </c>
    </row>
    <row r="586" spans="1:20" x14ac:dyDescent="0.25">
      <c r="A586" s="5">
        <v>44007</v>
      </c>
      <c r="B586">
        <v>0.24539</v>
      </c>
      <c r="C586">
        <v>0.24629999999999999</v>
      </c>
      <c r="D586">
        <v>0.22731000000000001</v>
      </c>
      <c r="E586">
        <v>0.23649000000000001</v>
      </c>
      <c r="F586">
        <v>7994888.7000000002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-3.3175355450236567E-2</v>
      </c>
      <c r="Q586">
        <f t="shared" si="990"/>
        <v>-265233.27440757974</v>
      </c>
      <c r="R586">
        <f t="shared" si="991"/>
        <v>-67565374.301114753</v>
      </c>
      <c r="S586">
        <f t="shared" si="992"/>
        <v>-675.65374301114753</v>
      </c>
      <c r="T586">
        <f t="shared" si="993"/>
        <v>-0.67565374301114756</v>
      </c>
    </row>
    <row r="587" spans="1:20" x14ac:dyDescent="0.25">
      <c r="A587" s="5">
        <v>44006</v>
      </c>
      <c r="B587">
        <v>0.25746999999999998</v>
      </c>
      <c r="C587">
        <v>0.26434999999999997</v>
      </c>
      <c r="D587">
        <v>0.23380999999999999</v>
      </c>
      <c r="E587">
        <v>0.24507999999999999</v>
      </c>
      <c r="F587">
        <v>16344015.9</v>
      </c>
      <c r="G587">
        <v>0</v>
      </c>
      <c r="L587" t="s">
        <v>8</v>
      </c>
      <c r="M587" t="s">
        <v>8</v>
      </c>
      <c r="N587" t="s">
        <v>7</v>
      </c>
      <c r="P587">
        <f t="shared" si="989"/>
        <v>-0.26195153896529089</v>
      </c>
      <c r="Q587">
        <f t="shared" si="990"/>
        <v>-4281340.1178781837</v>
      </c>
      <c r="R587">
        <f t="shared" si="991"/>
        <v>-67300141.026707172</v>
      </c>
      <c r="S587">
        <f t="shared" si="992"/>
        <v>-673.00141026707172</v>
      </c>
      <c r="T587">
        <f t="shared" si="993"/>
        <v>-0.67300141026707172</v>
      </c>
    </row>
    <row r="588" spans="1:20" x14ac:dyDescent="0.25">
      <c r="A588" s="5">
        <v>44005</v>
      </c>
      <c r="B588">
        <v>0.24248</v>
      </c>
      <c r="C588">
        <v>0.25853999999999999</v>
      </c>
      <c r="D588">
        <v>0.24</v>
      </c>
      <c r="E588">
        <v>0.25746999999999998</v>
      </c>
      <c r="F588">
        <v>23971766.600000001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0.88457389428263045</v>
      </c>
      <c r="Q588">
        <f t="shared" si="990"/>
        <v>21204798.934196293</v>
      </c>
      <c r="R588">
        <f t="shared" si="991"/>
        <v>-63018800.908828989</v>
      </c>
      <c r="S588">
        <f t="shared" si="992"/>
        <v>-630.18800908828985</v>
      </c>
      <c r="T588">
        <f t="shared" si="993"/>
        <v>-0.63018800908828987</v>
      </c>
    </row>
    <row r="589" spans="1:20" x14ac:dyDescent="0.25">
      <c r="A589" s="5">
        <v>44004</v>
      </c>
      <c r="B589">
        <v>0.22056999999999999</v>
      </c>
      <c r="C589">
        <v>0.24299999999999999</v>
      </c>
      <c r="D589">
        <v>0.21926000000000001</v>
      </c>
      <c r="E589">
        <v>0.24201</v>
      </c>
      <c r="F589">
        <v>17762972.399999999</v>
      </c>
      <c r="G589">
        <v>0</v>
      </c>
      <c r="L589" t="s">
        <v>8</v>
      </c>
      <c r="M589" t="s">
        <v>7</v>
      </c>
      <c r="N589" t="s">
        <v>7</v>
      </c>
      <c r="P589">
        <f t="shared" si="989"/>
        <v>0.91659646166807152</v>
      </c>
      <c r="Q589">
        <f t="shared" si="990"/>
        <v>16281477.650547611</v>
      </c>
      <c r="R589">
        <f t="shared" si="991"/>
        <v>-84223599.843025282</v>
      </c>
      <c r="S589">
        <f t="shared" si="992"/>
        <v>-842.23599843025283</v>
      </c>
      <c r="T589">
        <f t="shared" si="993"/>
        <v>-0.84223599843025287</v>
      </c>
    </row>
    <row r="590" spans="1:20" x14ac:dyDescent="0.25">
      <c r="A590" s="5">
        <v>44003</v>
      </c>
      <c r="B590">
        <v>0.22137999999999999</v>
      </c>
      <c r="C590">
        <v>0.22611999999999999</v>
      </c>
      <c r="D590">
        <v>0.21915999999999999</v>
      </c>
      <c r="E590">
        <v>0.22056999999999999</v>
      </c>
      <c r="F590">
        <v>4439979.3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-0.5948275862068978</v>
      </c>
      <c r="Q590">
        <f t="shared" si="990"/>
        <v>-2641022.1698275916</v>
      </c>
      <c r="R590">
        <f t="shared" si="991"/>
        <v>-100505077.49357289</v>
      </c>
      <c r="S590">
        <f t="shared" si="992"/>
        <v>-1005.0507749357289</v>
      </c>
      <c r="T590">
        <f t="shared" si="993"/>
        <v>-1.0050507749357289</v>
      </c>
    </row>
    <row r="591" spans="1:20" x14ac:dyDescent="0.25">
      <c r="A591" s="5">
        <v>44002</v>
      </c>
      <c r="B591">
        <v>0.22406000000000001</v>
      </c>
      <c r="C591">
        <v>0.22611999999999999</v>
      </c>
      <c r="D591">
        <v>0.216</v>
      </c>
      <c r="E591">
        <v>0.22137999999999999</v>
      </c>
      <c r="F591">
        <v>6370596.2000000002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6.3241106719367821E-2</v>
      </c>
      <c r="Q591">
        <f t="shared" si="990"/>
        <v>402883.55415019911</v>
      </c>
      <c r="R591">
        <f t="shared" si="991"/>
        <v>-97864055.323745295</v>
      </c>
      <c r="S591">
        <f t="shared" si="992"/>
        <v>-978.64055323745299</v>
      </c>
      <c r="T591">
        <f t="shared" si="993"/>
        <v>-0.97864055323745303</v>
      </c>
    </row>
    <row r="592" spans="1:20" x14ac:dyDescent="0.25">
      <c r="A592" s="5">
        <v>44001</v>
      </c>
      <c r="B592">
        <v>0.22312000000000001</v>
      </c>
      <c r="C592">
        <v>0.23477999999999999</v>
      </c>
      <c r="D592">
        <v>0.21976999999999999</v>
      </c>
      <c r="E592">
        <v>0.22406000000000001</v>
      </c>
      <c r="F592">
        <v>14225302.300000001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-0.42838107928047736</v>
      </c>
      <c r="Q592">
        <f t="shared" si="990"/>
        <v>-6093850.352365057</v>
      </c>
      <c r="R592">
        <f t="shared" si="991"/>
        <v>-98266938.877895489</v>
      </c>
      <c r="S592">
        <f t="shared" si="992"/>
        <v>-982.66938877895484</v>
      </c>
      <c r="T592">
        <f t="shared" si="993"/>
        <v>-0.98266938877895482</v>
      </c>
    </row>
    <row r="593" spans="1:20" x14ac:dyDescent="0.25">
      <c r="A593" s="5">
        <v>44000</v>
      </c>
      <c r="B593">
        <v>0.23430999999999999</v>
      </c>
      <c r="C593">
        <v>0.23430999999999999</v>
      </c>
      <c r="D593">
        <v>0.21787000000000001</v>
      </c>
      <c r="E593">
        <v>0.22312000000000001</v>
      </c>
      <c r="F593">
        <v>10294776.4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-0.36131386861313741</v>
      </c>
      <c r="Q593">
        <f t="shared" si="990"/>
        <v>-3719645.487591228</v>
      </c>
      <c r="R593">
        <f t="shared" si="991"/>
        <v>-92173088.525530428</v>
      </c>
      <c r="S593">
        <f t="shared" si="992"/>
        <v>-921.73088525530432</v>
      </c>
      <c r="T593">
        <f t="shared" si="993"/>
        <v>-0.92173088525530433</v>
      </c>
    </row>
    <row r="594" spans="1:20" x14ac:dyDescent="0.25">
      <c r="A594" s="5">
        <v>43999</v>
      </c>
      <c r="B594">
        <v>0.2339</v>
      </c>
      <c r="C594">
        <v>0.24034</v>
      </c>
      <c r="D594">
        <v>0.22320999999999999</v>
      </c>
      <c r="E594">
        <v>0.23479</v>
      </c>
      <c r="F594">
        <v>11826808.4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0.35201401050788123</v>
      </c>
      <c r="Q594">
        <f t="shared" si="990"/>
        <v>4163202.2563922983</v>
      </c>
      <c r="R594">
        <f t="shared" si="991"/>
        <v>-88453443.037939206</v>
      </c>
      <c r="S594">
        <f t="shared" si="992"/>
        <v>-884.53443037939201</v>
      </c>
      <c r="T594">
        <f t="shared" si="993"/>
        <v>-0.88453443037939206</v>
      </c>
    </row>
    <row r="595" spans="1:20" x14ac:dyDescent="0.25">
      <c r="A595" s="5">
        <v>43998</v>
      </c>
      <c r="B595">
        <v>0.23419999999999999</v>
      </c>
      <c r="C595">
        <v>0.23849999999999999</v>
      </c>
      <c r="D595">
        <v>0.22427</v>
      </c>
      <c r="E595">
        <v>0.23413999999999999</v>
      </c>
      <c r="F595">
        <v>10635656.4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0.38721011946591638</v>
      </c>
      <c r="Q595">
        <f t="shared" si="990"/>
        <v>4118233.7852424383</v>
      </c>
      <c r="R595">
        <f t="shared" si="991"/>
        <v>-92616645.294331506</v>
      </c>
      <c r="S595">
        <f t="shared" si="992"/>
        <v>-926.16645294331511</v>
      </c>
      <c r="T595">
        <f t="shared" si="993"/>
        <v>-0.92616645294331512</v>
      </c>
    </row>
    <row r="596" spans="1:20" x14ac:dyDescent="0.25">
      <c r="A596" s="5">
        <v>43997</v>
      </c>
      <c r="B596">
        <v>0.23164999999999999</v>
      </c>
      <c r="C596">
        <v>0.23930999999999999</v>
      </c>
      <c r="D596">
        <v>0.21016000000000001</v>
      </c>
      <c r="E596">
        <v>0.23446</v>
      </c>
      <c r="F596">
        <v>21768496.399999999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0.66723842195540339</v>
      </c>
      <c r="Q596">
        <f t="shared" si="990"/>
        <v>14524777.186277879</v>
      </c>
      <c r="R596">
        <f t="shared" si="991"/>
        <v>-96734879.079573944</v>
      </c>
      <c r="S596">
        <f t="shared" si="992"/>
        <v>-967.34879079573943</v>
      </c>
      <c r="T596">
        <f t="shared" si="993"/>
        <v>-0.96734879079573943</v>
      </c>
    </row>
    <row r="597" spans="1:20" x14ac:dyDescent="0.25">
      <c r="A597" s="5">
        <v>43996</v>
      </c>
      <c r="B597">
        <v>0.25195000000000001</v>
      </c>
      <c r="C597">
        <v>0.25219000000000003</v>
      </c>
      <c r="D597">
        <v>0.22600000000000001</v>
      </c>
      <c r="E597">
        <v>0.23149</v>
      </c>
      <c r="F597">
        <v>21049301</v>
      </c>
      <c r="G597">
        <v>0</v>
      </c>
      <c r="L597" t="s">
        <v>7</v>
      </c>
      <c r="M597" t="s">
        <v>7</v>
      </c>
      <c r="N597" t="s">
        <v>7</v>
      </c>
      <c r="P597">
        <f t="shared" si="989"/>
        <v>-0.58075601374570518</v>
      </c>
      <c r="Q597">
        <f t="shared" si="990"/>
        <v>-12224508.140893485</v>
      </c>
      <c r="R597">
        <f t="shared" si="991"/>
        <v>-111259656.26585183</v>
      </c>
      <c r="S597">
        <f t="shared" si="992"/>
        <v>-1112.5965626585182</v>
      </c>
      <c r="T597">
        <f t="shared" si="993"/>
        <v>-1.1125965626585181</v>
      </c>
    </row>
    <row r="598" spans="1:20" x14ac:dyDescent="0.25">
      <c r="A598" s="5">
        <v>43995</v>
      </c>
      <c r="B598">
        <v>0.25255</v>
      </c>
      <c r="C598">
        <v>0.27100000000000002</v>
      </c>
      <c r="D598">
        <v>0.24399999999999999</v>
      </c>
      <c r="E598">
        <v>0.25153999999999999</v>
      </c>
      <c r="F598">
        <v>48278161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-0.44148148148148264</v>
      </c>
      <c r="Q598">
        <f t="shared" si="990"/>
        <v>-21313914.041481536</v>
      </c>
      <c r="R598">
        <f t="shared" si="991"/>
        <v>-99035148.124958336</v>
      </c>
      <c r="S598">
        <f t="shared" si="992"/>
        <v>-990.35148124958334</v>
      </c>
      <c r="T598">
        <f t="shared" si="993"/>
        <v>-0.99035148124958339</v>
      </c>
    </row>
    <row r="599" spans="1:20" x14ac:dyDescent="0.25">
      <c r="A599" s="5">
        <v>43994</v>
      </c>
      <c r="B599">
        <v>0.20441000000000001</v>
      </c>
      <c r="C599">
        <v>0.26100000000000001</v>
      </c>
      <c r="D599">
        <v>0.2</v>
      </c>
      <c r="E599">
        <v>0.25263999999999998</v>
      </c>
      <c r="F599">
        <v>55447792.600000001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0.72590163934426122</v>
      </c>
      <c r="Q599">
        <f t="shared" si="990"/>
        <v>40249643.546360597</v>
      </c>
      <c r="R599">
        <f t="shared" si="991"/>
        <v>-77721234.083476797</v>
      </c>
      <c r="S599">
        <f t="shared" si="992"/>
        <v>-777.21234083476793</v>
      </c>
      <c r="T599">
        <f t="shared" si="993"/>
        <v>-0.77721234083476798</v>
      </c>
    </row>
    <row r="600" spans="1:20" x14ac:dyDescent="0.25">
      <c r="A600" s="5">
        <v>43993</v>
      </c>
      <c r="B600">
        <v>0.23921000000000001</v>
      </c>
      <c r="C600">
        <v>0.24939</v>
      </c>
      <c r="D600">
        <v>0.2001</v>
      </c>
      <c r="E600">
        <v>0.20451</v>
      </c>
      <c r="F600">
        <v>25622305.300000001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-0.8210590383444919</v>
      </c>
      <c r="Q600">
        <f t="shared" si="990"/>
        <v>-21037425.349786978</v>
      </c>
      <c r="R600">
        <f t="shared" si="991"/>
        <v>-117970877.62983739</v>
      </c>
      <c r="S600">
        <f t="shared" si="992"/>
        <v>-1179.708776298374</v>
      </c>
      <c r="T600">
        <f t="shared" si="993"/>
        <v>-1.179708776298374</v>
      </c>
    </row>
    <row r="601" spans="1:20" x14ac:dyDescent="0.25">
      <c r="A601" s="5">
        <v>43992</v>
      </c>
      <c r="B601">
        <v>0.25235000000000002</v>
      </c>
      <c r="C601">
        <v>0.25305</v>
      </c>
      <c r="D601">
        <v>0.23599999999999999</v>
      </c>
      <c r="E601">
        <v>0.2392</v>
      </c>
      <c r="F601">
        <v>13830281.300000001</v>
      </c>
      <c r="G601">
        <v>0</v>
      </c>
      <c r="L601" t="s">
        <v>7</v>
      </c>
      <c r="M601" t="s">
        <v>7</v>
      </c>
      <c r="N601" t="s">
        <v>7</v>
      </c>
      <c r="P601">
        <f t="shared" si="989"/>
        <v>-0.62463343108504321</v>
      </c>
      <c r="Q601">
        <f t="shared" si="990"/>
        <v>-8638856.0612903126</v>
      </c>
      <c r="R601">
        <f t="shared" si="991"/>
        <v>-96933452.280050412</v>
      </c>
      <c r="S601">
        <f t="shared" si="992"/>
        <v>-969.33452280050415</v>
      </c>
      <c r="T601">
        <f t="shared" si="993"/>
        <v>-0.96933452280050414</v>
      </c>
    </row>
    <row r="602" spans="1:20" x14ac:dyDescent="0.25">
      <c r="A602" s="5">
        <v>43991</v>
      </c>
      <c r="B602">
        <v>0.25467000000000001</v>
      </c>
      <c r="C602">
        <v>0.25781999999999999</v>
      </c>
      <c r="D602">
        <v>0.24668000000000001</v>
      </c>
      <c r="E602">
        <v>0.25235000000000002</v>
      </c>
      <c r="F602">
        <v>10451293.199999999</v>
      </c>
      <c r="G602">
        <v>0</v>
      </c>
      <c r="L602" t="s">
        <v>7</v>
      </c>
      <c r="M602" t="s">
        <v>7</v>
      </c>
      <c r="N602" t="s">
        <v>7</v>
      </c>
      <c r="P602">
        <f t="shared" si="989"/>
        <v>1.7953321364455457E-2</v>
      </c>
      <c r="Q602">
        <f t="shared" si="990"/>
        <v>187635.42549374801</v>
      </c>
      <c r="R602">
        <f t="shared" si="991"/>
        <v>-88294596.218760103</v>
      </c>
      <c r="S602">
        <f t="shared" si="992"/>
        <v>-882.94596218760103</v>
      </c>
      <c r="T602">
        <f t="shared" si="993"/>
        <v>-0.88294596218760102</v>
      </c>
    </row>
    <row r="603" spans="1:20" x14ac:dyDescent="0.25">
      <c r="A603" s="5">
        <v>43990</v>
      </c>
      <c r="B603">
        <v>0.26502999999999999</v>
      </c>
      <c r="C603">
        <v>0.26608999999999999</v>
      </c>
      <c r="D603">
        <v>0.24998999999999999</v>
      </c>
      <c r="E603">
        <v>0.25491999999999998</v>
      </c>
      <c r="F603">
        <v>26886459.699999999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-0.38757763975155418</v>
      </c>
      <c r="Q603">
        <f t="shared" si="990"/>
        <v>-10420590.59180128</v>
      </c>
      <c r="R603">
        <f t="shared" si="991"/>
        <v>-88482231.64425385</v>
      </c>
      <c r="S603">
        <f t="shared" si="992"/>
        <v>-884.82231644253852</v>
      </c>
      <c r="T603">
        <f t="shared" si="993"/>
        <v>-0.8848223164425385</v>
      </c>
    </row>
    <row r="604" spans="1:20" x14ac:dyDescent="0.25">
      <c r="A604" s="5">
        <v>43989</v>
      </c>
      <c r="B604">
        <v>0.27049000000000001</v>
      </c>
      <c r="C604">
        <v>0.27079999999999999</v>
      </c>
      <c r="D604">
        <v>0.25</v>
      </c>
      <c r="E604">
        <v>0.26517000000000002</v>
      </c>
      <c r="F604">
        <v>28395446.800000001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0.4586538461538488</v>
      </c>
      <c r="Q604">
        <f t="shared" si="990"/>
        <v>13023680.888076998</v>
      </c>
      <c r="R604">
        <f t="shared" si="991"/>
        <v>-78061641.052452564</v>
      </c>
      <c r="S604">
        <f t="shared" si="992"/>
        <v>-780.61641052452569</v>
      </c>
      <c r="T604">
        <f t="shared" si="993"/>
        <v>-0.78061641052452568</v>
      </c>
    </row>
    <row r="605" spans="1:20" x14ac:dyDescent="0.25">
      <c r="A605" s="5">
        <v>43988</v>
      </c>
      <c r="B605">
        <v>0.27883000000000002</v>
      </c>
      <c r="C605">
        <v>0.28922999999999999</v>
      </c>
      <c r="D605">
        <v>0.26999000000000001</v>
      </c>
      <c r="E605">
        <v>0.27057999999999999</v>
      </c>
      <c r="F605">
        <v>17333335.800000001</v>
      </c>
      <c r="G605">
        <v>0</v>
      </c>
      <c r="L605" t="s">
        <v>7</v>
      </c>
      <c r="M605" t="s">
        <v>8</v>
      </c>
      <c r="N605" t="s">
        <v>7</v>
      </c>
      <c r="P605">
        <f t="shared" si="989"/>
        <v>-0.93866943866944075</v>
      </c>
      <c r="Q605">
        <f t="shared" si="990"/>
        <v>-16270272.585654922</v>
      </c>
      <c r="R605">
        <f t="shared" si="991"/>
        <v>-91085321.940529555</v>
      </c>
      <c r="S605">
        <f t="shared" si="992"/>
        <v>-910.85321940529559</v>
      </c>
      <c r="T605">
        <f t="shared" si="993"/>
        <v>-0.91085321940529562</v>
      </c>
    </row>
    <row r="606" spans="1:20" x14ac:dyDescent="0.25">
      <c r="A606" s="5">
        <v>43987</v>
      </c>
      <c r="B606">
        <v>0.28491</v>
      </c>
      <c r="C606">
        <v>0.30499999999999999</v>
      </c>
      <c r="D606">
        <v>0.27511999999999998</v>
      </c>
      <c r="E606">
        <v>0.27883000000000002</v>
      </c>
      <c r="F606">
        <v>28796443.699999999</v>
      </c>
      <c r="G606">
        <v>0</v>
      </c>
      <c r="L606" t="s">
        <v>8</v>
      </c>
      <c r="M606" t="s">
        <v>8</v>
      </c>
      <c r="N606" t="s">
        <v>7</v>
      </c>
      <c r="P606">
        <f t="shared" si="989"/>
        <v>-0.75167336010709207</v>
      </c>
      <c r="Q606">
        <f t="shared" si="990"/>
        <v>-21645519.595113702</v>
      </c>
      <c r="R606">
        <f t="shared" si="991"/>
        <v>-74815049.354874626</v>
      </c>
      <c r="S606">
        <f t="shared" si="992"/>
        <v>-748.15049354874623</v>
      </c>
      <c r="T606">
        <f t="shared" si="993"/>
        <v>-0.74815049354874619</v>
      </c>
    </row>
    <row r="607" spans="1:20" x14ac:dyDescent="0.25">
      <c r="A607" s="5">
        <v>43986</v>
      </c>
      <c r="B607">
        <v>0.27606999999999998</v>
      </c>
      <c r="C607">
        <v>0.29399999999999998</v>
      </c>
      <c r="D607">
        <v>0.26600000000000001</v>
      </c>
      <c r="E607">
        <v>0.28491</v>
      </c>
      <c r="F607">
        <v>38015936.299999997</v>
      </c>
      <c r="G607">
        <v>0</v>
      </c>
      <c r="L607" t="s">
        <v>8</v>
      </c>
      <c r="M607" t="s">
        <v>8</v>
      </c>
      <c r="N607" t="s">
        <v>7</v>
      </c>
      <c r="P607">
        <f t="shared" si="989"/>
        <v>0.35071428571428592</v>
      </c>
      <c r="Q607">
        <f t="shared" si="990"/>
        <v>13332731.945214292</v>
      </c>
      <c r="R607">
        <f t="shared" si="991"/>
        <v>-53169529.759760924</v>
      </c>
      <c r="S607">
        <f t="shared" si="992"/>
        <v>-531.69529759760928</v>
      </c>
      <c r="T607">
        <f t="shared" si="993"/>
        <v>-0.53169529759760925</v>
      </c>
    </row>
    <row r="608" spans="1:20" x14ac:dyDescent="0.25">
      <c r="A608" s="5">
        <v>43985</v>
      </c>
      <c r="B608">
        <v>0.25468000000000002</v>
      </c>
      <c r="C608">
        <v>0.27992</v>
      </c>
      <c r="D608">
        <v>0.24958</v>
      </c>
      <c r="E608">
        <v>0.27606999999999998</v>
      </c>
      <c r="F608">
        <v>27847753.800000001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0.74620962425840343</v>
      </c>
      <c r="Q608">
        <f t="shared" si="990"/>
        <v>20780261.899538528</v>
      </c>
      <c r="R608">
        <f t="shared" si="991"/>
        <v>-66502261.704975218</v>
      </c>
      <c r="S608">
        <f t="shared" si="992"/>
        <v>-665.02261704975217</v>
      </c>
      <c r="T608">
        <f t="shared" si="993"/>
        <v>-0.66502261704975218</v>
      </c>
    </row>
    <row r="609" spans="1:20" x14ac:dyDescent="0.25">
      <c r="A609" s="5">
        <v>43984</v>
      </c>
      <c r="B609">
        <v>0.27107999999999999</v>
      </c>
      <c r="C609">
        <v>0.28293000000000001</v>
      </c>
      <c r="D609">
        <v>0.23</v>
      </c>
      <c r="E609">
        <v>0.25468000000000002</v>
      </c>
      <c r="F609">
        <v>40130269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-6.7447572265255801E-2</v>
      </c>
      <c r="Q609">
        <f t="shared" si="990"/>
        <v>-2706689.2184016546</v>
      </c>
      <c r="R609">
        <f t="shared" si="991"/>
        <v>-87282523.604513749</v>
      </c>
      <c r="S609">
        <f t="shared" si="992"/>
        <v>-872.82523604513744</v>
      </c>
      <c r="T609">
        <f t="shared" si="993"/>
        <v>-0.8728252360451374</v>
      </c>
    </row>
    <row r="610" spans="1:20" x14ac:dyDescent="0.25">
      <c r="A610" s="5">
        <v>43983</v>
      </c>
      <c r="B610">
        <v>0.24682999999999999</v>
      </c>
      <c r="C610">
        <v>0.29186000000000001</v>
      </c>
      <c r="D610">
        <v>0.24343000000000001</v>
      </c>
      <c r="E610">
        <v>0.27107999999999999</v>
      </c>
      <c r="F610">
        <v>55503120.5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0.1418542225893033</v>
      </c>
      <c r="Q610">
        <f t="shared" si="990"/>
        <v>7873352.0098079229</v>
      </c>
      <c r="R610">
        <f t="shared" si="991"/>
        <v>-84575834.386112094</v>
      </c>
      <c r="S610">
        <f t="shared" si="992"/>
        <v>-845.75834386112092</v>
      </c>
      <c r="T610">
        <f t="shared" si="993"/>
        <v>-0.84575834386112092</v>
      </c>
    </row>
    <row r="611" spans="1:20" x14ac:dyDescent="0.25">
      <c r="A611" s="5">
        <v>43982</v>
      </c>
      <c r="B611">
        <v>0.28666000000000003</v>
      </c>
      <c r="C611">
        <v>0.28989999999999999</v>
      </c>
      <c r="D611">
        <v>0.24152000000000001</v>
      </c>
      <c r="E611">
        <v>0.24692</v>
      </c>
      <c r="F611">
        <v>59815107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-0.77676725919801615</v>
      </c>
      <c r="Q611">
        <f t="shared" si="990"/>
        <v>-46462416.723026067</v>
      </c>
      <c r="R611">
        <f t="shared" si="991"/>
        <v>-92449186.395920023</v>
      </c>
      <c r="S611">
        <f t="shared" si="992"/>
        <v>-924.49186395920026</v>
      </c>
      <c r="T611">
        <f t="shared" si="993"/>
        <v>-0.92449186395920024</v>
      </c>
    </row>
    <row r="612" spans="1:20" x14ac:dyDescent="0.25">
      <c r="A612" s="5">
        <v>43981</v>
      </c>
      <c r="B612">
        <v>0.30952000000000002</v>
      </c>
      <c r="C612">
        <v>0.31095</v>
      </c>
      <c r="D612">
        <v>0.28231000000000001</v>
      </c>
      <c r="E612">
        <v>0.28649999999999998</v>
      </c>
      <c r="F612">
        <v>44649913.799999997</v>
      </c>
      <c r="G612">
        <v>0</v>
      </c>
      <c r="L612" t="s">
        <v>7</v>
      </c>
      <c r="M612" t="s">
        <v>8</v>
      </c>
      <c r="N612" t="s">
        <v>7</v>
      </c>
      <c r="P612">
        <f t="shared" si="989"/>
        <v>-0.70740223463687346</v>
      </c>
      <c r="Q612">
        <f t="shared" si="990"/>
        <v>-31585448.798463773</v>
      </c>
      <c r="R612">
        <f t="shared" si="991"/>
        <v>-45986769.672893956</v>
      </c>
      <c r="S612">
        <f t="shared" si="992"/>
        <v>-459.86769672893956</v>
      </c>
      <c r="T612">
        <f t="shared" si="993"/>
        <v>-0.45986769672893957</v>
      </c>
    </row>
    <row r="613" spans="1:20" x14ac:dyDescent="0.25">
      <c r="A613" s="5">
        <v>43980</v>
      </c>
      <c r="B613">
        <v>0.31113000000000002</v>
      </c>
      <c r="C613">
        <v>0.33661999999999997</v>
      </c>
      <c r="D613">
        <v>0.28999999999999998</v>
      </c>
      <c r="E613">
        <v>0.30947999999999998</v>
      </c>
      <c r="F613">
        <v>73564002.099999994</v>
      </c>
      <c r="G613">
        <v>0</v>
      </c>
      <c r="L613" t="s">
        <v>8</v>
      </c>
      <c r="M613" t="s">
        <v>8</v>
      </c>
      <c r="N613" t="s">
        <v>7</v>
      </c>
      <c r="P613">
        <f t="shared" si="989"/>
        <v>-0.16430716430716433</v>
      </c>
      <c r="Q613">
        <f t="shared" si="990"/>
        <v>-12087092.580137281</v>
      </c>
      <c r="R613">
        <f t="shared" si="991"/>
        <v>-14401320.874430185</v>
      </c>
      <c r="S613">
        <f t="shared" si="992"/>
        <v>-144.01320874430186</v>
      </c>
      <c r="T613">
        <f t="shared" si="993"/>
        <v>-0.14401320874430187</v>
      </c>
    </row>
    <row r="614" spans="1:20" x14ac:dyDescent="0.25">
      <c r="A614" s="5">
        <v>43979</v>
      </c>
      <c r="B614">
        <v>0.32491999999999999</v>
      </c>
      <c r="C614">
        <v>0.36</v>
      </c>
      <c r="D614">
        <v>0.27272000000000002</v>
      </c>
      <c r="E614">
        <v>0.31117</v>
      </c>
      <c r="F614">
        <v>102953059.2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-0.11892758936755275</v>
      </c>
      <c r="Q614">
        <f t="shared" si="990"/>
        <v>-12243959.148670949</v>
      </c>
      <c r="R614">
        <f t="shared" si="991"/>
        <v>-2314228.2942929044</v>
      </c>
      <c r="S614">
        <f t="shared" si="992"/>
        <v>-23.142282942929043</v>
      </c>
      <c r="T614">
        <f t="shared" si="993"/>
        <v>-2.3142282942929044E-2</v>
      </c>
    </row>
    <row r="615" spans="1:20" x14ac:dyDescent="0.25">
      <c r="A615" s="5">
        <v>43978</v>
      </c>
      <c r="B615">
        <v>0.40300999999999998</v>
      </c>
      <c r="C615">
        <v>0.58899999999999997</v>
      </c>
      <c r="D615">
        <v>0.30125000000000002</v>
      </c>
      <c r="E615">
        <v>0.32401999999999997</v>
      </c>
      <c r="F615">
        <v>128330268.09999999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-0.84173761946133829</v>
      </c>
      <c r="Q615">
        <f t="shared" si="990"/>
        <v>-108020414.37532932</v>
      </c>
      <c r="R615">
        <f t="shared" si="991"/>
        <v>9929730.8543780446</v>
      </c>
      <c r="S615">
        <f t="shared" si="992"/>
        <v>99.297308543780446</v>
      </c>
      <c r="T615">
        <f t="shared" si="993"/>
        <v>9.9297308543780452E-2</v>
      </c>
    </row>
    <row r="616" spans="1:20" x14ac:dyDescent="0.25">
      <c r="A616" s="5">
        <v>43977</v>
      </c>
      <c r="B616">
        <v>0.3533</v>
      </c>
      <c r="C616">
        <v>0.47199999999999998</v>
      </c>
      <c r="D616">
        <v>0.34512999999999999</v>
      </c>
      <c r="E616">
        <v>0.40300999999999998</v>
      </c>
      <c r="F616">
        <v>55642517.299999997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-8.7569953495704345E-2</v>
      </c>
      <c r="Q616">
        <f t="shared" si="990"/>
        <v>-4872612.6523449244</v>
      </c>
      <c r="R616">
        <f t="shared" si="991"/>
        <v>117950145.22970736</v>
      </c>
      <c r="S616">
        <f t="shared" si="992"/>
        <v>1179.5014522970737</v>
      </c>
      <c r="T616">
        <f t="shared" si="993"/>
        <v>1.1795014522970737</v>
      </c>
    </row>
    <row r="617" spans="1:20" x14ac:dyDescent="0.25">
      <c r="A617" s="5">
        <v>43976</v>
      </c>
      <c r="B617">
        <v>0.34234999999999999</v>
      </c>
      <c r="C617">
        <v>0.37769999999999998</v>
      </c>
      <c r="D617">
        <v>0.33041999999999999</v>
      </c>
      <c r="E617">
        <v>0.35326999999999997</v>
      </c>
      <c r="F617">
        <v>29775974.5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-3.3417935702200217E-2</v>
      </c>
      <c r="Q617">
        <f t="shared" si="990"/>
        <v>-995051.60131135327</v>
      </c>
      <c r="R617">
        <f t="shared" si="991"/>
        <v>122822757.88205229</v>
      </c>
      <c r="S617">
        <f t="shared" si="992"/>
        <v>1228.2275788205229</v>
      </c>
      <c r="T617">
        <f t="shared" si="993"/>
        <v>1.228227578820523</v>
      </c>
    </row>
    <row r="618" spans="1:20" x14ac:dyDescent="0.25">
      <c r="A618" s="5">
        <v>43975</v>
      </c>
      <c r="B618">
        <v>0.30186000000000002</v>
      </c>
      <c r="C618">
        <v>0.38400000000000001</v>
      </c>
      <c r="D618">
        <v>0.30087999999999998</v>
      </c>
      <c r="E618">
        <v>0.34231</v>
      </c>
      <c r="F618">
        <v>52330168.899999999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-3.128007699711049E-3</v>
      </c>
      <c r="Q618">
        <f t="shared" si="990"/>
        <v>-163689.17124637967</v>
      </c>
      <c r="R618">
        <f t="shared" si="991"/>
        <v>123817809.48336364</v>
      </c>
      <c r="S618">
        <f t="shared" si="992"/>
        <v>1238.1780948336364</v>
      </c>
      <c r="T618">
        <f t="shared" si="993"/>
        <v>1.2381780948336363</v>
      </c>
    </row>
    <row r="619" spans="1:20" x14ac:dyDescent="0.25">
      <c r="A619" s="5">
        <v>43974</v>
      </c>
      <c r="B619">
        <v>0.26896999999999999</v>
      </c>
      <c r="C619">
        <v>0.309</v>
      </c>
      <c r="D619">
        <v>0.26075999999999999</v>
      </c>
      <c r="E619">
        <v>0.30170000000000002</v>
      </c>
      <c r="F619">
        <v>19813784.800000001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0.69734660033167606</v>
      </c>
      <c r="Q619">
        <f t="shared" si="990"/>
        <v>13817075.469983438</v>
      </c>
      <c r="R619">
        <f t="shared" si="991"/>
        <v>123981498.65461002</v>
      </c>
      <c r="S619">
        <f t="shared" si="992"/>
        <v>1239.8149865461003</v>
      </c>
      <c r="T619">
        <f t="shared" si="993"/>
        <v>1.2398149865461003</v>
      </c>
    </row>
    <row r="620" spans="1:20" x14ac:dyDescent="0.25">
      <c r="A620" s="5">
        <v>43973</v>
      </c>
      <c r="B620">
        <v>0.26429999999999998</v>
      </c>
      <c r="C620">
        <v>0.28121000000000002</v>
      </c>
      <c r="D620">
        <v>0.24532000000000001</v>
      </c>
      <c r="E620">
        <v>0.26799000000000001</v>
      </c>
      <c r="F620">
        <v>20408395</v>
      </c>
      <c r="G620">
        <v>0</v>
      </c>
      <c r="L620" t="s">
        <v>7</v>
      </c>
      <c r="M620" t="s">
        <v>7</v>
      </c>
      <c r="N620" t="s">
        <v>8</v>
      </c>
      <c r="P620">
        <f t="shared" si="989"/>
        <v>0.26330454165505668</v>
      </c>
      <c r="Q620">
        <f t="shared" si="990"/>
        <v>5373623.0913903508</v>
      </c>
      <c r="R620">
        <f t="shared" si="991"/>
        <v>110164423.18462658</v>
      </c>
      <c r="S620">
        <f t="shared" si="992"/>
        <v>1101.6442318462657</v>
      </c>
      <c r="T620">
        <f t="shared" si="993"/>
        <v>1.1016442318462658</v>
      </c>
    </row>
    <row r="621" spans="1:20" x14ac:dyDescent="0.25">
      <c r="A621" s="5">
        <v>43972</v>
      </c>
      <c r="B621">
        <v>0.27922000000000002</v>
      </c>
      <c r="C621">
        <v>0.33</v>
      </c>
      <c r="D621">
        <v>0.23827000000000001</v>
      </c>
      <c r="E621">
        <v>0.26400000000000001</v>
      </c>
      <c r="F621">
        <v>74127728.400000006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-0.43900577782622913</v>
      </c>
      <c r="Q621">
        <f t="shared" si="990"/>
        <v>-32542501.064733457</v>
      </c>
      <c r="R621">
        <f t="shared" si="991"/>
        <v>104790800.09323622</v>
      </c>
      <c r="S621">
        <f t="shared" si="992"/>
        <v>1047.9080009323623</v>
      </c>
      <c r="T621">
        <f t="shared" si="993"/>
        <v>1.0479080009323622</v>
      </c>
    </row>
    <row r="622" spans="1:20" x14ac:dyDescent="0.25">
      <c r="A622" s="5">
        <v>43971</v>
      </c>
      <c r="B622">
        <v>0.21731</v>
      </c>
      <c r="C622">
        <v>0.29880000000000001</v>
      </c>
      <c r="D622">
        <v>0.21521000000000001</v>
      </c>
      <c r="E622">
        <v>0.27894999999999998</v>
      </c>
      <c r="F622">
        <v>45079587.600000001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0.52506280655580728</v>
      </c>
      <c r="Q622">
        <f t="shared" si="990"/>
        <v>23669614.783634368</v>
      </c>
      <c r="R622">
        <f t="shared" si="991"/>
        <v>137333301.15796968</v>
      </c>
      <c r="S622">
        <f t="shared" si="992"/>
        <v>1373.3330115796969</v>
      </c>
      <c r="T622">
        <f t="shared" si="993"/>
        <v>1.3733330115796969</v>
      </c>
    </row>
    <row r="623" spans="1:20" x14ac:dyDescent="0.25">
      <c r="A623" s="5">
        <v>43970</v>
      </c>
      <c r="B623">
        <v>0.19438</v>
      </c>
      <c r="C623">
        <v>0.23324</v>
      </c>
      <c r="D623">
        <v>0.1885</v>
      </c>
      <c r="E623">
        <v>0.218</v>
      </c>
      <c r="F623">
        <v>17906015.800000001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0.31873044255699584</v>
      </c>
      <c r="Q623">
        <f t="shared" si="990"/>
        <v>5707192.34036656</v>
      </c>
      <c r="R623">
        <f t="shared" si="991"/>
        <v>113663686.37433532</v>
      </c>
      <c r="S623">
        <f t="shared" si="992"/>
        <v>1136.6368637433532</v>
      </c>
      <c r="T623">
        <f t="shared" si="993"/>
        <v>1.1366368637433533</v>
      </c>
    </row>
    <row r="624" spans="1:20" x14ac:dyDescent="0.25">
      <c r="A624" s="5">
        <v>43969</v>
      </c>
      <c r="B624">
        <v>0.19153000000000001</v>
      </c>
      <c r="C624">
        <v>0.19439999999999999</v>
      </c>
      <c r="D624">
        <v>0.18179999999999999</v>
      </c>
      <c r="E624">
        <v>0.19439999999999999</v>
      </c>
      <c r="F624">
        <v>4063493.6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1</v>
      </c>
      <c r="Q624">
        <f t="shared" si="990"/>
        <v>4063493.6</v>
      </c>
      <c r="R624">
        <f t="shared" si="991"/>
        <v>107956494.03396876</v>
      </c>
      <c r="S624">
        <f t="shared" si="992"/>
        <v>1079.5649403396876</v>
      </c>
      <c r="T624">
        <f t="shared" si="993"/>
        <v>1.0795649403396876</v>
      </c>
    </row>
    <row r="625" spans="1:20" x14ac:dyDescent="0.25">
      <c r="A625" s="5">
        <v>43968</v>
      </c>
      <c r="B625">
        <v>0.183</v>
      </c>
      <c r="C625">
        <v>0.19594</v>
      </c>
      <c r="D625">
        <v>0.18246000000000001</v>
      </c>
      <c r="E625">
        <v>0.19206000000000001</v>
      </c>
      <c r="F625">
        <v>5371687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0.42433234421365029</v>
      </c>
      <c r="Q625">
        <f t="shared" si="990"/>
        <v>2279380.5370919905</v>
      </c>
      <c r="R625">
        <f t="shared" si="991"/>
        <v>103893000.43396877</v>
      </c>
      <c r="S625">
        <f t="shared" si="992"/>
        <v>1038.9300043396877</v>
      </c>
      <c r="T625">
        <f t="shared" si="993"/>
        <v>1.0389300043396876</v>
      </c>
    </row>
    <row r="626" spans="1:20" x14ac:dyDescent="0.25">
      <c r="A626" s="5">
        <v>43967</v>
      </c>
      <c r="B626">
        <v>0.19186</v>
      </c>
      <c r="C626">
        <v>0.1971</v>
      </c>
      <c r="D626">
        <v>0.18</v>
      </c>
      <c r="E626">
        <v>0.18354999999999999</v>
      </c>
      <c r="F626">
        <v>7422784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-0.58479532163742731</v>
      </c>
      <c r="Q626">
        <f t="shared" si="990"/>
        <v>-4340809.3567251489</v>
      </c>
      <c r="R626">
        <f t="shared" si="991"/>
        <v>101613619.89687678</v>
      </c>
      <c r="S626">
        <f t="shared" si="992"/>
        <v>1016.1361989687679</v>
      </c>
      <c r="T626">
        <f t="shared" si="993"/>
        <v>1.0161361989687678</v>
      </c>
    </row>
    <row r="627" spans="1:20" x14ac:dyDescent="0.25">
      <c r="A627" s="5">
        <v>43966</v>
      </c>
      <c r="B627">
        <v>0.16816999999999999</v>
      </c>
      <c r="C627">
        <v>0.1971</v>
      </c>
      <c r="D627">
        <v>0.16728999999999999</v>
      </c>
      <c r="E627">
        <v>0.19186</v>
      </c>
      <c r="F627">
        <v>19656632.699999999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0.64844012076484436</v>
      </c>
      <c r="Q627">
        <f t="shared" si="990"/>
        <v>12746149.281818189</v>
      </c>
      <c r="R627">
        <f t="shared" si="991"/>
        <v>105954429.25360194</v>
      </c>
      <c r="S627">
        <f t="shared" si="992"/>
        <v>1059.5442925360194</v>
      </c>
      <c r="T627">
        <f t="shared" si="993"/>
        <v>1.0595442925360194</v>
      </c>
    </row>
    <row r="628" spans="1:20" x14ac:dyDescent="0.25">
      <c r="A628" s="5">
        <v>43965</v>
      </c>
      <c r="B628">
        <v>0.17177999999999999</v>
      </c>
      <c r="C628">
        <v>0.17299</v>
      </c>
      <c r="D628">
        <v>0.1603</v>
      </c>
      <c r="E628">
        <v>0.16808999999999999</v>
      </c>
      <c r="F628">
        <v>7050002.5999999996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0.22773837667454486</v>
      </c>
      <c r="Q628">
        <f t="shared" si="990"/>
        <v>1605556.1476753205</v>
      </c>
      <c r="R628">
        <f t="shared" si="991"/>
        <v>93208279.971783742</v>
      </c>
      <c r="S628">
        <f t="shared" si="992"/>
        <v>932.08279971783747</v>
      </c>
      <c r="T628">
        <f t="shared" si="993"/>
        <v>0.93208279971783747</v>
      </c>
    </row>
    <row r="629" spans="1:20" x14ac:dyDescent="0.25">
      <c r="A629" s="5">
        <v>43964</v>
      </c>
      <c r="B629">
        <v>0.17885999999999999</v>
      </c>
      <c r="C629">
        <v>0.18276999999999999</v>
      </c>
      <c r="D629">
        <v>0.16503000000000001</v>
      </c>
      <c r="E629">
        <v>0.17177000000000001</v>
      </c>
      <c r="F629">
        <v>8228082.2999999998</v>
      </c>
      <c r="G629">
        <v>0</v>
      </c>
      <c r="L629" t="s">
        <v>7</v>
      </c>
      <c r="M629" t="s">
        <v>8</v>
      </c>
      <c r="N629" t="s">
        <v>8</v>
      </c>
      <c r="P629">
        <f t="shared" si="989"/>
        <v>-0.24013528748590707</v>
      </c>
      <c r="Q629">
        <f t="shared" si="990"/>
        <v>-1975852.9085682034</v>
      </c>
      <c r="R629">
        <f t="shared" si="991"/>
        <v>91602723.824108422</v>
      </c>
      <c r="S629">
        <f t="shared" si="992"/>
        <v>916.02723824108421</v>
      </c>
      <c r="T629">
        <f t="shared" si="993"/>
        <v>0.91602723824108423</v>
      </c>
    </row>
    <row r="630" spans="1:20" x14ac:dyDescent="0.25">
      <c r="A630" s="5">
        <v>43963</v>
      </c>
      <c r="B630">
        <v>0.14734</v>
      </c>
      <c r="C630">
        <v>0.186</v>
      </c>
      <c r="D630">
        <v>0.14734</v>
      </c>
      <c r="E630">
        <v>0.17893999999999999</v>
      </c>
      <c r="F630">
        <v>18912247.699999999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0.63476461458872169</v>
      </c>
      <c r="Q630">
        <f t="shared" si="990"/>
        <v>12004825.622296937</v>
      </c>
      <c r="R630">
        <f t="shared" si="991"/>
        <v>93578576.732676625</v>
      </c>
      <c r="S630">
        <f t="shared" si="992"/>
        <v>935.78576732676629</v>
      </c>
      <c r="T630">
        <f t="shared" si="993"/>
        <v>0.93578576732676633</v>
      </c>
    </row>
    <row r="631" spans="1:20" x14ac:dyDescent="0.25">
      <c r="A631" s="5">
        <v>43962</v>
      </c>
      <c r="B631">
        <v>0.14188999999999999</v>
      </c>
      <c r="C631">
        <v>0.14940000000000001</v>
      </c>
      <c r="D631">
        <v>0.13231000000000001</v>
      </c>
      <c r="E631">
        <v>0.14692</v>
      </c>
      <c r="F631">
        <v>3379330.7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0.70977179637214616</v>
      </c>
      <c r="Q631">
        <f t="shared" si="990"/>
        <v>2398553.6214745422</v>
      </c>
      <c r="R631">
        <f t="shared" si="991"/>
        <v>81573751.110379681</v>
      </c>
      <c r="S631">
        <f t="shared" si="992"/>
        <v>815.73751110379681</v>
      </c>
      <c r="T631">
        <f t="shared" si="993"/>
        <v>0.81573751110379678</v>
      </c>
    </row>
    <row r="632" spans="1:20" x14ac:dyDescent="0.25">
      <c r="A632" s="5">
        <v>43961</v>
      </c>
      <c r="B632">
        <v>0.15758</v>
      </c>
      <c r="C632">
        <v>0.15758</v>
      </c>
      <c r="D632">
        <v>0.13202</v>
      </c>
      <c r="E632">
        <v>0.14191000000000001</v>
      </c>
      <c r="F632">
        <v>6311763.4000000004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-0.22613458528951408</v>
      </c>
      <c r="Q632">
        <f t="shared" si="990"/>
        <v>-1427307.9989045335</v>
      </c>
      <c r="R632">
        <f t="shared" si="991"/>
        <v>79175197.488905132</v>
      </c>
      <c r="S632">
        <f t="shared" si="992"/>
        <v>791.75197488905133</v>
      </c>
      <c r="T632">
        <f t="shared" si="993"/>
        <v>0.79175197488905136</v>
      </c>
    </row>
    <row r="633" spans="1:20" x14ac:dyDescent="0.25">
      <c r="A633" s="5">
        <v>43960</v>
      </c>
      <c r="B633">
        <v>0.16306000000000001</v>
      </c>
      <c r="C633">
        <v>0.16974</v>
      </c>
      <c r="D633">
        <v>0.15629999999999999</v>
      </c>
      <c r="E633">
        <v>0.15758</v>
      </c>
      <c r="F633">
        <v>2083328.3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-0.80952380952380909</v>
      </c>
      <c r="Q633">
        <f t="shared" si="990"/>
        <v>-1686503.8619047611</v>
      </c>
      <c r="R633">
        <f t="shared" si="991"/>
        <v>80602505.487809658</v>
      </c>
      <c r="S633">
        <f t="shared" si="992"/>
        <v>806.02505487809663</v>
      </c>
      <c r="T633">
        <f t="shared" si="993"/>
        <v>0.80602505487809661</v>
      </c>
    </row>
    <row r="634" spans="1:20" x14ac:dyDescent="0.25">
      <c r="A634" s="5">
        <v>43959</v>
      </c>
      <c r="B634">
        <v>0.16475000000000001</v>
      </c>
      <c r="C634">
        <v>0.16886999999999999</v>
      </c>
      <c r="D634">
        <v>0.15720999999999999</v>
      </c>
      <c r="E634">
        <v>0.16302</v>
      </c>
      <c r="F634">
        <v>3427147.7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-3.4305317324171939E-3</v>
      </c>
      <c r="Q634">
        <f t="shared" si="990"/>
        <v>-11756.938936530601</v>
      </c>
      <c r="R634">
        <f t="shared" si="991"/>
        <v>82289009.349714413</v>
      </c>
      <c r="S634">
        <f t="shared" si="992"/>
        <v>822.89009349714411</v>
      </c>
      <c r="T634">
        <f t="shared" si="993"/>
        <v>0.82289009349714415</v>
      </c>
    </row>
    <row r="635" spans="1:20" x14ac:dyDescent="0.25">
      <c r="A635" s="5">
        <v>43958</v>
      </c>
      <c r="B635">
        <v>0.15461</v>
      </c>
      <c r="C635">
        <v>0.17099</v>
      </c>
      <c r="D635">
        <v>0.14859</v>
      </c>
      <c r="E635">
        <v>0.16445000000000001</v>
      </c>
      <c r="F635">
        <v>5339090.5999999996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0.41607142857142954</v>
      </c>
      <c r="Q635">
        <f t="shared" si="990"/>
        <v>2221443.0532142906</v>
      </c>
      <c r="R635">
        <f t="shared" si="991"/>
        <v>82300766.288650945</v>
      </c>
      <c r="S635">
        <f t="shared" si="992"/>
        <v>823.00766288650948</v>
      </c>
      <c r="T635">
        <f t="shared" si="993"/>
        <v>0.82300766288650951</v>
      </c>
    </row>
    <row r="636" spans="1:20" x14ac:dyDescent="0.25">
      <c r="A636" s="5">
        <v>43957</v>
      </c>
      <c r="B636">
        <v>0.15590999999999999</v>
      </c>
      <c r="C636">
        <v>0.15740999999999999</v>
      </c>
      <c r="D636">
        <v>0.14605000000000001</v>
      </c>
      <c r="E636">
        <v>0.15461</v>
      </c>
      <c r="F636">
        <v>4137129.2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0.50704225352112653</v>
      </c>
      <c r="Q636">
        <f t="shared" si="990"/>
        <v>2097699.3126760554</v>
      </c>
      <c r="R636">
        <f t="shared" si="991"/>
        <v>80079323.235436648</v>
      </c>
      <c r="S636">
        <f t="shared" si="992"/>
        <v>800.79323235436652</v>
      </c>
      <c r="T636">
        <f t="shared" si="993"/>
        <v>0.8007932323543665</v>
      </c>
    </row>
    <row r="637" spans="1:20" x14ac:dyDescent="0.25">
      <c r="A637" s="5">
        <v>43956</v>
      </c>
      <c r="B637">
        <v>0.14693000000000001</v>
      </c>
      <c r="C637">
        <v>0.161</v>
      </c>
      <c r="D637">
        <v>0.14460999999999999</v>
      </c>
      <c r="E637">
        <v>0.15590999999999999</v>
      </c>
      <c r="F637">
        <v>7591851.2999999998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0.37888956680902913</v>
      </c>
      <c r="Q637">
        <f t="shared" si="990"/>
        <v>2876473.2503355644</v>
      </c>
      <c r="R637">
        <f t="shared" si="991"/>
        <v>77981623.922760591</v>
      </c>
      <c r="S637">
        <f t="shared" si="992"/>
        <v>779.81623922760593</v>
      </c>
      <c r="T637">
        <f t="shared" si="993"/>
        <v>0.7798162392276059</v>
      </c>
    </row>
    <row r="638" spans="1:20" x14ac:dyDescent="0.25">
      <c r="A638" s="5">
        <v>43955</v>
      </c>
      <c r="B638">
        <v>0.14499999999999999</v>
      </c>
      <c r="C638">
        <v>0.14699000000000001</v>
      </c>
      <c r="D638">
        <v>0.13108</v>
      </c>
      <c r="E638">
        <v>0.14638999999999999</v>
      </c>
      <c r="F638">
        <v>4007349.2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0.92457573852922481</v>
      </c>
      <c r="Q638">
        <f t="shared" si="990"/>
        <v>3705097.8461344982</v>
      </c>
      <c r="R638">
        <f t="shared" si="991"/>
        <v>75105150.672425032</v>
      </c>
      <c r="S638">
        <f t="shared" si="992"/>
        <v>751.05150672425032</v>
      </c>
      <c r="T638">
        <f t="shared" si="993"/>
        <v>0.75105150672425036</v>
      </c>
    </row>
    <row r="639" spans="1:20" x14ac:dyDescent="0.25">
      <c r="A639" s="5">
        <v>43954</v>
      </c>
      <c r="B639">
        <v>0.13933999999999999</v>
      </c>
      <c r="C639">
        <v>0.14928</v>
      </c>
      <c r="D639">
        <v>0.13500000000000001</v>
      </c>
      <c r="E639">
        <v>0.14434</v>
      </c>
      <c r="F639">
        <v>5047422.7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0.30812324929971929</v>
      </c>
      <c r="Q639">
        <f t="shared" si="990"/>
        <v>1555228.2829131624</v>
      </c>
      <c r="R639">
        <f t="shared" si="991"/>
        <v>71400052.826290533</v>
      </c>
      <c r="S639">
        <f t="shared" si="992"/>
        <v>714.00052826290528</v>
      </c>
      <c r="T639">
        <f t="shared" si="993"/>
        <v>0.71400052826290528</v>
      </c>
    </row>
    <row r="640" spans="1:20" x14ac:dyDescent="0.25">
      <c r="A640" s="5">
        <v>43953</v>
      </c>
      <c r="B640">
        <v>0.12667999999999999</v>
      </c>
      <c r="C640">
        <v>0.14179</v>
      </c>
      <c r="D640">
        <v>0.12655</v>
      </c>
      <c r="E640">
        <v>0.13927999999999999</v>
      </c>
      <c r="F640">
        <v>6700563.7999999998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0.67060367454068093</v>
      </c>
      <c r="Q640">
        <f t="shared" si="990"/>
        <v>4493422.7057742681</v>
      </c>
      <c r="R640">
        <f t="shared" si="991"/>
        <v>69844824.54337737</v>
      </c>
      <c r="S640">
        <f t="shared" si="992"/>
        <v>698.44824543377365</v>
      </c>
      <c r="T640">
        <f t="shared" si="993"/>
        <v>0.6984482454337736</v>
      </c>
    </row>
    <row r="641" spans="1:20" x14ac:dyDescent="0.25">
      <c r="A641" s="5">
        <v>43952</v>
      </c>
      <c r="B641">
        <v>0.12014</v>
      </c>
      <c r="C641">
        <v>0.12886</v>
      </c>
      <c r="D641">
        <v>0.12014</v>
      </c>
      <c r="E641">
        <v>0.12734999999999999</v>
      </c>
      <c r="F641">
        <v>3592777.1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0.65366972477063978</v>
      </c>
      <c r="Q641">
        <f t="shared" si="990"/>
        <v>2348489.6181192575</v>
      </c>
      <c r="R641">
        <f t="shared" si="991"/>
        <v>65351401.837603107</v>
      </c>
      <c r="S641">
        <f t="shared" si="992"/>
        <v>653.51401837603112</v>
      </c>
      <c r="T641">
        <f t="shared" si="993"/>
        <v>0.65351401837603107</v>
      </c>
    </row>
    <row r="642" spans="1:20" x14ac:dyDescent="0.25">
      <c r="A642" s="5">
        <v>43951</v>
      </c>
      <c r="B642">
        <v>0.11622</v>
      </c>
      <c r="C642">
        <v>0.127</v>
      </c>
      <c r="D642">
        <v>0.10818999999999999</v>
      </c>
      <c r="E642">
        <v>0.12033000000000001</v>
      </c>
      <c r="F642">
        <v>6758581.2000000002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0.29080276448697578</v>
      </c>
      <c r="Q642">
        <f t="shared" si="990"/>
        <v>1965414.0969697023</v>
      </c>
      <c r="R642">
        <f t="shared" si="991"/>
        <v>63002912.219483852</v>
      </c>
      <c r="S642">
        <f t="shared" si="992"/>
        <v>630.02912219483858</v>
      </c>
      <c r="T642">
        <f t="shared" si="993"/>
        <v>0.63002912219483853</v>
      </c>
    </row>
    <row r="643" spans="1:20" x14ac:dyDescent="0.25">
      <c r="A643" s="5">
        <v>43950</v>
      </c>
      <c r="B643">
        <v>0.10901</v>
      </c>
      <c r="C643">
        <v>0.11916</v>
      </c>
      <c r="D643">
        <v>0.10838</v>
      </c>
      <c r="E643">
        <v>0.11645</v>
      </c>
      <c r="F643">
        <v>3331825.6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0.49721706864563925</v>
      </c>
      <c r="Q643">
        <f t="shared" si="990"/>
        <v>1656640.5580704983</v>
      </c>
      <c r="R643">
        <f t="shared" si="991"/>
        <v>61037498.122514151</v>
      </c>
      <c r="S643">
        <f t="shared" si="992"/>
        <v>610.37498122514148</v>
      </c>
      <c r="T643">
        <f t="shared" si="993"/>
        <v>0.61037498122514144</v>
      </c>
    </row>
    <row r="644" spans="1:20" x14ac:dyDescent="0.25">
      <c r="A644" s="5">
        <v>43949</v>
      </c>
      <c r="B644">
        <v>0.10775</v>
      </c>
      <c r="C644">
        <v>0.10956</v>
      </c>
      <c r="D644">
        <v>0.10406</v>
      </c>
      <c r="E644">
        <v>0.109</v>
      </c>
      <c r="F644">
        <v>2588469.1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0.79636363636363472</v>
      </c>
      <c r="Q644">
        <f t="shared" si="990"/>
        <v>2061362.6650909048</v>
      </c>
      <c r="R644">
        <f t="shared" si="991"/>
        <v>59380857.564443655</v>
      </c>
      <c r="S644">
        <f t="shared" si="992"/>
        <v>593.80857564443659</v>
      </c>
      <c r="T644">
        <f t="shared" si="993"/>
        <v>0.59380857564443656</v>
      </c>
    </row>
    <row r="645" spans="1:20" x14ac:dyDescent="0.25">
      <c r="A645" s="5">
        <v>43948</v>
      </c>
      <c r="B645">
        <v>0.11209</v>
      </c>
      <c r="C645">
        <v>0.11562</v>
      </c>
      <c r="D645">
        <v>9.2450000000000004E-2</v>
      </c>
      <c r="E645">
        <v>0.10775</v>
      </c>
      <c r="F645">
        <v>6834573.2999999998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0.32067328441950771</v>
      </c>
      <c r="Q645">
        <f t="shared" si="990"/>
        <v>2191665.0677168733</v>
      </c>
      <c r="R645">
        <f t="shared" si="991"/>
        <v>57319494.899352752</v>
      </c>
      <c r="S645">
        <f t="shared" si="992"/>
        <v>573.19494899352753</v>
      </c>
      <c r="T645">
        <f t="shared" si="993"/>
        <v>0.57319494899352752</v>
      </c>
    </row>
    <row r="646" spans="1:20" x14ac:dyDescent="0.25">
      <c r="A646" s="5">
        <v>43947</v>
      </c>
      <c r="B646">
        <v>0.10724</v>
      </c>
      <c r="C646">
        <v>0.11711000000000001</v>
      </c>
      <c r="D646">
        <v>0.10724</v>
      </c>
      <c r="E646">
        <v>0.11209</v>
      </c>
      <c r="F646">
        <v>4261942.9000000004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-1.722391084093387E-2</v>
      </c>
      <c r="Q646">
        <f t="shared" ref="Q646:Q709" si="995">F646*P646</f>
        <v>-73407.324518751135</v>
      </c>
      <c r="R646">
        <f t="shared" ref="R646:R709" si="996">R647+Q646</f>
        <v>55127829.831635877</v>
      </c>
      <c r="S646">
        <f t="shared" ref="S646:S709" si="997">R646/100000</f>
        <v>551.27829831635881</v>
      </c>
      <c r="T646">
        <f t="shared" ref="T646:T709" si="998">S646/1000</f>
        <v>0.55127829831635877</v>
      </c>
    </row>
    <row r="647" spans="1:20" x14ac:dyDescent="0.25">
      <c r="A647" s="5">
        <v>43946</v>
      </c>
      <c r="B647">
        <v>0.10101</v>
      </c>
      <c r="C647">
        <v>0.10828</v>
      </c>
      <c r="D647">
        <v>9.9680000000000005E-2</v>
      </c>
      <c r="E647">
        <v>0.10681</v>
      </c>
      <c r="F647">
        <v>2050744.9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0.65813953488372101</v>
      </c>
      <c r="Q647">
        <f t="shared" si="995"/>
        <v>1349676.2946511628</v>
      </c>
      <c r="R647">
        <f t="shared" si="996"/>
        <v>55201237.156154625</v>
      </c>
      <c r="S647">
        <f t="shared" si="997"/>
        <v>552.01237156154627</v>
      </c>
      <c r="T647">
        <f t="shared" si="998"/>
        <v>0.55201237156154626</v>
      </c>
    </row>
    <row r="648" spans="1:20" x14ac:dyDescent="0.25">
      <c r="A648" s="5">
        <v>43945</v>
      </c>
      <c r="B648">
        <v>0.10075000000000001</v>
      </c>
      <c r="C648">
        <v>0.10335999999999999</v>
      </c>
      <c r="D648">
        <v>9.708E-2</v>
      </c>
      <c r="E648">
        <v>0.10163</v>
      </c>
      <c r="F648">
        <v>2778874.6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0.44904458598726205</v>
      </c>
      <c r="Q648">
        <f t="shared" si="995"/>
        <v>1247838.5942675185</v>
      </c>
      <c r="R648">
        <f t="shared" si="996"/>
        <v>53851560.86150346</v>
      </c>
      <c r="S648">
        <f t="shared" si="997"/>
        <v>538.51560861503458</v>
      </c>
      <c r="T648">
        <f t="shared" si="998"/>
        <v>0.53851560861503456</v>
      </c>
    </row>
    <row r="649" spans="1:20" x14ac:dyDescent="0.25">
      <c r="A649" s="5">
        <v>43944</v>
      </c>
      <c r="B649">
        <v>9.1740000000000002E-2</v>
      </c>
      <c r="C649">
        <v>0.10481</v>
      </c>
      <c r="D649">
        <v>8.9950000000000002E-2</v>
      </c>
      <c r="E649">
        <v>0.10075000000000001</v>
      </c>
      <c r="F649">
        <v>4084984.7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0.45356662180350005</v>
      </c>
      <c r="Q649">
        <f t="shared" si="995"/>
        <v>1852812.7104979842</v>
      </c>
      <c r="R649">
        <f t="shared" si="996"/>
        <v>52603722.267235942</v>
      </c>
      <c r="S649">
        <f t="shared" si="997"/>
        <v>526.03722267235946</v>
      </c>
      <c r="T649">
        <f t="shared" si="998"/>
        <v>0.52603722267235942</v>
      </c>
    </row>
    <row r="650" spans="1:20" x14ac:dyDescent="0.25">
      <c r="A650" s="5">
        <v>43943</v>
      </c>
      <c r="B650">
        <v>8.5360000000000005E-2</v>
      </c>
      <c r="C650">
        <v>9.3899999999999997E-2</v>
      </c>
      <c r="D650">
        <v>8.5129999999999997E-2</v>
      </c>
      <c r="E650">
        <v>9.1740000000000002E-2</v>
      </c>
      <c r="F650">
        <v>2286126.2999999998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0.50741163055872396</v>
      </c>
      <c r="Q650">
        <f t="shared" si="995"/>
        <v>1160007.0735461824</v>
      </c>
      <c r="R650">
        <f t="shared" si="996"/>
        <v>50750909.556737959</v>
      </c>
      <c r="S650">
        <f t="shared" si="997"/>
        <v>507.50909556737957</v>
      </c>
      <c r="T650">
        <f t="shared" si="998"/>
        <v>0.50750909556737955</v>
      </c>
    </row>
    <row r="651" spans="1:20" x14ac:dyDescent="0.25">
      <c r="A651" s="5">
        <v>43942</v>
      </c>
      <c r="B651">
        <v>8.2820000000000005E-2</v>
      </c>
      <c r="C651">
        <v>8.702E-2</v>
      </c>
      <c r="D651">
        <v>8.2519999999999996E-2</v>
      </c>
      <c r="E651">
        <v>8.5779999999999995E-2</v>
      </c>
      <c r="F651">
        <v>2791570.7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0.44888888888888717</v>
      </c>
      <c r="Q651">
        <f t="shared" si="995"/>
        <v>1253105.069777773</v>
      </c>
      <c r="R651">
        <f t="shared" si="996"/>
        <v>49590902.483191773</v>
      </c>
      <c r="S651">
        <f t="shared" si="997"/>
        <v>495.90902483191775</v>
      </c>
      <c r="T651">
        <f t="shared" si="998"/>
        <v>0.49590902483191773</v>
      </c>
    </row>
    <row r="652" spans="1:20" x14ac:dyDescent="0.25">
      <c r="A652" s="5">
        <v>43941</v>
      </c>
      <c r="B652">
        <v>8.2070000000000004E-2</v>
      </c>
      <c r="C652">
        <v>8.7749999999999995E-2</v>
      </c>
      <c r="D652">
        <v>8.1180000000000002E-2</v>
      </c>
      <c r="E652">
        <v>8.3229999999999998E-2</v>
      </c>
      <c r="F652">
        <v>4851613.5</v>
      </c>
      <c r="G652">
        <v>0</v>
      </c>
      <c r="L652" t="s">
        <v>8</v>
      </c>
      <c r="M652" t="s">
        <v>8</v>
      </c>
      <c r="N652" t="s">
        <v>8</v>
      </c>
      <c r="P652">
        <f t="shared" si="994"/>
        <v>-0.37595129375951336</v>
      </c>
      <c r="Q652">
        <f t="shared" si="995"/>
        <v>-1823970.3721461208</v>
      </c>
      <c r="R652">
        <f t="shared" si="996"/>
        <v>48337797.413414001</v>
      </c>
      <c r="S652">
        <f t="shared" si="997"/>
        <v>483.37797413414</v>
      </c>
      <c r="T652">
        <f t="shared" si="998"/>
        <v>0.48337797413414002</v>
      </c>
    </row>
    <row r="653" spans="1:20" x14ac:dyDescent="0.25">
      <c r="A653" s="5">
        <v>43940</v>
      </c>
      <c r="B653">
        <v>8.1220000000000001E-2</v>
      </c>
      <c r="C653">
        <v>8.4000000000000005E-2</v>
      </c>
      <c r="D653">
        <v>7.8460000000000002E-2</v>
      </c>
      <c r="E653">
        <v>8.1739999999999993E-2</v>
      </c>
      <c r="F653">
        <v>2154403.5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0.18411552346570012</v>
      </c>
      <c r="Q653">
        <f t="shared" si="995"/>
        <v>396659.12815883645</v>
      </c>
      <c r="R653">
        <f t="shared" si="996"/>
        <v>50161767.785560124</v>
      </c>
      <c r="S653">
        <f t="shared" si="997"/>
        <v>501.61767785560124</v>
      </c>
      <c r="T653">
        <f t="shared" si="998"/>
        <v>0.5016176778556013</v>
      </c>
    </row>
    <row r="654" spans="1:20" x14ac:dyDescent="0.25">
      <c r="A654" s="5">
        <v>43939</v>
      </c>
      <c r="B654">
        <v>7.7979999999999994E-2</v>
      </c>
      <c r="C654">
        <v>8.1559999999999994E-2</v>
      </c>
      <c r="D654">
        <v>7.7189999999999995E-2</v>
      </c>
      <c r="E654">
        <v>8.1250000000000003E-2</v>
      </c>
      <c r="F654">
        <v>1896996.2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0.85812356979405446</v>
      </c>
      <c r="Q654">
        <f t="shared" si="995"/>
        <v>1627857.1510297561</v>
      </c>
      <c r="R654">
        <f t="shared" si="996"/>
        <v>49765108.657401286</v>
      </c>
      <c r="S654">
        <f t="shared" si="997"/>
        <v>497.65108657401288</v>
      </c>
      <c r="T654">
        <f t="shared" si="998"/>
        <v>0.49765108657401286</v>
      </c>
    </row>
    <row r="655" spans="1:20" x14ac:dyDescent="0.25">
      <c r="A655" s="5">
        <v>43938</v>
      </c>
      <c r="B655">
        <v>7.8990000000000005E-2</v>
      </c>
      <c r="C655">
        <v>7.9000000000000001E-2</v>
      </c>
      <c r="D655">
        <v>7.7369999999999994E-2</v>
      </c>
      <c r="E655">
        <v>7.7619999999999995E-2</v>
      </c>
      <c r="F655">
        <v>1196994.2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-0.69325153374233228</v>
      </c>
      <c r="Q655">
        <f t="shared" si="995"/>
        <v>-829818.06503067596</v>
      </c>
      <c r="R655">
        <f t="shared" si="996"/>
        <v>48137251.506371528</v>
      </c>
      <c r="S655">
        <f t="shared" si="997"/>
        <v>481.3725150637153</v>
      </c>
      <c r="T655">
        <f t="shared" si="998"/>
        <v>0.48137251506371531</v>
      </c>
    </row>
    <row r="656" spans="1:20" x14ac:dyDescent="0.25">
      <c r="A656" s="5">
        <v>43937</v>
      </c>
      <c r="B656">
        <v>7.4410000000000004E-2</v>
      </c>
      <c r="C656">
        <v>7.9699999999999993E-2</v>
      </c>
      <c r="D656">
        <v>7.1440000000000003E-2</v>
      </c>
      <c r="E656">
        <v>7.8880000000000006E-2</v>
      </c>
      <c r="F656">
        <v>2941497.2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0.80145278450363477</v>
      </c>
      <c r="Q656">
        <f t="shared" si="995"/>
        <v>2357471.1215496454</v>
      </c>
      <c r="R656">
        <f t="shared" si="996"/>
        <v>48967069.571402207</v>
      </c>
      <c r="S656">
        <f t="shared" si="997"/>
        <v>489.67069571402209</v>
      </c>
      <c r="T656">
        <f t="shared" si="998"/>
        <v>0.48967069571402211</v>
      </c>
    </row>
    <row r="657" spans="1:20" x14ac:dyDescent="0.25">
      <c r="A657" s="5">
        <v>43936</v>
      </c>
      <c r="B657">
        <v>7.7450000000000005E-2</v>
      </c>
      <c r="C657">
        <v>7.85E-2</v>
      </c>
      <c r="D657">
        <v>7.4399999999999994E-2</v>
      </c>
      <c r="E657">
        <v>7.4429999999999996E-2</v>
      </c>
      <c r="F657">
        <v>1009236.1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-0.98536585365853546</v>
      </c>
      <c r="Q657">
        <f t="shared" si="995"/>
        <v>-994466.79121951107</v>
      </c>
      <c r="R657">
        <f t="shared" si="996"/>
        <v>46609598.449852563</v>
      </c>
      <c r="S657">
        <f t="shared" si="997"/>
        <v>466.09598449852564</v>
      </c>
      <c r="T657">
        <f t="shared" si="998"/>
        <v>0.46609598449852563</v>
      </c>
    </row>
    <row r="658" spans="1:20" x14ac:dyDescent="0.25">
      <c r="A658" s="5">
        <v>43935</v>
      </c>
      <c r="B658">
        <v>7.7170000000000002E-2</v>
      </c>
      <c r="C658">
        <v>7.9909999999999995E-2</v>
      </c>
      <c r="D658">
        <v>7.6380000000000003E-2</v>
      </c>
      <c r="E658">
        <v>7.8009999999999996E-2</v>
      </c>
      <c r="F658">
        <v>1457461.7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-7.6487252124647881E-2</v>
      </c>
      <c r="Q658">
        <f t="shared" si="995"/>
        <v>-111477.24050991792</v>
      </c>
      <c r="R658">
        <f t="shared" si="996"/>
        <v>47604065.241072074</v>
      </c>
      <c r="S658">
        <f t="shared" si="997"/>
        <v>476.04065241072072</v>
      </c>
      <c r="T658">
        <f t="shared" si="998"/>
        <v>0.47604065241072074</v>
      </c>
    </row>
    <row r="659" spans="1:20" x14ac:dyDescent="0.25">
      <c r="A659" s="5">
        <v>43934</v>
      </c>
      <c r="B659">
        <v>7.8939999999999996E-2</v>
      </c>
      <c r="C659">
        <v>7.8939999999999996E-2</v>
      </c>
      <c r="D659">
        <v>7.4440000000000006E-2</v>
      </c>
      <c r="E659">
        <v>7.7160000000000006E-2</v>
      </c>
      <c r="F659">
        <v>1706945.1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0.20888888888889162</v>
      </c>
      <c r="Q659">
        <f t="shared" si="995"/>
        <v>356561.86533333804</v>
      </c>
      <c r="R659">
        <f t="shared" si="996"/>
        <v>47715542.481581993</v>
      </c>
      <c r="S659">
        <f t="shared" si="997"/>
        <v>477.15542481581991</v>
      </c>
      <c r="T659">
        <f t="shared" si="998"/>
        <v>0.47715542481581991</v>
      </c>
    </row>
    <row r="660" spans="1:20" x14ac:dyDescent="0.25">
      <c r="A660" s="5">
        <v>43933</v>
      </c>
      <c r="B660">
        <v>7.8990000000000005E-2</v>
      </c>
      <c r="C660">
        <v>8.2220000000000001E-2</v>
      </c>
      <c r="D660">
        <v>7.7469999999999997E-2</v>
      </c>
      <c r="E660">
        <v>7.8939999999999996E-2</v>
      </c>
      <c r="F660">
        <v>1396033.9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-0.38105263157894831</v>
      </c>
      <c r="Q660">
        <f t="shared" si="995"/>
        <v>-531962.39136842231</v>
      </c>
      <c r="R660">
        <f t="shared" si="996"/>
        <v>47358980.616248652</v>
      </c>
      <c r="S660">
        <f t="shared" si="997"/>
        <v>473.58980616248652</v>
      </c>
      <c r="T660">
        <f t="shared" si="998"/>
        <v>0.47358980616248653</v>
      </c>
    </row>
    <row r="661" spans="1:20" x14ac:dyDescent="0.25">
      <c r="A661" s="5">
        <v>43932</v>
      </c>
      <c r="B661">
        <v>7.9079999999999998E-2</v>
      </c>
      <c r="C661">
        <v>8.2170000000000007E-2</v>
      </c>
      <c r="D661">
        <v>7.6990000000000003E-2</v>
      </c>
      <c r="E661">
        <v>7.8990000000000005E-2</v>
      </c>
      <c r="F661">
        <v>1195631.7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-0.2277992277992277</v>
      </c>
      <c r="Q661">
        <f t="shared" si="995"/>
        <v>-272363.97799227788</v>
      </c>
      <c r="R661">
        <f t="shared" si="996"/>
        <v>47890943.007617071</v>
      </c>
      <c r="S661">
        <f t="shared" si="997"/>
        <v>478.90943007617074</v>
      </c>
      <c r="T661">
        <f t="shared" si="998"/>
        <v>0.47890943007617076</v>
      </c>
    </row>
    <row r="662" spans="1:20" x14ac:dyDescent="0.25">
      <c r="A662" s="5">
        <v>43931</v>
      </c>
      <c r="B662">
        <v>8.6900000000000005E-2</v>
      </c>
      <c r="C662">
        <v>8.7599999999999997E-2</v>
      </c>
      <c r="D662">
        <v>7.6990000000000003E-2</v>
      </c>
      <c r="E662">
        <v>7.9619999999999996E-2</v>
      </c>
      <c r="F662">
        <v>5148918.2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-0.50424128180961458</v>
      </c>
      <c r="Q662">
        <f t="shared" si="995"/>
        <v>-2596297.1131008537</v>
      </c>
      <c r="R662">
        <f t="shared" si="996"/>
        <v>48163306.985609353</v>
      </c>
      <c r="S662">
        <f t="shared" si="997"/>
        <v>481.63306985609353</v>
      </c>
      <c r="T662">
        <f t="shared" si="998"/>
        <v>0.48163306985609355</v>
      </c>
    </row>
    <row r="663" spans="1:20" x14ac:dyDescent="0.25">
      <c r="A663" s="5">
        <v>43930</v>
      </c>
      <c r="B663">
        <v>8.7609999999999993E-2</v>
      </c>
      <c r="C663">
        <v>8.8179999999999994E-2</v>
      </c>
      <c r="D663">
        <v>8.4029999999999994E-2</v>
      </c>
      <c r="E663">
        <v>8.6980000000000002E-2</v>
      </c>
      <c r="F663">
        <v>2388671.2999999998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0.42168674698795544</v>
      </c>
      <c r="Q663">
        <f t="shared" si="995"/>
        <v>1007271.0301204906</v>
      </c>
      <c r="R663">
        <f t="shared" si="996"/>
        <v>50759604.098710209</v>
      </c>
      <c r="S663">
        <f t="shared" si="997"/>
        <v>507.59604098710207</v>
      </c>
      <c r="T663">
        <f t="shared" si="998"/>
        <v>0.50759604098710209</v>
      </c>
    </row>
    <row r="664" spans="1:20" x14ac:dyDescent="0.25">
      <c r="A664" s="5">
        <v>43929</v>
      </c>
      <c r="B664">
        <v>8.4790000000000004E-2</v>
      </c>
      <c r="C664">
        <v>8.9270000000000002E-2</v>
      </c>
      <c r="D664">
        <v>8.3699999999999997E-2</v>
      </c>
      <c r="E664">
        <v>8.7749999999999995E-2</v>
      </c>
      <c r="F664">
        <v>2247195.2000000002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0.45421903052064416</v>
      </c>
      <c r="Q664">
        <f t="shared" si="995"/>
        <v>1020718.8251346451</v>
      </c>
      <c r="R664">
        <f t="shared" si="996"/>
        <v>49752333.068589717</v>
      </c>
      <c r="S664">
        <f t="shared" si="997"/>
        <v>497.52333068589718</v>
      </c>
      <c r="T664">
        <f t="shared" si="998"/>
        <v>0.49752333068589716</v>
      </c>
    </row>
    <row r="665" spans="1:20" x14ac:dyDescent="0.25">
      <c r="A665" s="5">
        <v>43928</v>
      </c>
      <c r="B665">
        <v>8.7919999999999998E-2</v>
      </c>
      <c r="C665">
        <v>9.0920000000000001E-2</v>
      </c>
      <c r="D665">
        <v>8.3360000000000004E-2</v>
      </c>
      <c r="E665">
        <v>8.4790000000000004E-2</v>
      </c>
      <c r="F665">
        <v>3108413.4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-0.62169312169312141</v>
      </c>
      <c r="Q665">
        <f t="shared" si="995"/>
        <v>-1932479.2301587292</v>
      </c>
      <c r="R665">
        <f t="shared" si="996"/>
        <v>48731614.243455075</v>
      </c>
      <c r="S665">
        <f t="shared" si="997"/>
        <v>487.31614243455073</v>
      </c>
      <c r="T665">
        <f t="shared" si="998"/>
        <v>0.48731614243455074</v>
      </c>
    </row>
    <row r="666" spans="1:20" x14ac:dyDescent="0.25">
      <c r="A666" s="5">
        <v>43927</v>
      </c>
      <c r="B666">
        <v>8.0490000000000006E-2</v>
      </c>
      <c r="C666">
        <v>8.788E-2</v>
      </c>
      <c r="D666">
        <v>7.9680000000000001E-2</v>
      </c>
      <c r="E666">
        <v>8.7179999999999994E-2</v>
      </c>
      <c r="F666">
        <v>2787652.3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0.82926829268292535</v>
      </c>
      <c r="Q666">
        <f t="shared" si="995"/>
        <v>2311711.6634146296</v>
      </c>
      <c r="R666">
        <f t="shared" si="996"/>
        <v>50664093.473613806</v>
      </c>
      <c r="S666">
        <f t="shared" si="997"/>
        <v>506.64093473613804</v>
      </c>
      <c r="T666">
        <f t="shared" si="998"/>
        <v>0.50664093473613803</v>
      </c>
    </row>
    <row r="667" spans="1:20" x14ac:dyDescent="0.25">
      <c r="A667" s="5">
        <v>43926</v>
      </c>
      <c r="B667">
        <v>7.8700000000000006E-2</v>
      </c>
      <c r="C667">
        <v>8.3000000000000004E-2</v>
      </c>
      <c r="D667">
        <v>7.8700000000000006E-2</v>
      </c>
      <c r="E667">
        <v>8.0149999999999999E-2</v>
      </c>
      <c r="F667">
        <v>3993627.4</v>
      </c>
      <c r="G667">
        <v>0</v>
      </c>
      <c r="L667" t="s">
        <v>8</v>
      </c>
      <c r="M667" t="s">
        <v>8</v>
      </c>
      <c r="N667" t="s">
        <v>7</v>
      </c>
      <c r="P667">
        <f t="shared" si="994"/>
        <v>-0.32558139534884023</v>
      </c>
      <c r="Q667">
        <f t="shared" si="995"/>
        <v>-1300250.7813953608</v>
      </c>
      <c r="R667">
        <f t="shared" si="996"/>
        <v>48352381.810199179</v>
      </c>
      <c r="S667">
        <f t="shared" si="997"/>
        <v>483.52381810199176</v>
      </c>
      <c r="T667">
        <f t="shared" si="998"/>
        <v>0.48352381810199174</v>
      </c>
    </row>
    <row r="668" spans="1:20" x14ac:dyDescent="0.25">
      <c r="A668" s="5">
        <v>43925</v>
      </c>
      <c r="B668">
        <v>7.5999999999999998E-2</v>
      </c>
      <c r="C668">
        <v>7.9369999999999996E-2</v>
      </c>
      <c r="D668">
        <v>7.4889999999999998E-2</v>
      </c>
      <c r="E668">
        <v>7.8700000000000006E-2</v>
      </c>
      <c r="F668">
        <v>1229026.3</v>
      </c>
      <c r="G668">
        <v>0</v>
      </c>
      <c r="L668" t="s">
        <v>8</v>
      </c>
      <c r="M668" t="s">
        <v>8</v>
      </c>
      <c r="N668" t="s">
        <v>7</v>
      </c>
      <c r="P668">
        <f t="shared" si="994"/>
        <v>0.70089285714286143</v>
      </c>
      <c r="Q668">
        <f t="shared" si="995"/>
        <v>861415.75491071958</v>
      </c>
      <c r="R668">
        <f t="shared" si="996"/>
        <v>49652632.59159454</v>
      </c>
      <c r="S668">
        <f t="shared" si="997"/>
        <v>496.52632591594539</v>
      </c>
      <c r="T668">
        <f t="shared" si="998"/>
        <v>0.49652632591594537</v>
      </c>
    </row>
    <row r="669" spans="1:20" x14ac:dyDescent="0.25">
      <c r="A669" s="5">
        <v>43924</v>
      </c>
      <c r="B669">
        <v>7.7640000000000001E-2</v>
      </c>
      <c r="C669">
        <v>7.9259999999999997E-2</v>
      </c>
      <c r="D669">
        <v>7.3440000000000005E-2</v>
      </c>
      <c r="E669">
        <v>7.5999999999999998E-2</v>
      </c>
      <c r="F669">
        <v>1734851.8</v>
      </c>
      <c r="G669">
        <v>0</v>
      </c>
      <c r="L669" t="s">
        <v>8</v>
      </c>
      <c r="M669" t="s">
        <v>8</v>
      </c>
      <c r="N669" t="s">
        <v>7</v>
      </c>
      <c r="P669">
        <f t="shared" si="994"/>
        <v>-0.1202749140893483</v>
      </c>
      <c r="Q669">
        <f t="shared" si="995"/>
        <v>-208659.15120275127</v>
      </c>
      <c r="R669">
        <f t="shared" si="996"/>
        <v>48791216.836683817</v>
      </c>
      <c r="S669">
        <f t="shared" si="997"/>
        <v>487.91216836683816</v>
      </c>
      <c r="T669">
        <f t="shared" si="998"/>
        <v>0.48791216836683815</v>
      </c>
    </row>
    <row r="670" spans="1:20" x14ac:dyDescent="0.25">
      <c r="A670" s="5">
        <v>43923</v>
      </c>
      <c r="B670">
        <v>7.4389999999999998E-2</v>
      </c>
      <c r="C670">
        <v>7.8670000000000004E-2</v>
      </c>
      <c r="D670">
        <v>7.2370000000000004E-2</v>
      </c>
      <c r="E670">
        <v>7.8109999999999999E-2</v>
      </c>
      <c r="F670">
        <v>3954626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0.82222222222222063</v>
      </c>
      <c r="Q670">
        <f t="shared" si="995"/>
        <v>3251581.3777777716</v>
      </c>
      <c r="R670">
        <f t="shared" si="996"/>
        <v>48999875.98788657</v>
      </c>
      <c r="S670">
        <f t="shared" si="997"/>
        <v>489.99875987886571</v>
      </c>
      <c r="T670">
        <f t="shared" si="998"/>
        <v>0.48999875987886571</v>
      </c>
    </row>
    <row r="671" spans="1:20" x14ac:dyDescent="0.25">
      <c r="A671" s="5">
        <v>43922</v>
      </c>
      <c r="B671">
        <v>7.4260000000000007E-2</v>
      </c>
      <c r="C671">
        <v>7.4800000000000005E-2</v>
      </c>
      <c r="D671">
        <v>6.9180000000000005E-2</v>
      </c>
      <c r="E671">
        <v>7.4069999999999997E-2</v>
      </c>
      <c r="F671">
        <v>2081438.4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0.74021352313166955</v>
      </c>
      <c r="Q671">
        <f t="shared" si="995"/>
        <v>1540708.8512455451</v>
      </c>
      <c r="R671">
        <f t="shared" si="996"/>
        <v>45748294.6101088</v>
      </c>
      <c r="S671">
        <f t="shared" si="997"/>
        <v>457.48294610108798</v>
      </c>
      <c r="T671">
        <f t="shared" si="998"/>
        <v>0.45748294610108797</v>
      </c>
    </row>
    <row r="672" spans="1:20" x14ac:dyDescent="0.25">
      <c r="A672" s="5">
        <v>43921</v>
      </c>
      <c r="B672">
        <v>7.2690000000000005E-2</v>
      </c>
      <c r="C672">
        <v>7.5889999999999999E-2</v>
      </c>
      <c r="D672">
        <v>7.1849999999999997E-2</v>
      </c>
      <c r="E672">
        <v>7.4209999999999998E-2</v>
      </c>
      <c r="F672">
        <v>2694298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0.16831683168316824</v>
      </c>
      <c r="Q672">
        <f t="shared" si="995"/>
        <v>453495.70297029684</v>
      </c>
      <c r="R672">
        <f t="shared" si="996"/>
        <v>44207585.758863255</v>
      </c>
      <c r="S672">
        <f t="shared" si="997"/>
        <v>442.07585758863257</v>
      </c>
      <c r="T672">
        <f t="shared" si="998"/>
        <v>0.44207585758863255</v>
      </c>
    </row>
    <row r="673" spans="1:20" x14ac:dyDescent="0.25">
      <c r="A673" s="5">
        <v>43920</v>
      </c>
      <c r="B673">
        <v>6.5210000000000004E-2</v>
      </c>
      <c r="C673">
        <v>7.3880000000000001E-2</v>
      </c>
      <c r="D673">
        <v>6.5210000000000004E-2</v>
      </c>
      <c r="E673">
        <v>7.2650000000000006E-2</v>
      </c>
      <c r="F673">
        <v>2105925.5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0.71626297577854781</v>
      </c>
      <c r="Q673">
        <f t="shared" si="995"/>
        <v>1508396.4653979263</v>
      </c>
      <c r="R673">
        <f t="shared" si="996"/>
        <v>43754090.055892959</v>
      </c>
      <c r="S673">
        <f t="shared" si="997"/>
        <v>437.54090055892959</v>
      </c>
      <c r="T673">
        <f t="shared" si="998"/>
        <v>0.43754090055892958</v>
      </c>
    </row>
    <row r="674" spans="1:20" x14ac:dyDescent="0.25">
      <c r="A674" s="5">
        <v>43919</v>
      </c>
      <c r="B674">
        <v>7.0000000000000007E-2</v>
      </c>
      <c r="C674">
        <v>7.0699999999999999E-2</v>
      </c>
      <c r="D674">
        <v>6.5280000000000005E-2</v>
      </c>
      <c r="E674">
        <v>6.5369999999999998E-2</v>
      </c>
      <c r="F674">
        <v>812825.59999999998</v>
      </c>
      <c r="G674">
        <v>0</v>
      </c>
      <c r="L674" t="s">
        <v>8</v>
      </c>
      <c r="M674" t="s">
        <v>8</v>
      </c>
      <c r="N674" t="s">
        <v>7</v>
      </c>
      <c r="P674">
        <f t="shared" si="994"/>
        <v>-0.96678966789668153</v>
      </c>
      <c r="Q674">
        <f t="shared" si="995"/>
        <v>-785831.39188192086</v>
      </c>
      <c r="R674">
        <f t="shared" si="996"/>
        <v>42245693.590495035</v>
      </c>
      <c r="S674">
        <f t="shared" si="997"/>
        <v>422.45693590495034</v>
      </c>
      <c r="T674">
        <f t="shared" si="998"/>
        <v>0.42245693590495031</v>
      </c>
    </row>
    <row r="675" spans="1:20" x14ac:dyDescent="0.25">
      <c r="A675" s="5">
        <v>43918</v>
      </c>
      <c r="B675">
        <v>7.1370000000000003E-2</v>
      </c>
      <c r="C675">
        <v>7.177E-2</v>
      </c>
      <c r="D675">
        <v>6.6299999999999998E-2</v>
      </c>
      <c r="E675">
        <v>7.0000000000000007E-2</v>
      </c>
      <c r="F675">
        <v>3370518.5</v>
      </c>
      <c r="G675">
        <v>0</v>
      </c>
      <c r="L675" t="s">
        <v>7</v>
      </c>
      <c r="M675" t="s">
        <v>8</v>
      </c>
      <c r="N675" t="s">
        <v>7</v>
      </c>
      <c r="P675">
        <f t="shared" si="994"/>
        <v>0.35283363802559675</v>
      </c>
      <c r="Q675">
        <f t="shared" si="995"/>
        <v>1189232.3043875773</v>
      </c>
      <c r="R675">
        <f t="shared" si="996"/>
        <v>43031524.982376955</v>
      </c>
      <c r="S675">
        <f t="shared" si="997"/>
        <v>430.31524982376953</v>
      </c>
      <c r="T675">
        <f t="shared" si="998"/>
        <v>0.43031524982376951</v>
      </c>
    </row>
    <row r="676" spans="1:20" x14ac:dyDescent="0.25">
      <c r="A676" s="5">
        <v>43917</v>
      </c>
      <c r="B676">
        <v>7.2849999999999998E-2</v>
      </c>
      <c r="C676">
        <v>7.85E-2</v>
      </c>
      <c r="D676">
        <v>7.1370000000000003E-2</v>
      </c>
      <c r="E676">
        <v>7.1800000000000003E-2</v>
      </c>
      <c r="F676">
        <v>3982299.3</v>
      </c>
      <c r="G676">
        <v>0</v>
      </c>
      <c r="L676" t="s">
        <v>8</v>
      </c>
      <c r="M676" t="s">
        <v>8</v>
      </c>
      <c r="N676" t="s">
        <v>7</v>
      </c>
      <c r="P676">
        <f t="shared" si="994"/>
        <v>-0.87938288920056107</v>
      </c>
      <c r="Q676">
        <f t="shared" si="995"/>
        <v>-3501965.8640953717</v>
      </c>
      <c r="R676">
        <f t="shared" si="996"/>
        <v>41842292.677989379</v>
      </c>
      <c r="S676">
        <f t="shared" si="997"/>
        <v>418.42292677989377</v>
      </c>
      <c r="T676">
        <f t="shared" si="998"/>
        <v>0.41842292677989379</v>
      </c>
    </row>
    <row r="677" spans="1:20" x14ac:dyDescent="0.25">
      <c r="A677" s="5">
        <v>43916</v>
      </c>
      <c r="B677">
        <v>6.9669999999999996E-2</v>
      </c>
      <c r="C677">
        <v>7.3349999999999999E-2</v>
      </c>
      <c r="D677">
        <v>6.9360000000000005E-2</v>
      </c>
      <c r="E677">
        <v>7.2309999999999999E-2</v>
      </c>
      <c r="F677">
        <v>6080780.2000000002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0.47869674185463612</v>
      </c>
      <c r="Q677">
        <f t="shared" si="995"/>
        <v>2910849.6696741828</v>
      </c>
      <c r="R677">
        <f t="shared" si="996"/>
        <v>45344258.542084754</v>
      </c>
      <c r="S677">
        <f t="shared" si="997"/>
        <v>453.44258542084754</v>
      </c>
      <c r="T677">
        <f t="shared" si="998"/>
        <v>0.45344258542084753</v>
      </c>
    </row>
    <row r="678" spans="1:20" x14ac:dyDescent="0.25">
      <c r="A678" s="5">
        <v>43915</v>
      </c>
      <c r="B678">
        <v>7.0599999999999996E-2</v>
      </c>
      <c r="C678">
        <v>7.3139999999999997E-2</v>
      </c>
      <c r="D678">
        <v>6.6820000000000004E-2</v>
      </c>
      <c r="E678">
        <v>6.9559999999999997E-2</v>
      </c>
      <c r="F678">
        <v>3287489.9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-0.13291139240506464</v>
      </c>
      <c r="Q678">
        <f t="shared" si="995"/>
        <v>-436944.86012658669</v>
      </c>
      <c r="R678">
        <f t="shared" si="996"/>
        <v>42433408.872410573</v>
      </c>
      <c r="S678">
        <f t="shared" si="997"/>
        <v>424.33408872410575</v>
      </c>
      <c r="T678">
        <f t="shared" si="998"/>
        <v>0.42433408872410577</v>
      </c>
    </row>
    <row r="679" spans="1:20" x14ac:dyDescent="0.25">
      <c r="A679" s="5">
        <v>43914</v>
      </c>
      <c r="B679">
        <v>6.9760000000000003E-2</v>
      </c>
      <c r="C679">
        <v>7.1739999999999998E-2</v>
      </c>
      <c r="D679">
        <v>6.7000000000000004E-2</v>
      </c>
      <c r="E679">
        <v>7.1220000000000006E-2</v>
      </c>
      <c r="F679">
        <v>2683099.1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0.78059071729958085</v>
      </c>
      <c r="Q679">
        <f t="shared" si="995"/>
        <v>2094402.25105486</v>
      </c>
      <c r="R679">
        <f t="shared" si="996"/>
        <v>42870353.732537158</v>
      </c>
      <c r="S679">
        <f t="shared" si="997"/>
        <v>428.7035373253716</v>
      </c>
      <c r="T679">
        <f t="shared" si="998"/>
        <v>0.42870353732537159</v>
      </c>
    </row>
    <row r="680" spans="1:20" x14ac:dyDescent="0.25">
      <c r="A680" s="5">
        <v>43913</v>
      </c>
      <c r="B680">
        <v>6.2880000000000005E-2</v>
      </c>
      <c r="C680">
        <v>7.1209999999999996E-2</v>
      </c>
      <c r="D680">
        <v>6.1620000000000001E-2</v>
      </c>
      <c r="E680">
        <v>6.9769999999999999E-2</v>
      </c>
      <c r="F680">
        <v>2806569.1</v>
      </c>
      <c r="G680">
        <v>0</v>
      </c>
      <c r="L680" t="s">
        <v>8</v>
      </c>
      <c r="M680" t="s">
        <v>7</v>
      </c>
      <c r="N680" t="s">
        <v>7</v>
      </c>
      <c r="P680">
        <f t="shared" si="994"/>
        <v>0.69968717413972936</v>
      </c>
      <c r="Q680">
        <f t="shared" si="995"/>
        <v>1963720.4026068836</v>
      </c>
      <c r="R680">
        <f t="shared" si="996"/>
        <v>40775951.481482297</v>
      </c>
      <c r="S680">
        <f t="shared" si="997"/>
        <v>407.75951481482298</v>
      </c>
      <c r="T680">
        <f t="shared" si="998"/>
        <v>0.40775951481482298</v>
      </c>
    </row>
    <row r="681" spans="1:20" x14ac:dyDescent="0.25">
      <c r="A681" s="5">
        <v>43912</v>
      </c>
      <c r="B681">
        <v>7.2730000000000003E-2</v>
      </c>
      <c r="C681">
        <v>7.4200000000000002E-2</v>
      </c>
      <c r="D681">
        <v>6.2460000000000002E-2</v>
      </c>
      <c r="E681">
        <v>6.3420000000000004E-2</v>
      </c>
      <c r="F681">
        <v>4108820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-0.83645655877342373</v>
      </c>
      <c r="Q681">
        <f t="shared" si="995"/>
        <v>-3436849.437819419</v>
      </c>
      <c r="R681">
        <f t="shared" si="996"/>
        <v>38812231.078875415</v>
      </c>
      <c r="S681">
        <f t="shared" si="997"/>
        <v>388.12231078875413</v>
      </c>
      <c r="T681">
        <f t="shared" si="998"/>
        <v>0.38812231078875414</v>
      </c>
    </row>
    <row r="682" spans="1:20" x14ac:dyDescent="0.25">
      <c r="A682" s="5">
        <v>43911</v>
      </c>
      <c r="B682">
        <v>7.1959999999999996E-2</v>
      </c>
      <c r="C682">
        <v>8.2000000000000003E-2</v>
      </c>
      <c r="D682">
        <v>6.9989999999999997E-2</v>
      </c>
      <c r="E682">
        <v>7.2830000000000006E-2</v>
      </c>
      <c r="F682">
        <v>6853506.2999999998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-0.52706078268109779</v>
      </c>
      <c r="Q682">
        <f t="shared" si="995"/>
        <v>-3612214.3945878344</v>
      </c>
      <c r="R682">
        <f t="shared" si="996"/>
        <v>42249080.516694836</v>
      </c>
      <c r="S682">
        <f t="shared" si="997"/>
        <v>422.49080516694835</v>
      </c>
      <c r="T682">
        <f t="shared" si="998"/>
        <v>0.42249080516694837</v>
      </c>
    </row>
    <row r="683" spans="1:20" x14ac:dyDescent="0.25">
      <c r="A683" s="5">
        <v>43910</v>
      </c>
      <c r="B683">
        <v>6.5570000000000003E-2</v>
      </c>
      <c r="C683">
        <v>8.498E-2</v>
      </c>
      <c r="D683">
        <v>6.4159999999999995E-2</v>
      </c>
      <c r="E683">
        <v>7.2239999999999999E-2</v>
      </c>
      <c r="F683">
        <v>11163623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-0.22382324687800176</v>
      </c>
      <c r="Q683">
        <f t="shared" si="995"/>
        <v>-2498678.3467819388</v>
      </c>
      <c r="R683">
        <f t="shared" si="996"/>
        <v>45861294.911282673</v>
      </c>
      <c r="S683">
        <f t="shared" si="997"/>
        <v>458.61294911282675</v>
      </c>
      <c r="T683">
        <f t="shared" si="998"/>
        <v>0.45861294911282674</v>
      </c>
    </row>
    <row r="684" spans="1:20" x14ac:dyDescent="0.25">
      <c r="A684" s="5">
        <v>43909</v>
      </c>
      <c r="B684">
        <v>5.6989999999999999E-2</v>
      </c>
      <c r="C684">
        <v>6.9220000000000004E-2</v>
      </c>
      <c r="D684">
        <v>5.6349999999999997E-2</v>
      </c>
      <c r="E684">
        <v>6.5570000000000003E-2</v>
      </c>
      <c r="F684">
        <v>6321329.7000000002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0.43278943278943299</v>
      </c>
      <c r="Q684">
        <f t="shared" si="995"/>
        <v>2735804.6953379968</v>
      </c>
      <c r="R684">
        <f t="shared" si="996"/>
        <v>48359973.258064613</v>
      </c>
      <c r="S684">
        <f t="shared" si="997"/>
        <v>483.5997325806461</v>
      </c>
      <c r="T684">
        <f t="shared" si="998"/>
        <v>0.48359973258064609</v>
      </c>
    </row>
    <row r="685" spans="1:20" x14ac:dyDescent="0.25">
      <c r="A685" s="5">
        <v>43908</v>
      </c>
      <c r="B685">
        <v>5.6669999999999998E-2</v>
      </c>
      <c r="C685">
        <v>5.7660000000000003E-2</v>
      </c>
      <c r="D685">
        <v>5.2580000000000002E-2</v>
      </c>
      <c r="E685">
        <v>5.6669999999999998E-2</v>
      </c>
      <c r="F685">
        <v>3264802.6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0.61023622047243919</v>
      </c>
      <c r="Q685">
        <f t="shared" si="995"/>
        <v>1992300.7992125927</v>
      </c>
      <c r="R685">
        <f t="shared" si="996"/>
        <v>45624168.562726617</v>
      </c>
      <c r="S685">
        <f t="shared" si="997"/>
        <v>456.24168562726618</v>
      </c>
      <c r="T685">
        <f t="shared" si="998"/>
        <v>0.45624168562726619</v>
      </c>
    </row>
    <row r="686" spans="1:20" x14ac:dyDescent="0.25">
      <c r="A686" s="5">
        <v>43907</v>
      </c>
      <c r="B686">
        <v>5.3350000000000002E-2</v>
      </c>
      <c r="C686">
        <v>5.9220000000000002E-2</v>
      </c>
      <c r="D686">
        <v>5.2299999999999999E-2</v>
      </c>
      <c r="E686">
        <v>5.6669999999999998E-2</v>
      </c>
      <c r="F686">
        <v>3618519.2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0.26300578034682004</v>
      </c>
      <c r="Q686">
        <f t="shared" si="995"/>
        <v>951691.46589595103</v>
      </c>
      <c r="R686">
        <f t="shared" si="996"/>
        <v>43631867.763514027</v>
      </c>
      <c r="S686">
        <f t="shared" si="997"/>
        <v>436.31867763514026</v>
      </c>
      <c r="T686">
        <f t="shared" si="998"/>
        <v>0.43631867763514026</v>
      </c>
    </row>
    <row r="687" spans="1:20" x14ac:dyDescent="0.25">
      <c r="A687" s="5">
        <v>43906</v>
      </c>
      <c r="B687">
        <v>6.1039999999999997E-2</v>
      </c>
      <c r="C687">
        <v>6.1039999999999997E-2</v>
      </c>
      <c r="D687">
        <v>4.7620000000000003E-2</v>
      </c>
      <c r="E687">
        <v>5.3069999999999999E-2</v>
      </c>
      <c r="F687">
        <v>6868410.0999999996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-0.18777943368107322</v>
      </c>
      <c r="Q687">
        <f t="shared" si="995"/>
        <v>-1289746.1588673634</v>
      </c>
      <c r="R687">
        <f t="shared" si="996"/>
        <v>42680176.297618076</v>
      </c>
      <c r="S687">
        <f t="shared" si="997"/>
        <v>426.80176297618078</v>
      </c>
      <c r="T687">
        <f t="shared" si="998"/>
        <v>0.42680176297618078</v>
      </c>
    </row>
    <row r="688" spans="1:20" x14ac:dyDescent="0.25">
      <c r="A688" s="5">
        <v>43905</v>
      </c>
      <c r="B688">
        <v>6.0389999999999999E-2</v>
      </c>
      <c r="C688">
        <v>6.7530000000000007E-2</v>
      </c>
      <c r="D688">
        <v>5.8999999999999997E-2</v>
      </c>
      <c r="E688">
        <v>6.1990000000000003E-2</v>
      </c>
      <c r="F688">
        <v>4206886.8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-0.29894490035169913</v>
      </c>
      <c r="Q688">
        <f t="shared" si="995"/>
        <v>-1257627.3552168785</v>
      </c>
      <c r="R688">
        <f t="shared" si="996"/>
        <v>43969922.456485443</v>
      </c>
      <c r="S688">
        <f t="shared" si="997"/>
        <v>439.69922456485443</v>
      </c>
      <c r="T688">
        <f t="shared" si="998"/>
        <v>0.43969922456485444</v>
      </c>
    </row>
    <row r="689" spans="1:20" x14ac:dyDescent="0.25">
      <c r="A689" s="5">
        <v>43904</v>
      </c>
      <c r="B689">
        <v>6.1170000000000002E-2</v>
      </c>
      <c r="C689">
        <v>6.4680000000000001E-2</v>
      </c>
      <c r="D689">
        <v>5.6619999999999997E-2</v>
      </c>
      <c r="E689">
        <v>6.0999999999999999E-2</v>
      </c>
      <c r="F689">
        <v>4352607.8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8.6848635235731858E-2</v>
      </c>
      <c r="Q689">
        <f t="shared" si="995"/>
        <v>378018.04714640131</v>
      </c>
      <c r="R689">
        <f t="shared" si="996"/>
        <v>45227549.811702318</v>
      </c>
      <c r="S689">
        <f t="shared" si="997"/>
        <v>452.27549811702318</v>
      </c>
      <c r="T689">
        <f t="shared" si="998"/>
        <v>0.45227549811702317</v>
      </c>
    </row>
    <row r="690" spans="1:20" x14ac:dyDescent="0.25">
      <c r="A690" s="5">
        <v>43903</v>
      </c>
      <c r="B690">
        <v>5.2389999999999999E-2</v>
      </c>
      <c r="C690">
        <v>6.762E-2</v>
      </c>
      <c r="D690">
        <v>3.5540000000000002E-2</v>
      </c>
      <c r="E690">
        <v>6.1510000000000002E-2</v>
      </c>
      <c r="F690">
        <v>11412981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0.61907730673316719</v>
      </c>
      <c r="Q690">
        <f t="shared" si="995"/>
        <v>7065517.5392768094</v>
      </c>
      <c r="R690">
        <f t="shared" si="996"/>
        <v>44849531.764555916</v>
      </c>
      <c r="S690">
        <f t="shared" si="997"/>
        <v>448.49531764555917</v>
      </c>
      <c r="T690">
        <f t="shared" si="998"/>
        <v>0.44849531764555917</v>
      </c>
    </row>
    <row r="691" spans="1:20" x14ac:dyDescent="0.25">
      <c r="A691" s="5">
        <v>43902</v>
      </c>
      <c r="B691">
        <v>9.9260000000000001E-2</v>
      </c>
      <c r="C691">
        <v>9.9959999999999993E-2</v>
      </c>
      <c r="D691">
        <v>4.999E-2</v>
      </c>
      <c r="E691">
        <v>5.1670000000000001E-2</v>
      </c>
      <c r="F691">
        <v>15599400.300000001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-0.93275965579347608</v>
      </c>
      <c r="Q691">
        <f t="shared" si="995"/>
        <v>-14550491.254412647</v>
      </c>
      <c r="R691">
        <f t="shared" si="996"/>
        <v>37784014.225279108</v>
      </c>
      <c r="S691">
        <f t="shared" si="997"/>
        <v>377.84014225279105</v>
      </c>
      <c r="T691">
        <f t="shared" si="998"/>
        <v>0.37784014225279106</v>
      </c>
    </row>
    <row r="692" spans="1:20" x14ac:dyDescent="0.25">
      <c r="A692" s="5">
        <v>43901</v>
      </c>
      <c r="B692">
        <v>0.11022</v>
      </c>
      <c r="C692">
        <v>0.11022</v>
      </c>
      <c r="D692">
        <v>9.1389999999999999E-2</v>
      </c>
      <c r="E692">
        <v>9.894E-2</v>
      </c>
      <c r="F692">
        <v>16274268.5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-0.19808815719596373</v>
      </c>
      <c r="Q692">
        <f t="shared" si="995"/>
        <v>-3223739.8568773209</v>
      </c>
      <c r="R692">
        <f t="shared" si="996"/>
        <v>52334505.479691751</v>
      </c>
      <c r="S692">
        <f t="shared" si="997"/>
        <v>523.34505479691757</v>
      </c>
      <c r="T692">
        <f t="shared" si="998"/>
        <v>0.52334505479691762</v>
      </c>
    </row>
    <row r="693" spans="1:20" x14ac:dyDescent="0.25">
      <c r="A693" s="5">
        <v>43900</v>
      </c>
      <c r="B693">
        <v>0.10933</v>
      </c>
      <c r="C693">
        <v>0.11325</v>
      </c>
      <c r="D693">
        <v>0.10362</v>
      </c>
      <c r="E693">
        <v>0.11022</v>
      </c>
      <c r="F693">
        <v>6420239.9000000004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0.37071651090342572</v>
      </c>
      <c r="Q693">
        <f t="shared" si="995"/>
        <v>2380088.9348909589</v>
      </c>
      <c r="R693">
        <f t="shared" si="996"/>
        <v>55558245.336569071</v>
      </c>
      <c r="S693">
        <f t="shared" si="997"/>
        <v>555.58245336569075</v>
      </c>
      <c r="T693">
        <f t="shared" si="998"/>
        <v>0.55558245336569079</v>
      </c>
    </row>
    <row r="694" spans="1:20" x14ac:dyDescent="0.25">
      <c r="A694" s="5">
        <v>43899</v>
      </c>
      <c r="B694">
        <v>0.11028</v>
      </c>
      <c r="C694">
        <v>0.11538</v>
      </c>
      <c r="D694">
        <v>9.9010000000000001E-2</v>
      </c>
      <c r="E694">
        <v>0.10849</v>
      </c>
      <c r="F694">
        <v>8040116.9000000004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0.15821624923640865</v>
      </c>
      <c r="Q694">
        <f t="shared" si="995"/>
        <v>1272077.1393402612</v>
      </c>
      <c r="R694">
        <f t="shared" si="996"/>
        <v>53178156.401678115</v>
      </c>
      <c r="S694">
        <f t="shared" si="997"/>
        <v>531.7815640167812</v>
      </c>
      <c r="T694">
        <f t="shared" si="998"/>
        <v>0.53178156401678123</v>
      </c>
    </row>
    <row r="695" spans="1:20" x14ac:dyDescent="0.25">
      <c r="A695" s="5">
        <v>43898</v>
      </c>
      <c r="B695">
        <v>0.13499</v>
      </c>
      <c r="C695">
        <v>0.13641</v>
      </c>
      <c r="D695">
        <v>0.10867</v>
      </c>
      <c r="E695">
        <v>0.11028</v>
      </c>
      <c r="F695">
        <v>7783616.7000000002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-0.88392213410237919</v>
      </c>
      <c r="Q695">
        <f t="shared" si="995"/>
        <v>-6880111.0844989186</v>
      </c>
      <c r="R695">
        <f t="shared" si="996"/>
        <v>51906079.262337856</v>
      </c>
      <c r="S695">
        <f t="shared" si="997"/>
        <v>519.06079262337857</v>
      </c>
      <c r="T695">
        <f t="shared" si="998"/>
        <v>0.51906079262337856</v>
      </c>
    </row>
    <row r="696" spans="1:20" x14ac:dyDescent="0.25">
      <c r="A696" s="5">
        <v>43897</v>
      </c>
      <c r="B696">
        <v>0.1346</v>
      </c>
      <c r="C696">
        <v>0.14699999999999999</v>
      </c>
      <c r="D696">
        <v>0.13325999999999999</v>
      </c>
      <c r="E696">
        <v>0.13575000000000001</v>
      </c>
      <c r="F696">
        <v>6122122.5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-0.63755458515283558</v>
      </c>
      <c r="Q696">
        <f t="shared" si="995"/>
        <v>-3903187.2707423405</v>
      </c>
      <c r="R696">
        <f t="shared" si="996"/>
        <v>58786190.346836776</v>
      </c>
      <c r="S696">
        <f t="shared" si="997"/>
        <v>587.8619034683677</v>
      </c>
      <c r="T696">
        <f t="shared" si="998"/>
        <v>0.58786190346836775</v>
      </c>
    </row>
    <row r="697" spans="1:20" x14ac:dyDescent="0.25">
      <c r="A697" s="5">
        <v>43896</v>
      </c>
      <c r="B697">
        <v>0.14113000000000001</v>
      </c>
      <c r="C697">
        <v>0.14402000000000001</v>
      </c>
      <c r="D697">
        <v>0.13092999999999999</v>
      </c>
      <c r="E697">
        <v>0.13477</v>
      </c>
      <c r="F697">
        <v>5509166.2000000002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-0.41329258976317729</v>
      </c>
      <c r="Q697">
        <f t="shared" si="995"/>
        <v>-2276897.5662337625</v>
      </c>
      <c r="R697">
        <f t="shared" si="996"/>
        <v>62689377.617579117</v>
      </c>
      <c r="S697">
        <f t="shared" si="997"/>
        <v>626.89377617579112</v>
      </c>
      <c r="T697">
        <f t="shared" si="998"/>
        <v>0.62689377617579112</v>
      </c>
    </row>
    <row r="698" spans="1:20" x14ac:dyDescent="0.25">
      <c r="A698" s="5">
        <v>43895</v>
      </c>
      <c r="B698">
        <v>0.13192000000000001</v>
      </c>
      <c r="C698">
        <v>0.14199999999999999</v>
      </c>
      <c r="D698">
        <v>0.12934999999999999</v>
      </c>
      <c r="E698">
        <v>0.14122999999999999</v>
      </c>
      <c r="F698">
        <v>6287641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0.87826086956521843</v>
      </c>
      <c r="Q698">
        <f t="shared" si="995"/>
        <v>5522189.05217392</v>
      </c>
      <c r="R698">
        <f t="shared" si="996"/>
        <v>64966275.183812879</v>
      </c>
      <c r="S698">
        <f t="shared" si="997"/>
        <v>649.66275183812877</v>
      </c>
      <c r="T698">
        <f t="shared" si="998"/>
        <v>0.64966275183812872</v>
      </c>
    </row>
    <row r="699" spans="1:20" x14ac:dyDescent="0.25">
      <c r="A699" s="5">
        <v>43894</v>
      </c>
      <c r="B699">
        <v>0.13170000000000001</v>
      </c>
      <c r="C699">
        <v>0.13239999999999999</v>
      </c>
      <c r="D699">
        <v>0.12523999999999999</v>
      </c>
      <c r="E699">
        <v>0.13181999999999999</v>
      </c>
      <c r="F699">
        <v>5644780.7999999998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0.83798882681564324</v>
      </c>
      <c r="Q699">
        <f t="shared" si="995"/>
        <v>4730263.2402234683</v>
      </c>
      <c r="R699">
        <f t="shared" si="996"/>
        <v>59444086.131638959</v>
      </c>
      <c r="S699">
        <f t="shared" si="997"/>
        <v>594.4408613163896</v>
      </c>
      <c r="T699">
        <f t="shared" si="998"/>
        <v>0.59444086131638962</v>
      </c>
    </row>
    <row r="700" spans="1:20" x14ac:dyDescent="0.25">
      <c r="A700" s="5">
        <v>43893</v>
      </c>
      <c r="B700">
        <v>0.12770999999999999</v>
      </c>
      <c r="C700">
        <v>0.13525999999999999</v>
      </c>
      <c r="D700">
        <v>0.12371</v>
      </c>
      <c r="E700">
        <v>0.13170000000000001</v>
      </c>
      <c r="F700">
        <v>6771723.7000000002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0.38354978354978653</v>
      </c>
      <c r="Q700">
        <f t="shared" si="995"/>
        <v>2597293.1593939597</v>
      </c>
      <c r="R700">
        <f t="shared" si="996"/>
        <v>54713822.891415492</v>
      </c>
      <c r="S700">
        <f t="shared" si="997"/>
        <v>547.13822891415487</v>
      </c>
      <c r="T700">
        <f t="shared" si="998"/>
        <v>0.54713822891415487</v>
      </c>
    </row>
    <row r="701" spans="1:20" x14ac:dyDescent="0.25">
      <c r="A701" s="5">
        <v>43892</v>
      </c>
      <c r="B701">
        <v>0.11582000000000001</v>
      </c>
      <c r="C701">
        <v>0.13450999999999999</v>
      </c>
      <c r="D701">
        <v>0.11484</v>
      </c>
      <c r="E701">
        <v>0.12839999999999999</v>
      </c>
      <c r="F701">
        <v>6287233.4000000004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0.37874936451448843</v>
      </c>
      <c r="Q701">
        <f t="shared" si="995"/>
        <v>2381285.6548042665</v>
      </c>
      <c r="R701">
        <f t="shared" si="996"/>
        <v>52116529.732021533</v>
      </c>
      <c r="S701">
        <f t="shared" si="997"/>
        <v>521.16529732021536</v>
      </c>
      <c r="T701">
        <f t="shared" si="998"/>
        <v>0.52116529732021533</v>
      </c>
    </row>
    <row r="702" spans="1:20" x14ac:dyDescent="0.25">
      <c r="A702" s="5">
        <v>43891</v>
      </c>
      <c r="B702">
        <v>0.11713999999999999</v>
      </c>
      <c r="C702">
        <v>0.11999</v>
      </c>
      <c r="D702">
        <v>0.11212999999999999</v>
      </c>
      <c r="E702">
        <v>0.11706999999999999</v>
      </c>
      <c r="F702">
        <v>2081815.9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0.25699745547073694</v>
      </c>
      <c r="Q702">
        <f t="shared" si="995"/>
        <v>535021.38905852207</v>
      </c>
      <c r="R702">
        <f t="shared" si="996"/>
        <v>49735244.077217266</v>
      </c>
      <c r="S702">
        <f t="shared" si="997"/>
        <v>497.35244077217266</v>
      </c>
      <c r="T702">
        <f t="shared" si="998"/>
        <v>0.49735244077217267</v>
      </c>
    </row>
    <row r="703" spans="1:20" x14ac:dyDescent="0.25">
      <c r="A703" s="5">
        <v>43890</v>
      </c>
      <c r="B703">
        <v>0.12132</v>
      </c>
      <c r="C703">
        <v>0.125</v>
      </c>
      <c r="D703">
        <v>0.11586</v>
      </c>
      <c r="E703">
        <v>0.11712</v>
      </c>
      <c r="F703">
        <v>2661865.5</v>
      </c>
      <c r="G703">
        <v>0</v>
      </c>
      <c r="L703" t="s">
        <v>7</v>
      </c>
      <c r="M703" t="s">
        <v>8</v>
      </c>
      <c r="N703" t="s">
        <v>7</v>
      </c>
      <c r="P703">
        <f t="shared" si="994"/>
        <v>-0.72428884026258256</v>
      </c>
      <c r="Q703">
        <f t="shared" si="995"/>
        <v>-1927959.4759299795</v>
      </c>
      <c r="R703">
        <f t="shared" si="996"/>
        <v>49200222.688158743</v>
      </c>
      <c r="S703">
        <f t="shared" si="997"/>
        <v>492.00222688158743</v>
      </c>
      <c r="T703">
        <f t="shared" si="998"/>
        <v>0.49200222688158746</v>
      </c>
    </row>
    <row r="704" spans="1:20" x14ac:dyDescent="0.25">
      <c r="A704" s="5">
        <v>43889</v>
      </c>
      <c r="B704">
        <v>0.12139</v>
      </c>
      <c r="C704">
        <v>0.13291</v>
      </c>
      <c r="D704">
        <v>0.10951</v>
      </c>
      <c r="E704">
        <v>0.12082</v>
      </c>
      <c r="F704">
        <v>5472392.9000000004</v>
      </c>
      <c r="G704">
        <v>0</v>
      </c>
      <c r="L704" t="s">
        <v>8</v>
      </c>
      <c r="M704" t="s">
        <v>8</v>
      </c>
      <c r="N704" t="s">
        <v>7</v>
      </c>
      <c r="P704">
        <f t="shared" si="994"/>
        <v>-3.3333333333333451E-2</v>
      </c>
      <c r="Q704">
        <f t="shared" si="995"/>
        <v>-182413.09666666732</v>
      </c>
      <c r="R704">
        <f t="shared" si="996"/>
        <v>51128182.164088726</v>
      </c>
      <c r="S704">
        <f t="shared" si="997"/>
        <v>511.28182164088724</v>
      </c>
      <c r="T704">
        <f t="shared" si="998"/>
        <v>0.5112818216408872</v>
      </c>
    </row>
    <row r="705" spans="1:20" x14ac:dyDescent="0.25">
      <c r="A705" s="5">
        <v>43888</v>
      </c>
      <c r="B705">
        <v>0.11743000000000001</v>
      </c>
      <c r="C705">
        <v>0.12665999999999999</v>
      </c>
      <c r="D705">
        <v>0.1091</v>
      </c>
      <c r="E705">
        <v>0.12192</v>
      </c>
      <c r="F705">
        <v>5853857.2000000002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0.46013667425968152</v>
      </c>
      <c r="Q705">
        <f t="shared" si="995"/>
        <v>2693574.3835990913</v>
      </c>
      <c r="R705">
        <f t="shared" si="996"/>
        <v>51310595.26075539</v>
      </c>
      <c r="S705">
        <f t="shared" si="997"/>
        <v>513.10595260755395</v>
      </c>
      <c r="T705">
        <f t="shared" si="998"/>
        <v>0.51310595260755398</v>
      </c>
    </row>
    <row r="706" spans="1:20" x14ac:dyDescent="0.25">
      <c r="A706" s="5">
        <v>43887</v>
      </c>
      <c r="B706">
        <v>0.13481000000000001</v>
      </c>
      <c r="C706">
        <v>0.13666</v>
      </c>
      <c r="D706">
        <v>0.10843999999999999</v>
      </c>
      <c r="E706">
        <v>0.11839</v>
      </c>
      <c r="F706">
        <v>11538081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-0.29482636428065223</v>
      </c>
      <c r="Q706">
        <f t="shared" si="995"/>
        <v>-3401730.4720056723</v>
      </c>
      <c r="R706">
        <f t="shared" si="996"/>
        <v>48617020.877156302</v>
      </c>
      <c r="S706">
        <f t="shared" si="997"/>
        <v>486.17020877156301</v>
      </c>
      <c r="T706">
        <f t="shared" si="998"/>
        <v>0.48617020877156303</v>
      </c>
    </row>
    <row r="707" spans="1:20" x14ac:dyDescent="0.25">
      <c r="A707" s="5">
        <v>43886</v>
      </c>
      <c r="B707">
        <v>0.14838999999999999</v>
      </c>
      <c r="C707">
        <v>0.14893999999999999</v>
      </c>
      <c r="D707">
        <v>0.13263</v>
      </c>
      <c r="E707">
        <v>0.13481000000000001</v>
      </c>
      <c r="F707">
        <v>10160263.5</v>
      </c>
      <c r="G707">
        <v>0</v>
      </c>
      <c r="L707" t="s">
        <v>7</v>
      </c>
      <c r="M707" t="s">
        <v>8</v>
      </c>
      <c r="N707" t="s">
        <v>7</v>
      </c>
      <c r="P707">
        <f t="shared" si="994"/>
        <v>-0.73267933782955041</v>
      </c>
      <c r="Q707">
        <f t="shared" si="995"/>
        <v>-7444215.1333537502</v>
      </c>
      <c r="R707">
        <f t="shared" si="996"/>
        <v>52018751.349161975</v>
      </c>
      <c r="S707">
        <f t="shared" si="997"/>
        <v>520.18751349161971</v>
      </c>
      <c r="T707">
        <f t="shared" si="998"/>
        <v>0.52018751349161974</v>
      </c>
    </row>
    <row r="708" spans="1:20" x14ac:dyDescent="0.25">
      <c r="A708" s="5">
        <v>43885</v>
      </c>
      <c r="B708">
        <v>0.14074999999999999</v>
      </c>
      <c r="C708">
        <v>0.15</v>
      </c>
      <c r="D708">
        <v>0.13277</v>
      </c>
      <c r="E708">
        <v>0.14835999999999999</v>
      </c>
      <c r="F708">
        <v>9874806.9000000004</v>
      </c>
      <c r="G708">
        <v>0</v>
      </c>
      <c r="L708" t="s">
        <v>8</v>
      </c>
      <c r="M708" t="s">
        <v>8</v>
      </c>
      <c r="N708" t="s">
        <v>7</v>
      </c>
      <c r="P708">
        <f t="shared" si="994"/>
        <v>0.80963435867672628</v>
      </c>
      <c r="Q708">
        <f t="shared" si="995"/>
        <v>7994982.9515380114</v>
      </c>
      <c r="R708">
        <f t="shared" si="996"/>
        <v>59462966.482515723</v>
      </c>
      <c r="S708">
        <f t="shared" si="997"/>
        <v>594.62966482515719</v>
      </c>
      <c r="T708">
        <f t="shared" si="998"/>
        <v>0.59462966482515722</v>
      </c>
    </row>
    <row r="709" spans="1:20" x14ac:dyDescent="0.25">
      <c r="A709" s="5">
        <v>43884</v>
      </c>
      <c r="B709">
        <v>0.12898000000000001</v>
      </c>
      <c r="C709">
        <v>0.14599999999999999</v>
      </c>
      <c r="D709">
        <v>0.12883</v>
      </c>
      <c r="E709">
        <v>0.14149</v>
      </c>
      <c r="F709">
        <v>5859129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0.47466511357018187</v>
      </c>
      <c r="Q709">
        <f t="shared" si="995"/>
        <v>2781124.1322073461</v>
      </c>
      <c r="R709">
        <f t="shared" si="996"/>
        <v>51467983.530977711</v>
      </c>
      <c r="S709">
        <f t="shared" si="997"/>
        <v>514.6798353097771</v>
      </c>
      <c r="T709">
        <f t="shared" si="998"/>
        <v>0.51467983530977712</v>
      </c>
    </row>
    <row r="710" spans="1:20" x14ac:dyDescent="0.25">
      <c r="A710" s="5">
        <v>43883</v>
      </c>
      <c r="B710">
        <v>0.12787999999999999</v>
      </c>
      <c r="C710">
        <v>0.14283000000000001</v>
      </c>
      <c r="D710">
        <v>0.12417</v>
      </c>
      <c r="E710">
        <v>0.12845999999999999</v>
      </c>
      <c r="F710">
        <v>2364774.7999999998</v>
      </c>
      <c r="G710">
        <v>0</v>
      </c>
      <c r="L710" t="s">
        <v>8</v>
      </c>
      <c r="M710" t="s">
        <v>8</v>
      </c>
      <c r="N710" t="s">
        <v>7</v>
      </c>
      <c r="P710">
        <f t="shared" ref="P710:P766" si="999">IF(C710=D710,0,((E710-D710)-(C710-E710))/(C710-D710))</f>
        <v>-0.54019292604501756</v>
      </c>
      <c r="Q710">
        <f t="shared" ref="Q710:Q766" si="1000">F710*P710</f>
        <v>-1277434.6186495211</v>
      </c>
      <c r="R710">
        <f t="shared" ref="R710:R766" si="1001">R711+Q710</f>
        <v>48686859.398770362</v>
      </c>
      <c r="S710">
        <f t="shared" ref="S710:S766" si="1002">R710/100000</f>
        <v>486.8685939877036</v>
      </c>
      <c r="T710">
        <f t="shared" ref="T710:T766" si="1003">S710/1000</f>
        <v>0.4868685939877036</v>
      </c>
    </row>
    <row r="711" spans="1:20" x14ac:dyDescent="0.25">
      <c r="A711" s="5">
        <v>43882</v>
      </c>
      <c r="B711">
        <v>0.13136</v>
      </c>
      <c r="C711">
        <v>0.13999</v>
      </c>
      <c r="D711">
        <v>0.12669</v>
      </c>
      <c r="E711">
        <v>0.12776000000000001</v>
      </c>
      <c r="F711">
        <v>6194111.5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-0.83909774436090001</v>
      </c>
      <c r="Q711">
        <f t="shared" si="1000"/>
        <v>-5197464.9879699107</v>
      </c>
      <c r="R711">
        <f t="shared" si="1001"/>
        <v>49964294.017419882</v>
      </c>
      <c r="S711">
        <f t="shared" si="1002"/>
        <v>499.64294017419883</v>
      </c>
      <c r="T711">
        <f t="shared" si="1003"/>
        <v>0.4996429401741988</v>
      </c>
    </row>
    <row r="712" spans="1:20" x14ac:dyDescent="0.25">
      <c r="A712" s="5">
        <v>43881</v>
      </c>
      <c r="B712">
        <v>0.12664</v>
      </c>
      <c r="C712">
        <v>0.13439999999999999</v>
      </c>
      <c r="D712">
        <v>0.12166</v>
      </c>
      <c r="E712">
        <v>0.13247</v>
      </c>
      <c r="F712">
        <v>5844240.9000000004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0.69701726844584155</v>
      </c>
      <c r="Q712">
        <f t="shared" si="1000"/>
        <v>4073536.8282574671</v>
      </c>
      <c r="R712">
        <f t="shared" si="1001"/>
        <v>55161759.005389795</v>
      </c>
      <c r="S712">
        <f t="shared" si="1002"/>
        <v>551.61759005389797</v>
      </c>
      <c r="T712">
        <f t="shared" si="1003"/>
        <v>0.55161759005389799</v>
      </c>
    </row>
    <row r="713" spans="1:20" x14ac:dyDescent="0.25">
      <c r="A713" s="5">
        <v>43880</v>
      </c>
      <c r="B713">
        <v>0.14186000000000001</v>
      </c>
      <c r="C713">
        <v>0.14859</v>
      </c>
      <c r="D713">
        <v>0.1202</v>
      </c>
      <c r="E713">
        <v>0.12664</v>
      </c>
      <c r="F713">
        <v>7914569.7000000002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-0.54631912645297631</v>
      </c>
      <c r="Q713">
        <f t="shared" si="1000"/>
        <v>-4323880.804755195</v>
      </c>
      <c r="R713">
        <f t="shared" si="1001"/>
        <v>51088222.177132331</v>
      </c>
      <c r="S713">
        <f t="shared" si="1002"/>
        <v>510.88222177132332</v>
      </c>
      <c r="T713">
        <f t="shared" si="1003"/>
        <v>0.51088222177132336</v>
      </c>
    </row>
    <row r="714" spans="1:20" x14ac:dyDescent="0.25">
      <c r="A714" s="5">
        <v>43879</v>
      </c>
      <c r="B714">
        <v>0.13716</v>
      </c>
      <c r="C714">
        <v>0.14391000000000001</v>
      </c>
      <c r="D714">
        <v>0.12512999999999999</v>
      </c>
      <c r="E714">
        <v>0.14133999999999999</v>
      </c>
      <c r="F714">
        <v>9256863.6999999993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0.72630457933972159</v>
      </c>
      <c r="Q714">
        <f t="shared" si="1000"/>
        <v>6723302.4956336385</v>
      </c>
      <c r="R714">
        <f t="shared" si="1001"/>
        <v>55412102.981887527</v>
      </c>
      <c r="S714">
        <f t="shared" si="1002"/>
        <v>554.12102981887529</v>
      </c>
      <c r="T714">
        <f t="shared" si="1003"/>
        <v>0.55412102981887523</v>
      </c>
    </row>
    <row r="715" spans="1:20" x14ac:dyDescent="0.25">
      <c r="A715" s="5">
        <v>43878</v>
      </c>
      <c r="B715">
        <v>0.13453999999999999</v>
      </c>
      <c r="C715">
        <v>0.14172999999999999</v>
      </c>
      <c r="D715">
        <v>0.11756</v>
      </c>
      <c r="E715">
        <v>0.13716</v>
      </c>
      <c r="F715">
        <v>9232865.6999999993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0.62184526272238383</v>
      </c>
      <c r="Q715">
        <f t="shared" si="1000"/>
        <v>5741413.7968969857</v>
      </c>
      <c r="R715">
        <f t="shared" si="1001"/>
        <v>48688800.486253887</v>
      </c>
      <c r="S715">
        <f t="shared" si="1002"/>
        <v>486.88800486253888</v>
      </c>
      <c r="T715">
        <f t="shared" si="1003"/>
        <v>0.48688800486253886</v>
      </c>
    </row>
    <row r="716" spans="1:20" x14ac:dyDescent="0.25">
      <c r="A716" s="5">
        <v>43877</v>
      </c>
      <c r="B716">
        <v>0.14693999999999999</v>
      </c>
      <c r="C716">
        <v>0.14702999999999999</v>
      </c>
      <c r="D716">
        <v>0.123</v>
      </c>
      <c r="E716">
        <v>0.13453999999999999</v>
      </c>
      <c r="F716">
        <v>8466750.4000000004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-3.9533915938410595E-2</v>
      </c>
      <c r="Q716">
        <f t="shared" si="1000"/>
        <v>-334723.79858510429</v>
      </c>
      <c r="R716">
        <f t="shared" si="1001"/>
        <v>42947386.689356901</v>
      </c>
      <c r="S716">
        <f t="shared" si="1002"/>
        <v>429.47386689356898</v>
      </c>
      <c r="T716">
        <f t="shared" si="1003"/>
        <v>0.42947386689356898</v>
      </c>
    </row>
    <row r="717" spans="1:20" x14ac:dyDescent="0.25">
      <c r="A717" s="5">
        <v>43876</v>
      </c>
      <c r="B717">
        <v>0.15862000000000001</v>
      </c>
      <c r="C717">
        <v>0.16292999999999999</v>
      </c>
      <c r="D717">
        <v>0.13350000000000001</v>
      </c>
      <c r="E717">
        <v>0.14693999999999999</v>
      </c>
      <c r="F717">
        <v>11375235.4</v>
      </c>
      <c r="G717">
        <v>0</v>
      </c>
      <c r="L717" t="s">
        <v>7</v>
      </c>
      <c r="M717" t="s">
        <v>7</v>
      </c>
      <c r="N717" t="s">
        <v>7</v>
      </c>
      <c r="P717">
        <f t="shared" si="999"/>
        <v>-8.6646279306830651E-2</v>
      </c>
      <c r="Q717">
        <f t="shared" si="1000"/>
        <v>-985621.82364934753</v>
      </c>
      <c r="R717">
        <f t="shared" si="1001"/>
        <v>43282110.487942003</v>
      </c>
      <c r="S717">
        <f t="shared" si="1002"/>
        <v>432.82110487942003</v>
      </c>
      <c r="T717">
        <f t="shared" si="1003"/>
        <v>0.43282110487942005</v>
      </c>
    </row>
    <row r="718" spans="1:20" x14ac:dyDescent="0.25">
      <c r="A718" s="5">
        <v>43875</v>
      </c>
      <c r="B718">
        <v>0.17215</v>
      </c>
      <c r="C718">
        <v>0.17899999999999999</v>
      </c>
      <c r="D718">
        <v>0.14939</v>
      </c>
      <c r="E718">
        <v>0.15826999999999999</v>
      </c>
      <c r="F718">
        <v>21119084.399999999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-0.40020263424518743</v>
      </c>
      <c r="Q718">
        <f t="shared" si="1000"/>
        <v>-8451913.2097264435</v>
      </c>
      <c r="R718">
        <f t="shared" si="1001"/>
        <v>44267732.31159135</v>
      </c>
      <c r="S718">
        <f t="shared" si="1002"/>
        <v>442.67732311591351</v>
      </c>
      <c r="T718">
        <f t="shared" si="1003"/>
        <v>0.44267732311591351</v>
      </c>
    </row>
    <row r="719" spans="1:20" x14ac:dyDescent="0.25">
      <c r="A719" s="5">
        <v>43874</v>
      </c>
      <c r="B719">
        <v>0.13827</v>
      </c>
      <c r="C719">
        <v>0.1825</v>
      </c>
      <c r="D719">
        <v>0.13144</v>
      </c>
      <c r="E719">
        <v>0.17191999999999999</v>
      </c>
      <c r="F719">
        <v>40802316.799999997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0.58558558558558527</v>
      </c>
      <c r="Q719">
        <f t="shared" si="1000"/>
        <v>23893248.576576561</v>
      </c>
      <c r="R719">
        <f t="shared" si="1001"/>
        <v>52719645.521317795</v>
      </c>
      <c r="S719">
        <f t="shared" si="1002"/>
        <v>527.19645521317796</v>
      </c>
      <c r="T719">
        <f t="shared" si="1003"/>
        <v>0.52719645521317793</v>
      </c>
    </row>
    <row r="720" spans="1:20" x14ac:dyDescent="0.25">
      <c r="A720" s="5">
        <v>43873</v>
      </c>
      <c r="B720">
        <v>0.12876000000000001</v>
      </c>
      <c r="C720">
        <v>0.13830999999999999</v>
      </c>
      <c r="D720">
        <v>0.12834000000000001</v>
      </c>
      <c r="E720">
        <v>0.13827</v>
      </c>
      <c r="F720">
        <v>5416501.5999999996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0.9919759277833532</v>
      </c>
      <c r="Q720">
        <f t="shared" si="1000"/>
        <v>5373039.200000017</v>
      </c>
      <c r="R720">
        <f t="shared" si="1001"/>
        <v>28826396.94474123</v>
      </c>
      <c r="S720">
        <f t="shared" si="1002"/>
        <v>288.26396944741231</v>
      </c>
      <c r="T720">
        <f t="shared" si="1003"/>
        <v>0.28826396944741228</v>
      </c>
    </row>
    <row r="721" spans="1:20" x14ac:dyDescent="0.25">
      <c r="A721" s="5">
        <v>43872</v>
      </c>
      <c r="B721">
        <v>0.13059999999999999</v>
      </c>
      <c r="C721">
        <v>0.13059999999999999</v>
      </c>
      <c r="D721">
        <v>0.12167</v>
      </c>
      <c r="E721">
        <v>0.12814</v>
      </c>
      <c r="F721">
        <v>4218277.5999999996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0.44904815229563455</v>
      </c>
      <c r="Q721">
        <f t="shared" si="1000"/>
        <v>1894209.7621500636</v>
      </c>
      <c r="R721">
        <f t="shared" si="1001"/>
        <v>23453357.744741213</v>
      </c>
      <c r="S721">
        <f t="shared" si="1002"/>
        <v>234.53357744741211</v>
      </c>
      <c r="T721">
        <f t="shared" si="1003"/>
        <v>0.2345335774474121</v>
      </c>
    </row>
    <row r="722" spans="1:20" x14ac:dyDescent="0.25">
      <c r="A722" s="5">
        <v>43871</v>
      </c>
      <c r="B722">
        <v>0.12282999999999999</v>
      </c>
      <c r="C722">
        <v>0.13200000000000001</v>
      </c>
      <c r="D722">
        <v>0.11849999999999999</v>
      </c>
      <c r="E722">
        <v>0.13064000000000001</v>
      </c>
      <c r="F722">
        <v>5656046.9000000004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0.79851851851851874</v>
      </c>
      <c r="Q722">
        <f t="shared" si="1000"/>
        <v>4516458.1912592612</v>
      </c>
      <c r="R722">
        <f t="shared" si="1001"/>
        <v>21559147.982591148</v>
      </c>
      <c r="S722">
        <f t="shared" si="1002"/>
        <v>215.59147982591148</v>
      </c>
      <c r="T722">
        <f t="shared" si="1003"/>
        <v>0.21559147982591148</v>
      </c>
    </row>
    <row r="723" spans="1:20" x14ac:dyDescent="0.25">
      <c r="A723" s="5">
        <v>43870</v>
      </c>
      <c r="B723">
        <v>0.1164</v>
      </c>
      <c r="C723">
        <v>0.12361</v>
      </c>
      <c r="D723">
        <v>0.1153</v>
      </c>
      <c r="E723">
        <v>0.12284</v>
      </c>
      <c r="F723">
        <v>2382759.7999999998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0.81468110709988129</v>
      </c>
      <c r="Q723">
        <f t="shared" si="1000"/>
        <v>1941189.3918170915</v>
      </c>
      <c r="R723">
        <f t="shared" si="1001"/>
        <v>17042689.791331887</v>
      </c>
      <c r="S723">
        <f t="shared" si="1002"/>
        <v>170.42689791331887</v>
      </c>
      <c r="T723">
        <f t="shared" si="1003"/>
        <v>0.17042689791331886</v>
      </c>
    </row>
    <row r="724" spans="1:20" x14ac:dyDescent="0.25">
      <c r="A724" s="5">
        <v>43869</v>
      </c>
      <c r="B724">
        <v>0.1246</v>
      </c>
      <c r="C724">
        <v>0.12551999999999999</v>
      </c>
      <c r="D724">
        <v>0.11308</v>
      </c>
      <c r="E724">
        <v>0.1164</v>
      </c>
      <c r="F724">
        <v>3153778.2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-0.46623794212218561</v>
      </c>
      <c r="Q724">
        <f t="shared" si="1000"/>
        <v>-1470411.0578778109</v>
      </c>
      <c r="R724">
        <f t="shared" si="1001"/>
        <v>15101500.399514796</v>
      </c>
      <c r="S724">
        <f t="shared" si="1002"/>
        <v>151.01500399514796</v>
      </c>
      <c r="T724">
        <f t="shared" si="1003"/>
        <v>0.15101500399514797</v>
      </c>
    </row>
    <row r="725" spans="1:20" x14ac:dyDescent="0.25">
      <c r="A725" s="5">
        <v>43868</v>
      </c>
      <c r="B725">
        <v>0.12418</v>
      </c>
      <c r="C725">
        <v>0.125</v>
      </c>
      <c r="D725">
        <v>0.11891</v>
      </c>
      <c r="E725">
        <v>0.1245</v>
      </c>
      <c r="F725">
        <v>3252391.5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0.83579638752052521</v>
      </c>
      <c r="Q725">
        <f t="shared" si="1000"/>
        <v>2718337.0665024621</v>
      </c>
      <c r="R725">
        <f t="shared" si="1001"/>
        <v>16571911.457392607</v>
      </c>
      <c r="S725">
        <f t="shared" si="1002"/>
        <v>165.71911457392608</v>
      </c>
      <c r="T725">
        <f t="shared" si="1003"/>
        <v>0.16571911457392607</v>
      </c>
    </row>
    <row r="726" spans="1:20" x14ac:dyDescent="0.25">
      <c r="A726" s="5">
        <v>43867</v>
      </c>
      <c r="B726">
        <v>0.12134</v>
      </c>
      <c r="C726">
        <v>0.1246</v>
      </c>
      <c r="D726">
        <v>0.11765</v>
      </c>
      <c r="E726">
        <v>0.12425</v>
      </c>
      <c r="F726">
        <v>4200289.8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0.89928057553956742</v>
      </c>
      <c r="Q726">
        <f t="shared" si="1000"/>
        <v>3777239.0287769744</v>
      </c>
      <c r="R726">
        <f t="shared" si="1001"/>
        <v>13853574.390890144</v>
      </c>
      <c r="S726">
        <f t="shared" si="1002"/>
        <v>138.53574390890145</v>
      </c>
      <c r="T726">
        <f t="shared" si="1003"/>
        <v>0.13853574390890144</v>
      </c>
    </row>
    <row r="727" spans="1:20" x14ac:dyDescent="0.25">
      <c r="A727" s="5">
        <v>43866</v>
      </c>
      <c r="B727">
        <v>0.12237000000000001</v>
      </c>
      <c r="C727">
        <v>0.12414</v>
      </c>
      <c r="D727">
        <v>0.11479</v>
      </c>
      <c r="E727">
        <v>0.122</v>
      </c>
      <c r="F727">
        <v>5652292.2000000002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0.54224598930481205</v>
      </c>
      <c r="Q727">
        <f t="shared" si="1000"/>
        <v>3064932.7758288728</v>
      </c>
      <c r="R727">
        <f t="shared" si="1001"/>
        <v>10076335.36211317</v>
      </c>
      <c r="S727">
        <f t="shared" si="1002"/>
        <v>100.7633536211317</v>
      </c>
      <c r="T727">
        <f t="shared" si="1003"/>
        <v>0.1007633536211317</v>
      </c>
    </row>
    <row r="728" spans="1:20" x14ac:dyDescent="0.25">
      <c r="A728" s="5">
        <v>43865</v>
      </c>
      <c r="B728">
        <v>0.10903</v>
      </c>
      <c r="C728">
        <v>0.12239</v>
      </c>
      <c r="D728">
        <v>0.10691000000000001</v>
      </c>
      <c r="E728">
        <v>0.122</v>
      </c>
      <c r="F728">
        <v>8507561.4000000004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0.94961240310077499</v>
      </c>
      <c r="Q728">
        <f t="shared" si="1000"/>
        <v>8078885.8255813941</v>
      </c>
      <c r="R728">
        <f t="shared" si="1001"/>
        <v>7011402.5862842984</v>
      </c>
      <c r="S728">
        <f t="shared" si="1002"/>
        <v>70.114025862842979</v>
      </c>
      <c r="T728">
        <f t="shared" si="1003"/>
        <v>7.0114025862842974E-2</v>
      </c>
    </row>
    <row r="729" spans="1:20" x14ac:dyDescent="0.25">
      <c r="A729" s="5">
        <v>43864</v>
      </c>
      <c r="B729">
        <v>0.10545</v>
      </c>
      <c r="C729">
        <v>0.11141</v>
      </c>
      <c r="D729">
        <v>0.10452</v>
      </c>
      <c r="E729">
        <v>0.10829</v>
      </c>
      <c r="F729">
        <v>4361234.4000000004</v>
      </c>
      <c r="G729">
        <v>0</v>
      </c>
      <c r="L729" t="s">
        <v>8</v>
      </c>
      <c r="M729" t="s">
        <v>7</v>
      </c>
      <c r="N729" t="s">
        <v>8</v>
      </c>
      <c r="P729">
        <f t="shared" si="999"/>
        <v>9.4339622641509205E-2</v>
      </c>
      <c r="Q729">
        <f t="shared" si="1000"/>
        <v>411437.20754716883</v>
      </c>
      <c r="R729">
        <f t="shared" si="1001"/>
        <v>-1067483.2392970952</v>
      </c>
      <c r="S729">
        <f t="shared" si="1002"/>
        <v>-10.674832392970952</v>
      </c>
      <c r="T729">
        <f t="shared" si="1003"/>
        <v>-1.0674832392970951E-2</v>
      </c>
    </row>
    <row r="730" spans="1:20" x14ac:dyDescent="0.25">
      <c r="A730" s="5">
        <v>43863</v>
      </c>
      <c r="B730">
        <v>0.10535</v>
      </c>
      <c r="C730">
        <v>0.10894</v>
      </c>
      <c r="D730">
        <v>0.10312</v>
      </c>
      <c r="E730">
        <v>0.10545</v>
      </c>
      <c r="F730">
        <v>1949045.3</v>
      </c>
      <c r="G730">
        <v>0</v>
      </c>
      <c r="L730" t="s">
        <v>8</v>
      </c>
      <c r="M730" t="s">
        <v>7</v>
      </c>
      <c r="N730" t="s">
        <v>8</v>
      </c>
      <c r="P730">
        <f t="shared" si="999"/>
        <v>-0.19931271477663162</v>
      </c>
      <c r="Q730">
        <f t="shared" si="1000"/>
        <v>-388469.50996563444</v>
      </c>
      <c r="R730">
        <f t="shared" si="1001"/>
        <v>-1478920.4468442642</v>
      </c>
      <c r="S730">
        <f t="shared" si="1002"/>
        <v>-14.789204468442641</v>
      </c>
      <c r="T730">
        <f t="shared" si="1003"/>
        <v>-1.4789204468442641E-2</v>
      </c>
    </row>
    <row r="731" spans="1:20" x14ac:dyDescent="0.25">
      <c r="A731" s="5">
        <v>43862</v>
      </c>
      <c r="B731">
        <v>0.10577</v>
      </c>
      <c r="C731">
        <v>0.1081</v>
      </c>
      <c r="D731">
        <v>0.10496999999999999</v>
      </c>
      <c r="E731">
        <v>0.10527</v>
      </c>
      <c r="F731">
        <v>1262342.1000000001</v>
      </c>
      <c r="G731">
        <v>0</v>
      </c>
      <c r="L731" t="s">
        <v>7</v>
      </c>
      <c r="M731" t="s">
        <v>7</v>
      </c>
      <c r="N731" t="s">
        <v>8</v>
      </c>
      <c r="P731">
        <f t="shared" si="999"/>
        <v>-0.80830670926517068</v>
      </c>
      <c r="Q731">
        <f t="shared" si="1000"/>
        <v>-1020359.588817885</v>
      </c>
      <c r="R731">
        <f t="shared" si="1001"/>
        <v>-1090450.9368786297</v>
      </c>
      <c r="S731">
        <f t="shared" si="1002"/>
        <v>-10.904509368786297</v>
      </c>
      <c r="T731">
        <f t="shared" si="1003"/>
        <v>-1.0904509368786296E-2</v>
      </c>
    </row>
    <row r="732" spans="1:20" x14ac:dyDescent="0.25">
      <c r="A732" s="5">
        <v>43861</v>
      </c>
      <c r="B732">
        <v>0.10431</v>
      </c>
      <c r="C732">
        <v>0.10750999999999999</v>
      </c>
      <c r="D732">
        <v>0.10364</v>
      </c>
      <c r="E732">
        <v>0.10638</v>
      </c>
      <c r="F732">
        <v>1383643.4</v>
      </c>
      <c r="G732">
        <v>0</v>
      </c>
      <c r="L732" t="s">
        <v>7</v>
      </c>
      <c r="M732" t="s">
        <v>7</v>
      </c>
      <c r="N732" t="s">
        <v>8</v>
      </c>
      <c r="P732">
        <f t="shared" si="999"/>
        <v>0.41602067183462915</v>
      </c>
      <c r="Q732">
        <f t="shared" si="1000"/>
        <v>575624.25684755051</v>
      </c>
      <c r="R732">
        <f t="shared" si="1001"/>
        <v>-70091.348060744698</v>
      </c>
      <c r="S732">
        <f t="shared" si="1002"/>
        <v>-0.70091348060744696</v>
      </c>
      <c r="T732">
        <f t="shared" si="1003"/>
        <v>-7.0091348060744691E-4</v>
      </c>
    </row>
    <row r="733" spans="1:20" x14ac:dyDescent="0.25">
      <c r="A733" s="5">
        <v>43860</v>
      </c>
      <c r="B733">
        <v>0.10428</v>
      </c>
      <c r="C733">
        <v>0.10750999999999999</v>
      </c>
      <c r="D733">
        <v>0.10153</v>
      </c>
      <c r="E733">
        <v>0.10431</v>
      </c>
      <c r="F733">
        <v>2003239.2</v>
      </c>
      <c r="G733">
        <v>0</v>
      </c>
      <c r="L733" t="s">
        <v>7</v>
      </c>
      <c r="M733" t="s">
        <v>7</v>
      </c>
      <c r="N733" t="s">
        <v>8</v>
      </c>
      <c r="P733">
        <f t="shared" si="999"/>
        <v>-7.0234113712372884E-2</v>
      </c>
      <c r="Q733">
        <f t="shared" si="1000"/>
        <v>-140695.72976588289</v>
      </c>
      <c r="R733">
        <f t="shared" si="1001"/>
        <v>-645715.60490829521</v>
      </c>
      <c r="S733">
        <f t="shared" si="1002"/>
        <v>-6.4571560490829523</v>
      </c>
      <c r="T733">
        <f t="shared" si="1003"/>
        <v>-6.4571560490829525E-3</v>
      </c>
    </row>
    <row r="734" spans="1:20" x14ac:dyDescent="0.25">
      <c r="A734" s="5">
        <v>43859</v>
      </c>
      <c r="B734">
        <v>0.10839</v>
      </c>
      <c r="C734">
        <v>0.11105</v>
      </c>
      <c r="D734">
        <v>0.10363</v>
      </c>
      <c r="E734">
        <v>0.10434</v>
      </c>
      <c r="F734">
        <v>2844294.7</v>
      </c>
      <c r="G734">
        <v>0</v>
      </c>
      <c r="L734" t="s">
        <v>7</v>
      </c>
      <c r="M734" t="s">
        <v>7</v>
      </c>
      <c r="N734" t="s">
        <v>8</v>
      </c>
      <c r="P734">
        <f t="shared" si="999"/>
        <v>-0.80862533692722305</v>
      </c>
      <c r="Q734">
        <f t="shared" si="1000"/>
        <v>-2299968.7601078148</v>
      </c>
      <c r="R734">
        <f t="shared" si="1001"/>
        <v>-505019.87514241226</v>
      </c>
      <c r="S734">
        <f t="shared" si="1002"/>
        <v>-5.0501987514241229</v>
      </c>
      <c r="T734">
        <f t="shared" si="1003"/>
        <v>-5.0501987514241231E-3</v>
      </c>
    </row>
    <row r="735" spans="1:20" x14ac:dyDescent="0.25">
      <c r="A735" s="5">
        <v>43858</v>
      </c>
      <c r="B735">
        <v>0.10395</v>
      </c>
      <c r="C735">
        <v>0.11148</v>
      </c>
      <c r="D735">
        <v>0.10292999999999999</v>
      </c>
      <c r="E735">
        <v>0.10936</v>
      </c>
      <c r="F735">
        <v>4565866.4000000004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0.50409356725146282</v>
      </c>
      <c r="Q735">
        <f t="shared" si="1000"/>
        <v>2301623.8811695948</v>
      </c>
      <c r="R735">
        <f t="shared" si="1001"/>
        <v>1794948.8849654025</v>
      </c>
      <c r="S735">
        <f t="shared" si="1002"/>
        <v>17.949488849654024</v>
      </c>
      <c r="T735">
        <f t="shared" si="1003"/>
        <v>1.7949488849654024E-2</v>
      </c>
    </row>
    <row r="736" spans="1:20" x14ac:dyDescent="0.25">
      <c r="A736" s="5">
        <v>43857</v>
      </c>
      <c r="B736">
        <v>0.10292999999999999</v>
      </c>
      <c r="C736">
        <v>0.10563</v>
      </c>
      <c r="D736">
        <v>0.10222000000000001</v>
      </c>
      <c r="E736">
        <v>0.10459</v>
      </c>
      <c r="F736">
        <v>2090810.6</v>
      </c>
      <c r="G736">
        <v>0</v>
      </c>
      <c r="L736" t="s">
        <v>7</v>
      </c>
      <c r="M736" t="s">
        <v>7</v>
      </c>
      <c r="N736" t="s">
        <v>8</v>
      </c>
      <c r="P736">
        <f t="shared" si="999"/>
        <v>0.39002932551319625</v>
      </c>
      <c r="Q736">
        <f t="shared" si="1000"/>
        <v>815477.4480938412</v>
      </c>
      <c r="R736">
        <f t="shared" si="1001"/>
        <v>-506674.9962041924</v>
      </c>
      <c r="S736">
        <f t="shared" si="1002"/>
        <v>-5.0667499620419241</v>
      </c>
      <c r="T736">
        <f t="shared" si="1003"/>
        <v>-5.0667499620419242E-3</v>
      </c>
    </row>
    <row r="737" spans="1:20" x14ac:dyDescent="0.25">
      <c r="A737" s="5">
        <v>43856</v>
      </c>
      <c r="B737">
        <v>0.10099</v>
      </c>
      <c r="C737">
        <v>0.10445</v>
      </c>
      <c r="D737">
        <v>0.1002</v>
      </c>
      <c r="E737">
        <v>0.10222000000000001</v>
      </c>
      <c r="F737">
        <v>924028.5</v>
      </c>
      <c r="G737">
        <v>0</v>
      </c>
      <c r="L737" t="s">
        <v>7</v>
      </c>
      <c r="M737" t="s">
        <v>7</v>
      </c>
      <c r="N737" t="s">
        <v>8</v>
      </c>
      <c r="P737">
        <f t="shared" si="999"/>
        <v>-4.9411764705879477E-2</v>
      </c>
      <c r="Q737">
        <f t="shared" si="1000"/>
        <v>-45657.878823526757</v>
      </c>
      <c r="R737">
        <f t="shared" si="1001"/>
        <v>-1322152.4442980336</v>
      </c>
      <c r="S737">
        <f t="shared" si="1002"/>
        <v>-13.221524442980336</v>
      </c>
      <c r="T737">
        <f t="shared" si="1003"/>
        <v>-1.3221524442980335E-2</v>
      </c>
    </row>
    <row r="738" spans="1:20" x14ac:dyDescent="0.25">
      <c r="A738" s="5">
        <v>43855</v>
      </c>
      <c r="B738">
        <v>0.10494000000000001</v>
      </c>
      <c r="C738">
        <v>0.10495</v>
      </c>
      <c r="D738">
        <v>9.9750000000000005E-2</v>
      </c>
      <c r="E738">
        <v>0.10188999999999999</v>
      </c>
      <c r="F738">
        <v>959385.3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-0.17692307692308051</v>
      </c>
      <c r="Q738">
        <f t="shared" si="1000"/>
        <v>-169737.39923077269</v>
      </c>
      <c r="R738">
        <f t="shared" si="1001"/>
        <v>-1276494.5654745069</v>
      </c>
      <c r="S738">
        <f t="shared" si="1002"/>
        <v>-12.76494565474507</v>
      </c>
      <c r="T738">
        <f t="shared" si="1003"/>
        <v>-1.276494565474507E-2</v>
      </c>
    </row>
    <row r="739" spans="1:20" x14ac:dyDescent="0.25">
      <c r="A739" s="5">
        <v>43854</v>
      </c>
      <c r="B739">
        <v>0.10802</v>
      </c>
      <c r="C739">
        <v>0.10884000000000001</v>
      </c>
      <c r="D739">
        <v>9.9150000000000002E-2</v>
      </c>
      <c r="E739">
        <v>0.10494000000000001</v>
      </c>
      <c r="F739">
        <v>2800852.7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0.19504643962848317</v>
      </c>
      <c r="Q739">
        <f t="shared" si="1000"/>
        <v>546296.34705882415</v>
      </c>
      <c r="R739">
        <f t="shared" si="1001"/>
        <v>-1106757.1662437343</v>
      </c>
      <c r="S739">
        <f t="shared" si="1002"/>
        <v>-11.067571662437343</v>
      </c>
      <c r="T739">
        <f t="shared" si="1003"/>
        <v>-1.1067571662437343E-2</v>
      </c>
    </row>
    <row r="740" spans="1:20" x14ac:dyDescent="0.25">
      <c r="A740" s="5">
        <v>43853</v>
      </c>
      <c r="B740">
        <v>0.11899999999999999</v>
      </c>
      <c r="C740">
        <v>0.11899999999999999</v>
      </c>
      <c r="D740">
        <v>0.106</v>
      </c>
      <c r="E740">
        <v>0.10858</v>
      </c>
      <c r="F740">
        <v>2582010.7000000002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-0.60307692307692318</v>
      </c>
      <c r="Q740">
        <f t="shared" si="1000"/>
        <v>-1557151.0683076927</v>
      </c>
      <c r="R740">
        <f t="shared" si="1001"/>
        <v>-1653053.5133025586</v>
      </c>
      <c r="S740">
        <f t="shared" si="1002"/>
        <v>-16.530535133025587</v>
      </c>
      <c r="T740">
        <f t="shared" si="1003"/>
        <v>-1.6530535133025586E-2</v>
      </c>
    </row>
    <row r="741" spans="1:20" x14ac:dyDescent="0.25">
      <c r="A741" s="5">
        <v>43852</v>
      </c>
      <c r="B741">
        <v>0.11212999999999999</v>
      </c>
      <c r="C741">
        <v>0.11967999999999999</v>
      </c>
      <c r="D741">
        <v>0.11106000000000001</v>
      </c>
      <c r="E741">
        <v>0.11899999999999999</v>
      </c>
      <c r="F741">
        <v>5655638.7000000002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0.84222737819025495</v>
      </c>
      <c r="Q741">
        <f t="shared" si="1000"/>
        <v>4763333.7542923419</v>
      </c>
      <c r="R741">
        <f t="shared" si="1001"/>
        <v>-95902.444994865917</v>
      </c>
      <c r="S741">
        <f t="shared" si="1002"/>
        <v>-0.95902444994865921</v>
      </c>
      <c r="T741">
        <f t="shared" si="1003"/>
        <v>-9.5902444994865922E-4</v>
      </c>
    </row>
    <row r="742" spans="1:20" x14ac:dyDescent="0.25">
      <c r="A742" s="5">
        <v>43851</v>
      </c>
      <c r="B742">
        <v>0.11014</v>
      </c>
      <c r="C742">
        <v>0.11600000000000001</v>
      </c>
      <c r="D742">
        <v>0.10541</v>
      </c>
      <c r="E742">
        <v>0.11136</v>
      </c>
      <c r="F742">
        <v>2428237.2000000002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0.12370160528800675</v>
      </c>
      <c r="Q742">
        <f t="shared" si="1000"/>
        <v>300376.83966005471</v>
      </c>
      <c r="R742">
        <f t="shared" si="1001"/>
        <v>-4859236.1992872078</v>
      </c>
      <c r="S742">
        <f t="shared" si="1002"/>
        <v>-48.592361992872078</v>
      </c>
      <c r="T742">
        <f t="shared" si="1003"/>
        <v>-4.8592361992872077E-2</v>
      </c>
    </row>
    <row r="743" spans="1:20" x14ac:dyDescent="0.25">
      <c r="A743" s="5">
        <v>43850</v>
      </c>
      <c r="B743">
        <v>0.11260000000000001</v>
      </c>
      <c r="C743">
        <v>0.11700000000000001</v>
      </c>
      <c r="D743">
        <v>0.1072</v>
      </c>
      <c r="E743">
        <v>0.10997999999999999</v>
      </c>
      <c r="F743">
        <v>2432633.7999999998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-0.43265306122449187</v>
      </c>
      <c r="Q743">
        <f t="shared" si="1000"/>
        <v>-1052486.4604081681</v>
      </c>
      <c r="R743">
        <f t="shared" si="1001"/>
        <v>-5159613.0389472628</v>
      </c>
      <c r="S743">
        <f t="shared" si="1002"/>
        <v>-51.596130389472627</v>
      </c>
      <c r="T743">
        <f t="shared" si="1003"/>
        <v>-5.1596130389472625E-2</v>
      </c>
    </row>
    <row r="744" spans="1:20" x14ac:dyDescent="0.25">
      <c r="A744" s="5">
        <v>43849</v>
      </c>
      <c r="B744">
        <v>0.10878</v>
      </c>
      <c r="C744">
        <v>0.11593000000000001</v>
      </c>
      <c r="D744">
        <v>0.10213</v>
      </c>
      <c r="E744">
        <v>0.11260000000000001</v>
      </c>
      <c r="F744">
        <v>3525344.1</v>
      </c>
      <c r="G744">
        <v>0</v>
      </c>
      <c r="L744" t="s">
        <v>8</v>
      </c>
      <c r="M744" t="s">
        <v>8</v>
      </c>
      <c r="N744" t="s">
        <v>8</v>
      </c>
      <c r="P744">
        <f t="shared" si="999"/>
        <v>0.51739130434782643</v>
      </c>
      <c r="Q744">
        <f t="shared" si="1000"/>
        <v>1823982.3821739142</v>
      </c>
      <c r="R744">
        <f t="shared" si="1001"/>
        <v>-4107126.5785390949</v>
      </c>
      <c r="S744">
        <f t="shared" si="1002"/>
        <v>-41.071265785390949</v>
      </c>
      <c r="T744">
        <f t="shared" si="1003"/>
        <v>-4.1071265785390949E-2</v>
      </c>
    </row>
    <row r="745" spans="1:20" x14ac:dyDescent="0.25">
      <c r="A745" s="5">
        <v>43848</v>
      </c>
      <c r="B745">
        <v>0.11187999999999999</v>
      </c>
      <c r="C745">
        <v>0.1125</v>
      </c>
      <c r="D745">
        <v>0.105</v>
      </c>
      <c r="E745">
        <v>0.10876</v>
      </c>
      <c r="F745">
        <v>1644769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2.6666666666656305E-3</v>
      </c>
      <c r="Q745">
        <f t="shared" si="1000"/>
        <v>4386.0506666649626</v>
      </c>
      <c r="R745">
        <f t="shared" si="1001"/>
        <v>-5931108.9607130094</v>
      </c>
      <c r="S745">
        <f t="shared" si="1002"/>
        <v>-59.311089607130093</v>
      </c>
      <c r="T745">
        <f t="shared" si="1003"/>
        <v>-5.9311089607130094E-2</v>
      </c>
    </row>
    <row r="746" spans="1:20" x14ac:dyDescent="0.25">
      <c r="A746" s="5">
        <v>43847</v>
      </c>
      <c r="B746">
        <v>0.10367999999999999</v>
      </c>
      <c r="C746">
        <v>0.11210000000000001</v>
      </c>
      <c r="D746">
        <v>0.1012</v>
      </c>
      <c r="E746">
        <v>0.11193</v>
      </c>
      <c r="F746">
        <v>2657466.4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0.96880733944954067</v>
      </c>
      <c r="Q746">
        <f t="shared" si="1000"/>
        <v>2574572.952660549</v>
      </c>
      <c r="R746">
        <f t="shared" si="1001"/>
        <v>-5935495.0113796741</v>
      </c>
      <c r="S746">
        <f t="shared" si="1002"/>
        <v>-59.35495011379674</v>
      </c>
      <c r="T746">
        <f t="shared" si="1003"/>
        <v>-5.9354950113796739E-2</v>
      </c>
    </row>
    <row r="747" spans="1:20" x14ac:dyDescent="0.25">
      <c r="A747" s="5">
        <v>43846</v>
      </c>
      <c r="B747">
        <v>0.10438</v>
      </c>
      <c r="C747">
        <v>0.107</v>
      </c>
      <c r="D747">
        <v>0.10029</v>
      </c>
      <c r="E747">
        <v>0.10367999999999999</v>
      </c>
      <c r="F747">
        <v>1505904.7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1.0432190760057646E-2</v>
      </c>
      <c r="Q747">
        <f t="shared" si="1000"/>
        <v>15709.885096867381</v>
      </c>
      <c r="R747">
        <f t="shared" si="1001"/>
        <v>-8510067.9640402235</v>
      </c>
      <c r="S747">
        <f t="shared" si="1002"/>
        <v>-85.100679640402234</v>
      </c>
      <c r="T747">
        <f t="shared" si="1003"/>
        <v>-8.510067964040223E-2</v>
      </c>
    </row>
    <row r="748" spans="1:20" x14ac:dyDescent="0.25">
      <c r="A748" s="5">
        <v>43845</v>
      </c>
      <c r="B748">
        <v>0.10535</v>
      </c>
      <c r="C748">
        <v>0.10922999999999999</v>
      </c>
      <c r="D748">
        <v>0.10104</v>
      </c>
      <c r="E748">
        <v>0.10438</v>
      </c>
      <c r="F748">
        <v>4379688.2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-0.1843711843711843</v>
      </c>
      <c r="Q748">
        <f t="shared" si="1000"/>
        <v>-807488.30061050027</v>
      </c>
      <c r="R748">
        <f t="shared" si="1001"/>
        <v>-8525777.8491370901</v>
      </c>
      <c r="S748">
        <f t="shared" si="1002"/>
        <v>-85.2577784913709</v>
      </c>
      <c r="T748">
        <f t="shared" si="1003"/>
        <v>-8.5257778491370895E-2</v>
      </c>
    </row>
    <row r="749" spans="1:20" x14ac:dyDescent="0.25">
      <c r="A749" s="5">
        <v>43844</v>
      </c>
      <c r="B749">
        <v>9.7600000000000006E-2</v>
      </c>
      <c r="C749">
        <v>0.10634</v>
      </c>
      <c r="D749">
        <v>9.5920000000000005E-2</v>
      </c>
      <c r="E749">
        <v>0.10598</v>
      </c>
      <c r="F749">
        <v>4392414.5999999996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0.93090211132437639</v>
      </c>
      <c r="Q749">
        <f t="shared" si="1000"/>
        <v>4088908.0249520158</v>
      </c>
      <c r="R749">
        <f t="shared" si="1001"/>
        <v>-7718289.5485265898</v>
      </c>
      <c r="S749">
        <f t="shared" si="1002"/>
        <v>-77.182895485265902</v>
      </c>
      <c r="T749">
        <f t="shared" si="1003"/>
        <v>-7.7182895485265898E-2</v>
      </c>
    </row>
    <row r="750" spans="1:20" x14ac:dyDescent="0.25">
      <c r="A750" s="5">
        <v>43843</v>
      </c>
      <c r="B750">
        <v>9.5860000000000001E-2</v>
      </c>
      <c r="C750">
        <v>9.8769999999999997E-2</v>
      </c>
      <c r="D750">
        <v>9.2499999999999999E-2</v>
      </c>
      <c r="E750">
        <v>9.7030000000000005E-2</v>
      </c>
      <c r="F750">
        <v>3219050.7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0.44497607655502641</v>
      </c>
      <c r="Q750">
        <f t="shared" si="1000"/>
        <v>1432400.5507177114</v>
      </c>
      <c r="R750">
        <f t="shared" si="1001"/>
        <v>-11807197.573478606</v>
      </c>
      <c r="S750">
        <f t="shared" si="1002"/>
        <v>-118.07197573478605</v>
      </c>
      <c r="T750">
        <f t="shared" si="1003"/>
        <v>-0.11807197573478605</v>
      </c>
    </row>
    <row r="751" spans="1:20" x14ac:dyDescent="0.25">
      <c r="A751" s="5">
        <v>43842</v>
      </c>
      <c r="B751">
        <v>9.3880000000000005E-2</v>
      </c>
      <c r="C751">
        <v>9.6869999999999998E-2</v>
      </c>
      <c r="D751">
        <v>9.3100000000000002E-2</v>
      </c>
      <c r="E751">
        <v>9.5890000000000003E-2</v>
      </c>
      <c r="F751">
        <v>509777.4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0.48010610079575816</v>
      </c>
      <c r="Q751">
        <f t="shared" si="1000"/>
        <v>244747.23978779954</v>
      </c>
      <c r="R751">
        <f t="shared" si="1001"/>
        <v>-13239598.124196317</v>
      </c>
      <c r="S751">
        <f t="shared" si="1002"/>
        <v>-132.39598124196317</v>
      </c>
      <c r="T751">
        <f t="shared" si="1003"/>
        <v>-0.13239598124196317</v>
      </c>
    </row>
    <row r="752" spans="1:20" x14ac:dyDescent="0.25">
      <c r="A752" s="5">
        <v>43841</v>
      </c>
      <c r="B752">
        <v>9.5100000000000004E-2</v>
      </c>
      <c r="C752">
        <v>9.8970000000000002E-2</v>
      </c>
      <c r="D752">
        <v>9.3880000000000005E-2</v>
      </c>
      <c r="E752">
        <v>9.4369999999999996E-2</v>
      </c>
      <c r="F752">
        <v>1072976.8999999999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-0.80746561886051449</v>
      </c>
      <c r="Q752">
        <f t="shared" si="1000"/>
        <v>-866391.95658153633</v>
      </c>
      <c r="R752">
        <f t="shared" si="1001"/>
        <v>-13484345.363984117</v>
      </c>
      <c r="S752">
        <f t="shared" si="1002"/>
        <v>-134.84345363984119</v>
      </c>
      <c r="T752">
        <f t="shared" si="1003"/>
        <v>-0.13484345363984118</v>
      </c>
    </row>
    <row r="753" spans="1:20" x14ac:dyDescent="0.25">
      <c r="A753" s="5">
        <v>43840</v>
      </c>
      <c r="B753">
        <v>9.2880000000000004E-2</v>
      </c>
      <c r="C753">
        <v>9.7970000000000002E-2</v>
      </c>
      <c r="D753">
        <v>9.1399999999999995E-2</v>
      </c>
      <c r="E753">
        <v>9.5089999999999994E-2</v>
      </c>
      <c r="F753">
        <v>1593680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0.12328767123287526</v>
      </c>
      <c r="Q753">
        <f t="shared" si="1000"/>
        <v>196481.09589040864</v>
      </c>
      <c r="R753">
        <f t="shared" si="1001"/>
        <v>-12617953.407402581</v>
      </c>
      <c r="S753">
        <f t="shared" si="1002"/>
        <v>-126.17953407402581</v>
      </c>
      <c r="T753">
        <f t="shared" si="1003"/>
        <v>-0.12617953407402582</v>
      </c>
    </row>
    <row r="754" spans="1:20" x14ac:dyDescent="0.25">
      <c r="A754" s="5">
        <v>43839</v>
      </c>
      <c r="B754">
        <v>9.8790000000000003E-2</v>
      </c>
      <c r="C754">
        <v>0.10135</v>
      </c>
      <c r="D754">
        <v>9.1389999999999999E-2</v>
      </c>
      <c r="E754">
        <v>9.2939999999999995E-2</v>
      </c>
      <c r="F754">
        <v>2290613.5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-0.68875502008032197</v>
      </c>
      <c r="Q754">
        <f t="shared" si="1000"/>
        <v>-1577671.5471887565</v>
      </c>
      <c r="R754">
        <f t="shared" si="1001"/>
        <v>-12814434.503292989</v>
      </c>
      <c r="S754">
        <f t="shared" si="1002"/>
        <v>-128.14434503292989</v>
      </c>
      <c r="T754">
        <f t="shared" si="1003"/>
        <v>-0.1281443450329299</v>
      </c>
    </row>
    <row r="755" spans="1:20" x14ac:dyDescent="0.25">
      <c r="A755" s="5">
        <v>43838</v>
      </c>
      <c r="B755">
        <v>9.6049999999999996E-2</v>
      </c>
      <c r="C755">
        <v>0.10149</v>
      </c>
      <c r="D755">
        <v>9.307E-2</v>
      </c>
      <c r="E755">
        <v>9.8729999999999998E-2</v>
      </c>
      <c r="F755">
        <v>2444487.5</v>
      </c>
      <c r="G755">
        <v>0</v>
      </c>
      <c r="L755" t="s">
        <v>8</v>
      </c>
      <c r="M755" t="s">
        <v>8</v>
      </c>
      <c r="N755" t="s">
        <v>7</v>
      </c>
      <c r="P755">
        <f t="shared" si="999"/>
        <v>0.34441805225653216</v>
      </c>
      <c r="Q755">
        <f t="shared" si="1000"/>
        <v>841925.62351543969</v>
      </c>
      <c r="R755">
        <f t="shared" si="1001"/>
        <v>-11236762.956104232</v>
      </c>
      <c r="S755">
        <f t="shared" si="1002"/>
        <v>-112.36762956104232</v>
      </c>
      <c r="T755">
        <f t="shared" si="1003"/>
        <v>-0.11236762956104232</v>
      </c>
    </row>
    <row r="756" spans="1:20" x14ac:dyDescent="0.25">
      <c r="A756" s="5">
        <v>43837</v>
      </c>
      <c r="B756">
        <v>9.9460000000000007E-2</v>
      </c>
      <c r="C756">
        <v>0.1004</v>
      </c>
      <c r="D756">
        <v>9.2880000000000004E-2</v>
      </c>
      <c r="E756">
        <v>9.6079999999999999E-2</v>
      </c>
      <c r="F756">
        <v>4284484.0999999996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-0.14893617021276728</v>
      </c>
      <c r="Q756">
        <f t="shared" si="1000"/>
        <v>-638114.65319149499</v>
      </c>
      <c r="R756">
        <f t="shared" si="1001"/>
        <v>-12078688.579619672</v>
      </c>
      <c r="S756">
        <f t="shared" si="1002"/>
        <v>-120.78688579619673</v>
      </c>
      <c r="T756">
        <f t="shared" si="1003"/>
        <v>-0.12078688579619673</v>
      </c>
    </row>
    <row r="757" spans="1:20" x14ac:dyDescent="0.25">
      <c r="A757" s="5">
        <v>43836</v>
      </c>
      <c r="B757">
        <v>9.4210000000000002E-2</v>
      </c>
      <c r="C757">
        <v>0.10399</v>
      </c>
      <c r="D757">
        <v>9.2710000000000001E-2</v>
      </c>
      <c r="E757">
        <v>9.987E-2</v>
      </c>
      <c r="F757">
        <v>4394548.0999999996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0.26950354609929089</v>
      </c>
      <c r="Q757">
        <f t="shared" si="1000"/>
        <v>1184346.2964539011</v>
      </c>
      <c r="R757">
        <f t="shared" si="1001"/>
        <v>-11440573.926428176</v>
      </c>
      <c r="S757">
        <f t="shared" si="1002"/>
        <v>-114.40573926428176</v>
      </c>
      <c r="T757">
        <f t="shared" si="1003"/>
        <v>-0.11440573926428177</v>
      </c>
    </row>
    <row r="758" spans="1:20" x14ac:dyDescent="0.25">
      <c r="A758" s="5">
        <v>43835</v>
      </c>
      <c r="B758">
        <v>9.3939999999999996E-2</v>
      </c>
      <c r="C758">
        <v>9.6500000000000002E-2</v>
      </c>
      <c r="D758">
        <v>9.2369999999999994E-2</v>
      </c>
      <c r="E758">
        <v>9.4210000000000002E-2</v>
      </c>
      <c r="F758">
        <v>2058887.6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-0.10895883777239494</v>
      </c>
      <c r="Q758">
        <f t="shared" si="1000"/>
        <v>-224333.99999999558</v>
      </c>
      <c r="R758">
        <f t="shared" si="1001"/>
        <v>-12624920.222882077</v>
      </c>
      <c r="S758">
        <f t="shared" si="1002"/>
        <v>-126.24920222882078</v>
      </c>
      <c r="T758">
        <f t="shared" si="1003"/>
        <v>-0.12624920222882077</v>
      </c>
    </row>
    <row r="759" spans="1:20" x14ac:dyDescent="0.25">
      <c r="A759" s="5">
        <v>43834</v>
      </c>
      <c r="B759">
        <v>8.7709999999999996E-2</v>
      </c>
      <c r="C759">
        <v>9.493E-2</v>
      </c>
      <c r="D759">
        <v>8.6870000000000003E-2</v>
      </c>
      <c r="E759">
        <v>9.3939999999999996E-2</v>
      </c>
      <c r="F759">
        <v>2053508.2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0.75434243176178539</v>
      </c>
      <c r="Q759">
        <f t="shared" si="1000"/>
        <v>1549048.3692307668</v>
      </c>
      <c r="R759">
        <f t="shared" si="1001"/>
        <v>-12400586.222882081</v>
      </c>
      <c r="S759">
        <f t="shared" si="1002"/>
        <v>-124.0058622288208</v>
      </c>
      <c r="T759">
        <f t="shared" si="1003"/>
        <v>-0.1240058622288208</v>
      </c>
    </row>
    <row r="760" spans="1:20" x14ac:dyDescent="0.25">
      <c r="A760" s="5">
        <v>43833</v>
      </c>
      <c r="B760">
        <v>8.4459999999999993E-2</v>
      </c>
      <c r="C760">
        <v>8.8569999999999996E-2</v>
      </c>
      <c r="D760">
        <v>8.2100000000000006E-2</v>
      </c>
      <c r="E760">
        <v>8.7709999999999996E-2</v>
      </c>
      <c r="F760">
        <v>1296263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0.73415765069551742</v>
      </c>
      <c r="Q760">
        <f t="shared" si="1000"/>
        <v>951661.39876352344</v>
      </c>
      <c r="R760">
        <f t="shared" si="1001"/>
        <v>-13949634.592112847</v>
      </c>
      <c r="S760">
        <f t="shared" si="1002"/>
        <v>-139.49634592112847</v>
      </c>
      <c r="T760">
        <f t="shared" si="1003"/>
        <v>-0.13949634592112847</v>
      </c>
    </row>
    <row r="761" spans="1:20" x14ac:dyDescent="0.25">
      <c r="A761" s="5">
        <v>43832</v>
      </c>
      <c r="B761">
        <v>8.6569999999999994E-2</v>
      </c>
      <c r="C761">
        <v>9.0990000000000001E-2</v>
      </c>
      <c r="D761">
        <v>8.2549999999999998E-2</v>
      </c>
      <c r="E761">
        <v>8.4430000000000005E-2</v>
      </c>
      <c r="F761">
        <v>2194070.6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-0.55450236966824507</v>
      </c>
      <c r="Q761">
        <f t="shared" si="1000"/>
        <v>-1216617.3469194283</v>
      </c>
      <c r="R761">
        <f t="shared" si="1001"/>
        <v>-14901295.990876369</v>
      </c>
      <c r="S761">
        <f t="shared" si="1002"/>
        <v>-149.01295990876369</v>
      </c>
      <c r="T761">
        <f t="shared" si="1003"/>
        <v>-0.1490129599087637</v>
      </c>
    </row>
    <row r="762" spans="1:20" x14ac:dyDescent="0.25">
      <c r="A762" s="5">
        <v>43831</v>
      </c>
      <c r="B762">
        <v>8.7260000000000004E-2</v>
      </c>
      <c r="C762">
        <v>8.9849999999999999E-2</v>
      </c>
      <c r="D762">
        <v>8.6379999999999998E-2</v>
      </c>
      <c r="E762">
        <v>8.6559999999999998E-2</v>
      </c>
      <c r="F762">
        <v>1147704.5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-0.89625360230547579</v>
      </c>
      <c r="Q762">
        <f t="shared" si="1000"/>
        <v>-1028634.2925072049</v>
      </c>
      <c r="R762">
        <f t="shared" si="1001"/>
        <v>-13684678.643956941</v>
      </c>
      <c r="S762">
        <f t="shared" si="1002"/>
        <v>-136.8467864395694</v>
      </c>
      <c r="T762">
        <f t="shared" si="1003"/>
        <v>-0.13684678643956941</v>
      </c>
    </row>
    <row r="763" spans="1:20" x14ac:dyDescent="0.25">
      <c r="A763" s="5">
        <v>43830</v>
      </c>
      <c r="B763">
        <v>9.0480000000000005E-2</v>
      </c>
      <c r="C763">
        <v>9.4990000000000005E-2</v>
      </c>
      <c r="D763">
        <v>8.6129999999999998E-2</v>
      </c>
      <c r="E763">
        <v>8.6840000000000001E-2</v>
      </c>
      <c r="F763">
        <v>3341975.1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-0.83972911963882579</v>
      </c>
      <c r="Q763">
        <f t="shared" si="1000"/>
        <v>-2806353.808577877</v>
      </c>
      <c r="R763">
        <f t="shared" si="1001"/>
        <v>-12656044.351449735</v>
      </c>
      <c r="S763">
        <f t="shared" si="1002"/>
        <v>-126.56044351449735</v>
      </c>
      <c r="T763">
        <f t="shared" si="1003"/>
        <v>-0.12656044351449736</v>
      </c>
    </row>
    <row r="764" spans="1:20" x14ac:dyDescent="0.25">
      <c r="A764" s="5">
        <v>43829</v>
      </c>
      <c r="B764">
        <v>8.6980000000000002E-2</v>
      </c>
      <c r="C764">
        <v>9.3439999999999995E-2</v>
      </c>
      <c r="D764">
        <v>8.5269999999999999E-2</v>
      </c>
      <c r="E764">
        <v>9.0399999999999994E-2</v>
      </c>
      <c r="F764">
        <v>2021184.6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0.25581395348837155</v>
      </c>
      <c r="Q764">
        <f t="shared" si="1000"/>
        <v>517047.22325581289</v>
      </c>
      <c r="R764">
        <f t="shared" si="1001"/>
        <v>-9849690.5428718589</v>
      </c>
      <c r="S764">
        <f t="shared" si="1002"/>
        <v>-98.496905428718591</v>
      </c>
      <c r="T764">
        <f t="shared" si="1003"/>
        <v>-9.8496905428718598E-2</v>
      </c>
    </row>
    <row r="765" spans="1:20" x14ac:dyDescent="0.25">
      <c r="A765" s="5">
        <v>43828</v>
      </c>
      <c r="B765">
        <v>8.9319999999999997E-2</v>
      </c>
      <c r="C765">
        <v>8.9319999999999997E-2</v>
      </c>
      <c r="D765">
        <v>8.5110000000000005E-2</v>
      </c>
      <c r="E765">
        <v>8.72E-2</v>
      </c>
      <c r="F765">
        <v>1243548.5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-7.1258907363425912E-3</v>
      </c>
      <c r="Q765">
        <f t="shared" si="1000"/>
        <v>-8861.3907363427243</v>
      </c>
      <c r="R765">
        <f t="shared" si="1001"/>
        <v>-10366737.766127672</v>
      </c>
      <c r="S765">
        <f t="shared" si="1002"/>
        <v>-103.66737766127672</v>
      </c>
      <c r="T765">
        <f t="shared" si="1003"/>
        <v>-0.10366737766127672</v>
      </c>
    </row>
    <row r="766" spans="1:20" x14ac:dyDescent="0.25">
      <c r="A766" s="5">
        <v>43827</v>
      </c>
      <c r="B766">
        <v>8.4779999999999994E-2</v>
      </c>
      <c r="C766">
        <v>9.1660000000000005E-2</v>
      </c>
      <c r="D766">
        <v>8.4659999999999999E-2</v>
      </c>
      <c r="E766">
        <v>8.9099999999999999E-2</v>
      </c>
      <c r="F766">
        <v>1618680.3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0.2685714285714273</v>
      </c>
      <c r="Q766">
        <f t="shared" si="1000"/>
        <v>434731.2805714265</v>
      </c>
      <c r="R766">
        <f t="shared" si="1001"/>
        <v>-10357876.375391329</v>
      </c>
      <c r="S766">
        <f t="shared" si="1002"/>
        <v>-103.57876375391329</v>
      </c>
      <c r="T766">
        <f t="shared" si="1003"/>
        <v>-0.1035787637539133</v>
      </c>
    </row>
    <row r="767" spans="1:20" x14ac:dyDescent="0.25">
      <c r="A767" s="5">
        <v>43826</v>
      </c>
      <c r="B767">
        <v>8.6959999999999996E-2</v>
      </c>
      <c r="C767">
        <v>8.8400000000000006E-2</v>
      </c>
      <c r="D767">
        <v>8.4309999999999996E-2</v>
      </c>
      <c r="E767">
        <v>8.5349999999999995E-2</v>
      </c>
      <c r="F767">
        <v>1213660.2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-0.49144254278728772</v>
      </c>
      <c r="Q767">
        <f t="shared" ref="Q767:Q830" si="1005">F767*P767</f>
        <v>-596444.25476772815</v>
      </c>
      <c r="R767">
        <f t="shared" ref="R767:R830" si="1006">R768+Q767</f>
        <v>-10792607.655962756</v>
      </c>
      <c r="S767">
        <f t="shared" ref="S767:S830" si="1007">R767/100000</f>
        <v>-107.92607655962756</v>
      </c>
      <c r="T767">
        <f t="shared" ref="T767:T830" si="1008">S767/1000</f>
        <v>-0.10792607655962756</v>
      </c>
    </row>
    <row r="768" spans="1:20" x14ac:dyDescent="0.25">
      <c r="A768" s="5">
        <v>43825</v>
      </c>
      <c r="B768">
        <v>9.0630000000000002E-2</v>
      </c>
      <c r="C768">
        <v>9.0719999999999995E-2</v>
      </c>
      <c r="D768">
        <v>8.5879999999999998E-2</v>
      </c>
      <c r="E768">
        <v>8.6959999999999996E-2</v>
      </c>
      <c r="F768">
        <v>2545688.5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-0.55371900826446352</v>
      </c>
      <c r="Q768">
        <f t="shared" si="1005"/>
        <v>-1409596.1115702498</v>
      </c>
      <c r="R768">
        <f t="shared" si="1006"/>
        <v>-10196163.401195027</v>
      </c>
      <c r="S768">
        <f t="shared" si="1007"/>
        <v>-101.96163401195027</v>
      </c>
      <c r="T768">
        <f t="shared" si="1008"/>
        <v>-0.10196163401195027</v>
      </c>
    </row>
    <row r="769" spans="1:20" x14ac:dyDescent="0.25">
      <c r="A769" s="5">
        <v>43824</v>
      </c>
      <c r="B769">
        <v>9.2460000000000001E-2</v>
      </c>
      <c r="C769">
        <v>9.6759999999999999E-2</v>
      </c>
      <c r="D769">
        <v>8.9560000000000001E-2</v>
      </c>
      <c r="E769">
        <v>9.0630000000000002E-2</v>
      </c>
      <c r="F769">
        <v>1894766.5</v>
      </c>
      <c r="G769">
        <v>0</v>
      </c>
      <c r="L769" t="s">
        <v>8</v>
      </c>
      <c r="M769" t="s">
        <v>7</v>
      </c>
      <c r="N769" t="s">
        <v>7</v>
      </c>
      <c r="P769">
        <f t="shared" si="1004"/>
        <v>-0.70277777777777728</v>
      </c>
      <c r="Q769">
        <f t="shared" si="1005"/>
        <v>-1331599.7902777768</v>
      </c>
      <c r="R769">
        <f t="shared" si="1006"/>
        <v>-8786567.2896247767</v>
      </c>
      <c r="S769">
        <f t="shared" si="1007"/>
        <v>-87.865672896247773</v>
      </c>
      <c r="T769">
        <f t="shared" si="1008"/>
        <v>-8.7865672896247776E-2</v>
      </c>
    </row>
    <row r="770" spans="1:20" x14ac:dyDescent="0.25">
      <c r="A770" s="5">
        <v>43823</v>
      </c>
      <c r="B770">
        <v>8.9779999999999999E-2</v>
      </c>
      <c r="C770">
        <v>9.6129999999999993E-2</v>
      </c>
      <c r="D770">
        <v>8.9099999999999999E-2</v>
      </c>
      <c r="E770">
        <v>9.2450000000000004E-2</v>
      </c>
      <c r="F770">
        <v>2270116.9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-4.6941678520623517E-2</v>
      </c>
      <c r="Q770">
        <f t="shared" si="1005"/>
        <v>-106563.09772403444</v>
      </c>
      <c r="R770">
        <f t="shared" si="1006"/>
        <v>-7454967.4993470004</v>
      </c>
      <c r="S770">
        <f t="shared" si="1007"/>
        <v>-74.549674993470006</v>
      </c>
      <c r="T770">
        <f t="shared" si="1008"/>
        <v>-7.4549674993470011E-2</v>
      </c>
    </row>
    <row r="771" spans="1:20" x14ac:dyDescent="0.25">
      <c r="A771" s="5">
        <v>43822</v>
      </c>
      <c r="B771">
        <v>9.6920000000000006E-2</v>
      </c>
      <c r="C771">
        <v>0.10095</v>
      </c>
      <c r="D771">
        <v>8.9770000000000003E-2</v>
      </c>
      <c r="E771">
        <v>8.9800000000000005E-2</v>
      </c>
      <c r="F771">
        <v>4074472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-0.99463327370304078</v>
      </c>
      <c r="Q771">
        <f t="shared" si="1005"/>
        <v>-4052605.4239713759</v>
      </c>
      <c r="R771">
        <f t="shared" si="1006"/>
        <v>-7348404.4016229659</v>
      </c>
      <c r="S771">
        <f t="shared" si="1007"/>
        <v>-73.48404401622966</v>
      </c>
      <c r="T771">
        <f t="shared" si="1008"/>
        <v>-7.3484044016229655E-2</v>
      </c>
    </row>
    <row r="772" spans="1:20" x14ac:dyDescent="0.25">
      <c r="A772" s="5">
        <v>43821</v>
      </c>
      <c r="B772">
        <v>9.9229999999999999E-2</v>
      </c>
      <c r="C772">
        <v>0.11</v>
      </c>
      <c r="D772">
        <v>9.3600000000000003E-2</v>
      </c>
      <c r="E772">
        <v>9.6920000000000006E-2</v>
      </c>
      <c r="F772">
        <v>5626539.7999999998</v>
      </c>
      <c r="G772">
        <v>0</v>
      </c>
      <c r="L772" t="s">
        <v>7</v>
      </c>
      <c r="M772" t="s">
        <v>7</v>
      </c>
      <c r="N772" t="s">
        <v>8</v>
      </c>
      <c r="P772">
        <f t="shared" si="1004"/>
        <v>-0.59512195121951172</v>
      </c>
      <c r="Q772">
        <f t="shared" si="1005"/>
        <v>-3348477.344390241</v>
      </c>
      <c r="R772">
        <f t="shared" si="1006"/>
        <v>-3295798.9776515905</v>
      </c>
      <c r="S772">
        <f t="shared" si="1007"/>
        <v>-32.957989776515902</v>
      </c>
      <c r="T772">
        <f t="shared" si="1008"/>
        <v>-3.29579897765159E-2</v>
      </c>
    </row>
    <row r="773" spans="1:20" x14ac:dyDescent="0.25">
      <c r="A773" s="5">
        <v>43820</v>
      </c>
      <c r="B773">
        <v>0.10577</v>
      </c>
      <c r="C773">
        <v>0.10596</v>
      </c>
      <c r="D773">
        <v>9.5549999999999996E-2</v>
      </c>
      <c r="E773">
        <v>9.9229999999999999E-2</v>
      </c>
      <c r="F773">
        <v>5936840.7000000002</v>
      </c>
      <c r="G773">
        <v>0</v>
      </c>
      <c r="L773" t="s">
        <v>7</v>
      </c>
      <c r="M773" t="s">
        <v>7</v>
      </c>
      <c r="N773" t="s">
        <v>8</v>
      </c>
      <c r="P773">
        <f t="shared" si="1004"/>
        <v>-0.29298751200768458</v>
      </c>
      <c r="Q773">
        <f t="shared" si="1005"/>
        <v>-1739420.1858789606</v>
      </c>
      <c r="R773">
        <f t="shared" si="1006"/>
        <v>52678.366738650715</v>
      </c>
      <c r="S773">
        <f t="shared" si="1007"/>
        <v>0.52678366738650717</v>
      </c>
      <c r="T773">
        <f t="shared" si="1008"/>
        <v>5.2678366738650713E-4</v>
      </c>
    </row>
    <row r="774" spans="1:20" x14ac:dyDescent="0.25">
      <c r="A774" s="5">
        <v>43819</v>
      </c>
      <c r="B774">
        <v>0.10739</v>
      </c>
      <c r="C774">
        <v>0.122</v>
      </c>
      <c r="D774">
        <v>0.10199999999999999</v>
      </c>
      <c r="E774">
        <v>0.10506</v>
      </c>
      <c r="F774">
        <v>5051813.2</v>
      </c>
      <c r="G774">
        <v>0</v>
      </c>
      <c r="L774" t="s">
        <v>7</v>
      </c>
      <c r="M774" t="s">
        <v>7</v>
      </c>
      <c r="N774" t="s">
        <v>8</v>
      </c>
      <c r="P774">
        <f t="shared" si="1004"/>
        <v>-0.6939999999999994</v>
      </c>
      <c r="Q774">
        <f t="shared" si="1005"/>
        <v>-3505958.3607999971</v>
      </c>
      <c r="R774">
        <f t="shared" si="1006"/>
        <v>1792098.5526176114</v>
      </c>
      <c r="S774">
        <f t="shared" si="1007"/>
        <v>17.920985526176114</v>
      </c>
      <c r="T774">
        <f t="shared" si="1008"/>
        <v>1.7920985526176113E-2</v>
      </c>
    </row>
    <row r="775" spans="1:20" x14ac:dyDescent="0.25">
      <c r="A775" s="5">
        <v>43818</v>
      </c>
      <c r="B775">
        <v>0.10097</v>
      </c>
      <c r="C775">
        <v>0.13</v>
      </c>
      <c r="D775">
        <v>9.8739999999999994E-2</v>
      </c>
      <c r="E775">
        <v>0.10679</v>
      </c>
      <c r="F775">
        <v>10660852.6</v>
      </c>
      <c r="G775">
        <v>0</v>
      </c>
      <c r="L775" t="s">
        <v>8</v>
      </c>
      <c r="M775" t="s">
        <v>8</v>
      </c>
      <c r="N775" t="s">
        <v>8</v>
      </c>
      <c r="P775">
        <f t="shared" si="1004"/>
        <v>-0.48496481126039676</v>
      </c>
      <c r="Q775">
        <f t="shared" si="1005"/>
        <v>-5170138.3690339094</v>
      </c>
      <c r="R775">
        <f t="shared" si="1006"/>
        <v>5298056.9134176085</v>
      </c>
      <c r="S775">
        <f t="shared" si="1007"/>
        <v>52.980569134176086</v>
      </c>
      <c r="T775">
        <f t="shared" si="1008"/>
        <v>5.2980569134176085E-2</v>
      </c>
    </row>
    <row r="776" spans="1:20" x14ac:dyDescent="0.25">
      <c r="A776" s="5">
        <v>43817</v>
      </c>
      <c r="B776">
        <v>9.4780000000000003E-2</v>
      </c>
      <c r="C776">
        <v>0.1045</v>
      </c>
      <c r="D776">
        <v>8.9679999999999996E-2</v>
      </c>
      <c r="E776">
        <v>0.10129000000000001</v>
      </c>
      <c r="F776">
        <v>11008215.699999999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0.56680161943319962</v>
      </c>
      <c r="Q776">
        <f t="shared" si="1005"/>
        <v>6239474.4858299727</v>
      </c>
      <c r="R776">
        <f t="shared" si="1006"/>
        <v>10468195.282451518</v>
      </c>
      <c r="S776">
        <f t="shared" si="1007"/>
        <v>104.68195282451518</v>
      </c>
      <c r="T776">
        <f t="shared" si="1008"/>
        <v>0.10468195282451517</v>
      </c>
    </row>
    <row r="777" spans="1:20" x14ac:dyDescent="0.25">
      <c r="A777" s="5">
        <v>43816</v>
      </c>
      <c r="B777">
        <v>9.0899999999999995E-2</v>
      </c>
      <c r="C777">
        <v>0.13888</v>
      </c>
      <c r="D777">
        <v>8.4989999999999996E-2</v>
      </c>
      <c r="E777">
        <v>9.4780000000000003E-2</v>
      </c>
      <c r="F777">
        <v>15388142.699999999</v>
      </c>
      <c r="G777">
        <v>0</v>
      </c>
      <c r="L777" t="s">
        <v>8</v>
      </c>
      <c r="M777" t="s">
        <v>8</v>
      </c>
      <c r="N777" t="s">
        <v>8</v>
      </c>
      <c r="P777">
        <f t="shared" si="1004"/>
        <v>-0.636667285210614</v>
      </c>
      <c r="Q777">
        <f t="shared" si="1005"/>
        <v>-9797127.0372425281</v>
      </c>
      <c r="R777">
        <f t="shared" si="1006"/>
        <v>4228720.7966215461</v>
      </c>
      <c r="S777">
        <f t="shared" si="1007"/>
        <v>42.287207966215462</v>
      </c>
      <c r="T777">
        <f t="shared" si="1008"/>
        <v>4.2287207966215462E-2</v>
      </c>
    </row>
    <row r="778" spans="1:20" x14ac:dyDescent="0.25">
      <c r="A778" s="5">
        <v>43815</v>
      </c>
      <c r="B778">
        <v>9.5600000000000004E-2</v>
      </c>
      <c r="C778">
        <v>0.1013</v>
      </c>
      <c r="D778">
        <v>8.7569999999999995E-2</v>
      </c>
      <c r="E778">
        <v>9.1560000000000002E-2</v>
      </c>
      <c r="F778">
        <v>8489523.5</v>
      </c>
      <c r="G778">
        <v>0</v>
      </c>
      <c r="L778" t="s">
        <v>8</v>
      </c>
      <c r="M778" t="s">
        <v>8</v>
      </c>
      <c r="N778" t="s">
        <v>8</v>
      </c>
      <c r="P778">
        <f t="shared" si="1004"/>
        <v>-0.41879096868171806</v>
      </c>
      <c r="Q778">
        <f t="shared" si="1005"/>
        <v>-3555335.7702112095</v>
      </c>
      <c r="R778">
        <f t="shared" si="1006"/>
        <v>14025847.833864074</v>
      </c>
      <c r="S778">
        <f t="shared" si="1007"/>
        <v>140.25847833864074</v>
      </c>
      <c r="T778">
        <f t="shared" si="1008"/>
        <v>0.14025847833864075</v>
      </c>
    </row>
    <row r="779" spans="1:20" x14ac:dyDescent="0.25">
      <c r="A779" s="5">
        <v>43814</v>
      </c>
      <c r="B779">
        <v>8.7970000000000007E-2</v>
      </c>
      <c r="C779">
        <v>9.9089999999999998E-2</v>
      </c>
      <c r="D779">
        <v>8.3809999999999996E-2</v>
      </c>
      <c r="E779">
        <v>9.5549999999999996E-2</v>
      </c>
      <c r="F779">
        <v>6115734.7000000002</v>
      </c>
      <c r="G779">
        <v>0</v>
      </c>
      <c r="L779" t="s">
        <v>8</v>
      </c>
      <c r="M779" t="s">
        <v>8</v>
      </c>
      <c r="N779" t="s">
        <v>8</v>
      </c>
      <c r="P779">
        <f t="shared" si="1004"/>
        <v>0.53664921465968574</v>
      </c>
      <c r="Q779">
        <f t="shared" si="1005"/>
        <v>3282004.2238219888</v>
      </c>
      <c r="R779">
        <f t="shared" si="1006"/>
        <v>17581183.604075283</v>
      </c>
      <c r="S779">
        <f t="shared" si="1007"/>
        <v>175.81183604075284</v>
      </c>
      <c r="T779">
        <f t="shared" si="1008"/>
        <v>0.17581183604075284</v>
      </c>
    </row>
    <row r="780" spans="1:20" x14ac:dyDescent="0.25">
      <c r="A780" s="5">
        <v>43813</v>
      </c>
      <c r="B780">
        <v>9.0490000000000001E-2</v>
      </c>
      <c r="C780">
        <v>9.0999999999999998E-2</v>
      </c>
      <c r="D780">
        <v>8.2400000000000001E-2</v>
      </c>
      <c r="E780">
        <v>8.8620000000000004E-2</v>
      </c>
      <c r="F780">
        <v>2421925.4</v>
      </c>
      <c r="G780">
        <v>0</v>
      </c>
      <c r="L780" t="s">
        <v>7</v>
      </c>
      <c r="M780" t="s">
        <v>8</v>
      </c>
      <c r="N780" t="s">
        <v>8</v>
      </c>
      <c r="P780">
        <f t="shared" si="1004"/>
        <v>0.44651162790697807</v>
      </c>
      <c r="Q780">
        <f t="shared" si="1005"/>
        <v>1081417.853023259</v>
      </c>
      <c r="R780">
        <f t="shared" si="1006"/>
        <v>14299179.380253294</v>
      </c>
      <c r="S780">
        <f t="shared" si="1007"/>
        <v>142.99179380253295</v>
      </c>
      <c r="T780">
        <f t="shared" si="1008"/>
        <v>0.14299179380253296</v>
      </c>
    </row>
    <row r="781" spans="1:20" x14ac:dyDescent="0.25">
      <c r="A781" s="5">
        <v>43812</v>
      </c>
      <c r="B781">
        <v>8.566E-2</v>
      </c>
      <c r="C781">
        <v>9.1980000000000006E-2</v>
      </c>
      <c r="D781">
        <v>8.4000000000000005E-2</v>
      </c>
      <c r="E781">
        <v>9.017E-2</v>
      </c>
      <c r="F781">
        <v>4742602.3</v>
      </c>
      <c r="G781">
        <v>0</v>
      </c>
      <c r="L781" t="s">
        <v>8</v>
      </c>
      <c r="M781" t="s">
        <v>8</v>
      </c>
      <c r="N781" t="s">
        <v>8</v>
      </c>
      <c r="P781">
        <f t="shared" si="1004"/>
        <v>0.54636591478696594</v>
      </c>
      <c r="Q781">
        <f t="shared" si="1005"/>
        <v>2591196.2441102685</v>
      </c>
      <c r="R781">
        <f t="shared" si="1006"/>
        <v>13217761.527230036</v>
      </c>
      <c r="S781">
        <f t="shared" si="1007"/>
        <v>132.17761527230036</v>
      </c>
      <c r="T781">
        <f t="shared" si="1008"/>
        <v>0.13217761527230035</v>
      </c>
    </row>
    <row r="782" spans="1:20" x14ac:dyDescent="0.25">
      <c r="A782" s="5">
        <v>43811</v>
      </c>
      <c r="B782">
        <v>8.3140000000000006E-2</v>
      </c>
      <c r="C782">
        <v>8.9499999999999996E-2</v>
      </c>
      <c r="D782">
        <v>7.7880000000000005E-2</v>
      </c>
      <c r="E782">
        <v>8.5080000000000003E-2</v>
      </c>
      <c r="F782">
        <v>5209122.7</v>
      </c>
      <c r="G782">
        <v>0</v>
      </c>
      <c r="L782" t="s">
        <v>8</v>
      </c>
      <c r="M782" t="s">
        <v>8</v>
      </c>
      <c r="N782" t="s">
        <v>8</v>
      </c>
      <c r="P782">
        <f t="shared" si="1004"/>
        <v>0.23924268502581814</v>
      </c>
      <c r="Q782">
        <f t="shared" si="1005"/>
        <v>1246244.5013769395</v>
      </c>
      <c r="R782">
        <f t="shared" si="1006"/>
        <v>10626565.283119768</v>
      </c>
      <c r="S782">
        <f t="shared" si="1007"/>
        <v>106.26565283119768</v>
      </c>
      <c r="T782">
        <f t="shared" si="1008"/>
        <v>0.10626565283119768</v>
      </c>
    </row>
    <row r="783" spans="1:20" x14ac:dyDescent="0.25">
      <c r="A783" s="5">
        <v>43810</v>
      </c>
      <c r="B783">
        <v>7.6170000000000002E-2</v>
      </c>
      <c r="C783">
        <v>8.6470000000000005E-2</v>
      </c>
      <c r="D783">
        <v>7.5990000000000002E-2</v>
      </c>
      <c r="E783">
        <v>8.3140000000000006E-2</v>
      </c>
      <c r="F783">
        <v>2208955.5</v>
      </c>
      <c r="G783">
        <v>0</v>
      </c>
      <c r="L783" t="s">
        <v>8</v>
      </c>
      <c r="M783" t="s">
        <v>7</v>
      </c>
      <c r="N783" t="s">
        <v>8</v>
      </c>
      <c r="P783">
        <f t="shared" si="1004"/>
        <v>0.36450381679389338</v>
      </c>
      <c r="Q783">
        <f t="shared" si="1005"/>
        <v>805172.71087786311</v>
      </c>
      <c r="R783">
        <f t="shared" si="1006"/>
        <v>9380320.781742828</v>
      </c>
      <c r="S783">
        <f t="shared" si="1007"/>
        <v>93.803207817428273</v>
      </c>
      <c r="T783">
        <f t="shared" si="1008"/>
        <v>9.3803207817428277E-2</v>
      </c>
    </row>
    <row r="784" spans="1:20" x14ac:dyDescent="0.25">
      <c r="A784" s="5">
        <v>43809</v>
      </c>
      <c r="B784">
        <v>8.5000000000000006E-2</v>
      </c>
      <c r="C784">
        <v>8.5290000000000005E-2</v>
      </c>
      <c r="D784">
        <v>7.3029999999999998E-2</v>
      </c>
      <c r="E784">
        <v>7.6170000000000002E-2</v>
      </c>
      <c r="F784">
        <v>3822813.1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-0.48776508972267502</v>
      </c>
      <c r="Q784">
        <f t="shared" si="1005"/>
        <v>-1864634.7747145174</v>
      </c>
      <c r="R784">
        <f t="shared" si="1006"/>
        <v>8575148.0708649643</v>
      </c>
      <c r="S784">
        <f t="shared" si="1007"/>
        <v>85.751480708649638</v>
      </c>
      <c r="T784">
        <f t="shared" si="1008"/>
        <v>8.5751480708649644E-2</v>
      </c>
    </row>
    <row r="785" spans="1:20" x14ac:dyDescent="0.25">
      <c r="A785" s="5">
        <v>43808</v>
      </c>
      <c r="B785">
        <v>8.3839999999999998E-2</v>
      </c>
      <c r="C785">
        <v>8.899E-2</v>
      </c>
      <c r="D785">
        <v>8.0560000000000007E-2</v>
      </c>
      <c r="E785">
        <v>8.5559999999999997E-2</v>
      </c>
      <c r="F785">
        <v>3173010.2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0.18623962040332021</v>
      </c>
      <c r="Q785">
        <f t="shared" si="1005"/>
        <v>590940.21518386318</v>
      </c>
      <c r="R785">
        <f t="shared" si="1006"/>
        <v>10439782.845579483</v>
      </c>
      <c r="S785">
        <f t="shared" si="1007"/>
        <v>104.39782845579482</v>
      </c>
      <c r="T785">
        <f t="shared" si="1008"/>
        <v>0.10439782845579482</v>
      </c>
    </row>
    <row r="786" spans="1:20" x14ac:dyDescent="0.25">
      <c r="A786" s="5">
        <v>43807</v>
      </c>
      <c r="B786">
        <v>7.8350000000000003E-2</v>
      </c>
      <c r="C786">
        <v>8.6989999999999998E-2</v>
      </c>
      <c r="D786">
        <v>7.5660000000000005E-2</v>
      </c>
      <c r="E786">
        <v>8.3299999999999999E-2</v>
      </c>
      <c r="F786">
        <v>3962429.7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0.34863195057369795</v>
      </c>
      <c r="Q786">
        <f t="shared" si="1005"/>
        <v>1381429.5953221528</v>
      </c>
      <c r="R786">
        <f t="shared" si="1006"/>
        <v>9848842.6303956192</v>
      </c>
      <c r="S786">
        <f t="shared" si="1007"/>
        <v>98.488426303956189</v>
      </c>
      <c r="T786">
        <f t="shared" si="1008"/>
        <v>9.8488426303956184E-2</v>
      </c>
    </row>
    <row r="787" spans="1:20" x14ac:dyDescent="0.25">
      <c r="A787" s="5">
        <v>43806</v>
      </c>
      <c r="B787">
        <v>7.9759999999999998E-2</v>
      </c>
      <c r="C787">
        <v>8.0189999999999997E-2</v>
      </c>
      <c r="D787">
        <v>7.6560000000000003E-2</v>
      </c>
      <c r="E787">
        <v>7.8969999999999999E-2</v>
      </c>
      <c r="F787">
        <v>1661827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0.32782369146005469</v>
      </c>
      <c r="Q787">
        <f t="shared" si="1005"/>
        <v>544786.26170798833</v>
      </c>
      <c r="R787">
        <f t="shared" si="1006"/>
        <v>8467413.0350734666</v>
      </c>
      <c r="S787">
        <f t="shared" si="1007"/>
        <v>84.674130350734671</v>
      </c>
      <c r="T787">
        <f t="shared" si="1008"/>
        <v>8.4674130350734678E-2</v>
      </c>
    </row>
    <row r="788" spans="1:20" x14ac:dyDescent="0.25">
      <c r="A788" s="5">
        <v>43805</v>
      </c>
      <c r="B788">
        <v>7.757E-2</v>
      </c>
      <c r="C788">
        <v>8.0750000000000002E-2</v>
      </c>
      <c r="D788">
        <v>7.6539999999999997E-2</v>
      </c>
      <c r="E788">
        <v>7.9939999999999997E-2</v>
      </c>
      <c r="F788">
        <v>2559528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0.61520190023752774</v>
      </c>
      <c r="Q788">
        <f t="shared" si="1005"/>
        <v>1574626.4893111589</v>
      </c>
      <c r="R788">
        <f t="shared" si="1006"/>
        <v>7922626.773365479</v>
      </c>
      <c r="S788">
        <f t="shared" si="1007"/>
        <v>79.226267733654794</v>
      </c>
      <c r="T788">
        <f t="shared" si="1008"/>
        <v>7.9226267733654793E-2</v>
      </c>
    </row>
    <row r="789" spans="1:20" x14ac:dyDescent="0.25">
      <c r="A789" s="5">
        <v>43804</v>
      </c>
      <c r="B789">
        <v>7.1319999999999995E-2</v>
      </c>
      <c r="C789">
        <v>8.1000000000000003E-2</v>
      </c>
      <c r="D789">
        <v>7.1230000000000002E-2</v>
      </c>
      <c r="E789">
        <v>7.8030000000000002E-2</v>
      </c>
      <c r="F789">
        <v>2021581.1</v>
      </c>
      <c r="G789">
        <v>0</v>
      </c>
      <c r="L789" t="s">
        <v>8</v>
      </c>
      <c r="M789" t="s">
        <v>8</v>
      </c>
      <c r="N789" t="s">
        <v>8</v>
      </c>
      <c r="P789">
        <f t="shared" si="1004"/>
        <v>0.39201637666325484</v>
      </c>
      <c r="Q789">
        <f t="shared" si="1005"/>
        <v>792492.89795291703</v>
      </c>
      <c r="R789">
        <f t="shared" si="1006"/>
        <v>6348000.2840543203</v>
      </c>
      <c r="S789">
        <f t="shared" si="1007"/>
        <v>63.4800028405432</v>
      </c>
      <c r="T789">
        <f t="shared" si="1008"/>
        <v>6.3480002840543198E-2</v>
      </c>
    </row>
    <row r="790" spans="1:20" x14ac:dyDescent="0.25">
      <c r="A790" s="5">
        <v>43803</v>
      </c>
      <c r="B790">
        <v>7.3599999999999999E-2</v>
      </c>
      <c r="C790">
        <v>7.5420000000000001E-2</v>
      </c>
      <c r="D790">
        <v>7.0230000000000001E-2</v>
      </c>
      <c r="E790">
        <v>7.2069999999999995E-2</v>
      </c>
      <c r="F790">
        <v>662557.80000000005</v>
      </c>
      <c r="G790">
        <v>0</v>
      </c>
      <c r="L790" t="s">
        <v>7</v>
      </c>
      <c r="M790" t="s">
        <v>8</v>
      </c>
      <c r="N790" t="s">
        <v>8</v>
      </c>
      <c r="P790">
        <f t="shared" si="1004"/>
        <v>-0.29094412331406766</v>
      </c>
      <c r="Q790">
        <f t="shared" si="1005"/>
        <v>-192767.29826589738</v>
      </c>
      <c r="R790">
        <f t="shared" si="1006"/>
        <v>5555507.3861014033</v>
      </c>
      <c r="S790">
        <f t="shared" si="1007"/>
        <v>55.55507386101403</v>
      </c>
      <c r="T790">
        <f t="shared" si="1008"/>
        <v>5.5555073861014027E-2</v>
      </c>
    </row>
    <row r="791" spans="1:20" x14ac:dyDescent="0.25">
      <c r="A791" s="5">
        <v>43802</v>
      </c>
      <c r="B791">
        <v>7.1429999999999993E-2</v>
      </c>
      <c r="C791">
        <v>7.3590000000000003E-2</v>
      </c>
      <c r="D791">
        <v>7.1129999999999999E-2</v>
      </c>
      <c r="E791">
        <v>7.3590000000000003E-2</v>
      </c>
      <c r="F791">
        <v>1059736.5</v>
      </c>
      <c r="G791">
        <v>0</v>
      </c>
      <c r="L791" t="s">
        <v>8</v>
      </c>
      <c r="M791" t="s">
        <v>8</v>
      </c>
      <c r="N791" t="s">
        <v>8</v>
      </c>
      <c r="P791">
        <f t="shared" si="1004"/>
        <v>1</v>
      </c>
      <c r="Q791">
        <f t="shared" si="1005"/>
        <v>1059736.5</v>
      </c>
      <c r="R791">
        <f t="shared" si="1006"/>
        <v>5748274.6843673009</v>
      </c>
      <c r="S791">
        <f t="shared" si="1007"/>
        <v>57.482746843673013</v>
      </c>
      <c r="T791">
        <f t="shared" si="1008"/>
        <v>5.7482746843673015E-2</v>
      </c>
    </row>
    <row r="792" spans="1:20" x14ac:dyDescent="0.25">
      <c r="A792" s="5">
        <v>43801</v>
      </c>
      <c r="B792">
        <v>7.4730000000000005E-2</v>
      </c>
      <c r="C792">
        <v>7.5560000000000002E-2</v>
      </c>
      <c r="D792">
        <v>7.0150000000000004E-2</v>
      </c>
      <c r="E792">
        <v>7.1440000000000003E-2</v>
      </c>
      <c r="F792">
        <v>1160498.7</v>
      </c>
      <c r="G792">
        <v>0</v>
      </c>
      <c r="L792" t="s">
        <v>8</v>
      </c>
      <c r="M792" t="s">
        <v>8</v>
      </c>
      <c r="N792" t="s">
        <v>8</v>
      </c>
      <c r="P792">
        <f t="shared" si="1004"/>
        <v>-0.52310536044362299</v>
      </c>
      <c r="Q792">
        <f t="shared" si="1005"/>
        <v>-607063.09075785591</v>
      </c>
      <c r="R792">
        <f t="shared" si="1006"/>
        <v>4688538.1843673009</v>
      </c>
      <c r="S792">
        <f t="shared" si="1007"/>
        <v>46.885381843673009</v>
      </c>
      <c r="T792">
        <f t="shared" si="1008"/>
        <v>4.688538184367301E-2</v>
      </c>
    </row>
    <row r="793" spans="1:20" x14ac:dyDescent="0.25">
      <c r="A793" s="5">
        <v>43800</v>
      </c>
      <c r="B793">
        <v>7.0650000000000004E-2</v>
      </c>
      <c r="C793">
        <v>7.5490000000000002E-2</v>
      </c>
      <c r="D793">
        <v>6.8779999999999994E-2</v>
      </c>
      <c r="E793">
        <v>7.4700000000000003E-2</v>
      </c>
      <c r="F793">
        <v>4812520.5</v>
      </c>
      <c r="G793">
        <v>0</v>
      </c>
      <c r="L793" t="s">
        <v>7</v>
      </c>
      <c r="M793" t="s">
        <v>8</v>
      </c>
      <c r="N793" t="s">
        <v>8</v>
      </c>
      <c r="P793">
        <f t="shared" si="1004"/>
        <v>0.76453055141579784</v>
      </c>
      <c r="Q793">
        <f t="shared" si="1005"/>
        <v>3679318.9515648312</v>
      </c>
      <c r="R793">
        <f t="shared" si="1006"/>
        <v>5295601.2751251571</v>
      </c>
      <c r="S793">
        <f t="shared" si="1007"/>
        <v>52.956012751251571</v>
      </c>
      <c r="T793">
        <f t="shared" si="1008"/>
        <v>5.2956012751251572E-2</v>
      </c>
    </row>
    <row r="794" spans="1:20" x14ac:dyDescent="0.25">
      <c r="A794" s="5">
        <v>43799</v>
      </c>
      <c r="B794">
        <v>7.7200000000000005E-2</v>
      </c>
      <c r="C794">
        <v>7.7880000000000005E-2</v>
      </c>
      <c r="D794">
        <v>7.0150000000000004E-2</v>
      </c>
      <c r="E794">
        <v>7.0150000000000004E-2</v>
      </c>
      <c r="F794">
        <v>1504027.5</v>
      </c>
      <c r="G794">
        <v>0</v>
      </c>
      <c r="L794" t="s">
        <v>7</v>
      </c>
      <c r="M794" t="s">
        <v>8</v>
      </c>
      <c r="N794" t="s">
        <v>8</v>
      </c>
      <c r="P794">
        <f t="shared" si="1004"/>
        <v>-1</v>
      </c>
      <c r="Q794">
        <f t="shared" si="1005"/>
        <v>-1504027.5</v>
      </c>
      <c r="R794">
        <f t="shared" si="1006"/>
        <v>1616282.3235603264</v>
      </c>
      <c r="S794">
        <f t="shared" si="1007"/>
        <v>16.162823235603263</v>
      </c>
      <c r="T794">
        <f t="shared" si="1008"/>
        <v>1.6162823235603262E-2</v>
      </c>
    </row>
    <row r="795" spans="1:20" x14ac:dyDescent="0.25">
      <c r="A795" s="5">
        <v>43798</v>
      </c>
      <c r="B795">
        <v>7.6410000000000006E-2</v>
      </c>
      <c r="C795">
        <v>7.8539999999999999E-2</v>
      </c>
      <c r="D795">
        <v>7.5029999999999999E-2</v>
      </c>
      <c r="E795">
        <v>7.7189999999999995E-2</v>
      </c>
      <c r="F795">
        <v>807043.2</v>
      </c>
      <c r="G795">
        <v>0</v>
      </c>
      <c r="L795" t="s">
        <v>8</v>
      </c>
      <c r="M795" t="s">
        <v>8</v>
      </c>
      <c r="N795" t="s">
        <v>8</v>
      </c>
      <c r="P795">
        <f t="shared" si="1004"/>
        <v>0.23076923076922834</v>
      </c>
      <c r="Q795">
        <f t="shared" si="1005"/>
        <v>186240.7384615365</v>
      </c>
      <c r="R795">
        <f t="shared" si="1006"/>
        <v>3120309.8235603264</v>
      </c>
      <c r="S795">
        <f t="shared" si="1007"/>
        <v>31.203098235603264</v>
      </c>
      <c r="T795">
        <f t="shared" si="1008"/>
        <v>3.1203098235603265E-2</v>
      </c>
    </row>
    <row r="796" spans="1:20" x14ac:dyDescent="0.25">
      <c r="A796" s="5">
        <v>43797</v>
      </c>
      <c r="B796">
        <v>7.5700000000000003E-2</v>
      </c>
      <c r="C796">
        <v>7.7740000000000004E-2</v>
      </c>
      <c r="D796">
        <v>7.4889999999999998E-2</v>
      </c>
      <c r="E796">
        <v>7.6670000000000002E-2</v>
      </c>
      <c r="F796">
        <v>355691.1</v>
      </c>
      <c r="G796">
        <v>0</v>
      </c>
      <c r="L796" t="s">
        <v>8</v>
      </c>
      <c r="M796" t="s">
        <v>8</v>
      </c>
      <c r="N796" t="s">
        <v>8</v>
      </c>
      <c r="P796">
        <f t="shared" si="1004"/>
        <v>0.24912280701754419</v>
      </c>
      <c r="Q796">
        <f t="shared" si="1005"/>
        <v>88610.765263158013</v>
      </c>
      <c r="R796">
        <f t="shared" si="1006"/>
        <v>2934069.08509879</v>
      </c>
      <c r="S796">
        <f t="shared" si="1007"/>
        <v>29.340690850987901</v>
      </c>
      <c r="T796">
        <f t="shared" si="1008"/>
        <v>2.9340690850987901E-2</v>
      </c>
    </row>
    <row r="797" spans="1:20" x14ac:dyDescent="0.25">
      <c r="A797" s="5">
        <v>43796</v>
      </c>
      <c r="B797">
        <v>7.3620000000000005E-2</v>
      </c>
      <c r="C797">
        <v>7.7710000000000001E-2</v>
      </c>
      <c r="D797">
        <v>6.8330000000000002E-2</v>
      </c>
      <c r="E797">
        <v>7.5700000000000003E-2</v>
      </c>
      <c r="F797">
        <v>1718220.7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0.57142857142857184</v>
      </c>
      <c r="Q797">
        <f t="shared" si="1005"/>
        <v>981840.40000000072</v>
      </c>
      <c r="R797">
        <f t="shared" si="1006"/>
        <v>2845458.3198356321</v>
      </c>
      <c r="S797">
        <f t="shared" si="1007"/>
        <v>28.454583198356321</v>
      </c>
      <c r="T797">
        <f t="shared" si="1008"/>
        <v>2.845458319835632E-2</v>
      </c>
    </row>
    <row r="798" spans="1:20" x14ac:dyDescent="0.25">
      <c r="A798" s="5">
        <v>43795</v>
      </c>
      <c r="B798">
        <v>7.1260000000000004E-2</v>
      </c>
      <c r="C798">
        <v>7.4160000000000004E-2</v>
      </c>
      <c r="D798">
        <v>7.1099999999999997E-2</v>
      </c>
      <c r="E798">
        <v>7.3169999999999999E-2</v>
      </c>
      <c r="F798">
        <v>1159390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0.35294117647058665</v>
      </c>
      <c r="Q798">
        <f t="shared" si="1005"/>
        <v>409196.47058823344</v>
      </c>
      <c r="R798">
        <f t="shared" si="1006"/>
        <v>1863617.9198356313</v>
      </c>
      <c r="S798">
        <f t="shared" si="1007"/>
        <v>18.636179198356313</v>
      </c>
      <c r="T798">
        <f t="shared" si="1008"/>
        <v>1.8636179198356313E-2</v>
      </c>
    </row>
    <row r="799" spans="1:20" x14ac:dyDescent="0.25">
      <c r="A799" s="5">
        <v>43794</v>
      </c>
      <c r="B799">
        <v>6.8599999999999994E-2</v>
      </c>
      <c r="C799">
        <v>7.4399999999999994E-2</v>
      </c>
      <c r="D799">
        <v>5.2979999999999999E-2</v>
      </c>
      <c r="E799">
        <v>7.1230000000000002E-2</v>
      </c>
      <c r="F799">
        <v>2838785.7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0.70401493930905756</v>
      </c>
      <c r="Q799">
        <f t="shared" si="1005"/>
        <v>1998547.5422969207</v>
      </c>
      <c r="R799">
        <f t="shared" si="1006"/>
        <v>1454421.4492473979</v>
      </c>
      <c r="S799">
        <f t="shared" si="1007"/>
        <v>14.54421449247398</v>
      </c>
      <c r="T799">
        <f t="shared" si="1008"/>
        <v>1.454421449247398E-2</v>
      </c>
    </row>
    <row r="800" spans="1:20" x14ac:dyDescent="0.25">
      <c r="A800" s="5">
        <v>43793</v>
      </c>
      <c r="B800">
        <v>7.4980000000000005E-2</v>
      </c>
      <c r="C800">
        <v>7.4980000000000005E-2</v>
      </c>
      <c r="D800">
        <v>6.7860000000000004E-2</v>
      </c>
      <c r="E800">
        <v>6.8599999999999994E-2</v>
      </c>
      <c r="F800">
        <v>1226582.8999999999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-0.79213483146067687</v>
      </c>
      <c r="Q800">
        <f t="shared" si="1005"/>
        <v>-971619.03876404825</v>
      </c>
      <c r="R800">
        <f t="shared" si="1006"/>
        <v>-544126.09304952272</v>
      </c>
      <c r="S800">
        <f t="shared" si="1007"/>
        <v>-5.4412609304952273</v>
      </c>
      <c r="T800">
        <f t="shared" si="1008"/>
        <v>-5.4412609304952276E-3</v>
      </c>
    </row>
    <row r="801" spans="1:20" x14ac:dyDescent="0.25">
      <c r="A801" s="5">
        <v>43792</v>
      </c>
      <c r="B801">
        <v>7.5579999999999994E-2</v>
      </c>
      <c r="C801">
        <v>7.6060000000000003E-2</v>
      </c>
      <c r="D801">
        <v>7.1059999999999998E-2</v>
      </c>
      <c r="E801">
        <v>7.4980000000000005E-2</v>
      </c>
      <c r="F801">
        <v>2432567.9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0.56800000000000128</v>
      </c>
      <c r="Q801">
        <f t="shared" si="1005"/>
        <v>1381698.567200003</v>
      </c>
      <c r="R801">
        <f t="shared" si="1006"/>
        <v>427492.94571452553</v>
      </c>
      <c r="S801">
        <f t="shared" si="1007"/>
        <v>4.2749294571452552</v>
      </c>
      <c r="T801">
        <f t="shared" si="1008"/>
        <v>4.274929457145255E-3</v>
      </c>
    </row>
    <row r="802" spans="1:20" x14ac:dyDescent="0.25">
      <c r="A802" s="5">
        <v>43791</v>
      </c>
      <c r="B802">
        <v>8.2019999999999996E-2</v>
      </c>
      <c r="C802">
        <v>8.362E-2</v>
      </c>
      <c r="D802">
        <v>7.009E-2</v>
      </c>
      <c r="E802">
        <v>7.6219999999999996E-2</v>
      </c>
      <c r="F802">
        <v>2448264.2000000002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-9.3865484109387082E-2</v>
      </c>
      <c r="Q802">
        <f t="shared" si="1005"/>
        <v>-229807.50436068128</v>
      </c>
      <c r="R802">
        <f t="shared" si="1006"/>
        <v>-954205.62148547743</v>
      </c>
      <c r="S802">
        <f t="shared" si="1007"/>
        <v>-9.5420562148547745</v>
      </c>
      <c r="T802">
        <f t="shared" si="1008"/>
        <v>-9.5420562148547747E-3</v>
      </c>
    </row>
    <row r="803" spans="1:20" x14ac:dyDescent="0.25">
      <c r="A803" s="5">
        <v>43790</v>
      </c>
      <c r="B803">
        <v>8.8870000000000005E-2</v>
      </c>
      <c r="C803">
        <v>8.8999999999999996E-2</v>
      </c>
      <c r="D803">
        <v>7.9740000000000005E-2</v>
      </c>
      <c r="E803">
        <v>8.2049999999999998E-2</v>
      </c>
      <c r="F803">
        <v>3910109.9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-0.50107991360691251</v>
      </c>
      <c r="Q803">
        <f t="shared" si="1005"/>
        <v>-1959277.5308855332</v>
      </c>
      <c r="R803">
        <f t="shared" si="1006"/>
        <v>-724398.11712479615</v>
      </c>
      <c r="S803">
        <f t="shared" si="1007"/>
        <v>-7.2439811712479614</v>
      </c>
      <c r="T803">
        <f t="shared" si="1008"/>
        <v>-7.2439811712479612E-3</v>
      </c>
    </row>
    <row r="804" spans="1:20" x14ac:dyDescent="0.25">
      <c r="A804" s="5">
        <v>43789</v>
      </c>
      <c r="B804">
        <v>9.3700000000000006E-2</v>
      </c>
      <c r="C804">
        <v>9.7070000000000004E-2</v>
      </c>
      <c r="D804">
        <v>8.727E-2</v>
      </c>
      <c r="E804">
        <v>8.8749999999999996E-2</v>
      </c>
      <c r="F804">
        <v>5790993.7000000002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-0.69795918367347043</v>
      </c>
      <c r="Q804">
        <f t="shared" si="1005"/>
        <v>-4041877.23551021</v>
      </c>
      <c r="R804">
        <f t="shared" si="1006"/>
        <v>1234879.4137607371</v>
      </c>
      <c r="S804">
        <f t="shared" si="1007"/>
        <v>12.348794137607371</v>
      </c>
      <c r="T804">
        <f t="shared" si="1008"/>
        <v>1.2348794137607371E-2</v>
      </c>
    </row>
    <row r="805" spans="1:20" x14ac:dyDescent="0.25">
      <c r="A805" s="5">
        <v>43788</v>
      </c>
      <c r="B805">
        <v>9.2350000000000002E-2</v>
      </c>
      <c r="C805">
        <v>9.5839999999999995E-2</v>
      </c>
      <c r="D805">
        <v>8.9679999999999996E-2</v>
      </c>
      <c r="E805">
        <v>9.3700000000000006E-2</v>
      </c>
      <c r="F805">
        <v>4182043.4</v>
      </c>
      <c r="G805">
        <v>0</v>
      </c>
      <c r="L805" t="s">
        <v>8</v>
      </c>
      <c r="M805" t="s">
        <v>7</v>
      </c>
      <c r="N805" t="s">
        <v>8</v>
      </c>
      <c r="P805">
        <f t="shared" si="1004"/>
        <v>0.30519480519480857</v>
      </c>
      <c r="Q805">
        <f t="shared" si="1005"/>
        <v>1276337.920779235</v>
      </c>
      <c r="R805">
        <f t="shared" si="1006"/>
        <v>5276756.6492709471</v>
      </c>
      <c r="S805">
        <f t="shared" si="1007"/>
        <v>52.76756649270947</v>
      </c>
      <c r="T805">
        <f t="shared" si="1008"/>
        <v>5.2767566492709472E-2</v>
      </c>
    </row>
    <row r="806" spans="1:20" x14ac:dyDescent="0.25">
      <c r="A806" s="5">
        <v>43787</v>
      </c>
      <c r="B806">
        <v>8.838E-2</v>
      </c>
      <c r="C806">
        <v>9.5000000000000001E-2</v>
      </c>
      <c r="D806">
        <v>8.7179999999999994E-2</v>
      </c>
      <c r="E806">
        <v>9.2350000000000002E-2</v>
      </c>
      <c r="F806">
        <v>3707062.5</v>
      </c>
      <c r="G806">
        <v>0</v>
      </c>
      <c r="L806" t="s">
        <v>8</v>
      </c>
      <c r="M806" t="s">
        <v>7</v>
      </c>
      <c r="N806" t="s">
        <v>8</v>
      </c>
      <c r="P806">
        <f t="shared" si="1004"/>
        <v>0.32225063938619003</v>
      </c>
      <c r="Q806">
        <f t="shared" si="1005"/>
        <v>1194603.260869568</v>
      </c>
      <c r="R806">
        <f t="shared" si="1006"/>
        <v>4000418.7284917124</v>
      </c>
      <c r="S806">
        <f t="shared" si="1007"/>
        <v>40.004187284917123</v>
      </c>
      <c r="T806">
        <f t="shared" si="1008"/>
        <v>4.0004187284917121E-2</v>
      </c>
    </row>
    <row r="807" spans="1:20" x14ac:dyDescent="0.25">
      <c r="A807" s="5">
        <v>43786</v>
      </c>
      <c r="B807">
        <v>8.9370000000000005E-2</v>
      </c>
      <c r="C807">
        <v>9.0270000000000003E-2</v>
      </c>
      <c r="D807">
        <v>8.7279999999999996E-2</v>
      </c>
      <c r="E807">
        <v>8.8359999999999994E-2</v>
      </c>
      <c r="F807">
        <v>1234838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-0.2775919732441503</v>
      </c>
      <c r="Q807">
        <f t="shared" si="1005"/>
        <v>-342781.11705686006</v>
      </c>
      <c r="R807">
        <f t="shared" si="1006"/>
        <v>2805815.4676221446</v>
      </c>
      <c r="S807">
        <f t="shared" si="1007"/>
        <v>28.058154676221445</v>
      </c>
      <c r="T807">
        <f t="shared" si="1008"/>
        <v>2.8058154676221445E-2</v>
      </c>
    </row>
    <row r="808" spans="1:20" x14ac:dyDescent="0.25">
      <c r="A808" s="5">
        <v>43785</v>
      </c>
      <c r="B808">
        <v>9.3100000000000002E-2</v>
      </c>
      <c r="C808">
        <v>9.3100000000000002E-2</v>
      </c>
      <c r="D808">
        <v>8.8279999999999997E-2</v>
      </c>
      <c r="E808">
        <v>8.9340000000000003E-2</v>
      </c>
      <c r="F808">
        <v>1122904.3</v>
      </c>
      <c r="G808">
        <v>0</v>
      </c>
      <c r="L808" t="s">
        <v>8</v>
      </c>
      <c r="M808" t="s">
        <v>7</v>
      </c>
      <c r="N808" t="s">
        <v>8</v>
      </c>
      <c r="P808">
        <f t="shared" si="1004"/>
        <v>-0.56016597510373267</v>
      </c>
      <c r="Q808">
        <f t="shared" si="1005"/>
        <v>-629012.78215767443</v>
      </c>
      <c r="R808">
        <f t="shared" si="1006"/>
        <v>3148596.5846790047</v>
      </c>
      <c r="S808">
        <f t="shared" si="1007"/>
        <v>31.485965846790048</v>
      </c>
      <c r="T808">
        <f t="shared" si="1008"/>
        <v>3.1485965846790046E-2</v>
      </c>
    </row>
    <row r="809" spans="1:20" x14ac:dyDescent="0.25">
      <c r="A809" s="5">
        <v>43784</v>
      </c>
      <c r="B809">
        <v>8.813E-2</v>
      </c>
      <c r="C809">
        <v>9.3399999999999997E-2</v>
      </c>
      <c r="D809">
        <v>8.5529999999999995E-2</v>
      </c>
      <c r="E809">
        <v>9.257E-2</v>
      </c>
      <c r="F809">
        <v>2261064</v>
      </c>
      <c r="G809">
        <v>0</v>
      </c>
      <c r="L809" t="s">
        <v>8</v>
      </c>
      <c r="M809" t="s">
        <v>7</v>
      </c>
      <c r="N809" t="s">
        <v>8</v>
      </c>
      <c r="P809">
        <f t="shared" si="1004"/>
        <v>0.78907242693773894</v>
      </c>
      <c r="Q809">
        <f t="shared" si="1005"/>
        <v>1784143.2579415517</v>
      </c>
      <c r="R809">
        <f t="shared" si="1006"/>
        <v>3777609.3668366792</v>
      </c>
      <c r="S809">
        <f t="shared" si="1007"/>
        <v>37.776093668366791</v>
      </c>
      <c r="T809">
        <f t="shared" si="1008"/>
        <v>3.7776093668366789E-2</v>
      </c>
    </row>
    <row r="810" spans="1:20" x14ac:dyDescent="0.25">
      <c r="A810" s="5">
        <v>43783</v>
      </c>
      <c r="B810">
        <v>9.0630000000000002E-2</v>
      </c>
      <c r="C810">
        <v>9.0630000000000002E-2</v>
      </c>
      <c r="D810">
        <v>8.6559999999999998E-2</v>
      </c>
      <c r="E810">
        <v>8.763E-2</v>
      </c>
      <c r="F810">
        <v>610478.9</v>
      </c>
      <c r="G810">
        <v>0</v>
      </c>
      <c r="L810" t="s">
        <v>8</v>
      </c>
      <c r="M810" t="s">
        <v>7</v>
      </c>
      <c r="N810" t="s">
        <v>8</v>
      </c>
      <c r="P810">
        <f t="shared" si="1004"/>
        <v>-0.47420147420147402</v>
      </c>
      <c r="Q810">
        <f t="shared" si="1005"/>
        <v>-289489.99434889422</v>
      </c>
      <c r="R810">
        <f t="shared" si="1006"/>
        <v>1993466.1088951277</v>
      </c>
      <c r="S810">
        <f t="shared" si="1007"/>
        <v>19.934661088951277</v>
      </c>
      <c r="T810">
        <f t="shared" si="1008"/>
        <v>1.9934661088951276E-2</v>
      </c>
    </row>
    <row r="811" spans="1:20" x14ac:dyDescent="0.25">
      <c r="A811" s="5">
        <v>43782</v>
      </c>
      <c r="B811">
        <v>9.035E-2</v>
      </c>
      <c r="C811">
        <v>9.0630000000000002E-2</v>
      </c>
      <c r="D811">
        <v>8.8679999999999995E-2</v>
      </c>
      <c r="E811">
        <v>0.09</v>
      </c>
      <c r="F811">
        <v>637649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0.35384615384615054</v>
      </c>
      <c r="Q811">
        <f t="shared" si="1005"/>
        <v>225629.64615384405</v>
      </c>
      <c r="R811">
        <f t="shared" si="1006"/>
        <v>2282956.103244022</v>
      </c>
      <c r="S811">
        <f t="shared" si="1007"/>
        <v>22.829561032440221</v>
      </c>
      <c r="T811">
        <f t="shared" si="1008"/>
        <v>2.2829561032440222E-2</v>
      </c>
    </row>
    <row r="812" spans="1:20" x14ac:dyDescent="0.25">
      <c r="A812" s="5">
        <v>43781</v>
      </c>
      <c r="B812">
        <v>8.8190000000000004E-2</v>
      </c>
      <c r="C812">
        <v>9.0359999999999996E-2</v>
      </c>
      <c r="D812">
        <v>8.7370000000000003E-2</v>
      </c>
      <c r="E812">
        <v>9.035E-2</v>
      </c>
      <c r="F812">
        <v>628499.5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0.99331103678930022</v>
      </c>
      <c r="Q812">
        <f t="shared" si="1005"/>
        <v>624295.48996655678</v>
      </c>
      <c r="R812">
        <f t="shared" si="1006"/>
        <v>2057326.457090178</v>
      </c>
      <c r="S812">
        <f t="shared" si="1007"/>
        <v>20.573264570901781</v>
      </c>
      <c r="T812">
        <f t="shared" si="1008"/>
        <v>2.0573264570901782E-2</v>
      </c>
    </row>
    <row r="813" spans="1:20" x14ac:dyDescent="0.25">
      <c r="A813" s="5">
        <v>43780</v>
      </c>
      <c r="B813">
        <v>8.9899999999999994E-2</v>
      </c>
      <c r="C813">
        <v>9.1079999999999994E-2</v>
      </c>
      <c r="D813">
        <v>8.6400000000000005E-2</v>
      </c>
      <c r="E813">
        <v>8.8940000000000005E-2</v>
      </c>
      <c r="F813">
        <v>630118.80000000005</v>
      </c>
      <c r="G813">
        <v>0</v>
      </c>
      <c r="L813" t="s">
        <v>8</v>
      </c>
      <c r="M813" t="s">
        <v>7</v>
      </c>
      <c r="N813" t="s">
        <v>8</v>
      </c>
      <c r="P813">
        <f t="shared" si="1004"/>
        <v>8.5470085470088109E-2</v>
      </c>
      <c r="Q813">
        <f t="shared" si="1005"/>
        <v>53856.307692309361</v>
      </c>
      <c r="R813">
        <f t="shared" si="1006"/>
        <v>1433030.9671236214</v>
      </c>
      <c r="S813">
        <f t="shared" si="1007"/>
        <v>14.330309671236213</v>
      </c>
      <c r="T813">
        <f t="shared" si="1008"/>
        <v>1.4330309671236214E-2</v>
      </c>
    </row>
    <row r="814" spans="1:20" x14ac:dyDescent="0.25">
      <c r="A814" s="5">
        <v>43779</v>
      </c>
      <c r="B814">
        <v>9.042E-2</v>
      </c>
      <c r="C814">
        <v>9.1759999999999994E-2</v>
      </c>
      <c r="D814">
        <v>8.9109999999999995E-2</v>
      </c>
      <c r="E814">
        <v>8.9539999999999995E-2</v>
      </c>
      <c r="F814">
        <v>757320.8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-0.67547169811320762</v>
      </c>
      <c r="Q814">
        <f t="shared" si="1005"/>
        <v>-511548.76679245289</v>
      </c>
      <c r="R814">
        <f t="shared" si="1006"/>
        <v>1379174.659431312</v>
      </c>
      <c r="S814">
        <f t="shared" si="1007"/>
        <v>13.791746594313119</v>
      </c>
      <c r="T814">
        <f t="shared" si="1008"/>
        <v>1.379174659431312E-2</v>
      </c>
    </row>
    <row r="815" spans="1:20" x14ac:dyDescent="0.25">
      <c r="A815" s="5">
        <v>43778</v>
      </c>
      <c r="B815">
        <v>8.7499999999999994E-2</v>
      </c>
      <c r="C815">
        <v>9.1420000000000001E-2</v>
      </c>
      <c r="D815">
        <v>8.7400000000000005E-2</v>
      </c>
      <c r="E815">
        <v>9.042E-2</v>
      </c>
      <c r="F815">
        <v>1127531.8999999999</v>
      </c>
      <c r="G815">
        <v>0</v>
      </c>
      <c r="L815" t="s">
        <v>8</v>
      </c>
      <c r="M815" t="s">
        <v>7</v>
      </c>
      <c r="N815" t="s">
        <v>8</v>
      </c>
      <c r="P815">
        <f t="shared" si="1004"/>
        <v>0.50248756218905377</v>
      </c>
      <c r="Q815">
        <f t="shared" si="1005"/>
        <v>566570.75572139188</v>
      </c>
      <c r="R815">
        <f t="shared" si="1006"/>
        <v>1890723.4262237649</v>
      </c>
      <c r="S815">
        <f t="shared" si="1007"/>
        <v>18.907234262237647</v>
      </c>
      <c r="T815">
        <f t="shared" si="1008"/>
        <v>1.8907234262237647E-2</v>
      </c>
    </row>
    <row r="816" spans="1:20" x14ac:dyDescent="0.25">
      <c r="A816" s="5">
        <v>43777</v>
      </c>
      <c r="B816">
        <v>9.1230000000000006E-2</v>
      </c>
      <c r="C816">
        <v>9.2270000000000005E-2</v>
      </c>
      <c r="D816">
        <v>8.4589999999999999E-2</v>
      </c>
      <c r="E816">
        <v>8.8370000000000004E-2</v>
      </c>
      <c r="F816">
        <v>986893.6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-1.5624999999999351E-2</v>
      </c>
      <c r="Q816">
        <f t="shared" si="1005"/>
        <v>-15420.212499999359</v>
      </c>
      <c r="R816">
        <f t="shared" si="1006"/>
        <v>1324152.670502373</v>
      </c>
      <c r="S816">
        <f t="shared" si="1007"/>
        <v>13.24152670502373</v>
      </c>
      <c r="T816">
        <f t="shared" si="1008"/>
        <v>1.324152670502373E-2</v>
      </c>
    </row>
    <row r="817" spans="1:20" x14ac:dyDescent="0.25">
      <c r="A817" s="5">
        <v>43776</v>
      </c>
      <c r="B817">
        <v>9.3939999999999996E-2</v>
      </c>
      <c r="C817">
        <v>9.4589999999999994E-2</v>
      </c>
      <c r="D817">
        <v>9.0120000000000006E-2</v>
      </c>
      <c r="E817">
        <v>9.153E-2</v>
      </c>
      <c r="F817">
        <v>804683.9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-0.36912751677852418</v>
      </c>
      <c r="Q817">
        <f t="shared" si="1005"/>
        <v>-297030.96979865828</v>
      </c>
      <c r="R817">
        <f t="shared" si="1006"/>
        <v>1339572.8830023725</v>
      </c>
      <c r="S817">
        <f t="shared" si="1007"/>
        <v>13.395728830023724</v>
      </c>
      <c r="T817">
        <f t="shared" si="1008"/>
        <v>1.3395728830023724E-2</v>
      </c>
    </row>
    <row r="818" spans="1:20" x14ac:dyDescent="0.25">
      <c r="A818" s="5">
        <v>43775</v>
      </c>
      <c r="B818">
        <v>9.3439999999999995E-2</v>
      </c>
      <c r="C818">
        <v>9.4759999999999997E-2</v>
      </c>
      <c r="D818">
        <v>9.264E-2</v>
      </c>
      <c r="E818">
        <v>9.4600000000000004E-2</v>
      </c>
      <c r="F818">
        <v>417896.7</v>
      </c>
      <c r="G818">
        <v>0</v>
      </c>
      <c r="L818" t="s">
        <v>7</v>
      </c>
      <c r="M818" t="s">
        <v>7</v>
      </c>
      <c r="N818" t="s">
        <v>8</v>
      </c>
      <c r="P818">
        <f t="shared" si="1004"/>
        <v>0.84905660377359082</v>
      </c>
      <c r="Q818">
        <f t="shared" si="1005"/>
        <v>354817.95283019118</v>
      </c>
      <c r="R818">
        <f t="shared" si="1006"/>
        <v>1636603.8528010307</v>
      </c>
      <c r="S818">
        <f t="shared" si="1007"/>
        <v>16.366038528010307</v>
      </c>
      <c r="T818">
        <f t="shared" si="1008"/>
        <v>1.6366038528010309E-2</v>
      </c>
    </row>
    <row r="819" spans="1:20" x14ac:dyDescent="0.25">
      <c r="A819" s="5">
        <v>43774</v>
      </c>
      <c r="B819">
        <v>9.3229999999999993E-2</v>
      </c>
      <c r="C819">
        <v>9.4240000000000004E-2</v>
      </c>
      <c r="D819">
        <v>9.1850000000000001E-2</v>
      </c>
      <c r="E819">
        <v>9.3439999999999995E-2</v>
      </c>
      <c r="F819">
        <v>908938.8</v>
      </c>
      <c r="G819">
        <v>0</v>
      </c>
      <c r="L819" t="s">
        <v>7</v>
      </c>
      <c r="M819" t="s">
        <v>7</v>
      </c>
      <c r="N819" t="s">
        <v>8</v>
      </c>
      <c r="P819">
        <f t="shared" si="1004"/>
        <v>0.33054393305438667</v>
      </c>
      <c r="Q819">
        <f t="shared" si="1005"/>
        <v>300444.20585773455</v>
      </c>
      <c r="R819">
        <f t="shared" si="1006"/>
        <v>1281785.8999708395</v>
      </c>
      <c r="S819">
        <f t="shared" si="1007"/>
        <v>12.817858999708395</v>
      </c>
      <c r="T819">
        <f t="shared" si="1008"/>
        <v>1.2817858999708396E-2</v>
      </c>
    </row>
    <row r="820" spans="1:20" x14ac:dyDescent="0.25">
      <c r="A820" s="5">
        <v>43773</v>
      </c>
      <c r="B820">
        <v>9.3390000000000001E-2</v>
      </c>
      <c r="C820">
        <v>9.5500000000000002E-2</v>
      </c>
      <c r="D820">
        <v>9.1800000000000007E-2</v>
      </c>
      <c r="E820">
        <v>9.3280000000000002E-2</v>
      </c>
      <c r="F820">
        <v>1048767.7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-0.20000000000000151</v>
      </c>
      <c r="Q820">
        <f t="shared" si="1005"/>
        <v>-209753.54000000158</v>
      </c>
      <c r="R820">
        <f t="shared" si="1006"/>
        <v>981341.69411310495</v>
      </c>
      <c r="S820">
        <f t="shared" si="1007"/>
        <v>9.8134169411310488</v>
      </c>
      <c r="T820">
        <f t="shared" si="1008"/>
        <v>9.8134169411310482E-3</v>
      </c>
    </row>
    <row r="821" spans="1:20" x14ac:dyDescent="0.25">
      <c r="A821" s="5">
        <v>43772</v>
      </c>
      <c r="B821">
        <v>9.3329999999999996E-2</v>
      </c>
      <c r="C821">
        <v>9.5000000000000001E-2</v>
      </c>
      <c r="D821">
        <v>9.153E-2</v>
      </c>
      <c r="E821">
        <v>9.2810000000000004E-2</v>
      </c>
      <c r="F821">
        <v>696732.1</v>
      </c>
      <c r="G821">
        <v>0</v>
      </c>
      <c r="L821" t="s">
        <v>7</v>
      </c>
      <c r="M821" t="s">
        <v>7</v>
      </c>
      <c r="N821" t="s">
        <v>8</v>
      </c>
      <c r="P821">
        <f t="shared" si="1004"/>
        <v>-0.26224783861671297</v>
      </c>
      <c r="Q821">
        <f t="shared" si="1005"/>
        <v>-182716.48731988351</v>
      </c>
      <c r="R821">
        <f t="shared" si="1006"/>
        <v>1191095.2341131065</v>
      </c>
      <c r="S821">
        <f t="shared" si="1007"/>
        <v>11.910952341131065</v>
      </c>
      <c r="T821">
        <f t="shared" si="1008"/>
        <v>1.1910952341131065E-2</v>
      </c>
    </row>
    <row r="822" spans="1:20" x14ac:dyDescent="0.25">
      <c r="A822" s="5">
        <v>43771</v>
      </c>
      <c r="B822">
        <v>9.4E-2</v>
      </c>
      <c r="C822">
        <v>9.6290000000000001E-2</v>
      </c>
      <c r="D822">
        <v>9.2920000000000003E-2</v>
      </c>
      <c r="E822">
        <v>9.3410000000000007E-2</v>
      </c>
      <c r="F822">
        <v>662394.69999999995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-0.70919881305637711</v>
      </c>
      <c r="Q822">
        <f t="shared" si="1005"/>
        <v>-469769.53501483495</v>
      </c>
      <c r="R822">
        <f t="shared" si="1006"/>
        <v>1373811.7214329899</v>
      </c>
      <c r="S822">
        <f t="shared" si="1007"/>
        <v>13.738117214329899</v>
      </c>
      <c r="T822">
        <f t="shared" si="1008"/>
        <v>1.3738117214329899E-2</v>
      </c>
    </row>
    <row r="823" spans="1:20" x14ac:dyDescent="0.25">
      <c r="A823" s="5">
        <v>43770</v>
      </c>
      <c r="B823">
        <v>9.3590000000000007E-2</v>
      </c>
      <c r="C823">
        <v>9.5189999999999997E-2</v>
      </c>
      <c r="D823">
        <v>9.2240000000000003E-2</v>
      </c>
      <c r="E823">
        <v>9.4E-2</v>
      </c>
      <c r="F823">
        <v>1047083.9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0.19322033898305158</v>
      </c>
      <c r="Q823">
        <f t="shared" si="1005"/>
        <v>202317.90610169567</v>
      </c>
      <c r="R823">
        <f t="shared" si="1006"/>
        <v>1843581.2564478249</v>
      </c>
      <c r="S823">
        <f t="shared" si="1007"/>
        <v>18.435812564478248</v>
      </c>
      <c r="T823">
        <f t="shared" si="1008"/>
        <v>1.8435812564478248E-2</v>
      </c>
    </row>
    <row r="824" spans="1:20" x14ac:dyDescent="0.25">
      <c r="A824" s="5">
        <v>43769</v>
      </c>
      <c r="B824">
        <v>9.5000000000000001E-2</v>
      </c>
      <c r="C824">
        <v>9.5649999999999999E-2</v>
      </c>
      <c r="D824">
        <v>9.0300000000000005E-2</v>
      </c>
      <c r="E824">
        <v>9.2969999999999997E-2</v>
      </c>
      <c r="F824">
        <v>1755408.1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-1.8691588785065445E-3</v>
      </c>
      <c r="Q824">
        <f t="shared" si="1005"/>
        <v>-3281.1366355173045</v>
      </c>
      <c r="R824">
        <f t="shared" si="1006"/>
        <v>1641263.3503461292</v>
      </c>
      <c r="S824">
        <f t="shared" si="1007"/>
        <v>16.41263350346129</v>
      </c>
      <c r="T824">
        <f t="shared" si="1008"/>
        <v>1.6412633503461289E-2</v>
      </c>
    </row>
    <row r="825" spans="1:20" x14ac:dyDescent="0.25">
      <c r="A825" s="5">
        <v>43768</v>
      </c>
      <c r="B825">
        <v>0.10177</v>
      </c>
      <c r="C825">
        <v>0.10188999999999999</v>
      </c>
      <c r="D825">
        <v>9.1439999999999994E-2</v>
      </c>
      <c r="E825">
        <v>9.529E-2</v>
      </c>
      <c r="F825">
        <v>1713247.8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-0.26315789473684098</v>
      </c>
      <c r="Q825">
        <f t="shared" si="1005"/>
        <v>-450854.68421052443</v>
      </c>
      <c r="R825">
        <f t="shared" si="1006"/>
        <v>1644544.4869816464</v>
      </c>
      <c r="S825">
        <f t="shared" si="1007"/>
        <v>16.445444869816463</v>
      </c>
      <c r="T825">
        <f t="shared" si="1008"/>
        <v>1.6445444869816462E-2</v>
      </c>
    </row>
    <row r="826" spans="1:20" x14ac:dyDescent="0.25">
      <c r="A826" s="5">
        <v>43767</v>
      </c>
      <c r="B826">
        <v>9.7530000000000006E-2</v>
      </c>
      <c r="C826">
        <v>0.10588</v>
      </c>
      <c r="D826">
        <v>9.6479999999999996E-2</v>
      </c>
      <c r="E826">
        <v>0.10082000000000001</v>
      </c>
      <c r="F826">
        <v>3386597.8</v>
      </c>
      <c r="G826">
        <v>0</v>
      </c>
      <c r="L826" t="s">
        <v>8</v>
      </c>
      <c r="M826" t="s">
        <v>7</v>
      </c>
      <c r="N826" t="s">
        <v>8</v>
      </c>
      <c r="P826">
        <f t="shared" si="1004"/>
        <v>-7.659574468084937E-2</v>
      </c>
      <c r="Q826">
        <f t="shared" si="1005"/>
        <v>-259398.98042552616</v>
      </c>
      <c r="R826">
        <f t="shared" si="1006"/>
        <v>2095399.1711921708</v>
      </c>
      <c r="S826">
        <f t="shared" si="1007"/>
        <v>20.953991711921709</v>
      </c>
      <c r="T826">
        <f t="shared" si="1008"/>
        <v>2.0953991711921711E-2</v>
      </c>
    </row>
    <row r="827" spans="1:20" x14ac:dyDescent="0.25">
      <c r="A827" s="5">
        <v>43766</v>
      </c>
      <c r="B827">
        <v>9.64E-2</v>
      </c>
      <c r="C827">
        <v>9.9989999999999996E-2</v>
      </c>
      <c r="D827">
        <v>9.5320000000000002E-2</v>
      </c>
      <c r="E827">
        <v>9.8470000000000002E-2</v>
      </c>
      <c r="F827">
        <v>2083189.4</v>
      </c>
      <c r="G827">
        <v>0</v>
      </c>
      <c r="L827" t="s">
        <v>8</v>
      </c>
      <c r="M827" t="s">
        <v>7</v>
      </c>
      <c r="N827" t="s">
        <v>8</v>
      </c>
      <c r="P827">
        <f t="shared" si="1004"/>
        <v>0.34903640256959501</v>
      </c>
      <c r="Q827">
        <f t="shared" si="1005"/>
        <v>727108.93404711306</v>
      </c>
      <c r="R827">
        <f t="shared" si="1006"/>
        <v>2354798.151617697</v>
      </c>
      <c r="S827">
        <f t="shared" si="1007"/>
        <v>23.547981516176971</v>
      </c>
      <c r="T827">
        <f t="shared" si="1008"/>
        <v>2.3547981516176972E-2</v>
      </c>
    </row>
    <row r="828" spans="1:20" x14ac:dyDescent="0.25">
      <c r="A828" s="5">
        <v>43765</v>
      </c>
      <c r="B828">
        <v>9.2840000000000006E-2</v>
      </c>
      <c r="C828">
        <v>9.8559999999999995E-2</v>
      </c>
      <c r="D828">
        <v>9.1889999999999999E-2</v>
      </c>
      <c r="E828">
        <v>9.64E-2</v>
      </c>
      <c r="F828">
        <v>2812572.7</v>
      </c>
      <c r="G828">
        <v>0</v>
      </c>
      <c r="L828" t="s">
        <v>7</v>
      </c>
      <c r="M828" t="s">
        <v>7</v>
      </c>
      <c r="N828" t="s">
        <v>8</v>
      </c>
      <c r="P828">
        <f t="shared" si="1004"/>
        <v>0.35232383808096052</v>
      </c>
      <c r="Q828">
        <f t="shared" si="1005"/>
        <v>990936.40854573005</v>
      </c>
      <c r="R828">
        <f t="shared" si="1006"/>
        <v>1627689.2175705838</v>
      </c>
      <c r="S828">
        <f t="shared" si="1007"/>
        <v>16.276892175705839</v>
      </c>
      <c r="T828">
        <f t="shared" si="1008"/>
        <v>1.627689217570584E-2</v>
      </c>
    </row>
    <row r="829" spans="1:20" x14ac:dyDescent="0.25">
      <c r="A829" s="5">
        <v>43764</v>
      </c>
      <c r="B829">
        <v>9.783E-2</v>
      </c>
      <c r="C829">
        <v>0.10050000000000001</v>
      </c>
      <c r="D829">
        <v>9.0499999999999997E-2</v>
      </c>
      <c r="E829">
        <v>9.2740000000000003E-2</v>
      </c>
      <c r="F829">
        <v>4261437.7</v>
      </c>
      <c r="G829">
        <v>0</v>
      </c>
      <c r="L829" t="s">
        <v>8</v>
      </c>
      <c r="M829" t="s">
        <v>7</v>
      </c>
      <c r="N829" t="s">
        <v>8</v>
      </c>
      <c r="P829">
        <f t="shared" si="1004"/>
        <v>-0.55199999999999927</v>
      </c>
      <c r="Q829">
        <f t="shared" si="1005"/>
        <v>-2352313.6103999969</v>
      </c>
      <c r="R829">
        <f t="shared" si="1006"/>
        <v>636752.80902485363</v>
      </c>
      <c r="S829">
        <f t="shared" si="1007"/>
        <v>6.3675280902485367</v>
      </c>
      <c r="T829">
        <f t="shared" si="1008"/>
        <v>6.3675280902485368E-3</v>
      </c>
    </row>
    <row r="830" spans="1:20" x14ac:dyDescent="0.25">
      <c r="A830" s="5">
        <v>43763</v>
      </c>
      <c r="B830">
        <v>9.3100000000000002E-2</v>
      </c>
      <c r="C830">
        <v>0.10100000000000001</v>
      </c>
      <c r="D830">
        <v>9.0499999999999997E-2</v>
      </c>
      <c r="E830">
        <v>9.7780000000000006E-2</v>
      </c>
      <c r="F830">
        <v>4747744.3</v>
      </c>
      <c r="G830">
        <v>0</v>
      </c>
      <c r="L830" t="s">
        <v>7</v>
      </c>
      <c r="M830" t="s">
        <v>7</v>
      </c>
      <c r="N830" t="s">
        <v>8</v>
      </c>
      <c r="P830">
        <f t="shared" si="1004"/>
        <v>0.3866666666666671</v>
      </c>
      <c r="Q830">
        <f t="shared" si="1005"/>
        <v>1835794.4626666687</v>
      </c>
      <c r="R830">
        <f t="shared" si="1006"/>
        <v>2989066.4194248505</v>
      </c>
      <c r="S830">
        <f t="shared" si="1007"/>
        <v>29.890664194248505</v>
      </c>
      <c r="T830">
        <f t="shared" si="1008"/>
        <v>2.9890664194248504E-2</v>
      </c>
    </row>
    <row r="831" spans="1:20" x14ac:dyDescent="0.25">
      <c r="A831" s="5">
        <v>43762</v>
      </c>
      <c r="B831">
        <v>9.5750000000000002E-2</v>
      </c>
      <c r="C831">
        <v>0.113</v>
      </c>
      <c r="D831">
        <v>8.8940000000000005E-2</v>
      </c>
      <c r="E831">
        <v>9.2710000000000001E-2</v>
      </c>
      <c r="F831">
        <v>4114226.3</v>
      </c>
      <c r="G831">
        <v>0</v>
      </c>
      <c r="L831" t="s">
        <v>8</v>
      </c>
      <c r="M831" t="s">
        <v>8</v>
      </c>
      <c r="N831" t="s">
        <v>8</v>
      </c>
      <c r="P831">
        <f t="shared" ref="P831:P894" si="1009">IF(C831=D831,0,((E831-D831)-(C831-E831))/(C831-D831))</f>
        <v>-0.68661679135494635</v>
      </c>
      <c r="Q831">
        <f t="shared" ref="Q831:Q894" si="1010">F831*P831</f>
        <v>-2824896.8610141329</v>
      </c>
      <c r="R831">
        <f t="shared" ref="R831:R894" si="1011">R832+Q831</f>
        <v>1153271.9567581816</v>
      </c>
      <c r="S831">
        <f t="shared" ref="S831:S894" si="1012">R831/100000</f>
        <v>11.532719567581816</v>
      </c>
      <c r="T831">
        <f t="shared" ref="T831:T894" si="1013">S831/1000</f>
        <v>1.1532719567581817E-2</v>
      </c>
    </row>
    <row r="832" spans="1:20" x14ac:dyDescent="0.25">
      <c r="A832" s="5">
        <v>43761</v>
      </c>
      <c r="B832">
        <v>9.0300000000000005E-2</v>
      </c>
      <c r="C832">
        <v>9.9000000000000005E-2</v>
      </c>
      <c r="D832">
        <v>8.4930000000000005E-2</v>
      </c>
      <c r="E832">
        <v>9.5750000000000002E-2</v>
      </c>
      <c r="F832">
        <v>9014783.9000000004</v>
      </c>
      <c r="G832">
        <v>0</v>
      </c>
      <c r="L832" t="s">
        <v>8</v>
      </c>
      <c r="M832" t="s">
        <v>8</v>
      </c>
      <c r="N832" t="s">
        <v>7</v>
      </c>
      <c r="P832">
        <f t="shared" si="1009"/>
        <v>0.53802416488983607</v>
      </c>
      <c r="Q832">
        <f t="shared" si="1010"/>
        <v>4850171.5794598395</v>
      </c>
      <c r="R832">
        <f t="shared" si="1011"/>
        <v>3978168.8177723144</v>
      </c>
      <c r="S832">
        <f t="shared" si="1012"/>
        <v>39.781688177723147</v>
      </c>
      <c r="T832">
        <f t="shared" si="1013"/>
        <v>3.9781688177723144E-2</v>
      </c>
    </row>
    <row r="833" spans="1:20" x14ac:dyDescent="0.25">
      <c r="A833" s="5">
        <v>43760</v>
      </c>
      <c r="B833">
        <v>8.6180000000000007E-2</v>
      </c>
      <c r="C833">
        <v>9.2910000000000006E-2</v>
      </c>
      <c r="D833">
        <v>8.5589999999999999E-2</v>
      </c>
      <c r="E833">
        <v>9.0060000000000001E-2</v>
      </c>
      <c r="F833">
        <v>1161856.7</v>
      </c>
      <c r="G833">
        <v>0</v>
      </c>
      <c r="L833" t="s">
        <v>8</v>
      </c>
      <c r="M833" t="s">
        <v>8</v>
      </c>
      <c r="N833" t="s">
        <v>7</v>
      </c>
      <c r="P833">
        <f t="shared" si="1009"/>
        <v>0.22131147540983537</v>
      </c>
      <c r="Q833">
        <f t="shared" si="1010"/>
        <v>257132.22049180247</v>
      </c>
      <c r="R833">
        <f t="shared" si="1011"/>
        <v>-872002.7616875252</v>
      </c>
      <c r="S833">
        <f t="shared" si="1012"/>
        <v>-8.7200276168752513</v>
      </c>
      <c r="T833">
        <f t="shared" si="1013"/>
        <v>-8.7200276168752505E-3</v>
      </c>
    </row>
    <row r="834" spans="1:20" x14ac:dyDescent="0.25">
      <c r="A834" s="5">
        <v>43759</v>
      </c>
      <c r="B834">
        <v>8.5750000000000007E-2</v>
      </c>
      <c r="C834">
        <v>8.6989999999999998E-2</v>
      </c>
      <c r="D834">
        <v>8.387E-2</v>
      </c>
      <c r="E834">
        <v>8.6480000000000001E-2</v>
      </c>
      <c r="F834">
        <v>493432.2</v>
      </c>
      <c r="G834">
        <v>0</v>
      </c>
      <c r="L834" t="s">
        <v>8</v>
      </c>
      <c r="M834" t="s">
        <v>8</v>
      </c>
      <c r="N834" t="s">
        <v>7</v>
      </c>
      <c r="P834">
        <f t="shared" si="1009"/>
        <v>0.67307692307692502</v>
      </c>
      <c r="Q834">
        <f t="shared" si="1010"/>
        <v>332117.82692307787</v>
      </c>
      <c r="R834">
        <f t="shared" si="1011"/>
        <v>-1129134.9821793276</v>
      </c>
      <c r="S834">
        <f t="shared" si="1012"/>
        <v>-11.291349821793276</v>
      </c>
      <c r="T834">
        <f t="shared" si="1013"/>
        <v>-1.1291349821793275E-2</v>
      </c>
    </row>
    <row r="835" spans="1:20" x14ac:dyDescent="0.25">
      <c r="A835" s="5">
        <v>43758</v>
      </c>
      <c r="B835">
        <v>8.2589999999999997E-2</v>
      </c>
      <c r="C835">
        <v>8.6169999999999997E-2</v>
      </c>
      <c r="D835">
        <v>8.1500000000000003E-2</v>
      </c>
      <c r="E835">
        <v>8.5750000000000007E-2</v>
      </c>
      <c r="F835">
        <v>583818.6</v>
      </c>
      <c r="G835">
        <v>0</v>
      </c>
      <c r="L835" t="s">
        <v>8</v>
      </c>
      <c r="M835" t="s">
        <v>8</v>
      </c>
      <c r="N835" t="s">
        <v>7</v>
      </c>
      <c r="P835">
        <f t="shared" si="1009"/>
        <v>0.82012847965739166</v>
      </c>
      <c r="Q835">
        <f t="shared" si="1010"/>
        <v>478806.26081370685</v>
      </c>
      <c r="R835">
        <f t="shared" si="1011"/>
        <v>-1461252.8091024056</v>
      </c>
      <c r="S835">
        <f t="shared" si="1012"/>
        <v>-14.612528091024055</v>
      </c>
      <c r="T835">
        <f t="shared" si="1013"/>
        <v>-1.4612528091024056E-2</v>
      </c>
    </row>
    <row r="836" spans="1:20" x14ac:dyDescent="0.25">
      <c r="A836" s="5">
        <v>43757</v>
      </c>
      <c r="B836">
        <v>8.1799999999999998E-2</v>
      </c>
      <c r="C836">
        <v>8.4449999999999997E-2</v>
      </c>
      <c r="D836">
        <v>8.0699999999999994E-2</v>
      </c>
      <c r="E836">
        <v>8.2640000000000005E-2</v>
      </c>
      <c r="F836">
        <v>933720.1</v>
      </c>
      <c r="G836">
        <v>0</v>
      </c>
      <c r="L836" t="s">
        <v>7</v>
      </c>
      <c r="M836" t="s">
        <v>8</v>
      </c>
      <c r="N836" t="s">
        <v>7</v>
      </c>
      <c r="P836">
        <f t="shared" si="1009"/>
        <v>3.4666666666671703E-2</v>
      </c>
      <c r="Q836">
        <f t="shared" si="1010"/>
        <v>32368.963466671368</v>
      </c>
      <c r="R836">
        <f t="shared" si="1011"/>
        <v>-1940059.0699161123</v>
      </c>
      <c r="S836">
        <f t="shared" si="1012"/>
        <v>-19.400590699161125</v>
      </c>
      <c r="T836">
        <f t="shared" si="1013"/>
        <v>-1.9400590699161124E-2</v>
      </c>
    </row>
    <row r="837" spans="1:20" x14ac:dyDescent="0.25">
      <c r="A837" s="5">
        <v>43756</v>
      </c>
      <c r="B837">
        <v>8.6319999999999994E-2</v>
      </c>
      <c r="C837">
        <v>8.6319999999999994E-2</v>
      </c>
      <c r="D837">
        <v>8.0570000000000003E-2</v>
      </c>
      <c r="E837">
        <v>8.1809999999999994E-2</v>
      </c>
      <c r="F837">
        <v>870185.5</v>
      </c>
      <c r="G837">
        <v>0</v>
      </c>
      <c r="L837" t="s">
        <v>7</v>
      </c>
      <c r="M837" t="s">
        <v>8</v>
      </c>
      <c r="N837" t="s">
        <v>7</v>
      </c>
      <c r="P837">
        <f t="shared" si="1009"/>
        <v>-0.56869565217391549</v>
      </c>
      <c r="Q837">
        <f t="shared" si="1010"/>
        <v>-494870.71043478476</v>
      </c>
      <c r="R837">
        <f t="shared" si="1011"/>
        <v>-1972428.0333827836</v>
      </c>
      <c r="S837">
        <f t="shared" si="1012"/>
        <v>-19.724280333827835</v>
      </c>
      <c r="T837">
        <f t="shared" si="1013"/>
        <v>-1.9724280333827834E-2</v>
      </c>
    </row>
    <row r="838" spans="1:20" x14ac:dyDescent="0.25">
      <c r="A838" s="5">
        <v>43755</v>
      </c>
      <c r="B838">
        <v>8.412E-2</v>
      </c>
      <c r="C838">
        <v>8.7400000000000005E-2</v>
      </c>
      <c r="D838">
        <v>8.2729999999999998E-2</v>
      </c>
      <c r="E838">
        <v>8.6599999999999996E-2</v>
      </c>
      <c r="F838">
        <v>1198802.8</v>
      </c>
      <c r="G838">
        <v>0</v>
      </c>
      <c r="L838" t="s">
        <v>8</v>
      </c>
      <c r="M838" t="s">
        <v>8</v>
      </c>
      <c r="N838" t="s">
        <v>7</v>
      </c>
      <c r="P838">
        <f t="shared" si="1009"/>
        <v>0.6573875802997825</v>
      </c>
      <c r="Q838">
        <f t="shared" si="1010"/>
        <v>788078.07194860419</v>
      </c>
      <c r="R838">
        <f t="shared" si="1011"/>
        <v>-1477557.322947999</v>
      </c>
      <c r="S838">
        <f t="shared" si="1012"/>
        <v>-14.77557322947999</v>
      </c>
      <c r="T838">
        <f t="shared" si="1013"/>
        <v>-1.4775573229479991E-2</v>
      </c>
    </row>
    <row r="839" spans="1:20" x14ac:dyDescent="0.25">
      <c r="A839" s="5">
        <v>43754</v>
      </c>
      <c r="B839">
        <v>8.77E-2</v>
      </c>
      <c r="C839">
        <v>8.8999999999999996E-2</v>
      </c>
      <c r="D839">
        <v>8.0500000000000002E-2</v>
      </c>
      <c r="E839">
        <v>8.3799999999999999E-2</v>
      </c>
      <c r="F839">
        <v>1055883.3999999999</v>
      </c>
      <c r="G839">
        <v>0</v>
      </c>
      <c r="L839" t="s">
        <v>7</v>
      </c>
      <c r="M839" t="s">
        <v>8</v>
      </c>
      <c r="N839" t="s">
        <v>7</v>
      </c>
      <c r="P839">
        <f t="shared" si="1009"/>
        <v>-0.22352941176470592</v>
      </c>
      <c r="Q839">
        <f t="shared" si="1010"/>
        <v>-236020.99529411766</v>
      </c>
      <c r="R839">
        <f t="shared" si="1011"/>
        <v>-2265635.3948966032</v>
      </c>
      <c r="S839">
        <f t="shared" si="1012"/>
        <v>-22.656353948966032</v>
      </c>
      <c r="T839">
        <f t="shared" si="1013"/>
        <v>-2.2656353948966031E-2</v>
      </c>
    </row>
    <row r="840" spans="1:20" x14ac:dyDescent="0.25">
      <c r="A840" s="5">
        <v>43753</v>
      </c>
      <c r="B840">
        <v>8.6760000000000004E-2</v>
      </c>
      <c r="C840">
        <v>9.2630000000000004E-2</v>
      </c>
      <c r="D840">
        <v>8.5830000000000004E-2</v>
      </c>
      <c r="E840">
        <v>8.7499999999999994E-2</v>
      </c>
      <c r="F840">
        <v>2378905.7000000002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-0.50882352941176745</v>
      </c>
      <c r="Q840">
        <f t="shared" si="1010"/>
        <v>-1210443.1944117714</v>
      </c>
      <c r="R840">
        <f t="shared" si="1011"/>
        <v>-2029614.3996024854</v>
      </c>
      <c r="S840">
        <f t="shared" si="1012"/>
        <v>-20.296143996024853</v>
      </c>
      <c r="T840">
        <f t="shared" si="1013"/>
        <v>-2.0296143996024852E-2</v>
      </c>
    </row>
    <row r="841" spans="1:20" x14ac:dyDescent="0.25">
      <c r="A841" s="5">
        <v>43752</v>
      </c>
      <c r="B841">
        <v>8.5680000000000006E-2</v>
      </c>
      <c r="C841">
        <v>8.7290000000000006E-2</v>
      </c>
      <c r="D841">
        <v>8.4599999999999995E-2</v>
      </c>
      <c r="E841">
        <v>8.6129999999999998E-2</v>
      </c>
      <c r="F841">
        <v>701433.2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0.13754646840148466</v>
      </c>
      <c r="Q841">
        <f t="shared" si="1010"/>
        <v>96479.659479552254</v>
      </c>
      <c r="R841">
        <f t="shared" si="1011"/>
        <v>-819171.20519071387</v>
      </c>
      <c r="S841">
        <f t="shared" si="1012"/>
        <v>-8.1917120519071389</v>
      </c>
      <c r="T841">
        <f t="shared" si="1013"/>
        <v>-8.1917120519071386E-3</v>
      </c>
    </row>
    <row r="842" spans="1:20" x14ac:dyDescent="0.25">
      <c r="A842" s="5">
        <v>43751</v>
      </c>
      <c r="B842">
        <v>8.695E-2</v>
      </c>
      <c r="C842">
        <v>8.8999999999999996E-2</v>
      </c>
      <c r="D842">
        <v>8.3809999999999996E-2</v>
      </c>
      <c r="E842">
        <v>8.6199999999999999E-2</v>
      </c>
      <c r="F842">
        <v>1447758.2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-7.8998073217725187E-2</v>
      </c>
      <c r="Q842">
        <f t="shared" si="1010"/>
        <v>-114370.10828516202</v>
      </c>
      <c r="R842">
        <f t="shared" si="1011"/>
        <v>-915650.86467026616</v>
      </c>
      <c r="S842">
        <f t="shared" si="1012"/>
        <v>-9.1565086467026617</v>
      </c>
      <c r="T842">
        <f t="shared" si="1013"/>
        <v>-9.1565086467026609E-3</v>
      </c>
    </row>
    <row r="843" spans="1:20" x14ac:dyDescent="0.25">
      <c r="A843" s="5">
        <v>43750</v>
      </c>
      <c r="B843">
        <v>8.4180000000000005E-2</v>
      </c>
      <c r="C843">
        <v>9.0279999999999999E-2</v>
      </c>
      <c r="D843">
        <v>8.4000000000000005E-2</v>
      </c>
      <c r="E843">
        <v>8.695E-2</v>
      </c>
      <c r="F843">
        <v>1606703.9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-6.0509554140128298E-2</v>
      </c>
      <c r="Q843">
        <f t="shared" si="1010"/>
        <v>-97220.936624205278</v>
      </c>
      <c r="R843">
        <f t="shared" si="1011"/>
        <v>-801280.75638510415</v>
      </c>
      <c r="S843">
        <f t="shared" si="1012"/>
        <v>-8.012807563851041</v>
      </c>
      <c r="T843">
        <f t="shared" si="1013"/>
        <v>-8.0128075638510408E-3</v>
      </c>
    </row>
    <row r="844" spans="1:20" x14ac:dyDescent="0.25">
      <c r="A844" s="5">
        <v>43749</v>
      </c>
      <c r="B844">
        <v>8.8730000000000003E-2</v>
      </c>
      <c r="C844">
        <v>8.8730000000000003E-2</v>
      </c>
      <c r="D844">
        <v>8.3309999999999995E-2</v>
      </c>
      <c r="E844">
        <v>8.3879999999999996E-2</v>
      </c>
      <c r="F844">
        <v>1057241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-0.78966789667896675</v>
      </c>
      <c r="Q844">
        <f t="shared" si="1010"/>
        <v>-834869.2767527675</v>
      </c>
      <c r="R844">
        <f t="shared" si="1011"/>
        <v>-704059.81976089883</v>
      </c>
      <c r="S844">
        <f t="shared" si="1012"/>
        <v>-7.040598197608988</v>
      </c>
      <c r="T844">
        <f t="shared" si="1013"/>
        <v>-7.0405981976089877E-3</v>
      </c>
    </row>
    <row r="845" spans="1:20" x14ac:dyDescent="0.25">
      <c r="A845" s="5">
        <v>43748</v>
      </c>
      <c r="B845">
        <v>8.8480000000000003E-2</v>
      </c>
      <c r="C845">
        <v>9.01E-2</v>
      </c>
      <c r="D845">
        <v>8.5139999999999993E-2</v>
      </c>
      <c r="E845">
        <v>8.8770000000000002E-2</v>
      </c>
      <c r="F845">
        <v>1390834.8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0.46370967741935637</v>
      </c>
      <c r="Q845">
        <f t="shared" si="1010"/>
        <v>644943.55645161506</v>
      </c>
      <c r="R845">
        <f t="shared" si="1011"/>
        <v>130809.45699186862</v>
      </c>
      <c r="S845">
        <f t="shared" si="1012"/>
        <v>1.3080945699186861</v>
      </c>
      <c r="T845">
        <f t="shared" si="1013"/>
        <v>1.3080945699186861E-3</v>
      </c>
    </row>
    <row r="846" spans="1:20" x14ac:dyDescent="0.25">
      <c r="A846" s="5">
        <v>43747</v>
      </c>
      <c r="B846">
        <v>9.0740000000000001E-2</v>
      </c>
      <c r="C846">
        <v>9.2499999999999999E-2</v>
      </c>
      <c r="D846">
        <v>8.6199999999999999E-2</v>
      </c>
      <c r="E846">
        <v>8.8940000000000005E-2</v>
      </c>
      <c r="F846">
        <v>2657837.2999999998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-0.13015873015872817</v>
      </c>
      <c r="Q846">
        <f t="shared" si="1010"/>
        <v>-345940.7279365026</v>
      </c>
      <c r="R846">
        <f t="shared" si="1011"/>
        <v>-514134.09945974645</v>
      </c>
      <c r="S846">
        <f t="shared" si="1012"/>
        <v>-5.1413409945974644</v>
      </c>
      <c r="T846">
        <f t="shared" si="1013"/>
        <v>-5.1413409945974646E-3</v>
      </c>
    </row>
    <row r="847" spans="1:20" x14ac:dyDescent="0.25">
      <c r="A847" s="5">
        <v>43746</v>
      </c>
      <c r="B847">
        <v>8.6999999999999994E-2</v>
      </c>
      <c r="C847">
        <v>9.214E-2</v>
      </c>
      <c r="D847">
        <v>8.5000000000000006E-2</v>
      </c>
      <c r="E847">
        <v>9.0749999999999997E-2</v>
      </c>
      <c r="F847">
        <v>1877873.6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0.61064425770308017</v>
      </c>
      <c r="Q847">
        <f t="shared" si="1010"/>
        <v>1146712.730532211</v>
      </c>
      <c r="R847">
        <f t="shared" si="1011"/>
        <v>-168193.37152324384</v>
      </c>
      <c r="S847">
        <f t="shared" si="1012"/>
        <v>-1.6819337152324385</v>
      </c>
      <c r="T847">
        <f t="shared" si="1013"/>
        <v>-1.6819337152324384E-3</v>
      </c>
    </row>
    <row r="848" spans="1:20" x14ac:dyDescent="0.25">
      <c r="A848" s="5">
        <v>43745</v>
      </c>
      <c r="B848">
        <v>8.412E-2</v>
      </c>
      <c r="C848">
        <v>8.7249999999999994E-2</v>
      </c>
      <c r="D848">
        <v>7.9399999999999998E-2</v>
      </c>
      <c r="E848">
        <v>8.6999999999999994E-2</v>
      </c>
      <c r="F848">
        <v>2012135.7</v>
      </c>
      <c r="G848">
        <v>0</v>
      </c>
      <c r="L848" t="s">
        <v>7</v>
      </c>
      <c r="M848" t="s">
        <v>7</v>
      </c>
      <c r="N848" t="s">
        <v>7</v>
      </c>
      <c r="P848">
        <f t="shared" si="1009"/>
        <v>0.93630573248407634</v>
      </c>
      <c r="Q848">
        <f t="shared" si="1010"/>
        <v>1883974.1904458597</v>
      </c>
      <c r="R848">
        <f t="shared" si="1011"/>
        <v>-1314906.1020554549</v>
      </c>
      <c r="S848">
        <f t="shared" si="1012"/>
        <v>-13.149061020554548</v>
      </c>
      <c r="T848">
        <f t="shared" si="1013"/>
        <v>-1.3149061020554548E-2</v>
      </c>
    </row>
    <row r="849" spans="1:20" x14ac:dyDescent="0.25">
      <c r="A849" s="5">
        <v>43744</v>
      </c>
      <c r="B849">
        <v>8.5889999999999994E-2</v>
      </c>
      <c r="C849">
        <v>8.8999999999999996E-2</v>
      </c>
      <c r="D849">
        <v>8.1769999999999995E-2</v>
      </c>
      <c r="E849">
        <v>8.412E-2</v>
      </c>
      <c r="F849">
        <v>1603223</v>
      </c>
      <c r="G849">
        <v>0</v>
      </c>
      <c r="L849" t="s">
        <v>8</v>
      </c>
      <c r="M849" t="s">
        <v>7</v>
      </c>
      <c r="N849" t="s">
        <v>7</v>
      </c>
      <c r="P849">
        <f t="shared" si="1009"/>
        <v>-0.34993084370677602</v>
      </c>
      <c r="Q849">
        <f t="shared" si="1010"/>
        <v>-561017.1770401086</v>
      </c>
      <c r="R849">
        <f t="shared" si="1011"/>
        <v>-3198880.2925013145</v>
      </c>
      <c r="S849">
        <f t="shared" si="1012"/>
        <v>-31.988802925013147</v>
      </c>
      <c r="T849">
        <f t="shared" si="1013"/>
        <v>-3.1988802925013146E-2</v>
      </c>
    </row>
    <row r="850" spans="1:20" x14ac:dyDescent="0.25">
      <c r="A850" s="5">
        <v>43743</v>
      </c>
      <c r="B850">
        <v>8.2979999999999998E-2</v>
      </c>
      <c r="C850">
        <v>8.5639999999999994E-2</v>
      </c>
      <c r="D850">
        <v>8.2419999999999993E-2</v>
      </c>
      <c r="E850">
        <v>8.5639999999999994E-2</v>
      </c>
      <c r="F850">
        <v>764868.1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1</v>
      </c>
      <c r="Q850">
        <f t="shared" si="1010"/>
        <v>764868.1</v>
      </c>
      <c r="R850">
        <f t="shared" si="1011"/>
        <v>-2637863.1154612061</v>
      </c>
      <c r="S850">
        <f t="shared" si="1012"/>
        <v>-26.378631154612062</v>
      </c>
      <c r="T850">
        <f t="shared" si="1013"/>
        <v>-2.6378631154612062E-2</v>
      </c>
    </row>
    <row r="851" spans="1:20" x14ac:dyDescent="0.25">
      <c r="A851" s="5">
        <v>43742</v>
      </c>
      <c r="B851">
        <v>8.3960000000000007E-2</v>
      </c>
      <c r="C851">
        <v>8.4970000000000004E-2</v>
      </c>
      <c r="D851">
        <v>8.1170000000000006E-2</v>
      </c>
      <c r="E851">
        <v>8.3599999999999994E-2</v>
      </c>
      <c r="F851">
        <v>1077273.7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0.27894736842104689</v>
      </c>
      <c r="Q851">
        <f t="shared" si="1010"/>
        <v>300502.66368420434</v>
      </c>
      <c r="R851">
        <f t="shared" si="1011"/>
        <v>-3402731.2154612062</v>
      </c>
      <c r="S851">
        <f t="shared" si="1012"/>
        <v>-34.027312154612062</v>
      </c>
      <c r="T851">
        <f t="shared" si="1013"/>
        <v>-3.4027312154612063E-2</v>
      </c>
    </row>
    <row r="852" spans="1:20" x14ac:dyDescent="0.25">
      <c r="A852" s="5">
        <v>43741</v>
      </c>
      <c r="B852">
        <v>8.2710000000000006E-2</v>
      </c>
      <c r="C852">
        <v>8.4900000000000003E-2</v>
      </c>
      <c r="D852">
        <v>7.9269999999999993E-2</v>
      </c>
      <c r="E852">
        <v>8.4610000000000005E-2</v>
      </c>
      <c r="F852">
        <v>2688500.3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0.89698046181172364</v>
      </c>
      <c r="Q852">
        <f t="shared" si="1010"/>
        <v>2411532.2406749572</v>
      </c>
      <c r="R852">
        <f t="shared" si="1011"/>
        <v>-3703233.8791454104</v>
      </c>
      <c r="S852">
        <f t="shared" si="1012"/>
        <v>-37.032338791454102</v>
      </c>
      <c r="T852">
        <f t="shared" si="1013"/>
        <v>-3.7032338791454102E-2</v>
      </c>
    </row>
    <row r="853" spans="1:20" x14ac:dyDescent="0.25">
      <c r="A853" s="5">
        <v>43740</v>
      </c>
      <c r="B853">
        <v>8.047E-2</v>
      </c>
      <c r="C853">
        <v>8.3500000000000005E-2</v>
      </c>
      <c r="D853">
        <v>7.8039999999999998E-2</v>
      </c>
      <c r="E853">
        <v>8.2710000000000006E-2</v>
      </c>
      <c r="F853">
        <v>1278648</v>
      </c>
      <c r="G853">
        <v>0</v>
      </c>
      <c r="L853" t="s">
        <v>7</v>
      </c>
      <c r="M853" t="s">
        <v>7</v>
      </c>
      <c r="N853" t="s">
        <v>7</v>
      </c>
      <c r="P853">
        <f t="shared" si="1009"/>
        <v>0.71062271062271132</v>
      </c>
      <c r="Q853">
        <f t="shared" si="1010"/>
        <v>908636.30769230856</v>
      </c>
      <c r="R853">
        <f t="shared" si="1011"/>
        <v>-6114766.1198203675</v>
      </c>
      <c r="S853">
        <f t="shared" si="1012"/>
        <v>-61.147661198203679</v>
      </c>
      <c r="T853">
        <f t="shared" si="1013"/>
        <v>-6.1147661198203682E-2</v>
      </c>
    </row>
    <row r="854" spans="1:20" x14ac:dyDescent="0.25">
      <c r="A854" s="5">
        <v>43739</v>
      </c>
      <c r="B854">
        <v>8.2699999999999996E-2</v>
      </c>
      <c r="C854">
        <v>8.5000000000000006E-2</v>
      </c>
      <c r="D854">
        <v>7.9269999999999993E-2</v>
      </c>
      <c r="E854">
        <v>8.1110000000000002E-2</v>
      </c>
      <c r="F854">
        <v>1873770.2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-0.35776614310645577</v>
      </c>
      <c r="Q854">
        <f t="shared" si="1010"/>
        <v>-670371.53752181225</v>
      </c>
      <c r="R854">
        <f t="shared" si="1011"/>
        <v>-7023402.4275126765</v>
      </c>
      <c r="S854">
        <f t="shared" si="1012"/>
        <v>-70.234024275126771</v>
      </c>
      <c r="T854">
        <f t="shared" si="1013"/>
        <v>-7.0234024275126775E-2</v>
      </c>
    </row>
    <row r="855" spans="1:20" x14ac:dyDescent="0.25">
      <c r="A855" s="5">
        <v>43738</v>
      </c>
      <c r="B855">
        <v>8.1780000000000005E-2</v>
      </c>
      <c r="C855">
        <v>8.3830000000000002E-2</v>
      </c>
      <c r="D855">
        <v>7.7810000000000004E-2</v>
      </c>
      <c r="E855">
        <v>8.2699999999999996E-2</v>
      </c>
      <c r="F855">
        <v>850028.1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0.6245847176079713</v>
      </c>
      <c r="Q855">
        <f t="shared" si="1010"/>
        <v>530914.56079734035</v>
      </c>
      <c r="R855">
        <f t="shared" si="1011"/>
        <v>-6353030.8899908643</v>
      </c>
      <c r="S855">
        <f t="shared" si="1012"/>
        <v>-63.53030889990864</v>
      </c>
      <c r="T855">
        <f t="shared" si="1013"/>
        <v>-6.3530308899908641E-2</v>
      </c>
    </row>
    <row r="856" spans="1:20" x14ac:dyDescent="0.25">
      <c r="A856" s="5">
        <v>43737</v>
      </c>
      <c r="B856">
        <v>8.5610000000000006E-2</v>
      </c>
      <c r="C856">
        <v>8.5610000000000006E-2</v>
      </c>
      <c r="D856">
        <v>7.8899999999999998E-2</v>
      </c>
      <c r="E856">
        <v>8.1949999999999995E-2</v>
      </c>
      <c r="F856">
        <v>345323.7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-9.0909090909092785E-2</v>
      </c>
      <c r="Q856">
        <f t="shared" si="1010"/>
        <v>-31393.063636364284</v>
      </c>
      <c r="R856">
        <f t="shared" si="1011"/>
        <v>-6883945.4507882046</v>
      </c>
      <c r="S856">
        <f t="shared" si="1012"/>
        <v>-68.839454507882039</v>
      </c>
      <c r="T856">
        <f t="shared" si="1013"/>
        <v>-6.8839454507882036E-2</v>
      </c>
    </row>
    <row r="857" spans="1:20" x14ac:dyDescent="0.25">
      <c r="A857" s="5">
        <v>43736</v>
      </c>
      <c r="B857">
        <v>8.5000000000000006E-2</v>
      </c>
      <c r="C857">
        <v>8.7660000000000002E-2</v>
      </c>
      <c r="D857">
        <v>8.1930000000000003E-2</v>
      </c>
      <c r="E857">
        <v>8.5629999999999998E-2</v>
      </c>
      <c r="F857">
        <v>956549.2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0.29144851657940513</v>
      </c>
      <c r="Q857">
        <f t="shared" si="1010"/>
        <v>278784.84537521668</v>
      </c>
      <c r="R857">
        <f t="shared" si="1011"/>
        <v>-6852552.3871518401</v>
      </c>
      <c r="S857">
        <f t="shared" si="1012"/>
        <v>-68.525523871518402</v>
      </c>
      <c r="T857">
        <f t="shared" si="1013"/>
        <v>-6.8525523871518404E-2</v>
      </c>
    </row>
    <row r="858" spans="1:20" x14ac:dyDescent="0.25">
      <c r="A858" s="5">
        <v>43735</v>
      </c>
      <c r="B858">
        <v>8.5999999999999993E-2</v>
      </c>
      <c r="C858">
        <v>8.8609999999999994E-2</v>
      </c>
      <c r="D858">
        <v>8.0589999999999995E-2</v>
      </c>
      <c r="E858">
        <v>8.5000000000000006E-2</v>
      </c>
      <c r="F858">
        <v>883311</v>
      </c>
      <c r="G858">
        <v>0</v>
      </c>
      <c r="L858" t="s">
        <v>7</v>
      </c>
      <c r="M858" t="s">
        <v>7</v>
      </c>
      <c r="N858" t="s">
        <v>7</v>
      </c>
      <c r="P858">
        <f t="shared" si="1009"/>
        <v>9.9750623441399372E-2</v>
      </c>
      <c r="Q858">
        <f t="shared" si="1010"/>
        <v>88110.822942645915</v>
      </c>
      <c r="R858">
        <f t="shared" si="1011"/>
        <v>-7131337.2325270567</v>
      </c>
      <c r="S858">
        <f t="shared" si="1012"/>
        <v>-71.313372325270564</v>
      </c>
      <c r="T858">
        <f t="shared" si="1013"/>
        <v>-7.131337232527056E-2</v>
      </c>
    </row>
    <row r="859" spans="1:20" x14ac:dyDescent="0.25">
      <c r="A859" s="5">
        <v>43734</v>
      </c>
      <c r="B859">
        <v>8.3540000000000003E-2</v>
      </c>
      <c r="C859">
        <v>9.1399999999999995E-2</v>
      </c>
      <c r="D859">
        <v>7.6090000000000005E-2</v>
      </c>
      <c r="E859">
        <v>8.5260000000000002E-2</v>
      </c>
      <c r="F859">
        <v>1630765.8</v>
      </c>
      <c r="G859">
        <v>0</v>
      </c>
      <c r="L859" t="s">
        <v>8</v>
      </c>
      <c r="M859" t="s">
        <v>7</v>
      </c>
      <c r="N859" t="s">
        <v>7</v>
      </c>
      <c r="P859">
        <f t="shared" si="1009"/>
        <v>0.19790986283474898</v>
      </c>
      <c r="Q859">
        <f t="shared" si="1010"/>
        <v>322744.63579359971</v>
      </c>
      <c r="R859">
        <f t="shared" si="1011"/>
        <v>-7219448.0554697029</v>
      </c>
      <c r="S859">
        <f t="shared" si="1012"/>
        <v>-72.194480554697023</v>
      </c>
      <c r="T859">
        <f t="shared" si="1013"/>
        <v>-7.219448055469703E-2</v>
      </c>
    </row>
    <row r="860" spans="1:20" x14ac:dyDescent="0.25">
      <c r="A860" s="5">
        <v>43733</v>
      </c>
      <c r="B860">
        <v>8.3210000000000006E-2</v>
      </c>
      <c r="C860">
        <v>8.9849999999999999E-2</v>
      </c>
      <c r="D860">
        <v>7.8039999999999998E-2</v>
      </c>
      <c r="E860">
        <v>8.3769999999999997E-2</v>
      </c>
      <c r="F860">
        <v>953040.7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-2.9635901778154367E-2</v>
      </c>
      <c r="Q860">
        <f t="shared" si="1010"/>
        <v>-28244.220575783482</v>
      </c>
      <c r="R860">
        <f t="shared" si="1011"/>
        <v>-7542192.6912633022</v>
      </c>
      <c r="S860">
        <f t="shared" si="1012"/>
        <v>-75.421926912633026</v>
      </c>
      <c r="T860">
        <f t="shared" si="1013"/>
        <v>-7.5421926912633025E-2</v>
      </c>
    </row>
    <row r="861" spans="1:20" x14ac:dyDescent="0.25">
      <c r="A861" s="5">
        <v>43732</v>
      </c>
      <c r="B861">
        <v>0.10150000000000001</v>
      </c>
      <c r="C861">
        <v>0.10206</v>
      </c>
      <c r="D861">
        <v>7.7770000000000006E-2</v>
      </c>
      <c r="E861">
        <v>8.2659999999999997E-2</v>
      </c>
      <c r="F861">
        <v>1757379.4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-0.59736517085220309</v>
      </c>
      <c r="Q861">
        <f t="shared" si="1010"/>
        <v>-1049797.245533142</v>
      </c>
      <c r="R861">
        <f t="shared" si="1011"/>
        <v>-7513948.4706875188</v>
      </c>
      <c r="S861">
        <f t="shared" si="1012"/>
        <v>-75.139484706875194</v>
      </c>
      <c r="T861">
        <f t="shared" si="1013"/>
        <v>-7.513948470687519E-2</v>
      </c>
    </row>
    <row r="862" spans="1:20" x14ac:dyDescent="0.25">
      <c r="A862" s="5">
        <v>43731</v>
      </c>
      <c r="B862">
        <v>0.10353</v>
      </c>
      <c r="C862">
        <v>0.1045</v>
      </c>
      <c r="D862">
        <v>0.10022</v>
      </c>
      <c r="E862">
        <v>0.10150000000000001</v>
      </c>
      <c r="F862">
        <v>741145.59999999998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-0.401869158878502</v>
      </c>
      <c r="Q862">
        <f t="shared" si="1010"/>
        <v>-297843.55887850269</v>
      </c>
      <c r="R862">
        <f t="shared" si="1011"/>
        <v>-6464151.2251543766</v>
      </c>
      <c r="S862">
        <f t="shared" si="1012"/>
        <v>-64.641512251543759</v>
      </c>
      <c r="T862">
        <f t="shared" si="1013"/>
        <v>-6.4641512251543756E-2</v>
      </c>
    </row>
    <row r="863" spans="1:20" x14ac:dyDescent="0.25">
      <c r="A863" s="5">
        <v>43730</v>
      </c>
      <c r="B863">
        <v>0.10688</v>
      </c>
      <c r="C863">
        <v>0.10715</v>
      </c>
      <c r="D863">
        <v>0.10228</v>
      </c>
      <c r="E863">
        <v>0.10297000000000001</v>
      </c>
      <c r="F863">
        <v>1078514.1000000001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-0.71663244353182332</v>
      </c>
      <c r="Q863">
        <f t="shared" si="1010"/>
        <v>-772898.19486652536</v>
      </c>
      <c r="R863">
        <f t="shared" si="1011"/>
        <v>-6166307.6662758738</v>
      </c>
      <c r="S863">
        <f t="shared" si="1012"/>
        <v>-61.663076662758741</v>
      </c>
      <c r="T863">
        <f t="shared" si="1013"/>
        <v>-6.1663076662758741E-2</v>
      </c>
    </row>
    <row r="864" spans="1:20" x14ac:dyDescent="0.25">
      <c r="A864" s="5">
        <v>43729</v>
      </c>
      <c r="B864">
        <v>0.10920000000000001</v>
      </c>
      <c r="C864">
        <v>0.10938000000000001</v>
      </c>
      <c r="D864">
        <v>0.10593</v>
      </c>
      <c r="E864">
        <v>0.10689</v>
      </c>
      <c r="F864">
        <v>361686.2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-0.44347826086956516</v>
      </c>
      <c r="Q864">
        <f t="shared" si="1010"/>
        <v>-160399.96695652173</v>
      </c>
      <c r="R864">
        <f t="shared" si="1011"/>
        <v>-5393409.4714093488</v>
      </c>
      <c r="S864">
        <f t="shared" si="1012"/>
        <v>-53.93409471409349</v>
      </c>
      <c r="T864">
        <f t="shared" si="1013"/>
        <v>-5.3934094714093488E-2</v>
      </c>
    </row>
    <row r="865" spans="1:20" x14ac:dyDescent="0.25">
      <c r="A865" s="5">
        <v>43728</v>
      </c>
      <c r="B865">
        <v>0.10864</v>
      </c>
      <c r="C865">
        <v>0.11044</v>
      </c>
      <c r="D865">
        <v>0.10728</v>
      </c>
      <c r="E865">
        <v>0.10920000000000001</v>
      </c>
      <c r="F865">
        <v>333591</v>
      </c>
      <c r="G865">
        <v>0</v>
      </c>
      <c r="L865" t="s">
        <v>7</v>
      </c>
      <c r="M865" t="s">
        <v>7</v>
      </c>
      <c r="N865" t="s">
        <v>7</v>
      </c>
      <c r="P865">
        <f t="shared" si="1009"/>
        <v>0.21518987341772619</v>
      </c>
      <c r="Q865">
        <f t="shared" si="1010"/>
        <v>71785.405063292696</v>
      </c>
      <c r="R865">
        <f t="shared" si="1011"/>
        <v>-5233009.5044528274</v>
      </c>
      <c r="S865">
        <f t="shared" si="1012"/>
        <v>-52.330095044528271</v>
      </c>
      <c r="T865">
        <f t="shared" si="1013"/>
        <v>-5.233009504452827E-2</v>
      </c>
    </row>
    <row r="866" spans="1:20" x14ac:dyDescent="0.25">
      <c r="A866" s="5">
        <v>43727</v>
      </c>
      <c r="B866">
        <v>0.11156000000000001</v>
      </c>
      <c r="C866">
        <v>0.11157</v>
      </c>
      <c r="D866">
        <v>0.10421999999999999</v>
      </c>
      <c r="E866">
        <v>0.10864</v>
      </c>
      <c r="F866">
        <v>1055220.8999999999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0.20272108843537459</v>
      </c>
      <c r="Q866">
        <f t="shared" si="1010"/>
        <v>213915.52938775555</v>
      </c>
      <c r="R866">
        <f t="shared" si="1011"/>
        <v>-5304794.9095161203</v>
      </c>
      <c r="S866">
        <f t="shared" si="1012"/>
        <v>-53.047949095161201</v>
      </c>
      <c r="T866">
        <f t="shared" si="1013"/>
        <v>-5.3047949095161202E-2</v>
      </c>
    </row>
    <row r="867" spans="1:20" x14ac:dyDescent="0.25">
      <c r="A867" s="5">
        <v>43726</v>
      </c>
      <c r="B867">
        <v>0.10544000000000001</v>
      </c>
      <c r="C867">
        <v>0.11298</v>
      </c>
      <c r="D867">
        <v>0.10443</v>
      </c>
      <c r="E867">
        <v>0.1109</v>
      </c>
      <c r="F867">
        <v>1606618.5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0.51345029239766127</v>
      </c>
      <c r="Q867">
        <f t="shared" si="1010"/>
        <v>824918.73859649198</v>
      </c>
      <c r="R867">
        <f t="shared" si="1011"/>
        <v>-5518710.4389038756</v>
      </c>
      <c r="S867">
        <f t="shared" si="1012"/>
        <v>-55.187104389038758</v>
      </c>
      <c r="T867">
        <f t="shared" si="1013"/>
        <v>-5.518710438903876E-2</v>
      </c>
    </row>
    <row r="868" spans="1:20" x14ac:dyDescent="0.25">
      <c r="A868" s="5">
        <v>43725</v>
      </c>
      <c r="B868">
        <v>0.10511</v>
      </c>
      <c r="C868">
        <v>0.10849</v>
      </c>
      <c r="D868">
        <v>0.10113999999999999</v>
      </c>
      <c r="E868">
        <v>0.10514999999999999</v>
      </c>
      <c r="F868">
        <v>1884207.4</v>
      </c>
      <c r="G868">
        <v>0</v>
      </c>
      <c r="L868" t="s">
        <v>7</v>
      </c>
      <c r="M868" t="s">
        <v>7</v>
      </c>
      <c r="N868" t="s">
        <v>7</v>
      </c>
      <c r="P868">
        <f t="shared" si="1009"/>
        <v>9.1156462585032544E-2</v>
      </c>
      <c r="Q868">
        <f t="shared" si="1010"/>
        <v>171757.68136054144</v>
      </c>
      <c r="R868">
        <f t="shared" si="1011"/>
        <v>-6343629.1775003681</v>
      </c>
      <c r="S868">
        <f t="shared" si="1012"/>
        <v>-63.436291775003681</v>
      </c>
      <c r="T868">
        <f t="shared" si="1013"/>
        <v>-6.3436291775003678E-2</v>
      </c>
    </row>
    <row r="869" spans="1:20" x14ac:dyDescent="0.25">
      <c r="A869" s="5">
        <v>43724</v>
      </c>
      <c r="B869">
        <v>0.1057</v>
      </c>
      <c r="C869">
        <v>0.10978</v>
      </c>
      <c r="D869">
        <v>0.10231</v>
      </c>
      <c r="E869">
        <v>0.10511</v>
      </c>
      <c r="F869">
        <v>1129362.8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-0.25033467202142029</v>
      </c>
      <c r="Q869">
        <f t="shared" si="1010"/>
        <v>-282718.66613119288</v>
      </c>
      <c r="R869">
        <f t="shared" si="1011"/>
        <v>-6515386.8588609099</v>
      </c>
      <c r="S869">
        <f t="shared" si="1012"/>
        <v>-65.1538685886091</v>
      </c>
      <c r="T869">
        <f t="shared" si="1013"/>
        <v>-6.5153868588609096E-2</v>
      </c>
    </row>
    <row r="870" spans="1:20" x14ac:dyDescent="0.25">
      <c r="A870" s="5">
        <v>43723</v>
      </c>
      <c r="B870">
        <v>0.10524</v>
      </c>
      <c r="C870">
        <v>0.10646</v>
      </c>
      <c r="D870">
        <v>0.10401000000000001</v>
      </c>
      <c r="E870">
        <v>0.1057</v>
      </c>
      <c r="F870">
        <v>217002.6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0.37959183673469493</v>
      </c>
      <c r="Q870">
        <f t="shared" si="1010"/>
        <v>82372.415510204315</v>
      </c>
      <c r="R870">
        <f t="shared" si="1011"/>
        <v>-6232668.1927297171</v>
      </c>
      <c r="S870">
        <f t="shared" si="1012"/>
        <v>-62.326681927297173</v>
      </c>
      <c r="T870">
        <f t="shared" si="1013"/>
        <v>-6.2326681927297171E-2</v>
      </c>
    </row>
    <row r="871" spans="1:20" x14ac:dyDescent="0.25">
      <c r="A871" s="5">
        <v>43722</v>
      </c>
      <c r="B871">
        <v>0.10534</v>
      </c>
      <c r="C871">
        <v>0.10645</v>
      </c>
      <c r="D871">
        <v>0.10267999999999999</v>
      </c>
      <c r="E871">
        <v>0.10534</v>
      </c>
      <c r="F871">
        <v>329132.59999999998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0.41114058355437821</v>
      </c>
      <c r="Q871">
        <f t="shared" si="1010"/>
        <v>135319.76923076974</v>
      </c>
      <c r="R871">
        <f t="shared" si="1011"/>
        <v>-6315040.6082399217</v>
      </c>
      <c r="S871">
        <f t="shared" si="1012"/>
        <v>-63.150406082399215</v>
      </c>
      <c r="T871">
        <f t="shared" si="1013"/>
        <v>-6.3150406082399219E-2</v>
      </c>
    </row>
    <row r="872" spans="1:20" x14ac:dyDescent="0.25">
      <c r="A872" s="5">
        <v>43721</v>
      </c>
      <c r="B872">
        <v>0.10493</v>
      </c>
      <c r="C872">
        <v>0.10691000000000001</v>
      </c>
      <c r="D872">
        <v>0.10124</v>
      </c>
      <c r="E872">
        <v>0.10521</v>
      </c>
      <c r="F872">
        <v>643745.4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0.40035273368606539</v>
      </c>
      <c r="Q872">
        <f t="shared" si="1010"/>
        <v>257725.23068782964</v>
      </c>
      <c r="R872">
        <f t="shared" si="1011"/>
        <v>-6450360.3774706917</v>
      </c>
      <c r="S872">
        <f t="shared" si="1012"/>
        <v>-64.503603774706917</v>
      </c>
      <c r="T872">
        <f t="shared" si="1013"/>
        <v>-6.4503603774706916E-2</v>
      </c>
    </row>
    <row r="873" spans="1:20" x14ac:dyDescent="0.25">
      <c r="A873" s="5">
        <v>43720</v>
      </c>
      <c r="B873">
        <v>0.10768</v>
      </c>
      <c r="C873">
        <v>0.10854999999999999</v>
      </c>
      <c r="D873">
        <v>0.10394</v>
      </c>
      <c r="E873">
        <v>0.10493</v>
      </c>
      <c r="F873">
        <v>707060.9</v>
      </c>
      <c r="G873">
        <v>0</v>
      </c>
      <c r="L873" t="s">
        <v>7</v>
      </c>
      <c r="M873" t="s">
        <v>7</v>
      </c>
      <c r="N873" t="s">
        <v>8</v>
      </c>
      <c r="P873">
        <f t="shared" si="1009"/>
        <v>-0.57049891540130448</v>
      </c>
      <c r="Q873">
        <f t="shared" si="1010"/>
        <v>-403377.47657267022</v>
      </c>
      <c r="R873">
        <f t="shared" si="1011"/>
        <v>-6708085.6081585214</v>
      </c>
      <c r="S873">
        <f t="shared" si="1012"/>
        <v>-67.08085608158521</v>
      </c>
      <c r="T873">
        <f t="shared" si="1013"/>
        <v>-6.7080856081585205E-2</v>
      </c>
    </row>
    <row r="874" spans="1:20" x14ac:dyDescent="0.25">
      <c r="A874" s="5">
        <v>43719</v>
      </c>
      <c r="B874">
        <v>0.10979999999999999</v>
      </c>
      <c r="C874">
        <v>0.11111</v>
      </c>
      <c r="D874">
        <v>0.10460999999999999</v>
      </c>
      <c r="E874">
        <v>0.10732</v>
      </c>
      <c r="F874">
        <v>512676.9</v>
      </c>
      <c r="G874">
        <v>0</v>
      </c>
      <c r="L874" t="s">
        <v>7</v>
      </c>
      <c r="M874" t="s">
        <v>7</v>
      </c>
      <c r="N874" t="s">
        <v>8</v>
      </c>
      <c r="P874">
        <f t="shared" si="1009"/>
        <v>-0.16615384615384565</v>
      </c>
      <c r="Q874">
        <f t="shared" si="1010"/>
        <v>-85183.23876923052</v>
      </c>
      <c r="R874">
        <f t="shared" si="1011"/>
        <v>-6304708.1315858513</v>
      </c>
      <c r="S874">
        <f t="shared" si="1012"/>
        <v>-63.047081315858513</v>
      </c>
      <c r="T874">
        <f t="shared" si="1013"/>
        <v>-6.3047081315858511E-2</v>
      </c>
    </row>
    <row r="875" spans="1:20" x14ac:dyDescent="0.25">
      <c r="A875" s="5">
        <v>43718</v>
      </c>
      <c r="B875">
        <v>0.11047</v>
      </c>
      <c r="C875">
        <v>0.113</v>
      </c>
      <c r="D875">
        <v>0.108</v>
      </c>
      <c r="E875">
        <v>0.10926</v>
      </c>
      <c r="F875">
        <v>358307.6</v>
      </c>
      <c r="G875">
        <v>0</v>
      </c>
      <c r="L875" t="s">
        <v>7</v>
      </c>
      <c r="M875" t="s">
        <v>7</v>
      </c>
      <c r="N875" t="s">
        <v>8</v>
      </c>
      <c r="P875">
        <f t="shared" si="1009"/>
        <v>-0.49600000000000155</v>
      </c>
      <c r="Q875">
        <f t="shared" si="1010"/>
        <v>-177720.56960000054</v>
      </c>
      <c r="R875">
        <f t="shared" si="1011"/>
        <v>-6219524.8928166209</v>
      </c>
      <c r="S875">
        <f t="shared" si="1012"/>
        <v>-62.195248928166208</v>
      </c>
      <c r="T875">
        <f t="shared" si="1013"/>
        <v>-6.2195248928166205E-2</v>
      </c>
    </row>
    <row r="876" spans="1:20" x14ac:dyDescent="0.25">
      <c r="A876" s="5">
        <v>43717</v>
      </c>
      <c r="B876">
        <v>0.11123</v>
      </c>
      <c r="C876">
        <v>0.1116</v>
      </c>
      <c r="D876">
        <v>0.10668999999999999</v>
      </c>
      <c r="E876">
        <v>0.10979999999999999</v>
      </c>
      <c r="F876">
        <v>551945.19999999995</v>
      </c>
      <c r="G876">
        <v>0</v>
      </c>
      <c r="L876" t="s">
        <v>7</v>
      </c>
      <c r="M876" t="s">
        <v>7</v>
      </c>
      <c r="N876" t="s">
        <v>8</v>
      </c>
      <c r="P876">
        <f t="shared" si="1009"/>
        <v>0.26680244399185105</v>
      </c>
      <c r="Q876">
        <f t="shared" si="1010"/>
        <v>147260.32830957102</v>
      </c>
      <c r="R876">
        <f t="shared" si="1011"/>
        <v>-6041804.3232166199</v>
      </c>
      <c r="S876">
        <f t="shared" si="1012"/>
        <v>-60.418043232166198</v>
      </c>
      <c r="T876">
        <f t="shared" si="1013"/>
        <v>-6.0418043232166201E-2</v>
      </c>
    </row>
    <row r="877" spans="1:20" x14ac:dyDescent="0.25">
      <c r="A877" s="5">
        <v>43716</v>
      </c>
      <c r="B877">
        <v>0.11147</v>
      </c>
      <c r="C877">
        <v>0.11275</v>
      </c>
      <c r="D877">
        <v>0.10997</v>
      </c>
      <c r="E877">
        <v>0.11124000000000001</v>
      </c>
      <c r="F877">
        <v>457354.3</v>
      </c>
      <c r="G877">
        <v>0</v>
      </c>
      <c r="L877" t="s">
        <v>7</v>
      </c>
      <c r="M877" t="s">
        <v>7</v>
      </c>
      <c r="N877" t="s">
        <v>8</v>
      </c>
      <c r="P877">
        <f t="shared" si="1009"/>
        <v>-8.6330935251794902E-2</v>
      </c>
      <c r="Q877">
        <f t="shared" si="1010"/>
        <v>-39483.824460429983</v>
      </c>
      <c r="R877">
        <f t="shared" si="1011"/>
        <v>-6189064.6515261913</v>
      </c>
      <c r="S877">
        <f t="shared" si="1012"/>
        <v>-61.890646515261913</v>
      </c>
      <c r="T877">
        <f t="shared" si="1013"/>
        <v>-6.189064651526191E-2</v>
      </c>
    </row>
    <row r="878" spans="1:20" x14ac:dyDescent="0.25">
      <c r="A878" s="5">
        <v>43715</v>
      </c>
      <c r="B878">
        <v>0.10882</v>
      </c>
      <c r="C878">
        <v>0.11149000000000001</v>
      </c>
      <c r="D878">
        <v>0.10779</v>
      </c>
      <c r="E878">
        <v>0.11147</v>
      </c>
      <c r="F878">
        <v>341817.7</v>
      </c>
      <c r="G878">
        <v>0</v>
      </c>
      <c r="L878" t="s">
        <v>7</v>
      </c>
      <c r="M878" t="s">
        <v>7</v>
      </c>
      <c r="N878" t="s">
        <v>8</v>
      </c>
      <c r="P878">
        <f t="shared" si="1009"/>
        <v>0.98918918918918586</v>
      </c>
      <c r="Q878">
        <f t="shared" si="1010"/>
        <v>338122.37351351237</v>
      </c>
      <c r="R878">
        <f t="shared" si="1011"/>
        <v>-6149580.8270657612</v>
      </c>
      <c r="S878">
        <f t="shared" si="1012"/>
        <v>-61.495808270657612</v>
      </c>
      <c r="T878">
        <f t="shared" si="1013"/>
        <v>-6.1495808270657613E-2</v>
      </c>
    </row>
    <row r="879" spans="1:20" x14ac:dyDescent="0.25">
      <c r="A879" s="5">
        <v>43714</v>
      </c>
      <c r="B879">
        <v>0.11570999999999999</v>
      </c>
      <c r="C879">
        <v>0.11650000000000001</v>
      </c>
      <c r="D879">
        <v>0.10704</v>
      </c>
      <c r="E879">
        <v>0.1091</v>
      </c>
      <c r="F879">
        <v>1692023.7</v>
      </c>
      <c r="G879">
        <v>0</v>
      </c>
      <c r="L879" t="s">
        <v>7</v>
      </c>
      <c r="M879" t="s">
        <v>7</v>
      </c>
      <c r="N879" t="s">
        <v>8</v>
      </c>
      <c r="P879">
        <f t="shared" si="1009"/>
        <v>-0.56448202959830784</v>
      </c>
      <c r="Q879">
        <f t="shared" si="1010"/>
        <v>-955116.97230443836</v>
      </c>
      <c r="R879">
        <f t="shared" si="1011"/>
        <v>-6487703.2005792735</v>
      </c>
      <c r="S879">
        <f t="shared" si="1012"/>
        <v>-64.877032005792742</v>
      </c>
      <c r="T879">
        <f t="shared" si="1013"/>
        <v>-6.4877032005792742E-2</v>
      </c>
    </row>
    <row r="880" spans="1:20" x14ac:dyDescent="0.25">
      <c r="A880" s="5">
        <v>43713</v>
      </c>
      <c r="B880">
        <v>0.11398999999999999</v>
      </c>
      <c r="C880">
        <v>0.11620999999999999</v>
      </c>
      <c r="D880">
        <v>0.11074000000000001</v>
      </c>
      <c r="E880">
        <v>0.11572</v>
      </c>
      <c r="F880">
        <v>1282615.5</v>
      </c>
      <c r="G880">
        <v>0</v>
      </c>
      <c r="L880" t="s">
        <v>8</v>
      </c>
      <c r="M880" t="s">
        <v>7</v>
      </c>
      <c r="N880" t="s">
        <v>8</v>
      </c>
      <c r="P880">
        <f t="shared" si="1009"/>
        <v>0.82084095063985685</v>
      </c>
      <c r="Q880">
        <f t="shared" si="1010"/>
        <v>1052823.3263254154</v>
      </c>
      <c r="R880">
        <f t="shared" si="1011"/>
        <v>-5532586.2282748353</v>
      </c>
      <c r="S880">
        <f t="shared" si="1012"/>
        <v>-55.325862282748353</v>
      </c>
      <c r="T880">
        <f t="shared" si="1013"/>
        <v>-5.5325862282748356E-2</v>
      </c>
    </row>
    <row r="881" spans="1:20" x14ac:dyDescent="0.25">
      <c r="A881" s="5">
        <v>43712</v>
      </c>
      <c r="B881">
        <v>0.11278000000000001</v>
      </c>
      <c r="C881">
        <v>0.11565</v>
      </c>
      <c r="D881">
        <v>0.10903</v>
      </c>
      <c r="E881">
        <v>0.11397</v>
      </c>
      <c r="F881">
        <v>1851996.9</v>
      </c>
      <c r="G881">
        <v>0</v>
      </c>
      <c r="L881" t="s">
        <v>8</v>
      </c>
      <c r="M881" t="s">
        <v>7</v>
      </c>
      <c r="N881" t="s">
        <v>8</v>
      </c>
      <c r="P881">
        <f t="shared" si="1009"/>
        <v>0.49244712990936534</v>
      </c>
      <c r="Q881">
        <f t="shared" si="1010"/>
        <v>912010.5580060418</v>
      </c>
      <c r="R881">
        <f t="shared" si="1011"/>
        <v>-6585409.5546002509</v>
      </c>
      <c r="S881">
        <f t="shared" si="1012"/>
        <v>-65.854095546002512</v>
      </c>
      <c r="T881">
        <f t="shared" si="1013"/>
        <v>-6.5854095546002508E-2</v>
      </c>
    </row>
    <row r="882" spans="1:20" x14ac:dyDescent="0.25">
      <c r="A882" s="5">
        <v>43711</v>
      </c>
      <c r="B882">
        <v>0.1119</v>
      </c>
      <c r="C882">
        <v>0.11334</v>
      </c>
      <c r="D882">
        <v>0.10714</v>
      </c>
      <c r="E882">
        <v>0.11161</v>
      </c>
      <c r="F882">
        <v>1148002.1000000001</v>
      </c>
      <c r="G882">
        <v>0</v>
      </c>
      <c r="L882" t="s">
        <v>7</v>
      </c>
      <c r="M882" t="s">
        <v>7</v>
      </c>
      <c r="N882" t="s">
        <v>8</v>
      </c>
      <c r="P882">
        <f t="shared" si="1009"/>
        <v>0.44193548387096898</v>
      </c>
      <c r="Q882">
        <f t="shared" si="1010"/>
        <v>507342.86354838859</v>
      </c>
      <c r="R882">
        <f t="shared" si="1011"/>
        <v>-7497420.1126062926</v>
      </c>
      <c r="S882">
        <f t="shared" si="1012"/>
        <v>-74.974201126062923</v>
      </c>
      <c r="T882">
        <f t="shared" si="1013"/>
        <v>-7.4974201126062928E-2</v>
      </c>
    </row>
    <row r="883" spans="1:20" x14ac:dyDescent="0.25">
      <c r="A883" s="5">
        <v>43710</v>
      </c>
      <c r="B883">
        <v>0.11268</v>
      </c>
      <c r="C883">
        <v>0.11323999999999999</v>
      </c>
      <c r="D883">
        <v>0.10675999999999999</v>
      </c>
      <c r="E883">
        <v>0.11162</v>
      </c>
      <c r="F883">
        <v>723701.9</v>
      </c>
      <c r="G883">
        <v>0</v>
      </c>
      <c r="L883" t="s">
        <v>7</v>
      </c>
      <c r="M883" t="s">
        <v>7</v>
      </c>
      <c r="N883" t="s">
        <v>8</v>
      </c>
      <c r="P883">
        <f t="shared" si="1009"/>
        <v>0.50000000000000111</v>
      </c>
      <c r="Q883">
        <f t="shared" si="1010"/>
        <v>361850.95000000083</v>
      </c>
      <c r="R883">
        <f t="shared" si="1011"/>
        <v>-8004762.9761546813</v>
      </c>
      <c r="S883">
        <f t="shared" si="1012"/>
        <v>-80.047629761546816</v>
      </c>
      <c r="T883">
        <f t="shared" si="1013"/>
        <v>-8.0047629761546821E-2</v>
      </c>
    </row>
    <row r="884" spans="1:20" x14ac:dyDescent="0.25">
      <c r="A884" s="5">
        <v>43709</v>
      </c>
      <c r="B884">
        <v>0.11304</v>
      </c>
      <c r="C884">
        <v>0.11394</v>
      </c>
      <c r="D884">
        <v>0.11</v>
      </c>
      <c r="E884">
        <v>0.11268</v>
      </c>
      <c r="F884">
        <v>609185.4</v>
      </c>
      <c r="G884">
        <v>0</v>
      </c>
      <c r="L884" t="s">
        <v>8</v>
      </c>
      <c r="M884" t="s">
        <v>7</v>
      </c>
      <c r="N884" t="s">
        <v>8</v>
      </c>
      <c r="P884">
        <f t="shared" si="1009"/>
        <v>0.36040609137055962</v>
      </c>
      <c r="Q884">
        <f t="shared" si="1010"/>
        <v>219554.12893401092</v>
      </c>
      <c r="R884">
        <f t="shared" si="1011"/>
        <v>-8366613.9261546824</v>
      </c>
      <c r="S884">
        <f t="shared" si="1012"/>
        <v>-83.666139261546817</v>
      </c>
      <c r="T884">
        <f t="shared" si="1013"/>
        <v>-8.3666139261546812E-2</v>
      </c>
    </row>
    <row r="885" spans="1:20" x14ac:dyDescent="0.25">
      <c r="A885" s="5">
        <v>43708</v>
      </c>
      <c r="B885">
        <v>0.11223</v>
      </c>
      <c r="C885">
        <v>0.11577</v>
      </c>
      <c r="D885">
        <v>0.1104</v>
      </c>
      <c r="E885">
        <v>0.11304</v>
      </c>
      <c r="F885">
        <v>655594.9</v>
      </c>
      <c r="G885">
        <v>0</v>
      </c>
      <c r="L885" t="s">
        <v>8</v>
      </c>
      <c r="M885" t="s">
        <v>7</v>
      </c>
      <c r="N885" t="s">
        <v>8</v>
      </c>
      <c r="P885">
        <f t="shared" si="1009"/>
        <v>-1.675977653631152E-2</v>
      </c>
      <c r="Q885">
        <f t="shared" si="1010"/>
        <v>-10987.624022345497</v>
      </c>
      <c r="R885">
        <f t="shared" si="1011"/>
        <v>-8586168.0550886933</v>
      </c>
      <c r="S885">
        <f t="shared" si="1012"/>
        <v>-85.861680550886931</v>
      </c>
      <c r="T885">
        <f t="shared" si="1013"/>
        <v>-8.5861680550886929E-2</v>
      </c>
    </row>
    <row r="886" spans="1:20" x14ac:dyDescent="0.25">
      <c r="A886" s="5">
        <v>43707</v>
      </c>
      <c r="B886">
        <v>0.11448999999999999</v>
      </c>
      <c r="C886">
        <v>0.11577999999999999</v>
      </c>
      <c r="D886">
        <v>0.10868999999999999</v>
      </c>
      <c r="E886">
        <v>0.11223</v>
      </c>
      <c r="F886">
        <v>1276974.1000000001</v>
      </c>
      <c r="G886">
        <v>0</v>
      </c>
      <c r="L886" t="s">
        <v>8</v>
      </c>
      <c r="M886" t="s">
        <v>7</v>
      </c>
      <c r="N886" t="s">
        <v>8</v>
      </c>
      <c r="P886">
        <f t="shared" si="1009"/>
        <v>-1.4104372355424717E-3</v>
      </c>
      <c r="Q886">
        <f t="shared" si="1010"/>
        <v>-1801.0918194633359</v>
      </c>
      <c r="R886">
        <f t="shared" si="1011"/>
        <v>-8575180.4310663473</v>
      </c>
      <c r="S886">
        <f t="shared" si="1012"/>
        <v>-85.751804310663474</v>
      </c>
      <c r="T886">
        <f t="shared" si="1013"/>
        <v>-8.5751804310663468E-2</v>
      </c>
    </row>
    <row r="887" spans="1:20" x14ac:dyDescent="0.25">
      <c r="A887" s="5">
        <v>43706</v>
      </c>
      <c r="B887">
        <v>0.11774999999999999</v>
      </c>
      <c r="C887">
        <v>0.11776</v>
      </c>
      <c r="D887">
        <v>0.106</v>
      </c>
      <c r="E887">
        <v>0.11348</v>
      </c>
      <c r="F887">
        <v>1994964.8</v>
      </c>
      <c r="G887">
        <v>0</v>
      </c>
      <c r="L887" t="s">
        <v>7</v>
      </c>
      <c r="M887" t="s">
        <v>7</v>
      </c>
      <c r="N887" t="s">
        <v>8</v>
      </c>
      <c r="P887">
        <f t="shared" si="1009"/>
        <v>0.27210884353741432</v>
      </c>
      <c r="Q887">
        <f t="shared" si="1010"/>
        <v>542847.56462584902</v>
      </c>
      <c r="R887">
        <f t="shared" si="1011"/>
        <v>-8573379.339246884</v>
      </c>
      <c r="S887">
        <f t="shared" si="1012"/>
        <v>-85.73379339246884</v>
      </c>
      <c r="T887">
        <f t="shared" si="1013"/>
        <v>-8.5733793392468838E-2</v>
      </c>
    </row>
    <row r="888" spans="1:20" x14ac:dyDescent="0.25">
      <c r="A888" s="5">
        <v>43705</v>
      </c>
      <c r="B888">
        <v>0.13300000000000001</v>
      </c>
      <c r="C888">
        <v>0.13350000000000001</v>
      </c>
      <c r="D888">
        <v>0.11558</v>
      </c>
      <c r="E888">
        <v>0.11776</v>
      </c>
      <c r="F888">
        <v>2823163.5</v>
      </c>
      <c r="G888">
        <v>0</v>
      </c>
      <c r="L888" t="s">
        <v>7</v>
      </c>
      <c r="M888" t="s">
        <v>8</v>
      </c>
      <c r="N888" t="s">
        <v>8</v>
      </c>
      <c r="P888">
        <f t="shared" si="1009"/>
        <v>-0.75669642857142849</v>
      </c>
      <c r="Q888">
        <f t="shared" si="1010"/>
        <v>-2136277.7377232141</v>
      </c>
      <c r="R888">
        <f t="shared" si="1011"/>
        <v>-9116226.9038727339</v>
      </c>
      <c r="S888">
        <f t="shared" si="1012"/>
        <v>-91.162269038727345</v>
      </c>
      <c r="T888">
        <f t="shared" si="1013"/>
        <v>-9.1162269038727345E-2</v>
      </c>
    </row>
    <row r="889" spans="1:20" x14ac:dyDescent="0.25">
      <c r="A889" s="5">
        <v>43704</v>
      </c>
      <c r="B889">
        <v>0.12051000000000001</v>
      </c>
      <c r="C889">
        <v>0.13346</v>
      </c>
      <c r="D889">
        <v>0.11840000000000001</v>
      </c>
      <c r="E889">
        <v>0.13300000000000001</v>
      </c>
      <c r="F889">
        <v>2514156.7999999998</v>
      </c>
      <c r="G889">
        <v>0</v>
      </c>
      <c r="L889" t="s">
        <v>8</v>
      </c>
      <c r="M889" t="s">
        <v>8</v>
      </c>
      <c r="N889" t="s">
        <v>8</v>
      </c>
      <c r="P889">
        <f t="shared" si="1009"/>
        <v>0.93891102257636272</v>
      </c>
      <c r="Q889">
        <f t="shared" si="1010"/>
        <v>2360569.5320053156</v>
      </c>
      <c r="R889">
        <f t="shared" si="1011"/>
        <v>-6979949.1661495194</v>
      </c>
      <c r="S889">
        <f t="shared" si="1012"/>
        <v>-69.799491661495196</v>
      </c>
      <c r="T889">
        <f t="shared" si="1013"/>
        <v>-6.9799491661495197E-2</v>
      </c>
    </row>
    <row r="890" spans="1:20" x14ac:dyDescent="0.25">
      <c r="A890" s="5">
        <v>43703</v>
      </c>
      <c r="B890">
        <v>0.12403</v>
      </c>
      <c r="C890">
        <v>0.1258</v>
      </c>
      <c r="D890">
        <v>0.1198</v>
      </c>
      <c r="E890">
        <v>0.12051000000000001</v>
      </c>
      <c r="F890">
        <v>897491.7</v>
      </c>
      <c r="G890">
        <v>0</v>
      </c>
      <c r="L890" t="s">
        <v>7</v>
      </c>
      <c r="M890" t="s">
        <v>8</v>
      </c>
      <c r="N890" t="s">
        <v>8</v>
      </c>
      <c r="P890">
        <f t="shared" si="1009"/>
        <v>-0.7633333333333322</v>
      </c>
      <c r="Q890">
        <f t="shared" si="1010"/>
        <v>-685085.33099999896</v>
      </c>
      <c r="R890">
        <f t="shared" si="1011"/>
        <v>-9340518.698154835</v>
      </c>
      <c r="S890">
        <f t="shared" si="1012"/>
        <v>-93.405186981548354</v>
      </c>
      <c r="T890">
        <f t="shared" si="1013"/>
        <v>-9.3405186981548358E-2</v>
      </c>
    </row>
    <row r="891" spans="1:20" x14ac:dyDescent="0.25">
      <c r="A891" s="5">
        <v>43702</v>
      </c>
      <c r="B891">
        <v>0.13003999999999999</v>
      </c>
      <c r="C891">
        <v>0.13500000000000001</v>
      </c>
      <c r="D891">
        <v>0.12102</v>
      </c>
      <c r="E891">
        <v>0.12343</v>
      </c>
      <c r="F891">
        <v>1491172.8</v>
      </c>
      <c r="G891">
        <v>0</v>
      </c>
      <c r="L891" t="s">
        <v>7</v>
      </c>
      <c r="M891" t="s">
        <v>8</v>
      </c>
      <c r="N891" t="s">
        <v>8</v>
      </c>
      <c r="P891">
        <f t="shared" si="1009"/>
        <v>-0.65522174535050148</v>
      </c>
      <c r="Q891">
        <f t="shared" si="1010"/>
        <v>-977048.84463519428</v>
      </c>
      <c r="R891">
        <f t="shared" si="1011"/>
        <v>-8655433.3671548367</v>
      </c>
      <c r="S891">
        <f t="shared" si="1012"/>
        <v>-86.554333671548363</v>
      </c>
      <c r="T891">
        <f t="shared" si="1013"/>
        <v>-8.655433367154837E-2</v>
      </c>
    </row>
    <row r="892" spans="1:20" x14ac:dyDescent="0.25">
      <c r="A892" s="5">
        <v>43701</v>
      </c>
      <c r="B892">
        <v>0.1295</v>
      </c>
      <c r="C892">
        <v>0.13297</v>
      </c>
      <c r="D892">
        <v>0.12620999999999999</v>
      </c>
      <c r="E892">
        <v>0.13025</v>
      </c>
      <c r="F892">
        <v>1056726.1000000001</v>
      </c>
      <c r="G892">
        <v>0</v>
      </c>
      <c r="L892" t="s">
        <v>8</v>
      </c>
      <c r="M892" t="s">
        <v>8</v>
      </c>
      <c r="N892" t="s">
        <v>8</v>
      </c>
      <c r="P892">
        <f t="shared" si="1009"/>
        <v>0.19526627218935097</v>
      </c>
      <c r="Q892">
        <f t="shared" si="1010"/>
        <v>206342.96627219132</v>
      </c>
      <c r="R892">
        <f t="shared" si="1011"/>
        <v>-7678384.5225196425</v>
      </c>
      <c r="S892">
        <f t="shared" si="1012"/>
        <v>-76.78384522519643</v>
      </c>
      <c r="T892">
        <f t="shared" si="1013"/>
        <v>-7.6783845225196434E-2</v>
      </c>
    </row>
    <row r="893" spans="1:20" x14ac:dyDescent="0.25">
      <c r="A893" s="5">
        <v>43700</v>
      </c>
      <c r="B893">
        <v>0.12776000000000001</v>
      </c>
      <c r="C893">
        <v>0.13</v>
      </c>
      <c r="D893">
        <v>0.12504999999999999</v>
      </c>
      <c r="E893">
        <v>0.12881000000000001</v>
      </c>
      <c r="F893">
        <v>1553937.7</v>
      </c>
      <c r="G893">
        <v>0</v>
      </c>
      <c r="L893" t="s">
        <v>8</v>
      </c>
      <c r="M893" t="s">
        <v>8</v>
      </c>
      <c r="N893" t="s">
        <v>8</v>
      </c>
      <c r="P893">
        <f t="shared" si="1009"/>
        <v>0.51919191919192154</v>
      </c>
      <c r="Q893">
        <f t="shared" si="1010"/>
        <v>806791.89676768042</v>
      </c>
      <c r="R893">
        <f t="shared" si="1011"/>
        <v>-7884727.4887918336</v>
      </c>
      <c r="S893">
        <f t="shared" si="1012"/>
        <v>-78.847274887918331</v>
      </c>
      <c r="T893">
        <f t="shared" si="1013"/>
        <v>-7.8847274887918331E-2</v>
      </c>
    </row>
    <row r="894" spans="1:20" x14ac:dyDescent="0.25">
      <c r="A894" s="5">
        <v>43699</v>
      </c>
      <c r="B894">
        <v>0.12511</v>
      </c>
      <c r="C894">
        <v>0.12862000000000001</v>
      </c>
      <c r="D894">
        <v>0.12121999999999999</v>
      </c>
      <c r="E894">
        <v>0.12862000000000001</v>
      </c>
      <c r="F894">
        <v>1077518</v>
      </c>
      <c r="G894">
        <v>0</v>
      </c>
      <c r="L894" t="s">
        <v>8</v>
      </c>
      <c r="M894" t="s">
        <v>8</v>
      </c>
      <c r="N894" t="s">
        <v>8</v>
      </c>
      <c r="P894">
        <f t="shared" si="1009"/>
        <v>1</v>
      </c>
      <c r="Q894">
        <f t="shared" si="1010"/>
        <v>1077518</v>
      </c>
      <c r="R894">
        <f t="shared" si="1011"/>
        <v>-8691519.3855595142</v>
      </c>
      <c r="S894">
        <f t="shared" si="1012"/>
        <v>-86.915193855595135</v>
      </c>
      <c r="T894">
        <f t="shared" si="1013"/>
        <v>-8.6915193855595138E-2</v>
      </c>
    </row>
    <row r="895" spans="1:20" x14ac:dyDescent="0.25">
      <c r="A895" s="5">
        <v>43698</v>
      </c>
      <c r="B895">
        <v>0.1217</v>
      </c>
      <c r="C895">
        <v>0.12675</v>
      </c>
      <c r="D895">
        <v>0.11638</v>
      </c>
      <c r="E895">
        <v>0.12499</v>
      </c>
      <c r="F895">
        <v>1092199.8999999999</v>
      </c>
      <c r="G895">
        <v>0</v>
      </c>
      <c r="L895" t="s">
        <v>7</v>
      </c>
      <c r="M895" t="s">
        <v>8</v>
      </c>
      <c r="N895" t="s">
        <v>8</v>
      </c>
      <c r="P895">
        <f t="shared" ref="P895:P958" si="1014">IF(C895=D895,0,((E895-D895)-(C895-E895))/(C895-D895))</f>
        <v>0.66055930568948951</v>
      </c>
      <c r="Q895">
        <f t="shared" ref="Q895:Q958" si="1015">F895*P895</f>
        <v>721462.80761812977</v>
      </c>
      <c r="R895">
        <f t="shared" ref="R895:R958" si="1016">R896+Q895</f>
        <v>-9769037.3855595142</v>
      </c>
      <c r="S895">
        <f t="shared" ref="S895:S958" si="1017">R895/100000</f>
        <v>-97.690373855595141</v>
      </c>
      <c r="T895">
        <f t="shared" ref="T895:T958" si="1018">S895/1000</f>
        <v>-9.7690373855595147E-2</v>
      </c>
    </row>
    <row r="896" spans="1:20" x14ac:dyDescent="0.25">
      <c r="A896" s="5">
        <v>43697</v>
      </c>
      <c r="B896">
        <v>0.12431</v>
      </c>
      <c r="C896">
        <v>0.12728999999999999</v>
      </c>
      <c r="D896">
        <v>0.11824999999999999</v>
      </c>
      <c r="E896">
        <v>0.12126000000000001</v>
      </c>
      <c r="F896">
        <v>1455839.2</v>
      </c>
      <c r="G896">
        <v>0</v>
      </c>
      <c r="L896" t="s">
        <v>8</v>
      </c>
      <c r="M896" t="s">
        <v>8</v>
      </c>
      <c r="N896" t="s">
        <v>8</v>
      </c>
      <c r="P896">
        <f t="shared" si="1014"/>
        <v>-0.33407079646017362</v>
      </c>
      <c r="Q896">
        <f t="shared" si="1015"/>
        <v>-486353.36106194201</v>
      </c>
      <c r="R896">
        <f t="shared" si="1016"/>
        <v>-10490500.193177644</v>
      </c>
      <c r="S896">
        <f t="shared" si="1017"/>
        <v>-104.90500193177644</v>
      </c>
      <c r="T896">
        <f t="shared" si="1018"/>
        <v>-0.10490500193177645</v>
      </c>
    </row>
    <row r="897" spans="1:20" x14ac:dyDescent="0.25">
      <c r="A897" s="5">
        <v>43696</v>
      </c>
      <c r="B897">
        <v>0.11765</v>
      </c>
      <c r="C897">
        <v>0.12484000000000001</v>
      </c>
      <c r="D897">
        <v>0.11633</v>
      </c>
      <c r="E897">
        <v>0.12478</v>
      </c>
      <c r="F897">
        <v>821809.5</v>
      </c>
      <c r="G897">
        <v>0</v>
      </c>
      <c r="L897" t="s">
        <v>8</v>
      </c>
      <c r="M897" t="s">
        <v>8</v>
      </c>
      <c r="N897" t="s">
        <v>8</v>
      </c>
      <c r="P897">
        <f t="shared" si="1014"/>
        <v>0.98589894242068055</v>
      </c>
      <c r="Q897">
        <f t="shared" si="1015"/>
        <v>810221.11692126829</v>
      </c>
      <c r="R897">
        <f t="shared" si="1016"/>
        <v>-10004146.832115702</v>
      </c>
      <c r="S897">
        <f t="shared" si="1017"/>
        <v>-100.04146832115703</v>
      </c>
      <c r="T897">
        <f t="shared" si="1018"/>
        <v>-0.10004146832115703</v>
      </c>
    </row>
    <row r="898" spans="1:20" x14ac:dyDescent="0.25">
      <c r="A898" s="5">
        <v>43695</v>
      </c>
      <c r="B898">
        <v>0.11484999999999999</v>
      </c>
      <c r="C898">
        <v>0.12028999999999999</v>
      </c>
      <c r="D898">
        <v>0.113</v>
      </c>
      <c r="E898">
        <v>0.11776</v>
      </c>
      <c r="F898">
        <v>492524.7</v>
      </c>
      <c r="G898">
        <v>0</v>
      </c>
      <c r="L898" t="s">
        <v>8</v>
      </c>
      <c r="M898" t="s">
        <v>7</v>
      </c>
      <c r="N898" t="s">
        <v>8</v>
      </c>
      <c r="P898">
        <f t="shared" si="1014"/>
        <v>0.305898491083678</v>
      </c>
      <c r="Q898">
        <f t="shared" si="1015"/>
        <v>150662.56255144119</v>
      </c>
      <c r="R898">
        <f t="shared" si="1016"/>
        <v>-10814367.949036971</v>
      </c>
      <c r="S898">
        <f t="shared" si="1017"/>
        <v>-108.14367949036971</v>
      </c>
      <c r="T898">
        <f t="shared" si="1018"/>
        <v>-0.10814367949036971</v>
      </c>
    </row>
    <row r="899" spans="1:20" x14ac:dyDescent="0.25">
      <c r="A899" s="5">
        <v>43694</v>
      </c>
      <c r="B899">
        <v>0.11391999999999999</v>
      </c>
      <c r="C899">
        <v>0.11627999999999999</v>
      </c>
      <c r="D899">
        <v>0.10920000000000001</v>
      </c>
      <c r="E899">
        <v>0.11549</v>
      </c>
      <c r="F899">
        <v>656414.9</v>
      </c>
      <c r="G899">
        <v>0</v>
      </c>
      <c r="L899" t="s">
        <v>8</v>
      </c>
      <c r="M899" t="s">
        <v>7</v>
      </c>
      <c r="N899" t="s">
        <v>8</v>
      </c>
      <c r="P899">
        <f t="shared" si="1014"/>
        <v>0.77683615819209029</v>
      </c>
      <c r="Q899">
        <f t="shared" si="1015"/>
        <v>509926.82909604517</v>
      </c>
      <c r="R899">
        <f t="shared" si="1016"/>
        <v>-10965030.511588411</v>
      </c>
      <c r="S899">
        <f t="shared" si="1017"/>
        <v>-109.65030511588411</v>
      </c>
      <c r="T899">
        <f t="shared" si="1018"/>
        <v>-0.10965030511588411</v>
      </c>
    </row>
    <row r="900" spans="1:20" x14ac:dyDescent="0.25">
      <c r="A900" s="5">
        <v>43693</v>
      </c>
      <c r="B900">
        <v>0.11092</v>
      </c>
      <c r="C900">
        <v>0.1138</v>
      </c>
      <c r="D900">
        <v>0.1056</v>
      </c>
      <c r="E900">
        <v>0.1138</v>
      </c>
      <c r="F900">
        <v>1032965</v>
      </c>
      <c r="G900">
        <v>0</v>
      </c>
      <c r="L900" t="s">
        <v>8</v>
      </c>
      <c r="M900" t="s">
        <v>7</v>
      </c>
      <c r="N900" t="s">
        <v>8</v>
      </c>
      <c r="P900">
        <f t="shared" si="1014"/>
        <v>1</v>
      </c>
      <c r="Q900">
        <f t="shared" si="1015"/>
        <v>1032965</v>
      </c>
      <c r="R900">
        <f t="shared" si="1016"/>
        <v>-11474957.340684457</v>
      </c>
      <c r="S900">
        <f t="shared" si="1017"/>
        <v>-114.74957340684456</v>
      </c>
      <c r="T900">
        <f t="shared" si="1018"/>
        <v>-0.11474957340684457</v>
      </c>
    </row>
    <row r="901" spans="1:20" x14ac:dyDescent="0.25">
      <c r="A901" s="5">
        <v>43692</v>
      </c>
      <c r="B901">
        <v>0.10803</v>
      </c>
      <c r="C901">
        <v>0.11211</v>
      </c>
      <c r="D901">
        <v>0.10471</v>
      </c>
      <c r="E901">
        <v>0.11193</v>
      </c>
      <c r="F901">
        <v>712854.7</v>
      </c>
      <c r="G901">
        <v>0</v>
      </c>
      <c r="L901" t="s">
        <v>7</v>
      </c>
      <c r="M901" t="s">
        <v>7</v>
      </c>
      <c r="N901" t="s">
        <v>8</v>
      </c>
      <c r="P901">
        <f t="shared" si="1014"/>
        <v>0.95135135135135152</v>
      </c>
      <c r="Q901">
        <f t="shared" si="1015"/>
        <v>678175.28216216224</v>
      </c>
      <c r="R901">
        <f t="shared" si="1016"/>
        <v>-12507922.340684457</v>
      </c>
      <c r="S901">
        <f t="shared" si="1017"/>
        <v>-125.07922340684456</v>
      </c>
      <c r="T901">
        <f t="shared" si="1018"/>
        <v>-0.12507922340684458</v>
      </c>
    </row>
    <row r="902" spans="1:20" x14ac:dyDescent="0.25">
      <c r="A902" s="5">
        <v>43691</v>
      </c>
      <c r="B902">
        <v>0.12025</v>
      </c>
      <c r="C902">
        <v>0.12127</v>
      </c>
      <c r="D902">
        <v>0.1065</v>
      </c>
      <c r="E902">
        <v>0.10797</v>
      </c>
      <c r="F902">
        <v>1637597.3</v>
      </c>
      <c r="G902">
        <v>0</v>
      </c>
      <c r="L902" t="s">
        <v>7</v>
      </c>
      <c r="M902" t="s">
        <v>7</v>
      </c>
      <c r="N902" t="s">
        <v>8</v>
      </c>
      <c r="P902">
        <f t="shared" si="1014"/>
        <v>-0.80094786729857836</v>
      </c>
      <c r="Q902">
        <f t="shared" si="1015"/>
        <v>-1311630.0649289102</v>
      </c>
      <c r="R902">
        <f t="shared" si="1016"/>
        <v>-13186097.622846618</v>
      </c>
      <c r="S902">
        <f t="shared" si="1017"/>
        <v>-131.86097622846617</v>
      </c>
      <c r="T902">
        <f t="shared" si="1018"/>
        <v>-0.13186097622846618</v>
      </c>
    </row>
    <row r="903" spans="1:20" x14ac:dyDescent="0.25">
      <c r="A903" s="5">
        <v>43690</v>
      </c>
      <c r="B903">
        <v>0.12864</v>
      </c>
      <c r="C903">
        <v>0.12864</v>
      </c>
      <c r="D903">
        <v>0.11935999999999999</v>
      </c>
      <c r="E903">
        <v>0.12025</v>
      </c>
      <c r="F903">
        <v>1584941.6</v>
      </c>
      <c r="G903">
        <v>0</v>
      </c>
      <c r="L903" t="s">
        <v>7</v>
      </c>
      <c r="M903" t="s">
        <v>7</v>
      </c>
      <c r="N903" t="s">
        <v>8</v>
      </c>
      <c r="P903">
        <f t="shared" si="1014"/>
        <v>-0.80818965517241359</v>
      </c>
      <c r="Q903">
        <f t="shared" si="1015"/>
        <v>-1280933.4051724134</v>
      </c>
      <c r="R903">
        <f t="shared" si="1016"/>
        <v>-11874467.557917709</v>
      </c>
      <c r="S903">
        <f t="shared" si="1017"/>
        <v>-118.74467557917708</v>
      </c>
      <c r="T903">
        <f t="shared" si="1018"/>
        <v>-0.11874467557917709</v>
      </c>
    </row>
    <row r="904" spans="1:20" x14ac:dyDescent="0.25">
      <c r="A904" s="5">
        <v>43689</v>
      </c>
      <c r="B904">
        <v>0.11771</v>
      </c>
      <c r="C904">
        <v>0.12917999999999999</v>
      </c>
      <c r="D904">
        <v>0.11701</v>
      </c>
      <c r="E904">
        <v>0.12859000000000001</v>
      </c>
      <c r="F904">
        <v>4671895.9000000004</v>
      </c>
      <c r="G904">
        <v>0</v>
      </c>
      <c r="L904" t="s">
        <v>8</v>
      </c>
      <c r="M904" t="s">
        <v>7</v>
      </c>
      <c r="N904" t="s">
        <v>8</v>
      </c>
      <c r="P904">
        <f t="shared" si="1014"/>
        <v>0.90304026294166306</v>
      </c>
      <c r="Q904">
        <f t="shared" si="1015"/>
        <v>4218910.101972078</v>
      </c>
      <c r="R904">
        <f t="shared" si="1016"/>
        <v>-10593534.152745295</v>
      </c>
      <c r="S904">
        <f t="shared" si="1017"/>
        <v>-105.93534152745295</v>
      </c>
      <c r="T904">
        <f t="shared" si="1018"/>
        <v>-0.10593534152745294</v>
      </c>
    </row>
    <row r="905" spans="1:20" x14ac:dyDescent="0.25">
      <c r="A905" s="5">
        <v>43688</v>
      </c>
      <c r="B905">
        <v>0.11584999999999999</v>
      </c>
      <c r="C905">
        <v>0.121</v>
      </c>
      <c r="D905">
        <v>0.11583</v>
      </c>
      <c r="E905">
        <v>0.11765</v>
      </c>
      <c r="F905">
        <v>1128943.2</v>
      </c>
      <c r="G905">
        <v>0</v>
      </c>
      <c r="L905" t="s">
        <v>8</v>
      </c>
      <c r="M905" t="s">
        <v>7</v>
      </c>
      <c r="N905" t="s">
        <v>8</v>
      </c>
      <c r="P905">
        <f t="shared" si="1014"/>
        <v>-0.29593810444874108</v>
      </c>
      <c r="Q905">
        <f t="shared" si="1015"/>
        <v>-334097.31063829595</v>
      </c>
      <c r="R905">
        <f t="shared" si="1016"/>
        <v>-14812444.254717372</v>
      </c>
      <c r="S905">
        <f t="shared" si="1017"/>
        <v>-148.12444254717371</v>
      </c>
      <c r="T905">
        <f t="shared" si="1018"/>
        <v>-0.14812444254717372</v>
      </c>
    </row>
    <row r="906" spans="1:20" x14ac:dyDescent="0.25">
      <c r="A906" s="5">
        <v>43687</v>
      </c>
      <c r="B906">
        <v>0.11544</v>
      </c>
      <c r="C906">
        <v>0.11774</v>
      </c>
      <c r="D906">
        <v>0.11131000000000001</v>
      </c>
      <c r="E906">
        <v>0.11617</v>
      </c>
      <c r="F906">
        <v>538875.30000000005</v>
      </c>
      <c r="G906">
        <v>0</v>
      </c>
      <c r="L906" t="s">
        <v>7</v>
      </c>
      <c r="M906" t="s">
        <v>7</v>
      </c>
      <c r="N906" t="s">
        <v>8</v>
      </c>
      <c r="P906">
        <f t="shared" si="1014"/>
        <v>0.51166407465007646</v>
      </c>
      <c r="Q906">
        <f t="shared" si="1015"/>
        <v>275723.13172628236</v>
      </c>
      <c r="R906">
        <f t="shared" si="1016"/>
        <v>-14478346.944079077</v>
      </c>
      <c r="S906">
        <f t="shared" si="1017"/>
        <v>-144.78346944079078</v>
      </c>
      <c r="T906">
        <f t="shared" si="1018"/>
        <v>-0.14478346944079079</v>
      </c>
    </row>
    <row r="907" spans="1:20" x14ac:dyDescent="0.25">
      <c r="A907" s="5">
        <v>43686</v>
      </c>
      <c r="B907">
        <v>0.12078999999999999</v>
      </c>
      <c r="C907">
        <v>0.12236</v>
      </c>
      <c r="D907">
        <v>0.11376</v>
      </c>
      <c r="E907">
        <v>0.11541</v>
      </c>
      <c r="F907">
        <v>776797.8</v>
      </c>
      <c r="G907">
        <v>0</v>
      </c>
      <c r="L907" t="s">
        <v>7</v>
      </c>
      <c r="M907" t="s">
        <v>7</v>
      </c>
      <c r="N907" t="s">
        <v>8</v>
      </c>
      <c r="P907">
        <f t="shared" si="1014"/>
        <v>-0.61627906976744196</v>
      </c>
      <c r="Q907">
        <f t="shared" si="1015"/>
        <v>-478724.22558139544</v>
      </c>
      <c r="R907">
        <f t="shared" si="1016"/>
        <v>-14754070.075805359</v>
      </c>
      <c r="S907">
        <f t="shared" si="1017"/>
        <v>-147.54070075805359</v>
      </c>
      <c r="T907">
        <f t="shared" si="1018"/>
        <v>-0.14754070075805359</v>
      </c>
    </row>
    <row r="908" spans="1:20" x14ac:dyDescent="0.25">
      <c r="A908" s="5">
        <v>43685</v>
      </c>
      <c r="B908">
        <v>0.11898</v>
      </c>
      <c r="C908">
        <v>0.12195</v>
      </c>
      <c r="D908">
        <v>0.11602999999999999</v>
      </c>
      <c r="E908">
        <v>0.12049</v>
      </c>
      <c r="F908">
        <v>986774.5</v>
      </c>
      <c r="G908">
        <v>0</v>
      </c>
      <c r="L908" t="s">
        <v>7</v>
      </c>
      <c r="M908" t="s">
        <v>7</v>
      </c>
      <c r="N908" t="s">
        <v>8</v>
      </c>
      <c r="P908">
        <f t="shared" si="1014"/>
        <v>0.50675675675675647</v>
      </c>
      <c r="Q908">
        <f t="shared" si="1015"/>
        <v>500054.64527027</v>
      </c>
      <c r="R908">
        <f t="shared" si="1016"/>
        <v>-14275345.850223962</v>
      </c>
      <c r="S908">
        <f t="shared" si="1017"/>
        <v>-142.75345850223962</v>
      </c>
      <c r="T908">
        <f t="shared" si="1018"/>
        <v>-0.14275345850223961</v>
      </c>
    </row>
    <row r="909" spans="1:20" x14ac:dyDescent="0.25">
      <c r="A909" s="5">
        <v>43684</v>
      </c>
      <c r="B909">
        <v>0.12324</v>
      </c>
      <c r="C909">
        <v>0.12386999999999999</v>
      </c>
      <c r="D909">
        <v>0.1172</v>
      </c>
      <c r="E909">
        <v>0.11889</v>
      </c>
      <c r="F909">
        <v>2179681.2000000002</v>
      </c>
      <c r="G909">
        <v>0</v>
      </c>
      <c r="L909" t="s">
        <v>7</v>
      </c>
      <c r="M909" t="s">
        <v>8</v>
      </c>
      <c r="N909" t="s">
        <v>8</v>
      </c>
      <c r="P909">
        <f t="shared" si="1014"/>
        <v>-0.49325337331334385</v>
      </c>
      <c r="Q909">
        <f t="shared" si="1015"/>
        <v>-1075135.1046476774</v>
      </c>
      <c r="R909">
        <f t="shared" si="1016"/>
        <v>-14775400.495494232</v>
      </c>
      <c r="S909">
        <f t="shared" si="1017"/>
        <v>-147.7540049549423</v>
      </c>
      <c r="T909">
        <f t="shared" si="1018"/>
        <v>-0.14775400495494231</v>
      </c>
    </row>
    <row r="910" spans="1:20" x14ac:dyDescent="0.25">
      <c r="A910" s="5">
        <v>43683</v>
      </c>
      <c r="B910">
        <v>0.12973000000000001</v>
      </c>
      <c r="C910">
        <v>0.13053000000000001</v>
      </c>
      <c r="D910">
        <v>0.12121999999999999</v>
      </c>
      <c r="E910">
        <v>0.12324</v>
      </c>
      <c r="F910">
        <v>1177505.2</v>
      </c>
      <c r="G910">
        <v>0</v>
      </c>
      <c r="L910" t="s">
        <v>7</v>
      </c>
      <c r="M910" t="s">
        <v>8</v>
      </c>
      <c r="N910" t="s">
        <v>8</v>
      </c>
      <c r="P910">
        <f t="shared" si="1014"/>
        <v>-0.56605800214822666</v>
      </c>
      <c r="Q910">
        <f t="shared" si="1015"/>
        <v>-666536.24103114801</v>
      </c>
      <c r="R910">
        <f t="shared" si="1016"/>
        <v>-13700265.390846554</v>
      </c>
      <c r="S910">
        <f t="shared" si="1017"/>
        <v>-137.00265390846553</v>
      </c>
      <c r="T910">
        <f t="shared" si="1018"/>
        <v>-0.13700265390846553</v>
      </c>
    </row>
    <row r="911" spans="1:20" x14ac:dyDescent="0.25">
      <c r="A911" s="5">
        <v>43682</v>
      </c>
      <c r="B911">
        <v>0.1255</v>
      </c>
      <c r="C911">
        <v>0.13264000000000001</v>
      </c>
      <c r="D911">
        <v>0.1255</v>
      </c>
      <c r="E911">
        <v>0.12973000000000001</v>
      </c>
      <c r="F911">
        <v>2160167.5</v>
      </c>
      <c r="G911">
        <v>0</v>
      </c>
      <c r="L911" t="s">
        <v>7</v>
      </c>
      <c r="M911" t="s">
        <v>8</v>
      </c>
      <c r="N911" t="s">
        <v>8</v>
      </c>
      <c r="P911">
        <f t="shared" si="1014"/>
        <v>0.18487394957983391</v>
      </c>
      <c r="Q911">
        <f t="shared" si="1015"/>
        <v>399358.69747899589</v>
      </c>
      <c r="R911">
        <f t="shared" si="1016"/>
        <v>-13033729.149815407</v>
      </c>
      <c r="S911">
        <f t="shared" si="1017"/>
        <v>-130.33729149815406</v>
      </c>
      <c r="T911">
        <f t="shared" si="1018"/>
        <v>-0.13033729149815407</v>
      </c>
    </row>
    <row r="912" spans="1:20" x14ac:dyDescent="0.25">
      <c r="A912" s="5">
        <v>43681</v>
      </c>
      <c r="B912">
        <v>0.12817000000000001</v>
      </c>
      <c r="C912">
        <v>0.12876000000000001</v>
      </c>
      <c r="D912">
        <v>0.12364</v>
      </c>
      <c r="E912">
        <v>0.12548999999999999</v>
      </c>
      <c r="F912">
        <v>516259.5</v>
      </c>
      <c r="G912">
        <v>0</v>
      </c>
      <c r="L912" t="s">
        <v>7</v>
      </c>
      <c r="M912" t="s">
        <v>8</v>
      </c>
      <c r="N912" t="s">
        <v>8</v>
      </c>
      <c r="P912">
        <f t="shared" si="1014"/>
        <v>-0.27734375000000561</v>
      </c>
      <c r="Q912">
        <f t="shared" si="1015"/>
        <v>-143181.34570312788</v>
      </c>
      <c r="R912">
        <f t="shared" si="1016"/>
        <v>-13433087.847294403</v>
      </c>
      <c r="S912">
        <f t="shared" si="1017"/>
        <v>-134.33087847294402</v>
      </c>
      <c r="T912">
        <f t="shared" si="1018"/>
        <v>-0.13433087847294403</v>
      </c>
    </row>
    <row r="913" spans="1:20" x14ac:dyDescent="0.25">
      <c r="A913" s="5">
        <v>43680</v>
      </c>
      <c r="B913">
        <v>0.13177</v>
      </c>
      <c r="C913">
        <v>0.13455</v>
      </c>
      <c r="D913">
        <v>0.12561</v>
      </c>
      <c r="E913">
        <v>0.12805</v>
      </c>
      <c r="F913">
        <v>1333356</v>
      </c>
      <c r="G913">
        <v>0</v>
      </c>
      <c r="L913" t="s">
        <v>7</v>
      </c>
      <c r="M913" t="s">
        <v>8</v>
      </c>
      <c r="N913" t="s">
        <v>8</v>
      </c>
      <c r="P913">
        <f t="shared" si="1014"/>
        <v>-0.45413870246085081</v>
      </c>
      <c r="Q913">
        <f t="shared" si="1015"/>
        <v>-605528.56375839014</v>
      </c>
      <c r="R913">
        <f t="shared" si="1016"/>
        <v>-13289906.501591275</v>
      </c>
      <c r="S913">
        <f t="shared" si="1017"/>
        <v>-132.89906501591275</v>
      </c>
      <c r="T913">
        <f t="shared" si="1018"/>
        <v>-0.13289906501591275</v>
      </c>
    </row>
    <row r="914" spans="1:20" x14ac:dyDescent="0.25">
      <c r="A914" s="5">
        <v>43679</v>
      </c>
      <c r="B914">
        <v>0.12961</v>
      </c>
      <c r="C914">
        <v>0.13456000000000001</v>
      </c>
      <c r="D914">
        <v>0.1275</v>
      </c>
      <c r="E914">
        <v>0.13217000000000001</v>
      </c>
      <c r="F914">
        <v>1403721.6</v>
      </c>
      <c r="G914">
        <v>0</v>
      </c>
      <c r="L914" t="s">
        <v>7</v>
      </c>
      <c r="M914" t="s">
        <v>8</v>
      </c>
      <c r="N914" t="s">
        <v>8</v>
      </c>
      <c r="P914">
        <f t="shared" si="1014"/>
        <v>0.32294617563739386</v>
      </c>
      <c r="Q914">
        <f t="shared" si="1015"/>
        <v>453326.52237960359</v>
      </c>
      <c r="R914">
        <f t="shared" si="1016"/>
        <v>-12684377.937832884</v>
      </c>
      <c r="S914">
        <f t="shared" si="1017"/>
        <v>-126.84377937832885</v>
      </c>
      <c r="T914">
        <f t="shared" si="1018"/>
        <v>-0.12684377937832886</v>
      </c>
    </row>
    <row r="915" spans="1:20" x14ac:dyDescent="0.25">
      <c r="A915" s="5">
        <v>43678</v>
      </c>
      <c r="B915">
        <v>0.14038999999999999</v>
      </c>
      <c r="C915">
        <v>0.14099999999999999</v>
      </c>
      <c r="D915">
        <v>0.12922</v>
      </c>
      <c r="E915">
        <v>0.12964999999999999</v>
      </c>
      <c r="F915">
        <v>3910116.1</v>
      </c>
      <c r="G915">
        <v>0</v>
      </c>
      <c r="L915" t="s">
        <v>8</v>
      </c>
      <c r="M915" t="s">
        <v>8</v>
      </c>
      <c r="N915" t="s">
        <v>8</v>
      </c>
      <c r="P915">
        <f t="shared" si="1014"/>
        <v>-0.9269949066213945</v>
      </c>
      <c r="Q915">
        <f t="shared" si="1015"/>
        <v>-3624657.7089983113</v>
      </c>
      <c r="R915">
        <f t="shared" si="1016"/>
        <v>-13137704.460212488</v>
      </c>
      <c r="S915">
        <f t="shared" si="1017"/>
        <v>-131.37704460212487</v>
      </c>
      <c r="T915">
        <f t="shared" si="1018"/>
        <v>-0.13137704460212488</v>
      </c>
    </row>
    <row r="916" spans="1:20" x14ac:dyDescent="0.25">
      <c r="A916" s="5">
        <v>43677</v>
      </c>
      <c r="B916">
        <v>0.12311</v>
      </c>
      <c r="C916">
        <v>0.14038999999999999</v>
      </c>
      <c r="D916">
        <v>0.12203</v>
      </c>
      <c r="E916">
        <v>0.14022000000000001</v>
      </c>
      <c r="F916">
        <v>2977224.4</v>
      </c>
      <c r="G916">
        <v>0</v>
      </c>
      <c r="L916" t="s">
        <v>8</v>
      </c>
      <c r="M916" t="s">
        <v>8</v>
      </c>
      <c r="N916" t="s">
        <v>8</v>
      </c>
      <c r="P916">
        <f t="shared" si="1014"/>
        <v>0.98148148148148406</v>
      </c>
      <c r="Q916">
        <f t="shared" si="1015"/>
        <v>2922090.6148148226</v>
      </c>
      <c r="R916">
        <f t="shared" si="1016"/>
        <v>-9513046.7512141764</v>
      </c>
      <c r="S916">
        <f t="shared" si="1017"/>
        <v>-95.130467512141763</v>
      </c>
      <c r="T916">
        <f t="shared" si="1018"/>
        <v>-9.513046751214177E-2</v>
      </c>
    </row>
    <row r="917" spans="1:20" x14ac:dyDescent="0.25">
      <c r="A917" s="5">
        <v>43676</v>
      </c>
      <c r="B917">
        <v>0.12418999999999999</v>
      </c>
      <c r="C917">
        <v>0.12637999999999999</v>
      </c>
      <c r="D917">
        <v>0.12087000000000001</v>
      </c>
      <c r="E917">
        <v>0.12303</v>
      </c>
      <c r="F917">
        <v>1240486.1000000001</v>
      </c>
      <c r="G917">
        <v>0</v>
      </c>
      <c r="L917" t="s">
        <v>8</v>
      </c>
      <c r="M917" t="s">
        <v>8</v>
      </c>
      <c r="N917" t="s">
        <v>8</v>
      </c>
      <c r="P917">
        <f t="shared" si="1014"/>
        <v>-0.21597096188747719</v>
      </c>
      <c r="Q917">
        <f t="shared" si="1015"/>
        <v>-267908.97622504522</v>
      </c>
      <c r="R917">
        <f t="shared" si="1016"/>
        <v>-12435137.366028998</v>
      </c>
      <c r="S917">
        <f t="shared" si="1017"/>
        <v>-124.35137366028998</v>
      </c>
      <c r="T917">
        <f t="shared" si="1018"/>
        <v>-0.12435137366028998</v>
      </c>
    </row>
    <row r="918" spans="1:20" x14ac:dyDescent="0.25">
      <c r="A918" s="5">
        <v>43675</v>
      </c>
      <c r="B918">
        <v>0.12339</v>
      </c>
      <c r="C918">
        <v>0.12776999999999999</v>
      </c>
      <c r="D918">
        <v>0.12189999999999999</v>
      </c>
      <c r="E918">
        <v>0.12483</v>
      </c>
      <c r="F918">
        <v>1201046.6000000001</v>
      </c>
      <c r="G918">
        <v>0</v>
      </c>
      <c r="L918" t="s">
        <v>8</v>
      </c>
      <c r="M918" t="s">
        <v>8</v>
      </c>
      <c r="N918" t="s">
        <v>8</v>
      </c>
      <c r="P918">
        <f t="shared" si="1014"/>
        <v>-1.7035775127761709E-3</v>
      </c>
      <c r="Q918">
        <f t="shared" si="1015"/>
        <v>-2046.0759795562767</v>
      </c>
      <c r="R918">
        <f t="shared" si="1016"/>
        <v>-12167228.389803953</v>
      </c>
      <c r="S918">
        <f t="shared" si="1017"/>
        <v>-121.67228389803954</v>
      </c>
      <c r="T918">
        <f t="shared" si="1018"/>
        <v>-0.12167228389803954</v>
      </c>
    </row>
    <row r="919" spans="1:20" x14ac:dyDescent="0.25">
      <c r="A919" s="5">
        <v>43674</v>
      </c>
      <c r="B919">
        <v>0.12554999999999999</v>
      </c>
      <c r="C919">
        <v>0.12692000000000001</v>
      </c>
      <c r="D919">
        <v>0.11815000000000001</v>
      </c>
      <c r="E919">
        <v>0.12388</v>
      </c>
      <c r="F919">
        <v>1404547.9</v>
      </c>
      <c r="G919">
        <v>0</v>
      </c>
      <c r="L919" t="s">
        <v>7</v>
      </c>
      <c r="M919" t="s">
        <v>8</v>
      </c>
      <c r="N919" t="s">
        <v>8</v>
      </c>
      <c r="P919">
        <f t="shared" si="1014"/>
        <v>0.30672748004560979</v>
      </c>
      <c r="Q919">
        <f t="shared" si="1015"/>
        <v>430813.43797035312</v>
      </c>
      <c r="R919">
        <f t="shared" si="1016"/>
        <v>-12165182.313824397</v>
      </c>
      <c r="S919">
        <f t="shared" si="1017"/>
        <v>-121.65182313824397</v>
      </c>
      <c r="T919">
        <f t="shared" si="1018"/>
        <v>-0.12165182313824396</v>
      </c>
    </row>
    <row r="920" spans="1:20" x14ac:dyDescent="0.25">
      <c r="A920" s="5">
        <v>43673</v>
      </c>
      <c r="B920">
        <v>0.1255</v>
      </c>
      <c r="C920">
        <v>0.13109999999999999</v>
      </c>
      <c r="D920">
        <v>0.12035</v>
      </c>
      <c r="E920">
        <v>0.12553</v>
      </c>
      <c r="F920">
        <v>2323494.7000000002</v>
      </c>
      <c r="G920">
        <v>0</v>
      </c>
      <c r="L920" t="s">
        <v>8</v>
      </c>
      <c r="M920" t="s">
        <v>8</v>
      </c>
      <c r="N920" t="s">
        <v>8</v>
      </c>
      <c r="P920">
        <f t="shared" si="1014"/>
        <v>-3.6279069767440719E-2</v>
      </c>
      <c r="Q920">
        <f t="shared" si="1015"/>
        <v>-84294.226325578755</v>
      </c>
      <c r="R920">
        <f t="shared" si="1016"/>
        <v>-12595995.75179475</v>
      </c>
      <c r="S920">
        <f t="shared" si="1017"/>
        <v>-125.9599575179475</v>
      </c>
      <c r="T920">
        <f t="shared" si="1018"/>
        <v>-0.1259599575179475</v>
      </c>
    </row>
    <row r="921" spans="1:20" x14ac:dyDescent="0.25">
      <c r="A921" s="5">
        <v>43672</v>
      </c>
      <c r="B921">
        <v>0.12778</v>
      </c>
      <c r="C921">
        <v>0.12778</v>
      </c>
      <c r="D921">
        <v>0.12214999999999999</v>
      </c>
      <c r="E921">
        <v>0.12497</v>
      </c>
      <c r="F921">
        <v>1201841.7</v>
      </c>
      <c r="G921">
        <v>0</v>
      </c>
      <c r="L921" t="s">
        <v>7</v>
      </c>
      <c r="M921" t="s">
        <v>8</v>
      </c>
      <c r="N921" t="s">
        <v>8</v>
      </c>
      <c r="P921">
        <f t="shared" si="1014"/>
        <v>1.7761989342799476E-3</v>
      </c>
      <c r="Q921">
        <f t="shared" si="1015"/>
        <v>2134.7099467132002</v>
      </c>
      <c r="R921">
        <f t="shared" si="1016"/>
        <v>-12511701.525469171</v>
      </c>
      <c r="S921">
        <f t="shared" si="1017"/>
        <v>-125.11701525469171</v>
      </c>
      <c r="T921">
        <f t="shared" si="1018"/>
        <v>-0.12511701525469171</v>
      </c>
    </row>
    <row r="922" spans="1:20" x14ac:dyDescent="0.25">
      <c r="A922" s="5">
        <v>43671</v>
      </c>
      <c r="B922">
        <v>0.11848</v>
      </c>
      <c r="C922">
        <v>0.13519999999999999</v>
      </c>
      <c r="D922">
        <v>0.11824</v>
      </c>
      <c r="E922">
        <v>0.12853000000000001</v>
      </c>
      <c r="F922">
        <v>2971694</v>
      </c>
      <c r="G922">
        <v>0</v>
      </c>
      <c r="L922" t="s">
        <v>8</v>
      </c>
      <c r="M922" t="s">
        <v>8</v>
      </c>
      <c r="N922" t="s">
        <v>8</v>
      </c>
      <c r="P922">
        <f t="shared" si="1014"/>
        <v>0.21344339622641675</v>
      </c>
      <c r="Q922">
        <f t="shared" si="1015"/>
        <v>634288.45990566525</v>
      </c>
      <c r="R922">
        <f t="shared" si="1016"/>
        <v>-12513836.235415883</v>
      </c>
      <c r="S922">
        <f t="shared" si="1017"/>
        <v>-125.13836235415883</v>
      </c>
      <c r="T922">
        <f t="shared" si="1018"/>
        <v>-0.12513836235415882</v>
      </c>
    </row>
    <row r="923" spans="1:20" x14ac:dyDescent="0.25">
      <c r="A923" s="5">
        <v>43670</v>
      </c>
      <c r="B923">
        <v>0.11885</v>
      </c>
      <c r="C923">
        <v>0.12077</v>
      </c>
      <c r="D923">
        <v>0.11332</v>
      </c>
      <c r="E923">
        <v>0.11931</v>
      </c>
      <c r="F923">
        <v>1687876.4</v>
      </c>
      <c r="G923">
        <v>0</v>
      </c>
      <c r="L923" t="s">
        <v>7</v>
      </c>
      <c r="M923" t="s">
        <v>8</v>
      </c>
      <c r="N923" t="s">
        <v>8</v>
      </c>
      <c r="P923">
        <f t="shared" si="1014"/>
        <v>0.60805369127516695</v>
      </c>
      <c r="Q923">
        <f t="shared" si="1015"/>
        <v>1026319.4754362402</v>
      </c>
      <c r="R923">
        <f t="shared" si="1016"/>
        <v>-13148124.695321549</v>
      </c>
      <c r="S923">
        <f t="shared" si="1017"/>
        <v>-131.48124695321548</v>
      </c>
      <c r="T923">
        <f t="shared" si="1018"/>
        <v>-0.13148124695321547</v>
      </c>
    </row>
    <row r="924" spans="1:20" x14ac:dyDescent="0.25">
      <c r="A924" s="5">
        <v>43669</v>
      </c>
      <c r="B924">
        <v>0.12751000000000001</v>
      </c>
      <c r="C924">
        <v>0.13181999999999999</v>
      </c>
      <c r="D924">
        <v>0.11763999999999999</v>
      </c>
      <c r="E924">
        <v>0.11885</v>
      </c>
      <c r="F924">
        <v>4648015.8</v>
      </c>
      <c r="G924">
        <v>0</v>
      </c>
      <c r="L924" t="s">
        <v>8</v>
      </c>
      <c r="M924" t="s">
        <v>8</v>
      </c>
      <c r="N924" t="s">
        <v>8</v>
      </c>
      <c r="P924">
        <f t="shared" si="1014"/>
        <v>-0.82933709449929438</v>
      </c>
      <c r="Q924">
        <f t="shared" si="1015"/>
        <v>-3854771.9187588133</v>
      </c>
      <c r="R924">
        <f t="shared" si="1016"/>
        <v>-14174444.170757789</v>
      </c>
      <c r="S924">
        <f t="shared" si="1017"/>
        <v>-141.74444170757789</v>
      </c>
      <c r="T924">
        <f t="shared" si="1018"/>
        <v>-0.14174444170757788</v>
      </c>
    </row>
    <row r="925" spans="1:20" x14ac:dyDescent="0.25">
      <c r="A925" s="5">
        <v>43668</v>
      </c>
      <c r="B925">
        <v>0.12196</v>
      </c>
      <c r="C925">
        <v>0.12931000000000001</v>
      </c>
      <c r="D925">
        <v>0.12102</v>
      </c>
      <c r="E925">
        <v>0.12797</v>
      </c>
      <c r="F925">
        <v>4185236.8</v>
      </c>
      <c r="G925">
        <v>0</v>
      </c>
      <c r="L925" t="s">
        <v>8</v>
      </c>
      <c r="M925" t="s">
        <v>8</v>
      </c>
      <c r="N925" t="s">
        <v>8</v>
      </c>
      <c r="P925">
        <f t="shared" si="1014"/>
        <v>0.67671893848009479</v>
      </c>
      <c r="Q925">
        <f t="shared" si="1015"/>
        <v>2832229.0045838286</v>
      </c>
      <c r="R925">
        <f t="shared" si="1016"/>
        <v>-10319672.251998976</v>
      </c>
      <c r="S925">
        <f t="shared" si="1017"/>
        <v>-103.19672251998976</v>
      </c>
      <c r="T925">
        <f t="shared" si="1018"/>
        <v>-0.10319672251998976</v>
      </c>
    </row>
    <row r="926" spans="1:20" x14ac:dyDescent="0.25">
      <c r="A926" s="5">
        <v>43667</v>
      </c>
      <c r="B926">
        <v>0.12053999999999999</v>
      </c>
      <c r="C926">
        <v>0.12469</v>
      </c>
      <c r="D926">
        <v>0.11713</v>
      </c>
      <c r="E926">
        <v>0.12195</v>
      </c>
      <c r="F926">
        <v>1591514</v>
      </c>
      <c r="G926">
        <v>0</v>
      </c>
      <c r="L926" t="s">
        <v>8</v>
      </c>
      <c r="M926" t="s">
        <v>8</v>
      </c>
      <c r="N926" t="s">
        <v>8</v>
      </c>
      <c r="P926">
        <f t="shared" si="1014"/>
        <v>0.27513227513227689</v>
      </c>
      <c r="Q926">
        <f t="shared" si="1015"/>
        <v>437876.86772487051</v>
      </c>
      <c r="R926">
        <f t="shared" si="1016"/>
        <v>-13151901.256582804</v>
      </c>
      <c r="S926">
        <f t="shared" si="1017"/>
        <v>-131.51901256582804</v>
      </c>
      <c r="T926">
        <f t="shared" si="1018"/>
        <v>-0.13151901256582804</v>
      </c>
    </row>
    <row r="927" spans="1:20" x14ac:dyDescent="0.25">
      <c r="A927" s="5">
        <v>43666</v>
      </c>
      <c r="B927">
        <v>0.12268999999999999</v>
      </c>
      <c r="C927">
        <v>0.1235</v>
      </c>
      <c r="D927">
        <v>0.11828</v>
      </c>
      <c r="E927">
        <v>0.12060999999999999</v>
      </c>
      <c r="F927">
        <v>2694778.5</v>
      </c>
      <c r="G927">
        <v>0</v>
      </c>
      <c r="L927" t="s">
        <v>8</v>
      </c>
      <c r="M927" t="s">
        <v>8</v>
      </c>
      <c r="N927" t="s">
        <v>8</v>
      </c>
      <c r="P927">
        <f t="shared" si="1014"/>
        <v>-0.10727969348659093</v>
      </c>
      <c r="Q927">
        <f t="shared" si="1015"/>
        <v>-289095.01149425528</v>
      </c>
      <c r="R927">
        <f t="shared" si="1016"/>
        <v>-13589778.124307675</v>
      </c>
      <c r="S927">
        <f t="shared" si="1017"/>
        <v>-135.89778124307676</v>
      </c>
      <c r="T927">
        <f t="shared" si="1018"/>
        <v>-0.13589778124307678</v>
      </c>
    </row>
    <row r="928" spans="1:20" x14ac:dyDescent="0.25">
      <c r="A928" s="5">
        <v>43665</v>
      </c>
      <c r="B928">
        <v>0.11946</v>
      </c>
      <c r="C928">
        <v>0.125</v>
      </c>
      <c r="D928">
        <v>0.11643000000000001</v>
      </c>
      <c r="E928">
        <v>0.12264</v>
      </c>
      <c r="F928">
        <v>3504283.3</v>
      </c>
      <c r="G928">
        <v>0</v>
      </c>
      <c r="L928" t="s">
        <v>8</v>
      </c>
      <c r="M928" t="s">
        <v>8</v>
      </c>
      <c r="N928" t="s">
        <v>8</v>
      </c>
      <c r="P928">
        <f t="shared" si="1014"/>
        <v>0.44924154025670887</v>
      </c>
      <c r="Q928">
        <f t="shared" si="1015"/>
        <v>1574269.6271878625</v>
      </c>
      <c r="R928">
        <f t="shared" si="1016"/>
        <v>-13300683.112813421</v>
      </c>
      <c r="S928">
        <f t="shared" si="1017"/>
        <v>-133.00683112813419</v>
      </c>
      <c r="T928">
        <f t="shared" si="1018"/>
        <v>-0.13300683112813419</v>
      </c>
    </row>
    <row r="929" spans="1:20" x14ac:dyDescent="0.25">
      <c r="A929" s="5">
        <v>43664</v>
      </c>
      <c r="B929">
        <v>0.11229</v>
      </c>
      <c r="C929">
        <v>0.12317</v>
      </c>
      <c r="D929">
        <v>0.1053</v>
      </c>
      <c r="E929">
        <v>0.11951000000000001</v>
      </c>
      <c r="F929">
        <v>5246601.8</v>
      </c>
      <c r="G929">
        <v>0</v>
      </c>
      <c r="L929" t="s">
        <v>8</v>
      </c>
      <c r="M929" t="s">
        <v>8</v>
      </c>
      <c r="N929" t="s">
        <v>8</v>
      </c>
      <c r="P929">
        <f t="shared" si="1014"/>
        <v>0.59037493005036401</v>
      </c>
      <c r="Q929">
        <f t="shared" si="1015"/>
        <v>3097462.1706771138</v>
      </c>
      <c r="R929">
        <f t="shared" si="1016"/>
        <v>-14874952.740001284</v>
      </c>
      <c r="S929">
        <f t="shared" si="1017"/>
        <v>-148.74952740001282</v>
      </c>
      <c r="T929">
        <f t="shared" si="1018"/>
        <v>-0.14874952740001282</v>
      </c>
    </row>
    <row r="930" spans="1:20" x14ac:dyDescent="0.25">
      <c r="A930" s="5">
        <v>43663</v>
      </c>
      <c r="B930">
        <v>9.2189999999999994E-2</v>
      </c>
      <c r="C930">
        <v>0.1198</v>
      </c>
      <c r="D930">
        <v>9.0499999999999997E-2</v>
      </c>
      <c r="E930">
        <v>0.112</v>
      </c>
      <c r="F930">
        <v>8808495.9000000004</v>
      </c>
      <c r="G930">
        <v>0</v>
      </c>
      <c r="L930" t="s">
        <v>8</v>
      </c>
      <c r="M930" t="s">
        <v>8</v>
      </c>
      <c r="N930" t="s">
        <v>7</v>
      </c>
      <c r="P930">
        <f t="shared" si="1014"/>
        <v>0.46757679180887374</v>
      </c>
      <c r="Q930">
        <f t="shared" si="1015"/>
        <v>4118648.253583618</v>
      </c>
      <c r="R930">
        <f t="shared" si="1016"/>
        <v>-17972414.910678398</v>
      </c>
      <c r="S930">
        <f t="shared" si="1017"/>
        <v>-179.72414910678398</v>
      </c>
      <c r="T930">
        <f t="shared" si="1018"/>
        <v>-0.17972414910678397</v>
      </c>
    </row>
    <row r="931" spans="1:20" x14ac:dyDescent="0.25">
      <c r="A931" s="5">
        <v>43662</v>
      </c>
      <c r="B931">
        <v>0.10302</v>
      </c>
      <c r="C931">
        <v>0.105</v>
      </c>
      <c r="D931">
        <v>9.0539999999999995E-2</v>
      </c>
      <c r="E931">
        <v>9.2179999999999998E-2</v>
      </c>
      <c r="F931">
        <v>3198737.1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-0.77316735822959859</v>
      </c>
      <c r="Q931">
        <f t="shared" si="1015"/>
        <v>-2473159.1132780076</v>
      </c>
      <c r="R931">
        <f t="shared" si="1016"/>
        <v>-22091063.164262015</v>
      </c>
      <c r="S931">
        <f t="shared" si="1017"/>
        <v>-220.91063164262016</v>
      </c>
      <c r="T931">
        <f t="shared" si="1018"/>
        <v>-0.22091063164262015</v>
      </c>
    </row>
    <row r="932" spans="1:20" x14ac:dyDescent="0.25">
      <c r="A932" s="5">
        <v>43661</v>
      </c>
      <c r="B932">
        <v>0.10217</v>
      </c>
      <c r="C932">
        <v>0.10491</v>
      </c>
      <c r="D932">
        <v>9.6860000000000002E-2</v>
      </c>
      <c r="E932">
        <v>0.10341</v>
      </c>
      <c r="F932">
        <v>1659781.4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0.62732919254658359</v>
      </c>
      <c r="Q932">
        <f t="shared" si="1015"/>
        <v>1041229.3254658381</v>
      </c>
      <c r="R932">
        <f t="shared" si="1016"/>
        <v>-19617904.050984006</v>
      </c>
      <c r="S932">
        <f t="shared" si="1017"/>
        <v>-196.17904050984006</v>
      </c>
      <c r="T932">
        <f t="shared" si="1018"/>
        <v>-0.19617904050984006</v>
      </c>
    </row>
    <row r="933" spans="1:20" x14ac:dyDescent="0.25">
      <c r="A933" s="5">
        <v>43660</v>
      </c>
      <c r="B933">
        <v>0.11555</v>
      </c>
      <c r="C933">
        <v>0.11555</v>
      </c>
      <c r="D933">
        <v>0.10173</v>
      </c>
      <c r="E933">
        <v>0.10251</v>
      </c>
      <c r="F933">
        <v>1867579.9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-0.88712011577423977</v>
      </c>
      <c r="Q933">
        <f t="shared" si="1015"/>
        <v>-1656767.6971056431</v>
      </c>
      <c r="R933">
        <f t="shared" si="1016"/>
        <v>-20659133.376449846</v>
      </c>
      <c r="S933">
        <f t="shared" si="1017"/>
        <v>-206.59133376449844</v>
      </c>
      <c r="T933">
        <f t="shared" si="1018"/>
        <v>-0.20659133376449845</v>
      </c>
    </row>
    <row r="934" spans="1:20" x14ac:dyDescent="0.25">
      <c r="A934" s="5">
        <v>43659</v>
      </c>
      <c r="B934">
        <v>0.1137</v>
      </c>
      <c r="C934">
        <v>0.12</v>
      </c>
      <c r="D934">
        <v>0.11186</v>
      </c>
      <c r="E934">
        <v>0.11555</v>
      </c>
      <c r="F934">
        <v>2563673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-9.3366093366093042E-2</v>
      </c>
      <c r="Q934">
        <f t="shared" si="1015"/>
        <v>-239360.13267813183</v>
      </c>
      <c r="R934">
        <f t="shared" si="1016"/>
        <v>-19002365.679344203</v>
      </c>
      <c r="S934">
        <f t="shared" si="1017"/>
        <v>-190.02365679344203</v>
      </c>
      <c r="T934">
        <f t="shared" si="1018"/>
        <v>-0.19002365679344202</v>
      </c>
    </row>
    <row r="935" spans="1:20" x14ac:dyDescent="0.25">
      <c r="A935" s="5">
        <v>43658</v>
      </c>
      <c r="B935">
        <v>0.10992</v>
      </c>
      <c r="C935">
        <v>0.11498</v>
      </c>
      <c r="D935">
        <v>0.105</v>
      </c>
      <c r="E935">
        <v>0.11376</v>
      </c>
      <c r="F935">
        <v>2069288.5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0.75551102204408849</v>
      </c>
      <c r="Q935">
        <f t="shared" si="1015"/>
        <v>1563370.2695390787</v>
      </c>
      <c r="R935">
        <f t="shared" si="1016"/>
        <v>-18763005.546666071</v>
      </c>
      <c r="S935">
        <f t="shared" si="1017"/>
        <v>-187.63005546666071</v>
      </c>
      <c r="T935">
        <f t="shared" si="1018"/>
        <v>-0.1876300554666607</v>
      </c>
    </row>
    <row r="936" spans="1:20" x14ac:dyDescent="0.25">
      <c r="A936" s="5">
        <v>43657</v>
      </c>
      <c r="B936">
        <v>0.12088</v>
      </c>
      <c r="C936">
        <v>0.12295</v>
      </c>
      <c r="D936">
        <v>0.10815</v>
      </c>
      <c r="E936">
        <v>0.11033999999999999</v>
      </c>
      <c r="F936">
        <v>3822938.9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-0.70405405405405452</v>
      </c>
      <c r="Q936">
        <f t="shared" si="1015"/>
        <v>-2691555.6309459475</v>
      </c>
      <c r="R936">
        <f t="shared" si="1016"/>
        <v>-20326375.816205148</v>
      </c>
      <c r="S936">
        <f t="shared" si="1017"/>
        <v>-203.26375816205149</v>
      </c>
      <c r="T936">
        <f t="shared" si="1018"/>
        <v>-0.2032637581620515</v>
      </c>
    </row>
    <row r="937" spans="1:20" x14ac:dyDescent="0.25">
      <c r="A937" s="5">
        <v>43656</v>
      </c>
      <c r="B937">
        <v>0.12116</v>
      </c>
      <c r="C937">
        <v>0.126</v>
      </c>
      <c r="D937">
        <v>0.11402</v>
      </c>
      <c r="E937">
        <v>0.12060999999999999</v>
      </c>
      <c r="F937">
        <v>5538363.0999999996</v>
      </c>
      <c r="G937">
        <v>0</v>
      </c>
      <c r="L937" t="s">
        <v>8</v>
      </c>
      <c r="M937" t="s">
        <v>7</v>
      </c>
      <c r="N937" t="s">
        <v>7</v>
      </c>
      <c r="P937">
        <f t="shared" si="1014"/>
        <v>0.10016694490817965</v>
      </c>
      <c r="Q937">
        <f t="shared" si="1015"/>
        <v>554760.91151919507</v>
      </c>
      <c r="R937">
        <f t="shared" si="1016"/>
        <v>-17634820.185259201</v>
      </c>
      <c r="S937">
        <f t="shared" si="1017"/>
        <v>-176.34820185259201</v>
      </c>
      <c r="T937">
        <f t="shared" si="1018"/>
        <v>-0.17634820185259201</v>
      </c>
    </row>
    <row r="938" spans="1:20" x14ac:dyDescent="0.25">
      <c r="A938" s="5">
        <v>43655</v>
      </c>
      <c r="B938">
        <v>0.11669</v>
      </c>
      <c r="C938">
        <v>0.12121999999999999</v>
      </c>
      <c r="D938">
        <v>0.11556</v>
      </c>
      <c r="E938">
        <v>0.12091</v>
      </c>
      <c r="F938">
        <v>3247618.7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0.89045936395760039</v>
      </c>
      <c r="Q938">
        <f t="shared" si="1015"/>
        <v>2891872.481978809</v>
      </c>
      <c r="R938">
        <f t="shared" si="1016"/>
        <v>-18189581.096778397</v>
      </c>
      <c r="S938">
        <f t="shared" si="1017"/>
        <v>-181.89581096778397</v>
      </c>
      <c r="T938">
        <f t="shared" si="1018"/>
        <v>-0.18189581096778398</v>
      </c>
    </row>
    <row r="939" spans="1:20" x14ac:dyDescent="0.25">
      <c r="A939" s="5">
        <v>43654</v>
      </c>
      <c r="B939">
        <v>0.11964</v>
      </c>
      <c r="C939">
        <v>0.11981</v>
      </c>
      <c r="D939">
        <v>0.11502</v>
      </c>
      <c r="E939">
        <v>0.11677999999999999</v>
      </c>
      <c r="F939">
        <v>1815349.7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-0.26513569937369658</v>
      </c>
      <c r="Q939">
        <f t="shared" si="1015"/>
        <v>-481314.01231733023</v>
      </c>
      <c r="R939">
        <f t="shared" si="1016"/>
        <v>-21081453.578757204</v>
      </c>
      <c r="S939">
        <f t="shared" si="1017"/>
        <v>-210.81453578757205</v>
      </c>
      <c r="T939">
        <f t="shared" si="1018"/>
        <v>-0.21081453578757206</v>
      </c>
    </row>
    <row r="940" spans="1:20" x14ac:dyDescent="0.25">
      <c r="A940" s="5">
        <v>43653</v>
      </c>
      <c r="B940">
        <v>0.11916</v>
      </c>
      <c r="C940">
        <v>0.12477000000000001</v>
      </c>
      <c r="D940">
        <v>0.11815000000000001</v>
      </c>
      <c r="E940">
        <v>0.11906</v>
      </c>
      <c r="F940">
        <v>2092179.2</v>
      </c>
      <c r="G940">
        <v>0</v>
      </c>
      <c r="L940" t="s">
        <v>8</v>
      </c>
      <c r="M940" t="s">
        <v>7</v>
      </c>
      <c r="N940" t="s">
        <v>7</v>
      </c>
      <c r="P940">
        <f t="shared" si="1014"/>
        <v>-0.72507552870090819</v>
      </c>
      <c r="Q940">
        <f t="shared" si="1015"/>
        <v>-1516987.9395770431</v>
      </c>
      <c r="R940">
        <f t="shared" si="1016"/>
        <v>-20600139.566439874</v>
      </c>
      <c r="S940">
        <f t="shared" si="1017"/>
        <v>-206.00139566439876</v>
      </c>
      <c r="T940">
        <f t="shared" si="1018"/>
        <v>-0.20600139566439876</v>
      </c>
    </row>
    <row r="941" spans="1:20" x14ac:dyDescent="0.25">
      <c r="A941" s="5">
        <v>43652</v>
      </c>
      <c r="B941">
        <v>0.11398999999999999</v>
      </c>
      <c r="C941">
        <v>0.12235</v>
      </c>
      <c r="D941">
        <v>0.11360000000000001</v>
      </c>
      <c r="E941">
        <v>0.1198</v>
      </c>
      <c r="F941">
        <v>2044854.9</v>
      </c>
      <c r="G941">
        <v>0</v>
      </c>
      <c r="L941" t="s">
        <v>8</v>
      </c>
      <c r="M941" t="s">
        <v>7</v>
      </c>
      <c r="N941" t="s">
        <v>7</v>
      </c>
      <c r="P941">
        <f t="shared" si="1014"/>
        <v>0.41714285714285748</v>
      </c>
      <c r="Q941">
        <f t="shared" si="1015"/>
        <v>852996.61542857205</v>
      </c>
      <c r="R941">
        <f t="shared" si="1016"/>
        <v>-19083151.626862831</v>
      </c>
      <c r="S941">
        <f t="shared" si="1017"/>
        <v>-190.83151626862832</v>
      </c>
      <c r="T941">
        <f t="shared" si="1018"/>
        <v>-0.19083151626862832</v>
      </c>
    </row>
    <row r="942" spans="1:20" x14ac:dyDescent="0.25">
      <c r="A942" s="5">
        <v>43651</v>
      </c>
      <c r="B942">
        <v>0.11586</v>
      </c>
      <c r="C942">
        <v>0.11792999999999999</v>
      </c>
      <c r="D942">
        <v>0.113</v>
      </c>
      <c r="E942">
        <v>0.114</v>
      </c>
      <c r="F942">
        <v>996314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-0.59432048681541461</v>
      </c>
      <c r="Q942">
        <f t="shared" si="1015"/>
        <v>-592129.82150101301</v>
      </c>
      <c r="R942">
        <f t="shared" si="1016"/>
        <v>-19936148.242291402</v>
      </c>
      <c r="S942">
        <f t="shared" si="1017"/>
        <v>-199.36148242291401</v>
      </c>
      <c r="T942">
        <f t="shared" si="1018"/>
        <v>-0.19936148242291402</v>
      </c>
    </row>
    <row r="943" spans="1:20" x14ac:dyDescent="0.25">
      <c r="A943" s="5">
        <v>43650</v>
      </c>
      <c r="B943">
        <v>0.1201</v>
      </c>
      <c r="C943">
        <v>0.12515000000000001</v>
      </c>
      <c r="D943">
        <v>0.11574</v>
      </c>
      <c r="E943">
        <v>0.11597</v>
      </c>
      <c r="F943">
        <v>3557918.6</v>
      </c>
      <c r="G943">
        <v>0</v>
      </c>
      <c r="L943" t="s">
        <v>8</v>
      </c>
      <c r="M943" t="s">
        <v>7</v>
      </c>
      <c r="N943" t="s">
        <v>7</v>
      </c>
      <c r="P943">
        <f t="shared" si="1014"/>
        <v>-0.95111583421891444</v>
      </c>
      <c r="Q943">
        <f t="shared" si="1015"/>
        <v>-3383992.7173219924</v>
      </c>
      <c r="R943">
        <f t="shared" si="1016"/>
        <v>-19344018.420790389</v>
      </c>
      <c r="S943">
        <f t="shared" si="1017"/>
        <v>-193.44018420790388</v>
      </c>
      <c r="T943">
        <f t="shared" si="1018"/>
        <v>-0.19344018420790388</v>
      </c>
    </row>
    <row r="944" spans="1:20" x14ac:dyDescent="0.25">
      <c r="A944" s="5">
        <v>43649</v>
      </c>
      <c r="B944">
        <v>0.11426</v>
      </c>
      <c r="C944">
        <v>0.12189</v>
      </c>
      <c r="D944">
        <v>0.11215</v>
      </c>
      <c r="E944">
        <v>0.1201</v>
      </c>
      <c r="F944">
        <v>2341492.1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0.63244353182751534</v>
      </c>
      <c r="Q944">
        <f t="shared" si="1015"/>
        <v>1480861.5334702258</v>
      </c>
      <c r="R944">
        <f t="shared" si="1016"/>
        <v>-15960025.703468395</v>
      </c>
      <c r="S944">
        <f t="shared" si="1017"/>
        <v>-159.60025703468395</v>
      </c>
      <c r="T944">
        <f t="shared" si="1018"/>
        <v>-0.15960025703468395</v>
      </c>
    </row>
    <row r="945" spans="1:20" x14ac:dyDescent="0.25">
      <c r="A945" s="5">
        <v>43648</v>
      </c>
      <c r="B945">
        <v>0.12083000000000001</v>
      </c>
      <c r="C945">
        <v>0.12209</v>
      </c>
      <c r="D945">
        <v>0.11169</v>
      </c>
      <c r="E945">
        <v>0.11404</v>
      </c>
      <c r="F945">
        <v>2418245.2000000002</v>
      </c>
      <c r="G945">
        <v>0</v>
      </c>
      <c r="L945" t="s">
        <v>8</v>
      </c>
      <c r="M945" t="s">
        <v>7</v>
      </c>
      <c r="N945" t="s">
        <v>7</v>
      </c>
      <c r="P945">
        <f t="shared" si="1014"/>
        <v>-0.54807692307692246</v>
      </c>
      <c r="Q945">
        <f t="shared" si="1015"/>
        <v>-1325384.388461537</v>
      </c>
      <c r="R945">
        <f t="shared" si="1016"/>
        <v>-17440887.236938622</v>
      </c>
      <c r="S945">
        <f t="shared" si="1017"/>
        <v>-174.40887236938622</v>
      </c>
      <c r="T945">
        <f t="shared" si="1018"/>
        <v>-0.17440887236938621</v>
      </c>
    </row>
    <row r="946" spans="1:20" x14ac:dyDescent="0.25">
      <c r="A946" s="5">
        <v>43647</v>
      </c>
      <c r="B946">
        <v>0.11556</v>
      </c>
      <c r="C946">
        <v>0.12398000000000001</v>
      </c>
      <c r="D946">
        <v>0.11133</v>
      </c>
      <c r="E946">
        <v>0.12082</v>
      </c>
      <c r="F946">
        <v>3329351.1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0.50039525691699482</v>
      </c>
      <c r="Q946">
        <f t="shared" si="1015"/>
        <v>1665991.4990513793</v>
      </c>
      <c r="R946">
        <f t="shared" si="1016"/>
        <v>-16115502.848477086</v>
      </c>
      <c r="S946">
        <f t="shared" si="1017"/>
        <v>-161.15502848477087</v>
      </c>
      <c r="T946">
        <f t="shared" si="1018"/>
        <v>-0.16115502848477087</v>
      </c>
    </row>
    <row r="947" spans="1:20" x14ac:dyDescent="0.25">
      <c r="A947" s="5">
        <v>43646</v>
      </c>
      <c r="B947">
        <v>0.12113</v>
      </c>
      <c r="C947">
        <v>0.12673000000000001</v>
      </c>
      <c r="D947">
        <v>0.11294</v>
      </c>
      <c r="E947">
        <v>0.11526</v>
      </c>
      <c r="F947">
        <v>3745211.5</v>
      </c>
      <c r="G947">
        <v>0</v>
      </c>
      <c r="L947" t="s">
        <v>8</v>
      </c>
      <c r="M947" t="s">
        <v>7</v>
      </c>
      <c r="N947" t="s">
        <v>7</v>
      </c>
      <c r="P947">
        <f t="shared" si="1014"/>
        <v>-0.6635242929659172</v>
      </c>
      <c r="Q947">
        <f t="shared" si="1015"/>
        <v>-2485038.8125453223</v>
      </c>
      <c r="R947">
        <f t="shared" si="1016"/>
        <v>-17781494.347528465</v>
      </c>
      <c r="S947">
        <f t="shared" si="1017"/>
        <v>-177.81494347528465</v>
      </c>
      <c r="T947">
        <f t="shared" si="1018"/>
        <v>-0.17781494347528465</v>
      </c>
    </row>
    <row r="948" spans="1:20" x14ac:dyDescent="0.25">
      <c r="A948" s="5">
        <v>43645</v>
      </c>
      <c r="B948">
        <v>0.11695</v>
      </c>
      <c r="C948">
        <v>0.12134</v>
      </c>
      <c r="D948">
        <v>0.1125</v>
      </c>
      <c r="E948">
        <v>0.1202</v>
      </c>
      <c r="F948">
        <v>2395811</v>
      </c>
      <c r="G948">
        <v>0</v>
      </c>
      <c r="L948" t="s">
        <v>7</v>
      </c>
      <c r="M948" t="s">
        <v>7</v>
      </c>
      <c r="N948" t="s">
        <v>7</v>
      </c>
      <c r="P948">
        <f t="shared" si="1014"/>
        <v>0.74208144796380049</v>
      </c>
      <c r="Q948">
        <f t="shared" si="1015"/>
        <v>1777886.8959276008</v>
      </c>
      <c r="R948">
        <f t="shared" si="1016"/>
        <v>-15296455.534983143</v>
      </c>
      <c r="S948">
        <f t="shared" si="1017"/>
        <v>-152.96455534983144</v>
      </c>
      <c r="T948">
        <f t="shared" si="1018"/>
        <v>-0.15296455534983144</v>
      </c>
    </row>
    <row r="949" spans="1:20" x14ac:dyDescent="0.25">
      <c r="A949" s="5">
        <v>43644</v>
      </c>
      <c r="B949">
        <v>0.11783</v>
      </c>
      <c r="C949">
        <v>0.12180000000000001</v>
      </c>
      <c r="D949">
        <v>0.11327</v>
      </c>
      <c r="E949">
        <v>0.11687</v>
      </c>
      <c r="F949">
        <v>2793774.7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-0.15592028135990579</v>
      </c>
      <c r="Q949">
        <f t="shared" si="1015"/>
        <v>-435606.13728018641</v>
      </c>
      <c r="R949">
        <f t="shared" si="1016"/>
        <v>-17074342.430910744</v>
      </c>
      <c r="S949">
        <f t="shared" si="1017"/>
        <v>-170.74342430910744</v>
      </c>
      <c r="T949">
        <f t="shared" si="1018"/>
        <v>-0.17074342430910744</v>
      </c>
    </row>
    <row r="950" spans="1:20" x14ac:dyDescent="0.25">
      <c r="A950" s="5">
        <v>43643</v>
      </c>
      <c r="B950">
        <v>0.12537000000000001</v>
      </c>
      <c r="C950">
        <v>0.12689</v>
      </c>
      <c r="D950">
        <v>0.10901</v>
      </c>
      <c r="E950">
        <v>0.1178</v>
      </c>
      <c r="F950">
        <v>4460892.3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-1.6778523489932584E-2</v>
      </c>
      <c r="Q950">
        <f t="shared" si="1015"/>
        <v>-74847.186241609394</v>
      </c>
      <c r="R950">
        <f t="shared" si="1016"/>
        <v>-16638736.293630557</v>
      </c>
      <c r="S950">
        <f t="shared" si="1017"/>
        <v>-166.38736293630558</v>
      </c>
      <c r="T950">
        <f t="shared" si="1018"/>
        <v>-0.16638736293630557</v>
      </c>
    </row>
    <row r="951" spans="1:20" x14ac:dyDescent="0.25">
      <c r="A951" s="5">
        <v>43642</v>
      </c>
      <c r="B951">
        <v>0.13697000000000001</v>
      </c>
      <c r="C951">
        <v>0.13780999999999999</v>
      </c>
      <c r="D951">
        <v>0.11904000000000001</v>
      </c>
      <c r="E951">
        <v>0.12615000000000001</v>
      </c>
      <c r="F951">
        <v>10552807.4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-0.242408098028768</v>
      </c>
      <c r="Q951">
        <f t="shared" si="1015"/>
        <v>-2558085.9706979087</v>
      </c>
      <c r="R951">
        <f t="shared" si="1016"/>
        <v>-16563889.107388947</v>
      </c>
      <c r="S951">
        <f t="shared" si="1017"/>
        <v>-165.63889107388948</v>
      </c>
      <c r="T951">
        <f t="shared" si="1018"/>
        <v>-0.16563889107388949</v>
      </c>
    </row>
    <row r="952" spans="1:20" x14ac:dyDescent="0.25">
      <c r="A952" s="5">
        <v>43641</v>
      </c>
      <c r="B952">
        <v>0.13325000000000001</v>
      </c>
      <c r="C952">
        <v>0.14355999999999999</v>
      </c>
      <c r="D952">
        <v>0.13041</v>
      </c>
      <c r="E952">
        <v>0.13777</v>
      </c>
      <c r="F952">
        <v>7972223.5</v>
      </c>
      <c r="G952">
        <v>0</v>
      </c>
      <c r="L952" t="s">
        <v>8</v>
      </c>
      <c r="M952" t="s">
        <v>8</v>
      </c>
      <c r="N952" t="s">
        <v>7</v>
      </c>
      <c r="P952">
        <f t="shared" si="1014"/>
        <v>0.11939163498098984</v>
      </c>
      <c r="Q952">
        <f t="shared" si="1015"/>
        <v>951816.79809886927</v>
      </c>
      <c r="R952">
        <f t="shared" si="1016"/>
        <v>-14005803.136691038</v>
      </c>
      <c r="S952">
        <f t="shared" si="1017"/>
        <v>-140.05803136691037</v>
      </c>
      <c r="T952">
        <f t="shared" si="1018"/>
        <v>-0.14005803136691036</v>
      </c>
    </row>
    <row r="953" spans="1:20" x14ac:dyDescent="0.25">
      <c r="A953" s="5">
        <v>43640</v>
      </c>
      <c r="B953">
        <v>0.12973000000000001</v>
      </c>
      <c r="C953">
        <v>0.13475000000000001</v>
      </c>
      <c r="D953">
        <v>0.12684999999999999</v>
      </c>
      <c r="E953">
        <v>0.13324</v>
      </c>
      <c r="F953">
        <v>3774662.9</v>
      </c>
      <c r="G953">
        <v>0</v>
      </c>
      <c r="L953" t="s">
        <v>8</v>
      </c>
      <c r="M953" t="s">
        <v>7</v>
      </c>
      <c r="N953" t="s">
        <v>7</v>
      </c>
      <c r="P953">
        <f t="shared" si="1014"/>
        <v>0.61772151898733973</v>
      </c>
      <c r="Q953">
        <f t="shared" si="1015"/>
        <v>2331690.5002531568</v>
      </c>
      <c r="R953">
        <f t="shared" si="1016"/>
        <v>-14957619.934789907</v>
      </c>
      <c r="S953">
        <f t="shared" si="1017"/>
        <v>-149.57619934789906</v>
      </c>
      <c r="T953">
        <f t="shared" si="1018"/>
        <v>-0.14957619934789906</v>
      </c>
    </row>
    <row r="954" spans="1:20" x14ac:dyDescent="0.25">
      <c r="A954" s="5">
        <v>43639</v>
      </c>
      <c r="B954">
        <v>0.1328</v>
      </c>
      <c r="C954">
        <v>0.13400999999999999</v>
      </c>
      <c r="D954">
        <v>0.12792999999999999</v>
      </c>
      <c r="E954">
        <v>0.13023999999999999</v>
      </c>
      <c r="F954">
        <v>3039228.3</v>
      </c>
      <c r="G954">
        <v>0</v>
      </c>
      <c r="L954" t="s">
        <v>8</v>
      </c>
      <c r="M954" t="s">
        <v>7</v>
      </c>
      <c r="N954" t="s">
        <v>7</v>
      </c>
      <c r="P954">
        <f t="shared" si="1014"/>
        <v>-0.24013157894736653</v>
      </c>
      <c r="Q954">
        <f t="shared" si="1015"/>
        <v>-729814.69046052056</v>
      </c>
      <c r="R954">
        <f t="shared" si="1016"/>
        <v>-17289310.435043063</v>
      </c>
      <c r="S954">
        <f t="shared" si="1017"/>
        <v>-172.89310435043063</v>
      </c>
      <c r="T954">
        <f t="shared" si="1018"/>
        <v>-0.17289310435043062</v>
      </c>
    </row>
    <row r="955" spans="1:20" x14ac:dyDescent="0.25">
      <c r="A955" s="5">
        <v>43638</v>
      </c>
      <c r="B955">
        <v>0.12478</v>
      </c>
      <c r="C955">
        <v>0.13403000000000001</v>
      </c>
      <c r="D955">
        <v>0.12277</v>
      </c>
      <c r="E955">
        <v>0.13220000000000001</v>
      </c>
      <c r="F955">
        <v>6759831.2999999998</v>
      </c>
      <c r="G955">
        <v>0</v>
      </c>
      <c r="L955" t="s">
        <v>8</v>
      </c>
      <c r="M955" t="s">
        <v>7</v>
      </c>
      <c r="N955" t="s">
        <v>7</v>
      </c>
      <c r="P955">
        <f t="shared" si="1014"/>
        <v>0.67495559502664348</v>
      </c>
      <c r="Q955">
        <f t="shared" si="1015"/>
        <v>4562585.9573712284</v>
      </c>
      <c r="R955">
        <f t="shared" si="1016"/>
        <v>-16559495.744582541</v>
      </c>
      <c r="S955">
        <f t="shared" si="1017"/>
        <v>-165.5949574458254</v>
      </c>
      <c r="T955">
        <f t="shared" si="1018"/>
        <v>-0.16559495744582539</v>
      </c>
    </row>
    <row r="956" spans="1:20" x14ac:dyDescent="0.25">
      <c r="A956" s="5">
        <v>43637</v>
      </c>
      <c r="B956">
        <v>0.12866</v>
      </c>
      <c r="C956">
        <v>0.12909999999999999</v>
      </c>
      <c r="D956">
        <v>0.12323000000000001</v>
      </c>
      <c r="E956">
        <v>0.12525</v>
      </c>
      <c r="F956">
        <v>2939786.7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-0.31175468483816055</v>
      </c>
      <c r="Q956">
        <f t="shared" si="1015"/>
        <v>-916492.27614991611</v>
      </c>
      <c r="R956">
        <f t="shared" si="1016"/>
        <v>-21122081.701953769</v>
      </c>
      <c r="S956">
        <f t="shared" si="1017"/>
        <v>-211.22081701953769</v>
      </c>
      <c r="T956">
        <f t="shared" si="1018"/>
        <v>-0.21122081701953768</v>
      </c>
    </row>
    <row r="957" spans="1:20" x14ac:dyDescent="0.25">
      <c r="A957" s="5">
        <v>43636</v>
      </c>
      <c r="B957">
        <v>0.1285</v>
      </c>
      <c r="C957">
        <v>0.13339999999999999</v>
      </c>
      <c r="D957">
        <v>0.12506</v>
      </c>
      <c r="E957">
        <v>0.12859999999999999</v>
      </c>
      <c r="F957">
        <v>3316997</v>
      </c>
      <c r="G957">
        <v>0</v>
      </c>
      <c r="L957" t="s">
        <v>8</v>
      </c>
      <c r="M957" t="s">
        <v>7</v>
      </c>
      <c r="N957" t="s">
        <v>7</v>
      </c>
      <c r="P957">
        <f t="shared" si="1014"/>
        <v>-0.15107913669064907</v>
      </c>
      <c r="Q957">
        <f t="shared" si="1015"/>
        <v>-501129.04316547286</v>
      </c>
      <c r="R957">
        <f t="shared" si="1016"/>
        <v>-20205589.425803851</v>
      </c>
      <c r="S957">
        <f t="shared" si="1017"/>
        <v>-202.05589425803851</v>
      </c>
      <c r="T957">
        <f t="shared" si="1018"/>
        <v>-0.20205589425803849</v>
      </c>
    </row>
    <row r="958" spans="1:20" x14ac:dyDescent="0.25">
      <c r="A958" s="5">
        <v>43635</v>
      </c>
      <c r="B958">
        <v>0.12723999999999999</v>
      </c>
      <c r="C958">
        <v>0.12912999999999999</v>
      </c>
      <c r="D958">
        <v>0.12539</v>
      </c>
      <c r="E958">
        <v>0.1285</v>
      </c>
      <c r="F958">
        <v>1223594.8999999999</v>
      </c>
      <c r="G958">
        <v>0</v>
      </c>
      <c r="L958" t="s">
        <v>7</v>
      </c>
      <c r="M958" t="s">
        <v>7</v>
      </c>
      <c r="N958" t="s">
        <v>7</v>
      </c>
      <c r="P958">
        <f t="shared" si="1014"/>
        <v>0.66310160427807874</v>
      </c>
      <c r="Q958">
        <f t="shared" si="1015"/>
        <v>811367.74117647531</v>
      </c>
      <c r="R958">
        <f t="shared" si="1016"/>
        <v>-19704460.38263838</v>
      </c>
      <c r="S958">
        <f t="shared" si="1017"/>
        <v>-197.04460382638379</v>
      </c>
      <c r="T958">
        <f t="shared" si="1018"/>
        <v>-0.19704460382638378</v>
      </c>
    </row>
    <row r="959" spans="1:20" x14ac:dyDescent="0.25">
      <c r="A959" s="5">
        <v>43634</v>
      </c>
      <c r="B959">
        <v>0.12901000000000001</v>
      </c>
      <c r="C959">
        <v>0.12909999999999999</v>
      </c>
      <c r="D959">
        <v>0.12253</v>
      </c>
      <c r="E959">
        <v>0.12748000000000001</v>
      </c>
      <c r="F959">
        <v>2142232.6</v>
      </c>
      <c r="G959">
        <v>0</v>
      </c>
      <c r="L959" t="s">
        <v>7</v>
      </c>
      <c r="M959" t="s">
        <v>7</v>
      </c>
      <c r="N959" t="s">
        <v>7</v>
      </c>
      <c r="P959">
        <f t="shared" ref="P959:P1022" si="1019">IF(C959=D959,0,((E959-D959)-(C959-E959))/(C959-D959))</f>
        <v>0.50684931506849784</v>
      </c>
      <c r="Q959">
        <f t="shared" ref="Q959:Q1022" si="1020">F959*P959</f>
        <v>1085789.1260274074</v>
      </c>
      <c r="R959">
        <f t="shared" ref="R959:R1022" si="1021">R960+Q959</f>
        <v>-20515828.123814855</v>
      </c>
      <c r="S959">
        <f t="shared" ref="S959:S1022" si="1022">R959/100000</f>
        <v>-205.15828123814856</v>
      </c>
      <c r="T959">
        <f t="shared" ref="T959:T1022" si="1023">S959/1000</f>
        <v>-0.20515828123814855</v>
      </c>
    </row>
    <row r="960" spans="1:20" x14ac:dyDescent="0.25">
      <c r="A960" s="5">
        <v>43633</v>
      </c>
      <c r="B960">
        <v>0.12726999999999999</v>
      </c>
      <c r="C960">
        <v>0.13127</v>
      </c>
      <c r="D960">
        <v>0.12653</v>
      </c>
      <c r="E960">
        <v>0.12901000000000001</v>
      </c>
      <c r="F960">
        <v>3102025.5</v>
      </c>
      <c r="G960">
        <v>0</v>
      </c>
      <c r="L960" t="s">
        <v>8</v>
      </c>
      <c r="M960" t="s">
        <v>7</v>
      </c>
      <c r="N960" t="s">
        <v>7</v>
      </c>
      <c r="P960">
        <f t="shared" si="1019"/>
        <v>4.6413502109710125E-2</v>
      </c>
      <c r="Q960">
        <f t="shared" si="1020"/>
        <v>143975.8670886246</v>
      </c>
      <c r="R960">
        <f t="shared" si="1021"/>
        <v>-21601617.249842264</v>
      </c>
      <c r="S960">
        <f t="shared" si="1022"/>
        <v>-216.01617249842263</v>
      </c>
      <c r="T960">
        <f t="shared" si="1023"/>
        <v>-0.21601617249842264</v>
      </c>
    </row>
    <row r="961" spans="1:20" x14ac:dyDescent="0.25">
      <c r="A961" s="5">
        <v>43632</v>
      </c>
      <c r="B961">
        <v>0.13059000000000001</v>
      </c>
      <c r="C961">
        <v>0.13100000000000001</v>
      </c>
      <c r="D961">
        <v>0.12525</v>
      </c>
      <c r="E961">
        <v>0.12726999999999999</v>
      </c>
      <c r="F961">
        <v>3545865.8</v>
      </c>
      <c r="G961">
        <v>0</v>
      </c>
      <c r="L961" t="s">
        <v>8</v>
      </c>
      <c r="M961" t="s">
        <v>7</v>
      </c>
      <c r="N961" t="s">
        <v>7</v>
      </c>
      <c r="P961">
        <f t="shared" si="1019"/>
        <v>-0.29739130434782879</v>
      </c>
      <c r="Q961">
        <f t="shared" si="1020"/>
        <v>-1054509.6553043574</v>
      </c>
      <c r="R961">
        <f t="shared" si="1021"/>
        <v>-21745593.116930887</v>
      </c>
      <c r="S961">
        <f t="shared" si="1022"/>
        <v>-217.45593116930888</v>
      </c>
      <c r="T961">
        <f t="shared" si="1023"/>
        <v>-0.21745593116930889</v>
      </c>
    </row>
    <row r="962" spans="1:20" x14ac:dyDescent="0.25">
      <c r="A962" s="5">
        <v>43631</v>
      </c>
      <c r="B962">
        <v>0.12792999999999999</v>
      </c>
      <c r="C962">
        <v>0.13131000000000001</v>
      </c>
      <c r="D962">
        <v>0.12408</v>
      </c>
      <c r="E962">
        <v>0.13100000000000001</v>
      </c>
      <c r="F962">
        <v>4359873.4000000004</v>
      </c>
      <c r="G962">
        <v>0</v>
      </c>
      <c r="L962" t="s">
        <v>8</v>
      </c>
      <c r="M962" t="s">
        <v>7</v>
      </c>
      <c r="N962" t="s">
        <v>7</v>
      </c>
      <c r="P962">
        <f t="shared" si="1019"/>
        <v>0.91424619640387161</v>
      </c>
      <c r="Q962">
        <f t="shared" si="1020"/>
        <v>3985997.6727524158</v>
      </c>
      <c r="R962">
        <f t="shared" si="1021"/>
        <v>-20691083.46162653</v>
      </c>
      <c r="S962">
        <f t="shared" si="1022"/>
        <v>-206.9108346162653</v>
      </c>
      <c r="T962">
        <f t="shared" si="1023"/>
        <v>-0.2069108346162653</v>
      </c>
    </row>
    <row r="963" spans="1:20" x14ac:dyDescent="0.25">
      <c r="A963" s="5">
        <v>43630</v>
      </c>
      <c r="B963">
        <v>0.13236999999999999</v>
      </c>
      <c r="C963">
        <v>0.13580999999999999</v>
      </c>
      <c r="D963">
        <v>0.12134</v>
      </c>
      <c r="E963">
        <v>0.12814999999999999</v>
      </c>
      <c r="F963">
        <v>7141877.5999999996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-5.8742225293712397E-2</v>
      </c>
      <c r="Q963">
        <f t="shared" si="1020"/>
        <v>-419529.78299931798</v>
      </c>
      <c r="R963">
        <f t="shared" si="1021"/>
        <v>-24677081.134378947</v>
      </c>
      <c r="S963">
        <f t="shared" si="1022"/>
        <v>-246.77081134378946</v>
      </c>
      <c r="T963">
        <f t="shared" si="1023"/>
        <v>-0.24677081134378945</v>
      </c>
    </row>
    <row r="964" spans="1:20" x14ac:dyDescent="0.25">
      <c r="A964" s="5">
        <v>43629</v>
      </c>
      <c r="B964">
        <v>0.13736999999999999</v>
      </c>
      <c r="C964">
        <v>0.13794000000000001</v>
      </c>
      <c r="D964">
        <v>0.13052</v>
      </c>
      <c r="E964">
        <v>0.13236999999999999</v>
      </c>
      <c r="F964">
        <v>6379496.7000000002</v>
      </c>
      <c r="G964">
        <v>0</v>
      </c>
      <c r="L964" t="s">
        <v>7</v>
      </c>
      <c r="M964" t="s">
        <v>8</v>
      </c>
      <c r="N964" t="s">
        <v>7</v>
      </c>
      <c r="P964">
        <f t="shared" si="1019"/>
        <v>-0.50134770889488189</v>
      </c>
      <c r="Q964">
        <f t="shared" si="1020"/>
        <v>-3198346.05444746</v>
      </c>
      <c r="R964">
        <f t="shared" si="1021"/>
        <v>-24257551.351379629</v>
      </c>
      <c r="S964">
        <f t="shared" si="1022"/>
        <v>-242.5755135137963</v>
      </c>
      <c r="T964">
        <f t="shared" si="1023"/>
        <v>-0.2425755135137963</v>
      </c>
    </row>
    <row r="965" spans="1:20" x14ac:dyDescent="0.25">
      <c r="A965" s="5">
        <v>43628</v>
      </c>
      <c r="B965">
        <v>0.14186000000000001</v>
      </c>
      <c r="C965">
        <v>0.14316999999999999</v>
      </c>
      <c r="D965">
        <v>0.13578000000000001</v>
      </c>
      <c r="E965">
        <v>0.13739999999999999</v>
      </c>
      <c r="F965">
        <v>7625828</v>
      </c>
      <c r="G965">
        <v>0</v>
      </c>
      <c r="L965" t="s">
        <v>7</v>
      </c>
      <c r="M965" t="s">
        <v>8</v>
      </c>
      <c r="N965" t="s">
        <v>7</v>
      </c>
      <c r="P965">
        <f t="shared" si="1019"/>
        <v>-0.5615696887686098</v>
      </c>
      <c r="Q965">
        <f t="shared" si="1020"/>
        <v>-4282433.8565629497</v>
      </c>
      <c r="R965">
        <f t="shared" si="1021"/>
        <v>-21059205.296932168</v>
      </c>
      <c r="S965">
        <f t="shared" si="1022"/>
        <v>-210.59205296932168</v>
      </c>
      <c r="T965">
        <f t="shared" si="1023"/>
        <v>-0.21059205296932168</v>
      </c>
    </row>
    <row r="966" spans="1:20" x14ac:dyDescent="0.25">
      <c r="A966" s="5">
        <v>43627</v>
      </c>
      <c r="B966">
        <v>0.14491999999999999</v>
      </c>
      <c r="C966">
        <v>0.14699000000000001</v>
      </c>
      <c r="D966">
        <v>0.13716</v>
      </c>
      <c r="E966">
        <v>0.14174999999999999</v>
      </c>
      <c r="F966">
        <v>7519655.7000000002</v>
      </c>
      <c r="G966">
        <v>0</v>
      </c>
      <c r="L966" t="s">
        <v>7</v>
      </c>
      <c r="M966" t="s">
        <v>8</v>
      </c>
      <c r="N966" t="s">
        <v>7</v>
      </c>
      <c r="P966">
        <f t="shared" si="1019"/>
        <v>-6.6124109867755756E-2</v>
      </c>
      <c r="Q966">
        <f t="shared" si="1020"/>
        <v>-497230.53967449581</v>
      </c>
      <c r="R966">
        <f t="shared" si="1021"/>
        <v>-16776771.44036922</v>
      </c>
      <c r="S966">
        <f t="shared" si="1022"/>
        <v>-167.7677144036922</v>
      </c>
      <c r="T966">
        <f t="shared" si="1023"/>
        <v>-0.1677677144036922</v>
      </c>
    </row>
    <row r="967" spans="1:20" x14ac:dyDescent="0.25">
      <c r="A967" s="5">
        <v>43626</v>
      </c>
      <c r="B967">
        <v>0.12902</v>
      </c>
      <c r="C967">
        <v>0.1469</v>
      </c>
      <c r="D967">
        <v>0.12625</v>
      </c>
      <c r="E967">
        <v>0.14491999999999999</v>
      </c>
      <c r="F967">
        <v>11605586.6</v>
      </c>
      <c r="G967">
        <v>0</v>
      </c>
      <c r="L967" t="s">
        <v>8</v>
      </c>
      <c r="M967" t="s">
        <v>8</v>
      </c>
      <c r="N967" t="s">
        <v>7</v>
      </c>
      <c r="P967">
        <f t="shared" si="1019"/>
        <v>0.80823244552058016</v>
      </c>
      <c r="Q967">
        <f t="shared" si="1020"/>
        <v>9380011.6394188739</v>
      </c>
      <c r="R967">
        <f t="shared" si="1021"/>
        <v>-16279540.900694724</v>
      </c>
      <c r="S967">
        <f t="shared" si="1022"/>
        <v>-162.79540900694724</v>
      </c>
      <c r="T967">
        <f t="shared" si="1023"/>
        <v>-0.16279540900694725</v>
      </c>
    </row>
    <row r="968" spans="1:20" x14ac:dyDescent="0.25">
      <c r="A968" s="5">
        <v>43625</v>
      </c>
      <c r="B968">
        <v>0.14099</v>
      </c>
      <c r="C968">
        <v>0.14496999999999999</v>
      </c>
      <c r="D968">
        <v>0.12690000000000001</v>
      </c>
      <c r="E968">
        <v>0.12906000000000001</v>
      </c>
      <c r="F968">
        <v>9390693.6999999993</v>
      </c>
      <c r="G968">
        <v>0</v>
      </c>
      <c r="L968" t="s">
        <v>7</v>
      </c>
      <c r="M968" t="s">
        <v>8</v>
      </c>
      <c r="N968" t="s">
        <v>7</v>
      </c>
      <c r="P968">
        <f t="shared" si="1019"/>
        <v>-0.76092971776425034</v>
      </c>
      <c r="Q968">
        <f t="shared" si="1020"/>
        <v>-7145657.9067515228</v>
      </c>
      <c r="R968">
        <f t="shared" si="1021"/>
        <v>-25659552.540113598</v>
      </c>
      <c r="S968">
        <f t="shared" si="1022"/>
        <v>-256.595525401136</v>
      </c>
      <c r="T968">
        <f t="shared" si="1023"/>
        <v>-0.256595525401136</v>
      </c>
    </row>
    <row r="969" spans="1:20" x14ac:dyDescent="0.25">
      <c r="A969" s="5">
        <v>43624</v>
      </c>
      <c r="B969">
        <v>0.13395000000000001</v>
      </c>
      <c r="C969">
        <v>0.14521000000000001</v>
      </c>
      <c r="D969">
        <v>0.12998999999999999</v>
      </c>
      <c r="E969">
        <v>0.14099</v>
      </c>
      <c r="F969">
        <v>8128573.7000000002</v>
      </c>
      <c r="G969">
        <v>0</v>
      </c>
      <c r="L969" t="s">
        <v>8</v>
      </c>
      <c r="M969" t="s">
        <v>8</v>
      </c>
      <c r="N969" t="s">
        <v>7</v>
      </c>
      <c r="P969">
        <f t="shared" si="1019"/>
        <v>0.44546649145860728</v>
      </c>
      <c r="Q969">
        <f t="shared" si="1020"/>
        <v>3621007.2067017099</v>
      </c>
      <c r="R969">
        <f t="shared" si="1021"/>
        <v>-18513894.633362077</v>
      </c>
      <c r="S969">
        <f t="shared" si="1022"/>
        <v>-185.13894633362077</v>
      </c>
      <c r="T969">
        <f t="shared" si="1023"/>
        <v>-0.18513894633362077</v>
      </c>
    </row>
    <row r="970" spans="1:20" x14ac:dyDescent="0.25">
      <c r="A970" s="5">
        <v>43623</v>
      </c>
      <c r="B970">
        <v>0.13074</v>
      </c>
      <c r="C970">
        <v>0.13527</v>
      </c>
      <c r="D970">
        <v>0.13041</v>
      </c>
      <c r="E970">
        <v>0.13395000000000001</v>
      </c>
      <c r="F970">
        <v>3609457.3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0.45679012345679548</v>
      </c>
      <c r="Q970">
        <f t="shared" si="1020"/>
        <v>1648764.4456790315</v>
      </c>
      <c r="R970">
        <f t="shared" si="1021"/>
        <v>-22134901.840063788</v>
      </c>
      <c r="S970">
        <f t="shared" si="1022"/>
        <v>-221.34901840063787</v>
      </c>
      <c r="T970">
        <f t="shared" si="1023"/>
        <v>-0.22134901840063786</v>
      </c>
    </row>
    <row r="971" spans="1:20" x14ac:dyDescent="0.25">
      <c r="A971" s="5">
        <v>43622</v>
      </c>
      <c r="B971">
        <v>0.12897</v>
      </c>
      <c r="C971">
        <v>0.13869000000000001</v>
      </c>
      <c r="D971">
        <v>0.12345</v>
      </c>
      <c r="E971">
        <v>0.13027</v>
      </c>
      <c r="F971">
        <v>6588723</v>
      </c>
      <c r="G971">
        <v>0</v>
      </c>
      <c r="L971" t="s">
        <v>8</v>
      </c>
      <c r="M971" t="s">
        <v>7</v>
      </c>
      <c r="N971" t="s">
        <v>7</v>
      </c>
      <c r="P971">
        <f t="shared" si="1019"/>
        <v>-0.10498687664042111</v>
      </c>
      <c r="Q971">
        <f t="shared" si="1020"/>
        <v>-691729.44881890528</v>
      </c>
      <c r="R971">
        <f t="shared" si="1021"/>
        <v>-23783666.285742819</v>
      </c>
      <c r="S971">
        <f t="shared" si="1022"/>
        <v>-237.83666285742819</v>
      </c>
      <c r="T971">
        <f t="shared" si="1023"/>
        <v>-0.23783666285742819</v>
      </c>
    </row>
    <row r="972" spans="1:20" x14ac:dyDescent="0.25">
      <c r="A972" s="5">
        <v>43621</v>
      </c>
      <c r="B972">
        <v>0.12318999999999999</v>
      </c>
      <c r="C972">
        <v>0.13320000000000001</v>
      </c>
      <c r="D972">
        <v>0.122</v>
      </c>
      <c r="E972">
        <v>0.12945000000000001</v>
      </c>
      <c r="F972">
        <v>8369668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0.33035714285714318</v>
      </c>
      <c r="Q972">
        <f t="shared" si="1020"/>
        <v>2764979.6071428601</v>
      </c>
      <c r="R972">
        <f t="shared" si="1021"/>
        <v>-23091936.836923912</v>
      </c>
      <c r="S972">
        <f t="shared" si="1022"/>
        <v>-230.91936836923912</v>
      </c>
      <c r="T972">
        <f t="shared" si="1023"/>
        <v>-0.23091936836923913</v>
      </c>
    </row>
    <row r="973" spans="1:20" x14ac:dyDescent="0.25">
      <c r="A973" s="5">
        <v>43620</v>
      </c>
      <c r="B973">
        <v>0.13034000000000001</v>
      </c>
      <c r="C973">
        <v>0.13152</v>
      </c>
      <c r="D973">
        <v>0.1196</v>
      </c>
      <c r="E973">
        <v>0.12318999999999999</v>
      </c>
      <c r="F973">
        <v>10027374.4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-0.39765100671141007</v>
      </c>
      <c r="Q973">
        <f t="shared" si="1020"/>
        <v>-3987395.5248322217</v>
      </c>
      <c r="R973">
        <f t="shared" si="1021"/>
        <v>-25856916.444066774</v>
      </c>
      <c r="S973">
        <f t="shared" si="1022"/>
        <v>-258.56916444066775</v>
      </c>
      <c r="T973">
        <f t="shared" si="1023"/>
        <v>-0.25856916444066774</v>
      </c>
    </row>
    <row r="974" spans="1:20" x14ac:dyDescent="0.25">
      <c r="A974" s="5">
        <v>43619</v>
      </c>
      <c r="B974">
        <v>0.14099</v>
      </c>
      <c r="C974">
        <v>0.14312</v>
      </c>
      <c r="D974">
        <v>0.12891</v>
      </c>
      <c r="E974">
        <v>0.13034000000000001</v>
      </c>
      <c r="F974">
        <v>9857435.5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-0.79873328641801344</v>
      </c>
      <c r="Q974">
        <f t="shared" si="1020"/>
        <v>-7873461.8525685938</v>
      </c>
      <c r="R974">
        <f t="shared" si="1021"/>
        <v>-21869520.919234551</v>
      </c>
      <c r="S974">
        <f t="shared" si="1022"/>
        <v>-218.69520919234552</v>
      </c>
      <c r="T974">
        <f t="shared" si="1023"/>
        <v>-0.2186952091923455</v>
      </c>
    </row>
    <row r="975" spans="1:20" x14ac:dyDescent="0.25">
      <c r="A975" s="5">
        <v>43618</v>
      </c>
      <c r="B975">
        <v>0.13147</v>
      </c>
      <c r="C975">
        <v>0.14779</v>
      </c>
      <c r="D975">
        <v>0.13095000000000001</v>
      </c>
      <c r="E975">
        <v>0.14099999999999999</v>
      </c>
      <c r="F975">
        <v>9316521.9000000004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0.1935866983372897</v>
      </c>
      <c r="Q975">
        <f t="shared" si="1020"/>
        <v>1803554.7146080532</v>
      </c>
      <c r="R975">
        <f t="shared" si="1021"/>
        <v>-13996059.066665957</v>
      </c>
      <c r="S975">
        <f t="shared" si="1022"/>
        <v>-139.96059066665956</v>
      </c>
      <c r="T975">
        <f t="shared" si="1023"/>
        <v>-0.13996059066665956</v>
      </c>
    </row>
    <row r="976" spans="1:20" x14ac:dyDescent="0.25">
      <c r="A976" s="5">
        <v>43617</v>
      </c>
      <c r="B976">
        <v>0.13727</v>
      </c>
      <c r="C976">
        <v>0.13785</v>
      </c>
      <c r="D976">
        <v>0.12703999999999999</v>
      </c>
      <c r="E976">
        <v>0.13147</v>
      </c>
      <c r="F976">
        <v>7890312.5</v>
      </c>
      <c r="G976">
        <v>0</v>
      </c>
      <c r="L976" t="s">
        <v>7</v>
      </c>
      <c r="M976" t="s">
        <v>7</v>
      </c>
      <c r="N976" t="s">
        <v>8</v>
      </c>
      <c r="P976">
        <f t="shared" si="1019"/>
        <v>-0.18038852913968334</v>
      </c>
      <c r="Q976">
        <f t="shared" si="1020"/>
        <v>-1423321.8663274576</v>
      </c>
      <c r="R976">
        <f t="shared" si="1021"/>
        <v>-15799613.781274009</v>
      </c>
      <c r="S976">
        <f t="shared" si="1022"/>
        <v>-157.9961378127401</v>
      </c>
      <c r="T976">
        <f t="shared" si="1023"/>
        <v>-0.15799613781274011</v>
      </c>
    </row>
    <row r="977" spans="1:20" x14ac:dyDescent="0.25">
      <c r="A977" s="5">
        <v>43616</v>
      </c>
      <c r="B977">
        <v>0.13109000000000001</v>
      </c>
      <c r="C977">
        <v>0.1396</v>
      </c>
      <c r="D977">
        <v>0.12391000000000001</v>
      </c>
      <c r="E977">
        <v>0.13728000000000001</v>
      </c>
      <c r="F977">
        <v>9701032.5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0.70427023581899439</v>
      </c>
      <c r="Q977">
        <f t="shared" si="1020"/>
        <v>6832148.446462729</v>
      </c>
      <c r="R977">
        <f t="shared" si="1021"/>
        <v>-14376291.914946552</v>
      </c>
      <c r="S977">
        <f t="shared" si="1022"/>
        <v>-143.76291914946552</v>
      </c>
      <c r="T977">
        <f t="shared" si="1023"/>
        <v>-0.14376291914946551</v>
      </c>
    </row>
    <row r="978" spans="1:20" x14ac:dyDescent="0.25">
      <c r="A978" s="5">
        <v>43615</v>
      </c>
      <c r="B978">
        <v>0.15068000000000001</v>
      </c>
      <c r="C978">
        <v>0.16541</v>
      </c>
      <c r="D978">
        <v>0.12417</v>
      </c>
      <c r="E978">
        <v>0.13123000000000001</v>
      </c>
      <c r="F978">
        <v>21842965.899999999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-0.6576139670223079</v>
      </c>
      <c r="Q978">
        <f t="shared" si="1020"/>
        <v>-14364239.457031995</v>
      </c>
      <c r="R978">
        <f t="shared" si="1021"/>
        <v>-21208440.36140928</v>
      </c>
      <c r="S978">
        <f t="shared" si="1022"/>
        <v>-212.08440361409279</v>
      </c>
      <c r="T978">
        <f t="shared" si="1023"/>
        <v>-0.21208440361409278</v>
      </c>
    </row>
    <row r="979" spans="1:20" x14ac:dyDescent="0.25">
      <c r="A979" s="5">
        <v>43614</v>
      </c>
      <c r="B979">
        <v>0.13239000000000001</v>
      </c>
      <c r="C979">
        <v>0.16531000000000001</v>
      </c>
      <c r="D979">
        <v>0.12347</v>
      </c>
      <c r="E979">
        <v>0.15068000000000001</v>
      </c>
      <c r="F979">
        <v>38614960.200000003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0.30066921606118552</v>
      </c>
      <c r="Q979">
        <f t="shared" si="1020"/>
        <v>11610329.81156788</v>
      </c>
      <c r="R979">
        <f t="shared" si="1021"/>
        <v>-6844200.9043772854</v>
      </c>
      <c r="S979">
        <f t="shared" si="1022"/>
        <v>-68.442009043772856</v>
      </c>
      <c r="T979">
        <f t="shared" si="1023"/>
        <v>-6.8442009043772858E-2</v>
      </c>
    </row>
    <row r="980" spans="1:20" x14ac:dyDescent="0.25">
      <c r="A980" s="5">
        <v>43613</v>
      </c>
      <c r="B980">
        <v>0.12648999999999999</v>
      </c>
      <c r="C980">
        <v>0.13663</v>
      </c>
      <c r="D980">
        <v>0.12392</v>
      </c>
      <c r="E980">
        <v>0.13275000000000001</v>
      </c>
      <c r="F980">
        <v>8511731</v>
      </c>
      <c r="G980">
        <v>0</v>
      </c>
      <c r="L980" t="s">
        <v>8</v>
      </c>
      <c r="M980" t="s">
        <v>7</v>
      </c>
      <c r="N980" t="s">
        <v>8</v>
      </c>
      <c r="P980">
        <f t="shared" si="1019"/>
        <v>0.38945712037765617</v>
      </c>
      <c r="Q980">
        <f t="shared" si="1020"/>
        <v>3314954.2446892275</v>
      </c>
      <c r="R980">
        <f t="shared" si="1021"/>
        <v>-18454530.715945166</v>
      </c>
      <c r="S980">
        <f t="shared" si="1022"/>
        <v>-184.54530715945165</v>
      </c>
      <c r="T980">
        <f t="shared" si="1023"/>
        <v>-0.18454530715945167</v>
      </c>
    </row>
    <row r="981" spans="1:20" x14ac:dyDescent="0.25">
      <c r="A981" s="5">
        <v>43612</v>
      </c>
      <c r="B981">
        <v>0.12443</v>
      </c>
      <c r="C981">
        <v>0.13056999999999999</v>
      </c>
      <c r="D981">
        <v>0.12180000000000001</v>
      </c>
      <c r="E981">
        <v>0.12655</v>
      </c>
      <c r="F981">
        <v>7678234.4000000004</v>
      </c>
      <c r="G981">
        <v>0</v>
      </c>
      <c r="L981" t="s">
        <v>7</v>
      </c>
      <c r="M981" t="s">
        <v>7</v>
      </c>
      <c r="N981" t="s">
        <v>8</v>
      </c>
      <c r="P981">
        <f t="shared" si="1019"/>
        <v>8.3238312428733835E-2</v>
      </c>
      <c r="Q981">
        <f t="shared" si="1020"/>
        <v>639123.27388825174</v>
      </c>
      <c r="R981">
        <f t="shared" si="1021"/>
        <v>-21769484.960634392</v>
      </c>
      <c r="S981">
        <f t="shared" si="1022"/>
        <v>-217.69484960634392</v>
      </c>
      <c r="T981">
        <f t="shared" si="1023"/>
        <v>-0.21769484960634392</v>
      </c>
    </row>
    <row r="982" spans="1:20" x14ac:dyDescent="0.25">
      <c r="A982" s="5">
        <v>43611</v>
      </c>
      <c r="B982">
        <v>0.13703000000000001</v>
      </c>
      <c r="C982">
        <v>0.13900000000000001</v>
      </c>
      <c r="D982">
        <v>0.11899999999999999</v>
      </c>
      <c r="E982">
        <v>0.12353</v>
      </c>
      <c r="F982">
        <v>11600555.800000001</v>
      </c>
      <c r="G982">
        <v>0</v>
      </c>
      <c r="L982" t="s">
        <v>8</v>
      </c>
      <c r="M982" t="s">
        <v>7</v>
      </c>
      <c r="N982" t="s">
        <v>8</v>
      </c>
      <c r="P982">
        <f t="shared" si="1019"/>
        <v>-0.54699999999999982</v>
      </c>
      <c r="Q982">
        <f t="shared" si="1020"/>
        <v>-6345504.0225999979</v>
      </c>
      <c r="R982">
        <f t="shared" si="1021"/>
        <v>-22408608.234522644</v>
      </c>
      <c r="S982">
        <f t="shared" si="1022"/>
        <v>-224.08608234522646</v>
      </c>
      <c r="T982">
        <f t="shared" si="1023"/>
        <v>-0.22408608234522645</v>
      </c>
    </row>
    <row r="983" spans="1:20" x14ac:dyDescent="0.25">
      <c r="A983" s="5">
        <v>43610</v>
      </c>
      <c r="B983">
        <v>0.11812</v>
      </c>
      <c r="C983">
        <v>0.13850000000000001</v>
      </c>
      <c r="D983">
        <v>0.11812</v>
      </c>
      <c r="E983">
        <v>0.13694999999999999</v>
      </c>
      <c r="F983">
        <v>21043939.699999999</v>
      </c>
      <c r="G983">
        <v>0</v>
      </c>
      <c r="L983" t="s">
        <v>7</v>
      </c>
      <c r="M983" t="s">
        <v>7</v>
      </c>
      <c r="N983" t="s">
        <v>8</v>
      </c>
      <c r="P983">
        <f t="shared" si="1019"/>
        <v>0.84789008832188195</v>
      </c>
      <c r="Q983">
        <f t="shared" si="1020"/>
        <v>17842947.890873358</v>
      </c>
      <c r="R983">
        <f t="shared" si="1021"/>
        <v>-16063104.211922646</v>
      </c>
      <c r="S983">
        <f t="shared" si="1022"/>
        <v>-160.63104211922646</v>
      </c>
      <c r="T983">
        <f t="shared" si="1023"/>
        <v>-0.16063104211922646</v>
      </c>
    </row>
    <row r="984" spans="1:20" x14ac:dyDescent="0.25">
      <c r="A984" s="5">
        <v>43609</v>
      </c>
      <c r="B984">
        <v>0.10915999999999999</v>
      </c>
      <c r="C984">
        <v>0.14413000000000001</v>
      </c>
      <c r="D984">
        <v>0.10908</v>
      </c>
      <c r="E984">
        <v>0.1182</v>
      </c>
      <c r="F984">
        <v>46650622.5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-0.47960057061340944</v>
      </c>
      <c r="Q984">
        <f t="shared" si="1020"/>
        <v>-22373665.170470756</v>
      </c>
      <c r="R984">
        <f t="shared" si="1021"/>
        <v>-33906052.102796003</v>
      </c>
      <c r="S984">
        <f t="shared" si="1022"/>
        <v>-339.06052102796002</v>
      </c>
      <c r="T984">
        <f t="shared" si="1023"/>
        <v>-0.33906052102796003</v>
      </c>
    </row>
    <row r="985" spans="1:20" x14ac:dyDescent="0.25">
      <c r="A985" s="5">
        <v>43608</v>
      </c>
      <c r="B985">
        <v>0.10521</v>
      </c>
      <c r="C985">
        <v>0.10938000000000001</v>
      </c>
      <c r="D985">
        <v>0.10057000000000001</v>
      </c>
      <c r="E985">
        <v>0.10915999999999999</v>
      </c>
      <c r="F985">
        <v>4702156.7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0.95005675368898712</v>
      </c>
      <c r="Q985">
        <f t="shared" si="1020"/>
        <v>4467315.7297389209</v>
      </c>
      <c r="R985">
        <f t="shared" si="1021"/>
        <v>-11532386.932325251</v>
      </c>
      <c r="S985">
        <f t="shared" si="1022"/>
        <v>-115.32386932325251</v>
      </c>
      <c r="T985">
        <f t="shared" si="1023"/>
        <v>-0.1153238693232525</v>
      </c>
    </row>
    <row r="986" spans="1:20" x14ac:dyDescent="0.25">
      <c r="A986" s="5">
        <v>43607</v>
      </c>
      <c r="B986">
        <v>0.11373999999999999</v>
      </c>
      <c r="C986">
        <v>0.11827</v>
      </c>
      <c r="D986">
        <v>0.10366</v>
      </c>
      <c r="E986">
        <v>0.1055</v>
      </c>
      <c r="F986">
        <v>5838563.7000000002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-0.74811772758384742</v>
      </c>
      <c r="Q986">
        <f t="shared" si="1020"/>
        <v>-4367933.0075975405</v>
      </c>
      <c r="R986">
        <f t="shared" si="1021"/>
        <v>-15999702.662064172</v>
      </c>
      <c r="S986">
        <f t="shared" si="1022"/>
        <v>-159.99702662064172</v>
      </c>
      <c r="T986">
        <f t="shared" si="1023"/>
        <v>-0.15999702662064172</v>
      </c>
    </row>
    <row r="987" spans="1:20" x14ac:dyDescent="0.25">
      <c r="A987" s="5">
        <v>43606</v>
      </c>
      <c r="B987">
        <v>0.11236</v>
      </c>
      <c r="C987">
        <v>0.1203</v>
      </c>
      <c r="D987">
        <v>0.11047</v>
      </c>
      <c r="E987">
        <v>0.11373</v>
      </c>
      <c r="F987">
        <v>9224876.5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-0.33672431332655195</v>
      </c>
      <c r="Q987">
        <f t="shared" si="1020"/>
        <v>-3106240.2049847459</v>
      </c>
      <c r="R987">
        <f t="shared" si="1021"/>
        <v>-11631769.654466633</v>
      </c>
      <c r="S987">
        <f t="shared" si="1022"/>
        <v>-116.31769654466633</v>
      </c>
      <c r="T987">
        <f t="shared" si="1023"/>
        <v>-0.11631769654466634</v>
      </c>
    </row>
    <row r="988" spans="1:20" x14ac:dyDescent="0.25">
      <c r="A988" s="5">
        <v>43605</v>
      </c>
      <c r="B988">
        <v>0.11688</v>
      </c>
      <c r="C988">
        <v>0.11688</v>
      </c>
      <c r="D988">
        <v>0.10826</v>
      </c>
      <c r="E988">
        <v>0.113</v>
      </c>
      <c r="F988">
        <v>9176039.3000000007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9.9767981438516617E-2</v>
      </c>
      <c r="Q988">
        <f t="shared" si="1020"/>
        <v>915474.9185614991</v>
      </c>
      <c r="R988">
        <f t="shared" si="1021"/>
        <v>-8525529.4494818877</v>
      </c>
      <c r="S988">
        <f t="shared" si="1022"/>
        <v>-85.255294494818884</v>
      </c>
      <c r="T988">
        <f t="shared" si="1023"/>
        <v>-8.525529449481889E-2</v>
      </c>
    </row>
    <row r="989" spans="1:20" x14ac:dyDescent="0.25">
      <c r="A989" s="5">
        <v>43604</v>
      </c>
      <c r="B989">
        <v>0.11934</v>
      </c>
      <c r="C989">
        <v>0.124</v>
      </c>
      <c r="D989">
        <v>0.11555</v>
      </c>
      <c r="E989">
        <v>0.1162</v>
      </c>
      <c r="F989">
        <v>8645412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-0.8461538461538467</v>
      </c>
      <c r="Q989">
        <f t="shared" si="1020"/>
        <v>-7315348.6153846197</v>
      </c>
      <c r="R989">
        <f t="shared" si="1021"/>
        <v>-9441004.3680433873</v>
      </c>
      <c r="S989">
        <f t="shared" si="1022"/>
        <v>-94.410043680433873</v>
      </c>
      <c r="T989">
        <f t="shared" si="1023"/>
        <v>-9.4410043680433875E-2</v>
      </c>
    </row>
    <row r="990" spans="1:20" x14ac:dyDescent="0.25">
      <c r="A990" s="5">
        <v>43603</v>
      </c>
      <c r="B990">
        <v>0.11351</v>
      </c>
      <c r="C990">
        <v>0.12330000000000001</v>
      </c>
      <c r="D990">
        <v>0.11001</v>
      </c>
      <c r="E990">
        <v>0.11934</v>
      </c>
      <c r="F990">
        <v>11674463</v>
      </c>
      <c r="G990">
        <v>0</v>
      </c>
      <c r="L990" t="s">
        <v>8</v>
      </c>
      <c r="M990" t="s">
        <v>8</v>
      </c>
      <c r="N990" t="s">
        <v>8</v>
      </c>
      <c r="P990">
        <f t="shared" si="1019"/>
        <v>0.40406320541760687</v>
      </c>
      <c r="Q990">
        <f t="shared" si="1020"/>
        <v>4717220.9413092509</v>
      </c>
      <c r="R990">
        <f t="shared" si="1021"/>
        <v>-2125655.7526587676</v>
      </c>
      <c r="S990">
        <f t="shared" si="1022"/>
        <v>-21.256557526587677</v>
      </c>
      <c r="T990">
        <f t="shared" si="1023"/>
        <v>-2.1256557526587679E-2</v>
      </c>
    </row>
    <row r="991" spans="1:20" x14ac:dyDescent="0.25">
      <c r="A991" s="5">
        <v>43602</v>
      </c>
      <c r="B991">
        <v>0.11342000000000001</v>
      </c>
      <c r="C991">
        <v>0.1147</v>
      </c>
      <c r="D991">
        <v>9.4950000000000007E-2</v>
      </c>
      <c r="E991">
        <v>0.114</v>
      </c>
      <c r="F991">
        <v>16911826.600000001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0.92911392405063364</v>
      </c>
      <c r="Q991">
        <f t="shared" si="1020"/>
        <v>15713013.575189887</v>
      </c>
      <c r="R991">
        <f t="shared" si="1021"/>
        <v>-6842876.6939680185</v>
      </c>
      <c r="S991">
        <f t="shared" si="1022"/>
        <v>-68.428766939680187</v>
      </c>
      <c r="T991">
        <f t="shared" si="1023"/>
        <v>-6.8428766939680183E-2</v>
      </c>
    </row>
    <row r="992" spans="1:20" x14ac:dyDescent="0.25">
      <c r="A992" s="5">
        <v>43601</v>
      </c>
      <c r="B992">
        <v>0.11794</v>
      </c>
      <c r="C992">
        <v>0.12523999999999999</v>
      </c>
      <c r="D992">
        <v>0.1056</v>
      </c>
      <c r="E992">
        <v>0.11342000000000001</v>
      </c>
      <c r="F992">
        <v>11602012.9</v>
      </c>
      <c r="G992">
        <v>0</v>
      </c>
      <c r="L992" t="s">
        <v>8</v>
      </c>
      <c r="M992" t="s">
        <v>7</v>
      </c>
      <c r="N992" t="s">
        <v>8</v>
      </c>
      <c r="P992">
        <f t="shared" si="1019"/>
        <v>-0.20366598778003961</v>
      </c>
      <c r="Q992">
        <f t="shared" si="1020"/>
        <v>-2362935.417515262</v>
      </c>
      <c r="R992">
        <f t="shared" si="1021"/>
        <v>-22555890.269157905</v>
      </c>
      <c r="S992">
        <f t="shared" si="1022"/>
        <v>-225.55890269157905</v>
      </c>
      <c r="T992">
        <f t="shared" si="1023"/>
        <v>-0.22555890269157905</v>
      </c>
    </row>
    <row r="993" spans="1:20" x14ac:dyDescent="0.25">
      <c r="A993" s="5">
        <v>43600</v>
      </c>
      <c r="B993">
        <v>0.10192</v>
      </c>
      <c r="C993">
        <v>0.125</v>
      </c>
      <c r="D993">
        <v>0.10142</v>
      </c>
      <c r="E993">
        <v>0.11794</v>
      </c>
      <c r="F993">
        <v>10426696.199999999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0.40118744698897407</v>
      </c>
      <c r="Q993">
        <f t="shared" si="1020"/>
        <v>4183059.629007637</v>
      </c>
      <c r="R993">
        <f t="shared" si="1021"/>
        <v>-20192954.851642642</v>
      </c>
      <c r="S993">
        <f t="shared" si="1022"/>
        <v>-201.92954851642642</v>
      </c>
      <c r="T993">
        <f t="shared" si="1023"/>
        <v>-0.20192954851642642</v>
      </c>
    </row>
    <row r="994" spans="1:20" x14ac:dyDescent="0.25">
      <c r="A994" s="5">
        <v>43599</v>
      </c>
      <c r="B994">
        <v>8.9719999999999994E-2</v>
      </c>
      <c r="C994">
        <v>0.11698</v>
      </c>
      <c r="D994">
        <v>8.9340000000000003E-2</v>
      </c>
      <c r="E994">
        <v>0.10194</v>
      </c>
      <c r="F994">
        <v>14592973.699999999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-8.8277858176555646E-2</v>
      </c>
      <c r="Q994">
        <f t="shared" si="1020"/>
        <v>-1288236.4626628065</v>
      </c>
      <c r="R994">
        <f t="shared" si="1021"/>
        <v>-24376014.48065028</v>
      </c>
      <c r="S994">
        <f t="shared" si="1022"/>
        <v>-243.76014480650281</v>
      </c>
      <c r="T994">
        <f t="shared" si="1023"/>
        <v>-0.24376014480650282</v>
      </c>
    </row>
    <row r="995" spans="1:20" x14ac:dyDescent="0.25">
      <c r="A995" s="5">
        <v>43598</v>
      </c>
      <c r="B995">
        <v>8.5999999999999993E-2</v>
      </c>
      <c r="C995">
        <v>9.9989999999999996E-2</v>
      </c>
      <c r="D995">
        <v>8.5599999999999996E-2</v>
      </c>
      <c r="E995">
        <v>8.9700000000000002E-2</v>
      </c>
      <c r="F995">
        <v>11136536.9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-0.43015983321751128</v>
      </c>
      <c r="Q995">
        <f t="shared" si="1020"/>
        <v>-4790490.8555246601</v>
      </c>
      <c r="R995">
        <f t="shared" si="1021"/>
        <v>-23087778.017987475</v>
      </c>
      <c r="S995">
        <f t="shared" si="1022"/>
        <v>-230.87778017987475</v>
      </c>
      <c r="T995">
        <f t="shared" si="1023"/>
        <v>-0.23087778017987476</v>
      </c>
    </row>
    <row r="996" spans="1:20" x14ac:dyDescent="0.25">
      <c r="A996" s="5">
        <v>43597</v>
      </c>
      <c r="B996">
        <v>8.8489999999999999E-2</v>
      </c>
      <c r="C996">
        <v>9.196E-2</v>
      </c>
      <c r="D996">
        <v>8.4229999999999999E-2</v>
      </c>
      <c r="E996">
        <v>8.6330000000000004E-2</v>
      </c>
      <c r="F996">
        <v>4339247.8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-0.45666235446312953</v>
      </c>
      <c r="Q996">
        <f t="shared" si="1020"/>
        <v>-1981571.116946955</v>
      </c>
      <c r="R996">
        <f t="shared" si="1021"/>
        <v>-18297287.162462816</v>
      </c>
      <c r="S996">
        <f t="shared" si="1022"/>
        <v>-182.97287162462817</v>
      </c>
      <c r="T996">
        <f t="shared" si="1023"/>
        <v>-0.18297287162462816</v>
      </c>
    </row>
    <row r="997" spans="1:20" x14ac:dyDescent="0.25">
      <c r="A997" s="5">
        <v>43596</v>
      </c>
      <c r="B997">
        <v>8.6510000000000004E-2</v>
      </c>
      <c r="C997">
        <v>9.282E-2</v>
      </c>
      <c r="D997">
        <v>8.4559999999999996E-2</v>
      </c>
      <c r="E997">
        <v>8.8999999999999996E-2</v>
      </c>
      <c r="F997">
        <v>5359214.4000000004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7.5060532687650769E-2</v>
      </c>
      <c r="Q997">
        <f t="shared" si="1020"/>
        <v>402265.48765132873</v>
      </c>
      <c r="R997">
        <f t="shared" si="1021"/>
        <v>-16315716.045515861</v>
      </c>
      <c r="S997">
        <f t="shared" si="1022"/>
        <v>-163.15716045515862</v>
      </c>
      <c r="T997">
        <f t="shared" si="1023"/>
        <v>-0.16315716045515863</v>
      </c>
    </row>
    <row r="998" spans="1:20" x14ac:dyDescent="0.25">
      <c r="A998" s="5">
        <v>43595</v>
      </c>
      <c r="B998">
        <v>7.9740000000000005E-2</v>
      </c>
      <c r="C998">
        <v>8.7999999999999995E-2</v>
      </c>
      <c r="D998">
        <v>7.7499999999999999E-2</v>
      </c>
      <c r="E998">
        <v>8.6510000000000004E-2</v>
      </c>
      <c r="F998">
        <v>3757104.8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0.71619047619047771</v>
      </c>
      <c r="Q998">
        <f t="shared" si="1020"/>
        <v>2690802.6758095296</v>
      </c>
      <c r="R998">
        <f t="shared" si="1021"/>
        <v>-16717981.533167191</v>
      </c>
      <c r="S998">
        <f t="shared" si="1022"/>
        <v>-167.1798153316719</v>
      </c>
      <c r="T998">
        <f t="shared" si="1023"/>
        <v>-0.16717981533167189</v>
      </c>
    </row>
    <row r="999" spans="1:20" x14ac:dyDescent="0.25">
      <c r="A999" s="5">
        <v>43594</v>
      </c>
      <c r="B999">
        <v>8.6599999999999996E-2</v>
      </c>
      <c r="C999">
        <v>8.7169999999999997E-2</v>
      </c>
      <c r="D999">
        <v>7.8E-2</v>
      </c>
      <c r="E999">
        <v>7.893E-2</v>
      </c>
      <c r="F999">
        <v>4037506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-0.79716466739367486</v>
      </c>
      <c r="Q999">
        <f t="shared" si="1020"/>
        <v>-3218557.1275899666</v>
      </c>
      <c r="R999">
        <f t="shared" si="1021"/>
        <v>-19408784.20897672</v>
      </c>
      <c r="S999">
        <f t="shared" si="1022"/>
        <v>-194.08784208976721</v>
      </c>
      <c r="T999">
        <f t="shared" si="1023"/>
        <v>-0.1940878420897672</v>
      </c>
    </row>
    <row r="1000" spans="1:20" x14ac:dyDescent="0.25">
      <c r="A1000" s="5">
        <v>43593</v>
      </c>
      <c r="B1000">
        <v>8.5430000000000006E-2</v>
      </c>
      <c r="C1000">
        <v>9.3329999999999996E-2</v>
      </c>
      <c r="D1000">
        <v>8.2059999999999994E-2</v>
      </c>
      <c r="E1000">
        <v>8.6790000000000006E-2</v>
      </c>
      <c r="F1000">
        <v>3351645.7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-0.16060337178349404</v>
      </c>
      <c r="Q1000">
        <f t="shared" si="1020"/>
        <v>-538285.60044364922</v>
      </c>
      <c r="R1000">
        <f t="shared" si="1021"/>
        <v>-16190227.081386754</v>
      </c>
      <c r="S1000">
        <f t="shared" si="1022"/>
        <v>-161.90227081386755</v>
      </c>
      <c r="T1000">
        <f t="shared" si="1023"/>
        <v>-0.16190227081386754</v>
      </c>
    </row>
    <row r="1001" spans="1:20" x14ac:dyDescent="0.25">
      <c r="A1001" s="5">
        <v>43592</v>
      </c>
      <c r="B1001">
        <v>9.1609999999999997E-2</v>
      </c>
      <c r="C1001">
        <v>9.2770000000000005E-2</v>
      </c>
      <c r="D1001">
        <v>8.4839999999999999E-2</v>
      </c>
      <c r="E1001">
        <v>8.5400000000000004E-2</v>
      </c>
      <c r="F1001">
        <v>2932442.5</v>
      </c>
      <c r="G1001">
        <v>0</v>
      </c>
      <c r="L1001" t="s">
        <v>7</v>
      </c>
      <c r="M1001" t="s">
        <v>7</v>
      </c>
      <c r="N1001" t="s">
        <v>7</v>
      </c>
      <c r="P1001">
        <f t="shared" si="1019"/>
        <v>-0.858764186633038</v>
      </c>
      <c r="Q1001">
        <f t="shared" si="1020"/>
        <v>-2518276.5983606526</v>
      </c>
      <c r="R1001">
        <f t="shared" si="1021"/>
        <v>-15651941.480943104</v>
      </c>
      <c r="S1001">
        <f t="shared" si="1022"/>
        <v>-156.51941480943105</v>
      </c>
      <c r="T1001">
        <f t="shared" si="1023"/>
        <v>-0.15651941480943105</v>
      </c>
    </row>
    <row r="1002" spans="1:20" x14ac:dyDescent="0.25">
      <c r="A1002" s="5">
        <v>43591</v>
      </c>
      <c r="B1002">
        <v>8.7529999999999997E-2</v>
      </c>
      <c r="C1002">
        <v>9.4409999999999994E-2</v>
      </c>
      <c r="D1002">
        <v>8.6540000000000006E-2</v>
      </c>
      <c r="E1002">
        <v>9.0880000000000002E-2</v>
      </c>
      <c r="F1002">
        <v>2133515.2999999998</v>
      </c>
      <c r="G1002">
        <v>0</v>
      </c>
      <c r="L1002" t="s">
        <v>8</v>
      </c>
      <c r="M1002" t="s">
        <v>7</v>
      </c>
      <c r="N1002" t="s">
        <v>7</v>
      </c>
      <c r="P1002">
        <f t="shared" si="1019"/>
        <v>0.10292249047014058</v>
      </c>
      <c r="Q1002">
        <f t="shared" si="1020"/>
        <v>219586.7081321491</v>
      </c>
      <c r="R1002">
        <f t="shared" si="1021"/>
        <v>-13133664.882582452</v>
      </c>
      <c r="S1002">
        <f t="shared" si="1022"/>
        <v>-131.33664882582451</v>
      </c>
      <c r="T1002">
        <f t="shared" si="1023"/>
        <v>-0.13133664882582452</v>
      </c>
    </row>
    <row r="1003" spans="1:20" x14ac:dyDescent="0.25">
      <c r="A1003" s="5">
        <v>43590</v>
      </c>
      <c r="B1003">
        <v>9.0200000000000002E-2</v>
      </c>
      <c r="C1003">
        <v>9.0679999999999997E-2</v>
      </c>
      <c r="D1003">
        <v>8.6209999999999995E-2</v>
      </c>
      <c r="E1003">
        <v>8.7529999999999997E-2</v>
      </c>
      <c r="F1003">
        <v>1802792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-0.40939597315436188</v>
      </c>
      <c r="Q1003">
        <f t="shared" si="1020"/>
        <v>-738055.78523489833</v>
      </c>
      <c r="R1003">
        <f t="shared" si="1021"/>
        <v>-13353251.590714602</v>
      </c>
      <c r="S1003">
        <f t="shared" si="1022"/>
        <v>-133.53251590714601</v>
      </c>
      <c r="T1003">
        <f t="shared" si="1023"/>
        <v>-0.13353251590714602</v>
      </c>
    </row>
    <row r="1004" spans="1:20" x14ac:dyDescent="0.25">
      <c r="A1004" s="5">
        <v>43589</v>
      </c>
      <c r="B1004">
        <v>9.6680000000000002E-2</v>
      </c>
      <c r="C1004">
        <v>9.6680000000000002E-2</v>
      </c>
      <c r="D1004">
        <v>8.6999999999999994E-2</v>
      </c>
      <c r="E1004">
        <v>9.0550000000000005E-2</v>
      </c>
      <c r="F1004">
        <v>2680412.5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-0.26652892561983293</v>
      </c>
      <c r="Q1004">
        <f t="shared" si="1020"/>
        <v>-714407.46384297044</v>
      </c>
      <c r="R1004">
        <f t="shared" si="1021"/>
        <v>-12615195.805479703</v>
      </c>
      <c r="S1004">
        <f t="shared" si="1022"/>
        <v>-126.15195805479703</v>
      </c>
      <c r="T1004">
        <f t="shared" si="1023"/>
        <v>-0.12615195805479704</v>
      </c>
    </row>
    <row r="1005" spans="1:20" x14ac:dyDescent="0.25">
      <c r="A1005" s="5">
        <v>43588</v>
      </c>
      <c r="B1005">
        <v>9.4890000000000002E-2</v>
      </c>
      <c r="C1005">
        <v>9.7299999999999998E-2</v>
      </c>
      <c r="D1005">
        <v>9.3299999999999994E-2</v>
      </c>
      <c r="E1005">
        <v>9.6680000000000002E-2</v>
      </c>
      <c r="F1005">
        <v>1791179.7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0.6900000000000025</v>
      </c>
      <c r="Q1005">
        <f t="shared" si="1020"/>
        <v>1235913.9930000044</v>
      </c>
      <c r="R1005">
        <f t="shared" si="1021"/>
        <v>-11900788.341636732</v>
      </c>
      <c r="S1005">
        <f t="shared" si="1022"/>
        <v>-119.00788341636732</v>
      </c>
      <c r="T1005">
        <f t="shared" si="1023"/>
        <v>-0.11900788341636732</v>
      </c>
    </row>
    <row r="1006" spans="1:20" x14ac:dyDescent="0.25">
      <c r="A1006" s="5">
        <v>43587</v>
      </c>
      <c r="B1006">
        <v>9.6339999999999995E-2</v>
      </c>
      <c r="C1006">
        <v>9.9460000000000007E-2</v>
      </c>
      <c r="D1006">
        <v>9.4509999999999997E-2</v>
      </c>
      <c r="E1006">
        <v>9.5659999999999995E-2</v>
      </c>
      <c r="F1006">
        <v>1358919.8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-0.53535353535353702</v>
      </c>
      <c r="Q1006">
        <f t="shared" si="1020"/>
        <v>-727502.51919192146</v>
      </c>
      <c r="R1006">
        <f t="shared" si="1021"/>
        <v>-13136702.334636737</v>
      </c>
      <c r="S1006">
        <f t="shared" si="1022"/>
        <v>-131.36702334636738</v>
      </c>
      <c r="T1006">
        <f t="shared" si="1023"/>
        <v>-0.13136702334636738</v>
      </c>
    </row>
    <row r="1007" spans="1:20" x14ac:dyDescent="0.25">
      <c r="A1007" s="5">
        <v>43586</v>
      </c>
      <c r="B1007">
        <v>9.4E-2</v>
      </c>
      <c r="C1007">
        <v>9.9640000000000006E-2</v>
      </c>
      <c r="D1007">
        <v>9.3009999999999995E-2</v>
      </c>
      <c r="E1007">
        <v>9.6350000000000005E-2</v>
      </c>
      <c r="F1007">
        <v>2088157.5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7.5414781297146738E-3</v>
      </c>
      <c r="Q1007">
        <f t="shared" si="1020"/>
        <v>15747.79411764967</v>
      </c>
      <c r="R1007">
        <f t="shared" si="1021"/>
        <v>-12409199.815444816</v>
      </c>
      <c r="S1007">
        <f t="shared" si="1022"/>
        <v>-124.09199815444816</v>
      </c>
      <c r="T1007">
        <f t="shared" si="1023"/>
        <v>-0.12409199815444816</v>
      </c>
    </row>
    <row r="1008" spans="1:20" x14ac:dyDescent="0.25">
      <c r="A1008" s="5">
        <v>43585</v>
      </c>
      <c r="B1008">
        <v>9.0620000000000006E-2</v>
      </c>
      <c r="C1008">
        <v>9.7720000000000001E-2</v>
      </c>
      <c r="D1008">
        <v>8.9209999999999998E-2</v>
      </c>
      <c r="E1008">
        <v>9.4329999999999997E-2</v>
      </c>
      <c r="F1008">
        <v>1830803.2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0.20329024676850702</v>
      </c>
      <c r="Q1008">
        <f t="shared" si="1020"/>
        <v>372184.4343125723</v>
      </c>
      <c r="R1008">
        <f t="shared" si="1021"/>
        <v>-12424947.609562466</v>
      </c>
      <c r="S1008">
        <f t="shared" si="1022"/>
        <v>-124.24947609562466</v>
      </c>
      <c r="T1008">
        <f t="shared" si="1023"/>
        <v>-0.12424947609562466</v>
      </c>
    </row>
    <row r="1009" spans="1:20" x14ac:dyDescent="0.25">
      <c r="A1009" s="5">
        <v>43584</v>
      </c>
      <c r="B1009">
        <v>9.9750000000000005E-2</v>
      </c>
      <c r="C1009">
        <v>0.10049</v>
      </c>
      <c r="D1009">
        <v>8.7999999999999995E-2</v>
      </c>
      <c r="E1009">
        <v>9.0609999999999996E-2</v>
      </c>
      <c r="F1009">
        <v>2793456.9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-0.58206565252201747</v>
      </c>
      <c r="Q1009">
        <f t="shared" si="1020"/>
        <v>-1625975.3132906321</v>
      </c>
      <c r="R1009">
        <f t="shared" si="1021"/>
        <v>-12797132.043875039</v>
      </c>
      <c r="S1009">
        <f t="shared" si="1022"/>
        <v>-127.97132043875038</v>
      </c>
      <c r="T1009">
        <f t="shared" si="1023"/>
        <v>-0.12797132043875037</v>
      </c>
    </row>
    <row r="1010" spans="1:20" x14ac:dyDescent="0.25">
      <c r="A1010" s="5">
        <v>43583</v>
      </c>
      <c r="B1010">
        <v>0.10285</v>
      </c>
      <c r="C1010">
        <v>0.10363</v>
      </c>
      <c r="D1010">
        <v>9.8250000000000004E-2</v>
      </c>
      <c r="E1010">
        <v>9.9790000000000004E-2</v>
      </c>
      <c r="F1010">
        <v>2081797.4</v>
      </c>
      <c r="G1010">
        <v>0</v>
      </c>
      <c r="L1010" t="s">
        <v>7</v>
      </c>
      <c r="M1010" t="s">
        <v>8</v>
      </c>
      <c r="N1010" t="s">
        <v>7</v>
      </c>
      <c r="P1010">
        <f t="shared" si="1019"/>
        <v>-0.42750929368029705</v>
      </c>
      <c r="Q1010">
        <f t="shared" si="1020"/>
        <v>-889987.73605947883</v>
      </c>
      <c r="R1010">
        <f t="shared" si="1021"/>
        <v>-11171156.730584407</v>
      </c>
      <c r="S1010">
        <f t="shared" si="1022"/>
        <v>-111.71156730584407</v>
      </c>
      <c r="T1010">
        <f t="shared" si="1023"/>
        <v>-0.11171156730584407</v>
      </c>
    </row>
    <row r="1011" spans="1:20" x14ac:dyDescent="0.25">
      <c r="A1011" s="5">
        <v>43582</v>
      </c>
      <c r="B1011">
        <v>0.104</v>
      </c>
      <c r="C1011">
        <v>0.10589999999999999</v>
      </c>
      <c r="D1011">
        <v>9.98E-2</v>
      </c>
      <c r="E1011">
        <v>0.10277</v>
      </c>
      <c r="F1011">
        <v>1716478.1</v>
      </c>
      <c r="G1011">
        <v>0</v>
      </c>
      <c r="L1011" t="s">
        <v>7</v>
      </c>
      <c r="M1011" t="s">
        <v>8</v>
      </c>
      <c r="N1011" t="s">
        <v>7</v>
      </c>
      <c r="P1011">
        <f t="shared" si="1019"/>
        <v>-2.6229508196720267E-2</v>
      </c>
      <c r="Q1011">
        <f t="shared" si="1020"/>
        <v>-45022.376393440834</v>
      </c>
      <c r="R1011">
        <f t="shared" si="1021"/>
        <v>-10281168.994524928</v>
      </c>
      <c r="S1011">
        <f t="shared" si="1022"/>
        <v>-102.81168994524928</v>
      </c>
      <c r="T1011">
        <f t="shared" si="1023"/>
        <v>-0.10281168994524928</v>
      </c>
    </row>
    <row r="1012" spans="1:20" x14ac:dyDescent="0.25">
      <c r="A1012" s="5">
        <v>43581</v>
      </c>
      <c r="B1012">
        <v>9.5670000000000005E-2</v>
      </c>
      <c r="C1012">
        <v>0.10889</v>
      </c>
      <c r="D1012">
        <v>9.3259999999999996E-2</v>
      </c>
      <c r="E1012">
        <v>0.10444000000000001</v>
      </c>
      <c r="F1012">
        <v>4509943.8</v>
      </c>
      <c r="G1012">
        <v>0</v>
      </c>
      <c r="L1012" t="s">
        <v>8</v>
      </c>
      <c r="M1012" t="s">
        <v>8</v>
      </c>
      <c r="N1012" t="s">
        <v>7</v>
      </c>
      <c r="P1012">
        <f t="shared" si="1019"/>
        <v>0.43058221369161942</v>
      </c>
      <c r="Q1012">
        <f t="shared" si="1020"/>
        <v>1941901.5850287941</v>
      </c>
      <c r="R1012">
        <f t="shared" si="1021"/>
        <v>-10236146.618131487</v>
      </c>
      <c r="S1012">
        <f t="shared" si="1022"/>
        <v>-102.36146618131487</v>
      </c>
      <c r="T1012">
        <f t="shared" si="1023"/>
        <v>-0.10236146618131486</v>
      </c>
    </row>
    <row r="1013" spans="1:20" x14ac:dyDescent="0.25">
      <c r="A1013" s="5">
        <v>43580</v>
      </c>
      <c r="B1013">
        <v>9.9599999999999994E-2</v>
      </c>
      <c r="C1013">
        <v>0.10349999999999999</v>
      </c>
      <c r="D1013">
        <v>0.09</v>
      </c>
      <c r="E1013">
        <v>9.5670000000000005E-2</v>
      </c>
      <c r="F1013">
        <v>3636529.2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-0.15999999999999864</v>
      </c>
      <c r="Q1013">
        <f t="shared" si="1020"/>
        <v>-581844.67199999513</v>
      </c>
      <c r="R1013">
        <f t="shared" si="1021"/>
        <v>-12178048.20316028</v>
      </c>
      <c r="S1013">
        <f t="shared" si="1022"/>
        <v>-121.7804820316028</v>
      </c>
      <c r="T1013">
        <f t="shared" si="1023"/>
        <v>-0.1217804820316028</v>
      </c>
    </row>
    <row r="1014" spans="1:20" x14ac:dyDescent="0.25">
      <c r="A1014" s="5">
        <v>43579</v>
      </c>
      <c r="B1014">
        <v>0.10934000000000001</v>
      </c>
      <c r="C1014">
        <v>0.11326</v>
      </c>
      <c r="D1014">
        <v>9.3399999999999997E-2</v>
      </c>
      <c r="E1014">
        <v>9.9510000000000001E-2</v>
      </c>
      <c r="F1014">
        <v>4644741.5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-0.3846928499496472</v>
      </c>
      <c r="Q1014">
        <f t="shared" si="1020"/>
        <v>-1786798.8449143993</v>
      </c>
      <c r="R1014">
        <f t="shared" si="1021"/>
        <v>-11596203.531160286</v>
      </c>
      <c r="S1014">
        <f t="shared" si="1022"/>
        <v>-115.96203531160286</v>
      </c>
      <c r="T1014">
        <f t="shared" si="1023"/>
        <v>-0.11596203531160286</v>
      </c>
    </row>
    <row r="1015" spans="1:20" x14ac:dyDescent="0.25">
      <c r="A1015" s="5">
        <v>43578</v>
      </c>
      <c r="B1015">
        <v>0.11192000000000001</v>
      </c>
      <c r="C1015">
        <v>0.11741</v>
      </c>
      <c r="D1015">
        <v>0.10884000000000001</v>
      </c>
      <c r="E1015">
        <v>0.10999</v>
      </c>
      <c r="F1015">
        <v>2384803.7000000002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-0.73162193698949851</v>
      </c>
      <c r="Q1015">
        <f t="shared" si="1020"/>
        <v>-1744774.702333723</v>
      </c>
      <c r="R1015">
        <f t="shared" si="1021"/>
        <v>-9809404.6862458866</v>
      </c>
      <c r="S1015">
        <f t="shared" si="1022"/>
        <v>-98.094046862458868</v>
      </c>
      <c r="T1015">
        <f t="shared" si="1023"/>
        <v>-9.8094046862458872E-2</v>
      </c>
    </row>
    <row r="1016" spans="1:20" x14ac:dyDescent="0.25">
      <c r="A1016" s="5">
        <v>43577</v>
      </c>
      <c r="B1016">
        <v>0.11403000000000001</v>
      </c>
      <c r="C1016">
        <v>0.1188</v>
      </c>
      <c r="D1016">
        <v>0.1108</v>
      </c>
      <c r="E1016">
        <v>0.11187</v>
      </c>
      <c r="F1016">
        <v>1819709.8</v>
      </c>
      <c r="G1016">
        <v>0</v>
      </c>
      <c r="L1016" t="s">
        <v>8</v>
      </c>
      <c r="M1016" t="s">
        <v>7</v>
      </c>
      <c r="N1016" t="s">
        <v>7</v>
      </c>
      <c r="P1016">
        <f t="shared" si="1019"/>
        <v>-0.73249999999999982</v>
      </c>
      <c r="Q1016">
        <f t="shared" si="1020"/>
        <v>-1332937.4284999997</v>
      </c>
      <c r="R1016">
        <f t="shared" si="1021"/>
        <v>-8064629.9839121634</v>
      </c>
      <c r="S1016">
        <f t="shared" si="1022"/>
        <v>-80.646299839121639</v>
      </c>
      <c r="T1016">
        <f t="shared" si="1023"/>
        <v>-8.0646299839121638E-2</v>
      </c>
    </row>
    <row r="1017" spans="1:20" x14ac:dyDescent="0.25">
      <c r="A1017" s="5">
        <v>43576</v>
      </c>
      <c r="B1017">
        <v>0.12365</v>
      </c>
      <c r="C1017">
        <v>0.12441000000000001</v>
      </c>
      <c r="D1017">
        <v>0.10957</v>
      </c>
      <c r="E1017">
        <v>0.114</v>
      </c>
      <c r="F1017">
        <v>3573719.2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-0.40296495956873296</v>
      </c>
      <c r="Q1017">
        <f t="shared" si="1020"/>
        <v>-1440083.6129380048</v>
      </c>
      <c r="R1017">
        <f t="shared" si="1021"/>
        <v>-6731692.555412164</v>
      </c>
      <c r="S1017">
        <f t="shared" si="1022"/>
        <v>-67.316925554121639</v>
      </c>
      <c r="T1017">
        <f t="shared" si="1023"/>
        <v>-6.7316925554121637E-2</v>
      </c>
    </row>
    <row r="1018" spans="1:20" x14ac:dyDescent="0.25">
      <c r="A1018" s="5">
        <v>43575</v>
      </c>
      <c r="B1018">
        <v>0.12189</v>
      </c>
      <c r="C1018">
        <v>0.126</v>
      </c>
      <c r="D1018">
        <v>0.11934</v>
      </c>
      <c r="E1018">
        <v>0.1234</v>
      </c>
      <c r="F1018">
        <v>2258118.4</v>
      </c>
      <c r="G1018">
        <v>0</v>
      </c>
      <c r="L1018" t="s">
        <v>7</v>
      </c>
      <c r="M1018" t="s">
        <v>8</v>
      </c>
      <c r="N1018" t="s">
        <v>7</v>
      </c>
      <c r="P1018">
        <f t="shared" si="1019"/>
        <v>0.21921921921921761</v>
      </c>
      <c r="Q1018">
        <f t="shared" si="1020"/>
        <v>495022.9525525489</v>
      </c>
      <c r="R1018">
        <f t="shared" si="1021"/>
        <v>-5291608.9424741594</v>
      </c>
      <c r="S1018">
        <f t="shared" si="1022"/>
        <v>-52.916089424741592</v>
      </c>
      <c r="T1018">
        <f t="shared" si="1023"/>
        <v>-5.2916089424741596E-2</v>
      </c>
    </row>
    <row r="1019" spans="1:20" x14ac:dyDescent="0.25">
      <c r="A1019" s="5">
        <v>43574</v>
      </c>
      <c r="B1019">
        <v>0.126</v>
      </c>
      <c r="C1019">
        <v>0.1295</v>
      </c>
      <c r="D1019">
        <v>0.1192</v>
      </c>
      <c r="E1019">
        <v>0.12189</v>
      </c>
      <c r="F1019">
        <v>2943550.5</v>
      </c>
      <c r="G1019">
        <v>0</v>
      </c>
      <c r="L1019" t="s">
        <v>7</v>
      </c>
      <c r="M1019" t="s">
        <v>8</v>
      </c>
      <c r="N1019" t="s">
        <v>7</v>
      </c>
      <c r="P1019">
        <f t="shared" si="1019"/>
        <v>-0.47766990291262196</v>
      </c>
      <c r="Q1019">
        <f t="shared" si="1020"/>
        <v>-1406045.4815533999</v>
      </c>
      <c r="R1019">
        <f t="shared" si="1021"/>
        <v>-5786631.895026708</v>
      </c>
      <c r="S1019">
        <f t="shared" si="1022"/>
        <v>-57.866318950267079</v>
      </c>
      <c r="T1019">
        <f t="shared" si="1023"/>
        <v>-5.786631895026708E-2</v>
      </c>
    </row>
    <row r="1020" spans="1:20" x14ac:dyDescent="0.25">
      <c r="A1020" s="5">
        <v>43573</v>
      </c>
      <c r="B1020">
        <v>0.12740000000000001</v>
      </c>
      <c r="C1020">
        <v>0.13077</v>
      </c>
      <c r="D1020">
        <v>0.1245</v>
      </c>
      <c r="E1020">
        <v>0.12598999999999999</v>
      </c>
      <c r="F1020">
        <v>3747363.9</v>
      </c>
      <c r="G1020">
        <v>0</v>
      </c>
      <c r="L1020" t="s">
        <v>7</v>
      </c>
      <c r="M1020" t="s">
        <v>8</v>
      </c>
      <c r="N1020" t="s">
        <v>7</v>
      </c>
      <c r="P1020">
        <f t="shared" si="1019"/>
        <v>-0.52472089314194836</v>
      </c>
      <c r="Q1020">
        <f t="shared" si="1020"/>
        <v>-1966320.1325358949</v>
      </c>
      <c r="R1020">
        <f t="shared" si="1021"/>
        <v>-4380586.4134733081</v>
      </c>
      <c r="S1020">
        <f t="shared" si="1022"/>
        <v>-43.805864134733078</v>
      </c>
      <c r="T1020">
        <f t="shared" si="1023"/>
        <v>-4.3805864134733079E-2</v>
      </c>
    </row>
    <row r="1021" spans="1:20" x14ac:dyDescent="0.25">
      <c r="A1021" s="5">
        <v>43572</v>
      </c>
      <c r="B1021">
        <v>0.13150000000000001</v>
      </c>
      <c r="C1021">
        <v>0.13508999999999999</v>
      </c>
      <c r="D1021">
        <v>0.12559000000000001</v>
      </c>
      <c r="E1021">
        <v>0.12790000000000001</v>
      </c>
      <c r="F1021">
        <v>7176562.5999999996</v>
      </c>
      <c r="G1021">
        <v>0</v>
      </c>
      <c r="L1021" t="s">
        <v>7</v>
      </c>
      <c r="M1021" t="s">
        <v>8</v>
      </c>
      <c r="N1021" t="s">
        <v>7</v>
      </c>
      <c r="P1021">
        <f t="shared" si="1019"/>
        <v>-0.51368421052631341</v>
      </c>
      <c r="Q1021">
        <f t="shared" si="1020"/>
        <v>-3686486.8934736671</v>
      </c>
      <c r="R1021">
        <f t="shared" si="1021"/>
        <v>-2414266.2809374128</v>
      </c>
      <c r="S1021">
        <f t="shared" si="1022"/>
        <v>-24.142662809374126</v>
      </c>
      <c r="T1021">
        <f t="shared" si="1023"/>
        <v>-2.4142662809374126E-2</v>
      </c>
    </row>
    <row r="1022" spans="1:20" x14ac:dyDescent="0.25">
      <c r="A1022" s="5">
        <v>43571</v>
      </c>
      <c r="B1022">
        <v>0.11801</v>
      </c>
      <c r="C1022">
        <v>0.13678999999999999</v>
      </c>
      <c r="D1022">
        <v>0.11735</v>
      </c>
      <c r="E1022">
        <v>0.13142000000000001</v>
      </c>
      <c r="F1022">
        <v>7731994.5</v>
      </c>
      <c r="G1022">
        <v>0</v>
      </c>
      <c r="L1022" t="s">
        <v>8</v>
      </c>
      <c r="M1022" t="s">
        <v>8</v>
      </c>
      <c r="N1022" t="s">
        <v>7</v>
      </c>
      <c r="P1022">
        <f t="shared" si="1019"/>
        <v>0.4475308641975323</v>
      </c>
      <c r="Q1022">
        <f t="shared" si="1020"/>
        <v>3460306.1805555667</v>
      </c>
      <c r="R1022">
        <f t="shared" si="1021"/>
        <v>1272220.6125362543</v>
      </c>
      <c r="S1022">
        <f t="shared" si="1022"/>
        <v>12.722206125362543</v>
      </c>
      <c r="T1022">
        <f t="shared" si="1023"/>
        <v>1.2722206125362543E-2</v>
      </c>
    </row>
    <row r="1023" spans="1:20" x14ac:dyDescent="0.25">
      <c r="A1023" s="5">
        <v>43570</v>
      </c>
      <c r="B1023">
        <v>0.12101000000000001</v>
      </c>
      <c r="C1023">
        <v>0.12499</v>
      </c>
      <c r="D1023">
        <v>0.11501</v>
      </c>
      <c r="E1023">
        <v>0.11802</v>
      </c>
      <c r="F1023">
        <v>3399937.6</v>
      </c>
      <c r="G1023">
        <v>0</v>
      </c>
      <c r="L1023" t="s">
        <v>7</v>
      </c>
      <c r="M1023" t="s">
        <v>8</v>
      </c>
      <c r="N1023" t="s">
        <v>7</v>
      </c>
      <c r="P1023">
        <f t="shared" ref="P1023:P1028" si="1024">IF(C1023=D1023,0,((E1023-D1023)-(C1023-E1023))/(C1023-D1023))</f>
        <v>-0.39679358717434909</v>
      </c>
      <c r="Q1023">
        <f t="shared" ref="Q1023:Q1028" si="1025">F1023*P1023</f>
        <v>-1349073.4364729472</v>
      </c>
      <c r="R1023">
        <f t="shared" ref="R1023:R1028" si="1026">R1024+Q1023</f>
        <v>-2188085.5680193123</v>
      </c>
      <c r="S1023">
        <f t="shared" ref="S1023:S1028" si="1027">R1023/100000</f>
        <v>-21.880855680193122</v>
      </c>
      <c r="T1023">
        <f t="shared" ref="T1023:T1028" si="1028">S1023/1000</f>
        <v>-2.1880855680193122E-2</v>
      </c>
    </row>
    <row r="1024" spans="1:20" x14ac:dyDescent="0.25">
      <c r="A1024" s="5">
        <v>43569</v>
      </c>
      <c r="B1024">
        <v>0.11650000000000001</v>
      </c>
      <c r="C1024">
        <v>0.12499</v>
      </c>
      <c r="D1024">
        <v>0.11582000000000001</v>
      </c>
      <c r="E1024">
        <v>0.12112000000000001</v>
      </c>
      <c r="F1024">
        <v>3087031.6</v>
      </c>
      <c r="G1024">
        <v>0</v>
      </c>
      <c r="L1024" t="s">
        <v>8</v>
      </c>
      <c r="M1024" t="s">
        <v>8</v>
      </c>
      <c r="N1024" t="s">
        <v>7</v>
      </c>
      <c r="P1024">
        <f t="shared" si="1024"/>
        <v>0.15594329334787363</v>
      </c>
      <c r="Q1024">
        <f t="shared" si="1025"/>
        <v>481401.8743729557</v>
      </c>
      <c r="R1024">
        <f t="shared" si="1026"/>
        <v>-839012.1315463651</v>
      </c>
      <c r="S1024">
        <f t="shared" si="1027"/>
        <v>-8.3901213154636505</v>
      </c>
      <c r="T1024">
        <f t="shared" si="1028"/>
        <v>-8.3901213154636504E-3</v>
      </c>
    </row>
    <row r="1025" spans="1:20" x14ac:dyDescent="0.25">
      <c r="A1025" s="5">
        <v>43568</v>
      </c>
      <c r="B1025">
        <v>0.11438</v>
      </c>
      <c r="C1025">
        <v>0.11745</v>
      </c>
      <c r="D1025">
        <v>0.11126</v>
      </c>
      <c r="E1025">
        <v>0.11745</v>
      </c>
      <c r="F1025">
        <v>995522.7</v>
      </c>
      <c r="G1025">
        <v>0</v>
      </c>
      <c r="L1025" t="s">
        <v>8</v>
      </c>
      <c r="M1025" t="s">
        <v>7</v>
      </c>
      <c r="N1025" t="s">
        <v>7</v>
      </c>
      <c r="P1025">
        <f t="shared" si="1024"/>
        <v>1</v>
      </c>
      <c r="Q1025">
        <f t="shared" si="1025"/>
        <v>995522.7</v>
      </c>
      <c r="R1025">
        <f t="shared" si="1026"/>
        <v>-1320414.0059193207</v>
      </c>
      <c r="S1025">
        <f t="shared" si="1027"/>
        <v>-13.204140059193207</v>
      </c>
      <c r="T1025">
        <f t="shared" si="1028"/>
        <v>-1.3204140059193207E-2</v>
      </c>
    </row>
    <row r="1026" spans="1:20" x14ac:dyDescent="0.25">
      <c r="A1026" s="5">
        <v>43567</v>
      </c>
      <c r="B1026">
        <v>0.11013000000000001</v>
      </c>
      <c r="C1026">
        <v>0.11913</v>
      </c>
      <c r="D1026">
        <v>0.1042</v>
      </c>
      <c r="E1026">
        <v>0.11508</v>
      </c>
      <c r="F1026">
        <v>2312405.2000000002</v>
      </c>
      <c r="G1026">
        <v>0</v>
      </c>
      <c r="L1026" t="s">
        <v>8</v>
      </c>
      <c r="M1026" t="s">
        <v>7</v>
      </c>
      <c r="N1026" t="s">
        <v>7</v>
      </c>
      <c r="P1026">
        <f t="shared" si="1024"/>
        <v>0.45746818486269281</v>
      </c>
      <c r="Q1026">
        <f t="shared" si="1025"/>
        <v>1057851.8095110522</v>
      </c>
      <c r="R1026">
        <f t="shared" si="1026"/>
        <v>-2315936.7059193207</v>
      </c>
      <c r="S1026">
        <f t="shared" si="1027"/>
        <v>-23.159367059193208</v>
      </c>
      <c r="T1026">
        <f t="shared" si="1028"/>
        <v>-2.315936705919321E-2</v>
      </c>
    </row>
    <row r="1027" spans="1:20" x14ac:dyDescent="0.25">
      <c r="A1027" s="5">
        <v>43566</v>
      </c>
      <c r="B1027">
        <v>0.12343</v>
      </c>
      <c r="C1027">
        <v>0.12449</v>
      </c>
      <c r="D1027">
        <v>0.10421</v>
      </c>
      <c r="E1027">
        <v>0.11013000000000001</v>
      </c>
      <c r="F1027">
        <v>3777898</v>
      </c>
      <c r="G1027">
        <v>0</v>
      </c>
      <c r="L1027" t="s">
        <v>7</v>
      </c>
      <c r="M1027" t="s">
        <v>7</v>
      </c>
      <c r="N1027" t="s">
        <v>7</v>
      </c>
      <c r="P1027">
        <f t="shared" si="1024"/>
        <v>-0.41617357001972322</v>
      </c>
      <c r="Q1027">
        <f t="shared" si="1025"/>
        <v>-1572261.2978303724</v>
      </c>
      <c r="R1027">
        <f t="shared" si="1026"/>
        <v>-3373788.5154303727</v>
      </c>
      <c r="S1027">
        <f t="shared" si="1027"/>
        <v>-33.737885154303726</v>
      </c>
      <c r="T1027">
        <f t="shared" si="1028"/>
        <v>-3.3737885154303725E-2</v>
      </c>
    </row>
    <row r="1028" spans="1:20" x14ac:dyDescent="0.25">
      <c r="A1028" s="5">
        <v>43565</v>
      </c>
      <c r="B1028">
        <v>0.13500000000000001</v>
      </c>
      <c r="C1028">
        <v>0.13500000000000001</v>
      </c>
      <c r="D1028">
        <v>0.12</v>
      </c>
      <c r="E1028">
        <v>0.12343</v>
      </c>
      <c r="F1028">
        <v>3319767.6</v>
      </c>
      <c r="G1028">
        <v>0</v>
      </c>
      <c r="P1028">
        <f t="shared" si="1024"/>
        <v>-0.54266666666666674</v>
      </c>
      <c r="Q1028">
        <f t="shared" si="1025"/>
        <v>-1801527.2176000003</v>
      </c>
      <c r="R1028">
        <f t="shared" si="1026"/>
        <v>-1801527.2176000003</v>
      </c>
      <c r="S1028">
        <f t="shared" si="1027"/>
        <v>-18.015272176000003</v>
      </c>
      <c r="T1028">
        <f t="shared" si="1028"/>
        <v>-1.8015272176000005E-2</v>
      </c>
    </row>
    <row r="1029" spans="1:20" x14ac:dyDescent="0.25">
      <c r="A1029" s="5"/>
      <c r="C1029"/>
      <c r="D1029"/>
    </row>
    <row r="1030" spans="1:20" x14ac:dyDescent="0.25">
      <c r="A1030" s="5"/>
      <c r="C1030"/>
      <c r="D1030"/>
    </row>
    <row r="1031" spans="1:20" x14ac:dyDescent="0.25">
      <c r="A1031" s="5"/>
      <c r="C1031"/>
      <c r="D1031"/>
    </row>
    <row r="1032" spans="1:20" x14ac:dyDescent="0.25">
      <c r="A1032" s="5"/>
      <c r="C1032"/>
      <c r="D1032"/>
    </row>
    <row r="1033" spans="1:20" x14ac:dyDescent="0.25">
      <c r="A1033" s="5"/>
      <c r="C1033"/>
      <c r="D1033"/>
    </row>
    <row r="1034" spans="1:20" x14ac:dyDescent="0.25">
      <c r="A1034" s="5"/>
      <c r="C1034"/>
      <c r="D1034"/>
    </row>
    <row r="1035" spans="1:20" x14ac:dyDescent="0.25">
      <c r="A1035" s="5"/>
      <c r="C1035"/>
      <c r="D1035"/>
    </row>
    <row r="1036" spans="1:20" x14ac:dyDescent="0.25">
      <c r="A1036" s="5"/>
      <c r="C1036"/>
      <c r="D1036"/>
    </row>
    <row r="1037" spans="1:20" x14ac:dyDescent="0.25">
      <c r="A1037" s="5"/>
      <c r="C1037"/>
      <c r="D1037"/>
    </row>
    <row r="1038" spans="1:20" x14ac:dyDescent="0.25">
      <c r="A1038" s="5"/>
      <c r="C1038"/>
      <c r="D1038"/>
    </row>
    <row r="1039" spans="1:20" x14ac:dyDescent="0.25">
      <c r="A1039" s="5"/>
      <c r="C1039"/>
      <c r="D1039"/>
    </row>
    <row r="1040" spans="1:20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479" zoomScale="90" zoomScaleNormal="90" workbookViewId="0">
      <pane xSplit="4" topLeftCell="NQ1" activePane="topRight" state="frozen"/>
      <selection activeCell="A109" sqref="A109"/>
      <selection pane="topRight" activeCell="SD535" sqref="SD53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$A$534</v>
      </c>
      <c r="D111" s="1" t="str">
        <f>ADDRESS(C121-1,D121,1,1)</f>
        <v>$SD$534</v>
      </c>
      <c r="E111"/>
    </row>
    <row r="112" spans="1:5" x14ac:dyDescent="0.25">
      <c r="A112" s="7">
        <v>12164.144957890772</v>
      </c>
      <c r="C112" s="1" t="str">
        <f>ADDRESS(C121,1,1,1)</f>
        <v>$A$535</v>
      </c>
      <c r="D112" s="1" t="str">
        <f>ADDRESS(C121,D121-1,1,1)</f>
        <v>$SC$535</v>
      </c>
      <c r="E112"/>
    </row>
    <row r="113" spans="1:5" x14ac:dyDescent="0.25">
      <c r="A113" s="7">
        <v>11925.63231165762</v>
      </c>
      <c r="C113" s="1" t="str">
        <f>ADDRESS(C121+1,1,1,1)</f>
        <v>$A$536</v>
      </c>
      <c r="D113" s="1" t="str">
        <f>ADDRESS(C121-1,D121+1,1,1)</f>
        <v>$SE$534</v>
      </c>
    </row>
    <row r="114" spans="1:5" x14ac:dyDescent="0.25">
      <c r="A114" s="7">
        <v>11691.796383978059</v>
      </c>
      <c r="C114" s="1" t="str">
        <f>ADDRESS(C121,D121,1,1)</f>
        <v>$SD$535</v>
      </c>
      <c r="D114" s="1" t="str">
        <f>ADDRESS(C121+1,D121+1,1,1)</f>
        <v>$SE$536</v>
      </c>
    </row>
    <row r="115" spans="1:5" x14ac:dyDescent="0.25">
      <c r="A115" s="7">
        <v>11462.545474488292</v>
      </c>
      <c r="C115" s="1" t="str">
        <f>ADDRESS(C121+1,D121,1,1)</f>
        <v>$SD$536</v>
      </c>
    </row>
    <row r="116" spans="1:5" x14ac:dyDescent="0.25">
      <c r="A116" s="7">
        <v>11237.789680870874</v>
      </c>
      <c r="C116" s="1">
        <f>C117-1</f>
        <v>534</v>
      </c>
    </row>
    <row r="117" spans="1:5" x14ac:dyDescent="0.25">
      <c r="A117" s="7">
        <v>11017.440863598895</v>
      </c>
      <c r="C117" s="1">
        <f>C121</f>
        <v>535</v>
      </c>
      <c r="D117" s="1">
        <f>D121</f>
        <v>498</v>
      </c>
    </row>
    <row r="118" spans="1:5" x14ac:dyDescent="0.25">
      <c r="A118" s="7">
        <v>10801.412611371465</v>
      </c>
      <c r="C118" s="1">
        <f>C117+1</f>
        <v>536</v>
      </c>
      <c r="D118" s="1">
        <f>D117+1</f>
        <v>499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535</v>
      </c>
      <c r="D121" s="19">
        <v>498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R535</v>
      </c>
      <c r="D123" s="1" t="str">
        <f>"C"&amp;D121</f>
        <v>C498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2.8003281854481812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355" x14ac:dyDescent="0.25">
      <c r="A433" s="7">
        <v>21.106997141968804</v>
      </c>
      <c r="B433"/>
      <c r="C433"/>
      <c r="D433"/>
      <c r="E433"/>
    </row>
    <row r="434" spans="1:355" x14ac:dyDescent="0.25">
      <c r="A434" s="7">
        <v>20.693134452910591</v>
      </c>
      <c r="B434"/>
      <c r="C434"/>
      <c r="D434"/>
      <c r="E434"/>
    </row>
    <row r="435" spans="1:355" x14ac:dyDescent="0.25">
      <c r="A435" s="7">
        <v>20.287386718539796</v>
      </c>
      <c r="B435"/>
      <c r="C435"/>
      <c r="D435"/>
      <c r="E435"/>
    </row>
    <row r="436" spans="1:355" x14ac:dyDescent="0.25">
      <c r="A436" s="7">
        <v>19.889594822097838</v>
      </c>
      <c r="B436"/>
      <c r="C436"/>
      <c r="D436"/>
      <c r="E436"/>
    </row>
    <row r="437" spans="1:355" x14ac:dyDescent="0.25">
      <c r="A437" s="7">
        <v>19.499602766762585</v>
      </c>
      <c r="B437"/>
      <c r="C437"/>
      <c r="D437"/>
      <c r="E437"/>
    </row>
    <row r="438" spans="1:355" x14ac:dyDescent="0.25">
      <c r="A438" s="7">
        <v>19.117257614473122</v>
      </c>
      <c r="B438"/>
      <c r="C438"/>
      <c r="D438"/>
      <c r="E438"/>
    </row>
    <row r="439" spans="1:355" x14ac:dyDescent="0.25">
      <c r="A439" s="7">
        <v>18.74240942595404</v>
      </c>
      <c r="B439"/>
      <c r="C439"/>
      <c r="D439"/>
      <c r="E439"/>
    </row>
    <row r="440" spans="1:355" x14ac:dyDescent="0.25">
      <c r="A440" s="7">
        <v>18.374911201915726</v>
      </c>
      <c r="B440"/>
      <c r="C440"/>
      <c r="D440"/>
      <c r="E440"/>
    </row>
    <row r="441" spans="1:355" x14ac:dyDescent="0.25">
      <c r="A441" s="7">
        <v>18.014618825407574</v>
      </c>
      <c r="B441"/>
      <c r="C441"/>
      <c r="D441"/>
      <c r="E441"/>
    </row>
    <row r="442" spans="1:355" x14ac:dyDescent="0.25">
      <c r="A442" s="7">
        <v>17.661391005301542</v>
      </c>
      <c r="B442"/>
      <c r="C442"/>
      <c r="D442"/>
      <c r="E442"/>
    </row>
    <row r="443" spans="1:355" x14ac:dyDescent="0.25">
      <c r="A443" s="7">
        <v>17.315089220883866</v>
      </c>
      <c r="B443"/>
      <c r="C443"/>
      <c r="D443"/>
      <c r="E443"/>
    </row>
    <row r="444" spans="1:355" x14ac:dyDescent="0.25">
      <c r="A444" s="7">
        <v>16.975577667533202</v>
      </c>
      <c r="B444"/>
      <c r="C444"/>
      <c r="D444"/>
      <c r="E444"/>
    </row>
    <row r="445" spans="1:355" x14ac:dyDescent="0.25">
      <c r="A445" s="7">
        <v>16.642723203463923</v>
      </c>
      <c r="B445"/>
      <c r="C445"/>
      <c r="D445"/>
      <c r="E445"/>
    </row>
    <row r="446" spans="1:355" x14ac:dyDescent="0.25">
      <c r="A446" s="7">
        <v>16.316395297513651</v>
      </c>
      <c r="B446"/>
      <c r="C446"/>
      <c r="D446"/>
      <c r="E446"/>
    </row>
    <row r="447" spans="1:355" x14ac:dyDescent="0.25">
      <c r="A447" s="7">
        <v>15.996465977954561</v>
      </c>
      <c r="B447"/>
      <c r="C447"/>
      <c r="D447"/>
      <c r="E447"/>
    </row>
    <row r="448" spans="1:355" x14ac:dyDescent="0.25">
      <c r="A448" s="7">
        <v>15.682809782308393</v>
      </c>
      <c r="B448"/>
      <c r="C448"/>
      <c r="D448"/>
      <c r="E448"/>
      <c r="MQ448" s="27" t="s">
        <v>8</v>
      </c>
    </row>
    <row r="449" spans="1:372" x14ac:dyDescent="0.25">
      <c r="A449" s="7">
        <v>15.375303708145482</v>
      </c>
      <c r="B449"/>
      <c r="C449"/>
      <c r="D449"/>
      <c r="E449"/>
      <c r="MQ449" s="27" t="s">
        <v>8</v>
      </c>
      <c r="MR449" s="27" t="s">
        <v>7</v>
      </c>
    </row>
    <row r="450" spans="1:372" x14ac:dyDescent="0.25">
      <c r="A450" s="7">
        <v>15.073827164848511</v>
      </c>
      <c r="B450"/>
      <c r="C450"/>
      <c r="D450"/>
      <c r="E450"/>
      <c r="MQ450" s="27" t="s">
        <v>8</v>
      </c>
      <c r="MR450" s="27" t="s">
        <v>7</v>
      </c>
    </row>
    <row r="451" spans="1:372" x14ac:dyDescent="0.25">
      <c r="A451" s="7">
        <v>14.77826192632207</v>
      </c>
      <c r="B451"/>
      <c r="C451"/>
      <c r="D451"/>
      <c r="E451"/>
      <c r="ME451" s="27" t="s">
        <v>8</v>
      </c>
      <c r="MQ451" s="27" t="s">
        <v>8</v>
      </c>
      <c r="MR451" s="27" t="s">
        <v>7</v>
      </c>
    </row>
    <row r="452" spans="1:372" x14ac:dyDescent="0.25">
      <c r="A452" s="7">
        <v>14.488492084629481</v>
      </c>
      <c r="B452"/>
      <c r="C452"/>
      <c r="D452"/>
      <c r="E452"/>
      <c r="ME452" s="27" t="s">
        <v>8</v>
      </c>
      <c r="MF452" s="27" t="s">
        <v>7</v>
      </c>
      <c r="MQ452" s="27" t="s">
        <v>8</v>
      </c>
      <c r="MR452" s="27" t="s">
        <v>7</v>
      </c>
    </row>
    <row r="453" spans="1:372" x14ac:dyDescent="0.25">
      <c r="A453" s="7">
        <v>14.204404004538707</v>
      </c>
      <c r="B453"/>
      <c r="C453"/>
      <c r="D453"/>
      <c r="E453"/>
      <c r="ME453" s="27" t="s">
        <v>8</v>
      </c>
      <c r="MF453" s="27" t="s">
        <v>7</v>
      </c>
      <c r="MQ453" s="27" t="s">
        <v>8</v>
      </c>
      <c r="MR453" s="27" t="s">
        <v>7</v>
      </c>
    </row>
    <row r="454" spans="1:372" x14ac:dyDescent="0.25">
      <c r="A454" s="7">
        <v>13.925886278959517</v>
      </c>
      <c r="B454"/>
      <c r="C454"/>
      <c r="D454"/>
      <c r="E454"/>
      <c r="ME454" s="27" t="s">
        <v>8</v>
      </c>
      <c r="MF454" s="27" t="s">
        <v>7</v>
      </c>
      <c r="MI454" s="27" t="s">
        <v>8</v>
      </c>
      <c r="MQ454" s="27" t="s">
        <v>8</v>
      </c>
      <c r="MR454" s="27" t="s">
        <v>7</v>
      </c>
    </row>
    <row r="455" spans="1:372" x14ac:dyDescent="0.25">
      <c r="A455" s="7">
        <v>13.652829685254428</v>
      </c>
      <c r="B455"/>
      <c r="C455"/>
      <c r="D455"/>
      <c r="E455"/>
      <c r="ME455" s="27" t="s">
        <v>8</v>
      </c>
      <c r="MF455" s="27" t="s">
        <v>7</v>
      </c>
      <c r="MG455" s="27" t="s">
        <v>8</v>
      </c>
      <c r="MI455" s="27" t="s">
        <v>8</v>
      </c>
      <c r="MJ455" s="27" t="s">
        <v>7</v>
      </c>
      <c r="MM455" s="27" t="s">
        <v>8</v>
      </c>
      <c r="MQ455" s="27" t="s">
        <v>8</v>
      </c>
      <c r="MR455" s="27" t="s">
        <v>7</v>
      </c>
    </row>
    <row r="456" spans="1:372" x14ac:dyDescent="0.25">
      <c r="A456" s="7">
        <v>13.385127142406303</v>
      </c>
      <c r="B456"/>
      <c r="C456"/>
      <c r="D456"/>
      <c r="E456"/>
      <c r="ME456" s="27" t="s">
        <v>8</v>
      </c>
      <c r="MF456" s="27" t="s">
        <v>7</v>
      </c>
      <c r="MG456" s="27" t="s">
        <v>8</v>
      </c>
      <c r="MH456" s="27" t="s">
        <v>7</v>
      </c>
      <c r="MI456" s="27" t="s">
        <v>8</v>
      </c>
      <c r="MJ456" s="27" t="s">
        <v>7</v>
      </c>
      <c r="MM456" s="27" t="s">
        <v>8</v>
      </c>
      <c r="MN456" s="27" t="s">
        <v>7</v>
      </c>
      <c r="MQ456" s="27" t="s">
        <v>8</v>
      </c>
      <c r="MR456" s="27" t="s">
        <v>7</v>
      </c>
    </row>
    <row r="457" spans="1:372" x14ac:dyDescent="0.25">
      <c r="A457" s="7">
        <v>13.122673669025787</v>
      </c>
      <c r="B457"/>
      <c r="C457"/>
      <c r="D457"/>
      <c r="E457"/>
      <c r="ME457" s="27" t="s">
        <v>8</v>
      </c>
      <c r="MF457" s="27" t="s">
        <v>7</v>
      </c>
      <c r="MG457" s="27" t="s">
        <v>8</v>
      </c>
      <c r="MH457" s="27" t="s">
        <v>7</v>
      </c>
      <c r="MI457" s="27" t="s">
        <v>8</v>
      </c>
      <c r="MJ457" s="27" t="s">
        <v>7</v>
      </c>
      <c r="MM457" s="27" t="s">
        <v>8</v>
      </c>
      <c r="MN457" s="27" t="s">
        <v>7</v>
      </c>
      <c r="MO457" s="27" t="s">
        <v>8</v>
      </c>
      <c r="MQ457" s="27" t="s">
        <v>8</v>
      </c>
      <c r="MR457" s="27" t="s">
        <v>7</v>
      </c>
      <c r="NG457" s="27" t="s">
        <v>8</v>
      </c>
    </row>
    <row r="458" spans="1:372" x14ac:dyDescent="0.25">
      <c r="A458" s="7">
        <v>12.865366342182144</v>
      </c>
      <c r="B458"/>
      <c r="C458"/>
      <c r="D458"/>
      <c r="E458"/>
      <c r="ME458" s="27" t="s">
        <v>8</v>
      </c>
      <c r="MF458" s="27" t="s">
        <v>7</v>
      </c>
      <c r="MG458" s="27" t="s">
        <v>8</v>
      </c>
      <c r="MH458" s="27" t="s">
        <v>7</v>
      </c>
      <c r="MI458" s="27" t="s">
        <v>8</v>
      </c>
      <c r="MJ458" s="27" t="s">
        <v>7</v>
      </c>
      <c r="MM458" s="27" t="s">
        <v>8</v>
      </c>
      <c r="MN458" s="27" t="s">
        <v>7</v>
      </c>
      <c r="MO458" s="27" t="s">
        <v>8</v>
      </c>
      <c r="MP458" s="27" t="s">
        <v>7</v>
      </c>
      <c r="MQ458" s="27" t="s">
        <v>8</v>
      </c>
      <c r="MR458" s="27" t="s">
        <v>7</v>
      </c>
      <c r="NG458" s="27" t="s">
        <v>8</v>
      </c>
      <c r="NH458" s="27" t="s">
        <v>7</v>
      </c>
    </row>
    <row r="459" spans="1:372" x14ac:dyDescent="0.25">
      <c r="A459" s="7">
        <v>12.613104257041318</v>
      </c>
      <c r="B459"/>
      <c r="C459"/>
      <c r="D459"/>
      <c r="E459"/>
      <c r="ME459" s="27" t="s">
        <v>8</v>
      </c>
      <c r="MF459" s="27" t="s">
        <v>7</v>
      </c>
      <c r="MG459" s="27" t="s">
        <v>8</v>
      </c>
      <c r="MH459" s="27" t="s">
        <v>7</v>
      </c>
      <c r="MI459" s="27" t="s">
        <v>8</v>
      </c>
      <c r="MJ459" s="27" t="s">
        <v>7</v>
      </c>
      <c r="MM459" s="27" t="s">
        <v>8</v>
      </c>
      <c r="MN459" s="27" t="s">
        <v>7</v>
      </c>
      <c r="MO459" s="27" t="s">
        <v>8</v>
      </c>
      <c r="MP459" s="27" t="s">
        <v>7</v>
      </c>
      <c r="MQ459" s="27" t="s">
        <v>8</v>
      </c>
      <c r="MR459" s="27" t="s">
        <v>7</v>
      </c>
      <c r="NG459" s="27" t="s">
        <v>8</v>
      </c>
      <c r="NH459" s="27" t="s">
        <v>7</v>
      </c>
    </row>
    <row r="460" spans="1:372" x14ac:dyDescent="0.25">
      <c r="A460" s="7">
        <v>12.36578848729541</v>
      </c>
      <c r="B460"/>
      <c r="C460"/>
      <c r="D460"/>
      <c r="E460"/>
      <c r="ME460" s="27" t="s">
        <v>8</v>
      </c>
      <c r="MF460" s="27" t="s">
        <v>7</v>
      </c>
      <c r="MG460" s="27" t="s">
        <v>8</v>
      </c>
      <c r="MH460" s="27" t="s">
        <v>7</v>
      </c>
      <c r="MI460" s="27" t="s">
        <v>8</v>
      </c>
      <c r="MJ460" s="27" t="s">
        <v>7</v>
      </c>
      <c r="MK460" s="27" t="s">
        <v>8</v>
      </c>
      <c r="MM460" s="27" t="s">
        <v>8</v>
      </c>
      <c r="MN460" s="27" t="s">
        <v>7</v>
      </c>
      <c r="MO460" s="27" t="s">
        <v>8</v>
      </c>
      <c r="MP460" s="27" t="s">
        <v>7</v>
      </c>
      <c r="MQ460" s="27" t="s">
        <v>8</v>
      </c>
      <c r="MR460" s="27" t="s">
        <v>7</v>
      </c>
      <c r="MS460" s="27" t="s">
        <v>8</v>
      </c>
      <c r="NG460" s="27" t="s">
        <v>8</v>
      </c>
      <c r="NH460" s="27" t="s">
        <v>7</v>
      </c>
    </row>
    <row r="461" spans="1:372" x14ac:dyDescent="0.25">
      <c r="A461" s="7">
        <v>12.123322046368049</v>
      </c>
      <c r="B461"/>
      <c r="C461"/>
      <c r="D461"/>
      <c r="E461"/>
      <c r="ME461" s="27" t="s">
        <v>8</v>
      </c>
      <c r="MF461" s="27" t="s">
        <v>7</v>
      </c>
      <c r="MG461" s="27" t="s">
        <v>8</v>
      </c>
      <c r="MH461" s="27" t="s">
        <v>7</v>
      </c>
      <c r="MI461" s="27" t="s">
        <v>8</v>
      </c>
      <c r="MJ461" s="27" t="s">
        <v>7</v>
      </c>
      <c r="MK461" s="27" t="s">
        <v>8</v>
      </c>
      <c r="ML461" s="27" t="s">
        <v>7</v>
      </c>
      <c r="MM461" s="27" t="s">
        <v>8</v>
      </c>
      <c r="MN461" s="27" t="s">
        <v>7</v>
      </c>
      <c r="MO461" s="27" t="s">
        <v>8</v>
      </c>
      <c r="MP461" s="27" t="s">
        <v>7</v>
      </c>
      <c r="MQ461" s="27" t="s">
        <v>8</v>
      </c>
      <c r="MR461" s="27" t="s">
        <v>7</v>
      </c>
      <c r="MS461" s="27" t="s">
        <v>8</v>
      </c>
      <c r="MT461" s="27" t="s">
        <v>7</v>
      </c>
      <c r="MU461" s="27" t="s">
        <v>8</v>
      </c>
      <c r="NE461" s="27" t="s">
        <v>8</v>
      </c>
      <c r="NG461" s="27" t="s">
        <v>8</v>
      </c>
      <c r="NH461" s="27" t="s">
        <v>7</v>
      </c>
    </row>
    <row r="462" spans="1:372" x14ac:dyDescent="0.25">
      <c r="A462" s="7">
        <v>11.88560984938044</v>
      </c>
      <c r="B462"/>
      <c r="C462"/>
      <c r="D462"/>
      <c r="E462"/>
      <c r="ME462" s="27" t="s">
        <v>8</v>
      </c>
      <c r="MF462" s="27" t="s">
        <v>7</v>
      </c>
      <c r="MG462" s="27" t="s">
        <v>8</v>
      </c>
      <c r="MH462" s="27" t="s">
        <v>7</v>
      </c>
      <c r="MI462" s="27" t="s">
        <v>8</v>
      </c>
      <c r="MJ462" s="27" t="s">
        <v>7</v>
      </c>
      <c r="MK462" s="27" t="s">
        <v>8</v>
      </c>
      <c r="ML462" s="27" t="s">
        <v>7</v>
      </c>
      <c r="MM462" s="27" t="s">
        <v>8</v>
      </c>
      <c r="MN462" s="27" t="s">
        <v>7</v>
      </c>
      <c r="MP462" s="27" t="s">
        <v>7</v>
      </c>
      <c r="MQ462" s="27" t="s">
        <v>8</v>
      </c>
      <c r="MR462" s="27" t="s">
        <v>7</v>
      </c>
      <c r="MS462" s="27" t="s">
        <v>8</v>
      </c>
      <c r="MT462" s="27" t="s">
        <v>7</v>
      </c>
      <c r="MU462" s="27" t="s">
        <v>8</v>
      </c>
      <c r="MV462" s="27" t="s">
        <v>7</v>
      </c>
      <c r="NE462" s="27" t="s">
        <v>8</v>
      </c>
      <c r="NF462" s="27" t="s">
        <v>7</v>
      </c>
      <c r="NG462" s="27" t="s">
        <v>8</v>
      </c>
      <c r="NH462" s="27" t="s">
        <v>7</v>
      </c>
    </row>
    <row r="463" spans="1:372" x14ac:dyDescent="0.25">
      <c r="A463" s="7">
        <v>11.652558675863176</v>
      </c>
      <c r="B463"/>
      <c r="C463"/>
      <c r="D463"/>
      <c r="E463"/>
      <c r="ME463" s="27" t="s">
        <v>8</v>
      </c>
      <c r="MF463" s="27" t="s">
        <v>7</v>
      </c>
      <c r="MG463" s="27" t="s">
        <v>8</v>
      </c>
      <c r="MH463" s="27" t="s">
        <v>7</v>
      </c>
      <c r="MJ463" s="27" t="s">
        <v>7</v>
      </c>
      <c r="MK463" s="27" t="s">
        <v>8</v>
      </c>
      <c r="ML463" s="27" t="s">
        <v>7</v>
      </c>
      <c r="MM463" s="27" t="s">
        <v>8</v>
      </c>
      <c r="MP463" s="27" t="s">
        <v>7</v>
      </c>
      <c r="MQ463" s="27" t="s">
        <v>8</v>
      </c>
      <c r="MR463" s="27" t="s">
        <v>7</v>
      </c>
      <c r="MS463" s="27" t="s">
        <v>8</v>
      </c>
      <c r="MT463" s="27" t="s">
        <v>7</v>
      </c>
      <c r="MU463" s="27" t="s">
        <v>8</v>
      </c>
      <c r="MV463" s="27" t="s">
        <v>7</v>
      </c>
      <c r="MY463" s="27" t="s">
        <v>8</v>
      </c>
      <c r="NE463" s="27" t="s">
        <v>8</v>
      </c>
      <c r="NF463" s="27" t="s">
        <v>7</v>
      </c>
      <c r="NG463" s="27" t="s">
        <v>8</v>
      </c>
      <c r="NH463" s="27" t="s">
        <v>7</v>
      </c>
    </row>
    <row r="464" spans="1:372" x14ac:dyDescent="0.25">
      <c r="A464" s="7">
        <v>11.424077133199193</v>
      </c>
      <c r="B464"/>
      <c r="C464"/>
      <c r="D464"/>
      <c r="E464"/>
      <c r="ME464" s="27" t="s">
        <v>8</v>
      </c>
      <c r="MF464" s="27" t="s">
        <v>7</v>
      </c>
      <c r="MG464" s="27" t="s">
        <v>8</v>
      </c>
      <c r="MJ464" s="27" t="s">
        <v>7</v>
      </c>
      <c r="ML464" s="27" t="s">
        <v>7</v>
      </c>
      <c r="MP464" s="27" t="s">
        <v>7</v>
      </c>
      <c r="MR464" s="27" t="s">
        <v>7</v>
      </c>
      <c r="MS464" s="27" t="s">
        <v>8</v>
      </c>
      <c r="MT464" s="27" t="s">
        <v>7</v>
      </c>
      <c r="MU464" s="27" t="s">
        <v>8</v>
      </c>
      <c r="MV464" s="27" t="s">
        <v>7</v>
      </c>
      <c r="MY464" s="27" t="s">
        <v>8</v>
      </c>
      <c r="MZ464" s="27" t="s">
        <v>7</v>
      </c>
      <c r="NA464" s="27" t="s">
        <v>8</v>
      </c>
      <c r="NC464" s="27" t="s">
        <v>8</v>
      </c>
      <c r="NE464" s="27" t="s">
        <v>8</v>
      </c>
      <c r="NF464" s="27" t="s">
        <v>7</v>
      </c>
      <c r="NG464" s="27" t="s">
        <v>8</v>
      </c>
      <c r="NH464" s="27" t="s">
        <v>7</v>
      </c>
    </row>
    <row r="465" spans="1:460" x14ac:dyDescent="0.25">
      <c r="A465" s="7">
        <v>11.200075620783522</v>
      </c>
      <c r="B465"/>
      <c r="C465"/>
      <c r="D465"/>
      <c r="E465"/>
      <c r="ME465" s="27" t="s">
        <v>8</v>
      </c>
      <c r="MF465" s="27" t="s">
        <v>7</v>
      </c>
      <c r="MG465" s="27" t="s">
        <v>8</v>
      </c>
      <c r="MR465" s="27" t="s">
        <v>7</v>
      </c>
      <c r="MS465" s="27" t="s">
        <v>8</v>
      </c>
      <c r="MT465" s="27" t="s">
        <v>7</v>
      </c>
      <c r="MU465" s="27" t="s">
        <v>8</v>
      </c>
      <c r="MV465" s="27" t="s">
        <v>7</v>
      </c>
      <c r="MY465" s="27" t="s">
        <v>8</v>
      </c>
      <c r="MZ465" s="27" t="s">
        <v>7</v>
      </c>
      <c r="NA465" s="27" t="s">
        <v>8</v>
      </c>
      <c r="NB465" s="27" t="s">
        <v>7</v>
      </c>
      <c r="NC465" s="27" t="s">
        <v>8</v>
      </c>
      <c r="ND465" s="27" t="s">
        <v>7</v>
      </c>
      <c r="NE465" s="27" t="s">
        <v>8</v>
      </c>
      <c r="NF465" s="27" t="s">
        <v>7</v>
      </c>
      <c r="NG465" s="27" t="s">
        <v>8</v>
      </c>
      <c r="NH465" s="27" t="s">
        <v>7</v>
      </c>
      <c r="NI465" s="27" t="s">
        <v>8</v>
      </c>
    </row>
    <row r="466" spans="1:460" x14ac:dyDescent="0.25">
      <c r="A466" s="7">
        <v>10.980466294885806</v>
      </c>
      <c r="B466"/>
      <c r="C466"/>
      <c r="D466"/>
      <c r="E466"/>
      <c r="ME466" s="27" t="s">
        <v>8</v>
      </c>
      <c r="MF466" s="27" t="s">
        <v>7</v>
      </c>
      <c r="MG466" s="27" t="s">
        <v>8</v>
      </c>
      <c r="MR466" s="27" t="s">
        <v>7</v>
      </c>
      <c r="MS466" s="27" t="s">
        <v>8</v>
      </c>
      <c r="MT466" s="27" t="s">
        <v>7</v>
      </c>
      <c r="MU466" s="27" t="s">
        <v>8</v>
      </c>
      <c r="MV466" s="27" t="s">
        <v>7</v>
      </c>
      <c r="MY466" s="27" t="s">
        <v>8</v>
      </c>
      <c r="MZ466" s="27" t="s">
        <v>7</v>
      </c>
      <c r="NA466" s="27" t="s">
        <v>8</v>
      </c>
      <c r="NB466" s="27" t="s">
        <v>7</v>
      </c>
      <c r="NC466" s="27" t="s">
        <v>8</v>
      </c>
      <c r="ND466" s="27" t="s">
        <v>7</v>
      </c>
      <c r="NE466" s="27" t="s">
        <v>8</v>
      </c>
      <c r="NF466" s="27" t="s">
        <v>7</v>
      </c>
      <c r="NG466" s="27" t="s">
        <v>8</v>
      </c>
      <c r="NH466" s="27" t="s">
        <v>7</v>
      </c>
      <c r="NI466" s="27" t="s">
        <v>8</v>
      </c>
      <c r="NJ466" s="27" t="s">
        <v>7</v>
      </c>
    </row>
    <row r="467" spans="1:460" x14ac:dyDescent="0.25">
      <c r="A467" s="7">
        <v>10.765163034201771</v>
      </c>
      <c r="B467"/>
      <c r="C467"/>
      <c r="D467"/>
      <c r="E467"/>
      <c r="ME467" s="27" t="s">
        <v>8</v>
      </c>
      <c r="MF467" s="27" t="s">
        <v>7</v>
      </c>
      <c r="MG467" s="27" t="s">
        <v>8</v>
      </c>
      <c r="MR467" s="27" t="s">
        <v>7</v>
      </c>
      <c r="MS467" s="27" t="s">
        <v>8</v>
      </c>
      <c r="MT467" s="27" t="s">
        <v>7</v>
      </c>
      <c r="MU467" s="27" t="s">
        <v>8</v>
      </c>
      <c r="MV467" s="27" t="s">
        <v>7</v>
      </c>
      <c r="MY467" s="27" t="s">
        <v>8</v>
      </c>
      <c r="MZ467" s="27" t="s">
        <v>7</v>
      </c>
      <c r="NA467" s="27" t="s">
        <v>8</v>
      </c>
      <c r="NB467" s="27" t="s">
        <v>7</v>
      </c>
      <c r="ND467" s="27" t="s">
        <v>7</v>
      </c>
      <c r="NF467" s="27" t="s">
        <v>7</v>
      </c>
      <c r="NG467" s="27" t="s">
        <v>8</v>
      </c>
      <c r="NH467" s="27" t="s">
        <v>7</v>
      </c>
      <c r="NI467" s="27" t="s">
        <v>8</v>
      </c>
      <c r="NJ467" s="27" t="s">
        <v>7</v>
      </c>
    </row>
    <row r="468" spans="1:460" x14ac:dyDescent="0.25">
      <c r="A468" s="7">
        <v>10.554081406080169</v>
      </c>
      <c r="B468"/>
      <c r="C468"/>
      <c r="D468"/>
      <c r="E468"/>
      <c r="ME468" s="27" t="s">
        <v>8</v>
      </c>
      <c r="MF468" s="27" t="s">
        <v>7</v>
      </c>
      <c r="MR468" s="27" t="s">
        <v>7</v>
      </c>
      <c r="MS468" s="27" t="s">
        <v>8</v>
      </c>
      <c r="MT468" s="27" t="s">
        <v>7</v>
      </c>
      <c r="MU468" s="27" t="s">
        <v>8</v>
      </c>
      <c r="MV468" s="27" t="s">
        <v>7</v>
      </c>
      <c r="MY468" s="27" t="s">
        <v>8</v>
      </c>
      <c r="MZ468" s="27" t="s">
        <v>7</v>
      </c>
      <c r="NF468" s="27" t="s">
        <v>7</v>
      </c>
      <c r="NG468" s="27" t="s">
        <v>8</v>
      </c>
      <c r="NH468" s="27" t="s">
        <v>7</v>
      </c>
      <c r="NI468" s="27" t="s">
        <v>8</v>
      </c>
      <c r="NJ468" s="27" t="s">
        <v>7</v>
      </c>
    </row>
    <row r="469" spans="1:460" x14ac:dyDescent="0.25">
      <c r="A469" s="7">
        <v>10.34713863341193</v>
      </c>
      <c r="B469"/>
      <c r="C469"/>
      <c r="D469"/>
      <c r="E469"/>
      <c r="ME469" s="27" t="s">
        <v>8</v>
      </c>
      <c r="MR469" s="27" t="s">
        <v>7</v>
      </c>
      <c r="MS469" s="27" t="s">
        <v>8</v>
      </c>
      <c r="MT469" s="27" t="s">
        <v>7</v>
      </c>
      <c r="MU469" s="27" t="s">
        <v>8</v>
      </c>
      <c r="MV469" s="27" t="s">
        <v>7</v>
      </c>
      <c r="MY469" s="27" t="s">
        <v>8</v>
      </c>
      <c r="NF469" s="27" t="s">
        <v>7</v>
      </c>
      <c r="NG469" s="27" t="s">
        <v>8</v>
      </c>
      <c r="NH469" s="27" t="s">
        <v>7</v>
      </c>
      <c r="NI469" s="27" t="s">
        <v>8</v>
      </c>
      <c r="NJ469" s="27" t="s">
        <v>7</v>
      </c>
      <c r="NK469" s="27" t="s">
        <v>8</v>
      </c>
      <c r="NU469" s="27" t="s">
        <v>8</v>
      </c>
    </row>
    <row r="470" spans="1:460" x14ac:dyDescent="0.25">
      <c r="A470" s="7">
        <v>10.14425356216856</v>
      </c>
      <c r="B470"/>
      <c r="C470"/>
      <c r="D470"/>
      <c r="E470"/>
      <c r="ME470" s="27" t="s">
        <v>8</v>
      </c>
      <c r="MR470" s="27" t="s">
        <v>7</v>
      </c>
      <c r="MS470" s="27" t="s">
        <v>8</v>
      </c>
      <c r="MT470" s="27" t="s">
        <v>7</v>
      </c>
      <c r="MU470" s="27" t="s">
        <v>8</v>
      </c>
      <c r="MV470" s="27" t="s">
        <v>7</v>
      </c>
      <c r="MY470" s="27" t="s">
        <v>8</v>
      </c>
      <c r="NF470" s="27" t="s">
        <v>7</v>
      </c>
      <c r="NH470" s="27" t="s">
        <v>7</v>
      </c>
      <c r="NI470" s="27" t="s">
        <v>8</v>
      </c>
      <c r="NJ470" s="27" t="s">
        <v>7</v>
      </c>
      <c r="NK470" s="27" t="s">
        <v>8</v>
      </c>
      <c r="NL470" s="27" t="s">
        <v>7</v>
      </c>
      <c r="NM470" s="27" t="s">
        <v>8</v>
      </c>
      <c r="NU470" s="27" t="s">
        <v>8</v>
      </c>
      <c r="NV470" s="27" t="s">
        <v>7</v>
      </c>
    </row>
    <row r="471" spans="1:460" x14ac:dyDescent="0.25">
      <c r="A471" s="7">
        <v>9.9453466295770188</v>
      </c>
      <c r="B471"/>
      <c r="C471"/>
      <c r="D471"/>
      <c r="E471"/>
      <c r="ME471" s="27" t="s">
        <v>8</v>
      </c>
      <c r="MR471" s="27" t="s">
        <v>7</v>
      </c>
      <c r="MS471" s="27" t="s">
        <v>8</v>
      </c>
      <c r="MT471" s="27" t="s">
        <v>7</v>
      </c>
      <c r="MV471" s="27" t="s">
        <v>7</v>
      </c>
      <c r="MW471" s="27" t="s">
        <v>8</v>
      </c>
      <c r="MY471" s="27" t="s">
        <v>8</v>
      </c>
      <c r="NH471" s="27" t="s">
        <v>7</v>
      </c>
      <c r="NI471" s="27" t="s">
        <v>8</v>
      </c>
      <c r="NJ471" s="27" t="s">
        <v>7</v>
      </c>
      <c r="NK471" s="27" t="s">
        <v>8</v>
      </c>
      <c r="NL471" s="27" t="s">
        <v>7</v>
      </c>
      <c r="NM471" s="27" t="s">
        <v>8</v>
      </c>
      <c r="NN471" s="27" t="s">
        <v>7</v>
      </c>
      <c r="NU471" s="27" t="s">
        <v>8</v>
      </c>
      <c r="NV471" s="27" t="s">
        <v>7</v>
      </c>
      <c r="NW471" s="27" t="s">
        <v>8</v>
      </c>
      <c r="OC471" s="27" t="s">
        <v>8</v>
      </c>
    </row>
    <row r="472" spans="1:460" x14ac:dyDescent="0.25">
      <c r="A472" s="7">
        <v>9.7503398329186464</v>
      </c>
      <c r="B472"/>
      <c r="C472"/>
      <c r="D472"/>
      <c r="E472"/>
      <c r="ME472" s="27" t="s">
        <v>8</v>
      </c>
      <c r="MR472" s="27" t="s">
        <v>7</v>
      </c>
      <c r="MS472" s="27" t="s">
        <v>8</v>
      </c>
      <c r="MV472" s="27" t="s">
        <v>7</v>
      </c>
      <c r="MW472" s="27" t="s">
        <v>8</v>
      </c>
      <c r="MX472" s="27" t="s">
        <v>7</v>
      </c>
      <c r="MY472" s="27" t="s">
        <v>8</v>
      </c>
      <c r="NH472" s="27" t="s">
        <v>7</v>
      </c>
      <c r="NI472" s="27" t="s">
        <v>8</v>
      </c>
      <c r="NJ472" s="27" t="s">
        <v>7</v>
      </c>
      <c r="NK472" s="27" t="s">
        <v>8</v>
      </c>
      <c r="NL472" s="27" t="s">
        <v>7</v>
      </c>
      <c r="NM472" s="27" t="s">
        <v>8</v>
      </c>
      <c r="NN472" s="27" t="s">
        <v>7</v>
      </c>
      <c r="NU472" s="27" t="s">
        <v>8</v>
      </c>
      <c r="NV472" s="27" t="s">
        <v>7</v>
      </c>
      <c r="NW472" s="27" t="s">
        <v>8</v>
      </c>
      <c r="NX472" s="27" t="s">
        <v>7</v>
      </c>
      <c r="OC472" s="27" t="s">
        <v>8</v>
      </c>
      <c r="OD472" s="27" t="s">
        <v>7</v>
      </c>
    </row>
    <row r="473" spans="1:460" x14ac:dyDescent="0.25">
      <c r="A473" s="7">
        <v>9.5591566989398498</v>
      </c>
      <c r="B473"/>
      <c r="C473"/>
      <c r="D473"/>
      <c r="E473"/>
      <c r="ME473" s="27" t="s">
        <v>8</v>
      </c>
      <c r="MR473" s="27" t="s">
        <v>7</v>
      </c>
      <c r="MS473" s="27" t="s">
        <v>8</v>
      </c>
      <c r="MV473" s="27" t="s">
        <v>7</v>
      </c>
      <c r="MW473" s="27" t="s">
        <v>8</v>
      </c>
      <c r="MX473" s="27" t="s">
        <v>7</v>
      </c>
      <c r="MY473" s="27" t="s">
        <v>8</v>
      </c>
      <c r="NH473" s="27" t="s">
        <v>7</v>
      </c>
      <c r="NJ473" s="27" t="s">
        <v>7</v>
      </c>
      <c r="NK473" s="27" t="s">
        <v>8</v>
      </c>
      <c r="NL473" s="27" t="s">
        <v>7</v>
      </c>
      <c r="NM473" s="27" t="s">
        <v>8</v>
      </c>
      <c r="NN473" s="27" t="s">
        <v>7</v>
      </c>
      <c r="NU473" s="27" t="s">
        <v>8</v>
      </c>
      <c r="NV473" s="27" t="s">
        <v>7</v>
      </c>
      <c r="NW473" s="27" t="s">
        <v>8</v>
      </c>
      <c r="NX473" s="27" t="s">
        <v>7</v>
      </c>
      <c r="NY473" s="27" t="s">
        <v>8</v>
      </c>
      <c r="OC473" s="27" t="s">
        <v>8</v>
      </c>
      <c r="OD473" s="27" t="s">
        <v>7</v>
      </c>
      <c r="PK473" s="27" t="s">
        <v>8</v>
      </c>
    </row>
    <row r="474" spans="1:460" x14ac:dyDescent="0.25">
      <c r="A474" s="7">
        <v>9.3717222538625968</v>
      </c>
      <c r="B474"/>
      <c r="C474"/>
      <c r="D474"/>
      <c r="E474"/>
      <c r="ME474" s="27" t="s">
        <v>8</v>
      </c>
      <c r="MR474" s="27" t="s">
        <v>7</v>
      </c>
      <c r="MS474" s="27" t="s">
        <v>8</v>
      </c>
      <c r="MV474" s="27" t="s">
        <v>7</v>
      </c>
      <c r="MW474" s="27" t="s">
        <v>8</v>
      </c>
      <c r="MX474" s="27" t="s">
        <v>7</v>
      </c>
      <c r="MY474" s="27" t="s">
        <v>8</v>
      </c>
      <c r="NJ474" s="27" t="s">
        <v>7</v>
      </c>
      <c r="NK474" s="27" t="s">
        <v>8</v>
      </c>
      <c r="NL474" s="27" t="s">
        <v>7</v>
      </c>
      <c r="NM474" s="27" t="s">
        <v>8</v>
      </c>
      <c r="NN474" s="27" t="s">
        <v>7</v>
      </c>
      <c r="NU474" s="27" t="s">
        <v>8</v>
      </c>
      <c r="NV474" s="27" t="s">
        <v>7</v>
      </c>
      <c r="NW474" s="27" t="s">
        <v>8</v>
      </c>
      <c r="NX474" s="27" t="s">
        <v>7</v>
      </c>
      <c r="NY474" s="27" t="s">
        <v>8</v>
      </c>
      <c r="NZ474" s="27" t="s">
        <v>7</v>
      </c>
      <c r="OA474" s="27" t="s">
        <v>8</v>
      </c>
      <c r="OC474" s="27" t="s">
        <v>8</v>
      </c>
      <c r="OD474" s="27" t="s">
        <v>7</v>
      </c>
      <c r="PK474" s="27" t="s">
        <v>8</v>
      </c>
      <c r="PL474" s="27" t="s">
        <v>7</v>
      </c>
    </row>
    <row r="475" spans="1:460" x14ac:dyDescent="0.25">
      <c r="A475" s="7">
        <v>9.1879629939829375</v>
      </c>
      <c r="B475"/>
      <c r="C475"/>
      <c r="D475"/>
      <c r="E475"/>
      <c r="ME475" s="27" t="s">
        <v>8</v>
      </c>
      <c r="MR475" s="27" t="s">
        <v>7</v>
      </c>
      <c r="MS475" s="27" t="s">
        <v>8</v>
      </c>
      <c r="MV475" s="27" t="s">
        <v>7</v>
      </c>
      <c r="MW475" s="27" t="s">
        <v>8</v>
      </c>
      <c r="MX475" s="27" t="s">
        <v>7</v>
      </c>
      <c r="MY475" s="27" t="s">
        <v>8</v>
      </c>
      <c r="NJ475" s="27" t="s">
        <v>7</v>
      </c>
      <c r="NK475" s="27" t="s">
        <v>8</v>
      </c>
      <c r="NL475" s="27" t="s">
        <v>7</v>
      </c>
      <c r="NM475" s="27" t="s">
        <v>8</v>
      </c>
      <c r="NN475" s="27" t="s">
        <v>7</v>
      </c>
      <c r="NU475" s="27" t="s">
        <v>8</v>
      </c>
      <c r="NV475" s="27" t="s">
        <v>7</v>
      </c>
      <c r="NW475" s="27" t="s">
        <v>8</v>
      </c>
      <c r="NX475" s="27" t="s">
        <v>7</v>
      </c>
      <c r="NY475" s="27" t="s">
        <v>8</v>
      </c>
      <c r="NZ475" s="27" t="s">
        <v>7</v>
      </c>
      <c r="OA475" s="27" t="s">
        <v>8</v>
      </c>
      <c r="OB475" s="27" t="s">
        <v>7</v>
      </c>
      <c r="OC475" s="27" t="s">
        <v>8</v>
      </c>
      <c r="OD475" s="27" t="s">
        <v>7</v>
      </c>
      <c r="PK475" s="27" t="s">
        <v>8</v>
      </c>
      <c r="PL475" s="27" t="s">
        <v>7</v>
      </c>
    </row>
    <row r="476" spans="1:460" x14ac:dyDescent="0.25">
      <c r="A476" s="7">
        <v>9.0078068568460168</v>
      </c>
      <c r="B476"/>
      <c r="C476"/>
      <c r="D476"/>
      <c r="E476"/>
      <c r="ME476" s="27" t="s">
        <v>8</v>
      </c>
      <c r="MR476" s="27" t="s">
        <v>7</v>
      </c>
      <c r="MV476" s="27" t="s">
        <v>7</v>
      </c>
      <c r="MW476" s="27" t="s">
        <v>8</v>
      </c>
      <c r="MX476" s="27" t="s">
        <v>7</v>
      </c>
      <c r="MY476" s="27" t="s">
        <v>8</v>
      </c>
      <c r="NJ476" s="27" t="s">
        <v>7</v>
      </c>
      <c r="NK476" s="27" t="s">
        <v>8</v>
      </c>
      <c r="NL476" s="27" t="s">
        <v>7</v>
      </c>
      <c r="NM476" s="27" t="s">
        <v>8</v>
      </c>
      <c r="NN476" s="27" t="s">
        <v>7</v>
      </c>
      <c r="NU476" s="27" t="s">
        <v>8</v>
      </c>
      <c r="NV476" s="27" t="s">
        <v>7</v>
      </c>
      <c r="NW476" s="27" t="s">
        <v>8</v>
      </c>
      <c r="NX476" s="27" t="s">
        <v>7</v>
      </c>
      <c r="NY476" s="27" t="s">
        <v>8</v>
      </c>
      <c r="NZ476" s="27" t="s">
        <v>7</v>
      </c>
      <c r="OA476" s="27" t="s">
        <v>8</v>
      </c>
      <c r="OB476" s="27" t="s">
        <v>7</v>
      </c>
      <c r="OC476" s="27" t="s">
        <v>8</v>
      </c>
      <c r="OD476" s="27" t="s">
        <v>7</v>
      </c>
      <c r="PK476" s="27" t="s">
        <v>8</v>
      </c>
      <c r="PL476" s="27" t="s">
        <v>7</v>
      </c>
    </row>
    <row r="477" spans="1:460" x14ac:dyDescent="0.25">
      <c r="A477" s="7">
        <v>8.8311831929862912</v>
      </c>
      <c r="B477"/>
      <c r="C477"/>
      <c r="D477"/>
      <c r="E477"/>
      <c r="MC477" s="27" t="s">
        <v>8</v>
      </c>
      <c r="ME477" s="27" t="s">
        <v>8</v>
      </c>
      <c r="MV477" s="27" t="s">
        <v>7</v>
      </c>
      <c r="MW477" s="27" t="s">
        <v>8</v>
      </c>
      <c r="MX477" s="27" t="s">
        <v>7</v>
      </c>
      <c r="MY477" s="27" t="s">
        <v>8</v>
      </c>
      <c r="NJ477" s="27" t="s">
        <v>7</v>
      </c>
      <c r="NK477" s="27" t="s">
        <v>8</v>
      </c>
      <c r="NL477" s="27" t="s">
        <v>7</v>
      </c>
      <c r="NM477" s="27" t="s">
        <v>8</v>
      </c>
      <c r="NN477" s="27" t="s">
        <v>7</v>
      </c>
      <c r="NU477" s="27" t="s">
        <v>8</v>
      </c>
      <c r="NV477" s="27" t="s">
        <v>7</v>
      </c>
      <c r="NW477" s="27" t="s">
        <v>8</v>
      </c>
      <c r="NX477" s="27" t="s">
        <v>7</v>
      </c>
      <c r="NY477" s="27" t="s">
        <v>8</v>
      </c>
      <c r="NZ477" s="27" t="s">
        <v>7</v>
      </c>
      <c r="OA477" s="27" t="s">
        <v>8</v>
      </c>
      <c r="OB477" s="27" t="s">
        <v>7</v>
      </c>
      <c r="OC477" s="27" t="s">
        <v>8</v>
      </c>
      <c r="OD477" s="27" t="s">
        <v>7</v>
      </c>
      <c r="PK477" s="27" t="s">
        <v>8</v>
      </c>
      <c r="PL477" s="27" t="s">
        <v>7</v>
      </c>
    </row>
    <row r="478" spans="1:460" x14ac:dyDescent="0.25">
      <c r="A478" s="7">
        <v>8.6580227382218542</v>
      </c>
      <c r="B478"/>
      <c r="C478"/>
      <c r="D478"/>
      <c r="E478"/>
      <c r="MC478" s="27" t="s">
        <v>8</v>
      </c>
      <c r="MD478" s="27" t="s">
        <v>7</v>
      </c>
      <c r="ME478" s="27" t="s">
        <v>8</v>
      </c>
      <c r="MV478" s="27" t="s">
        <v>7</v>
      </c>
      <c r="MW478" s="27" t="s">
        <v>8</v>
      </c>
      <c r="MX478" s="27" t="s">
        <v>7</v>
      </c>
      <c r="MY478" s="27" t="s">
        <v>8</v>
      </c>
      <c r="NJ478" s="27" t="s">
        <v>7</v>
      </c>
      <c r="NK478" s="27" t="s">
        <v>8</v>
      </c>
      <c r="NL478" s="27" t="s">
        <v>7</v>
      </c>
      <c r="NM478" s="27" t="s">
        <v>8</v>
      </c>
      <c r="NN478" s="27" t="s">
        <v>7</v>
      </c>
      <c r="NU478" s="27" t="s">
        <v>8</v>
      </c>
      <c r="NV478" s="27" t="s">
        <v>7</v>
      </c>
      <c r="NX478" s="27" t="s">
        <v>7</v>
      </c>
      <c r="NY478" s="27" t="s">
        <v>8</v>
      </c>
      <c r="NZ478" s="27" t="s">
        <v>7</v>
      </c>
      <c r="OA478" s="27" t="s">
        <v>8</v>
      </c>
      <c r="OB478" s="27" t="s">
        <v>7</v>
      </c>
      <c r="OD478" s="27" t="s">
        <v>7</v>
      </c>
      <c r="PK478" s="27" t="s">
        <v>8</v>
      </c>
      <c r="PL478" s="27" t="s">
        <v>7</v>
      </c>
    </row>
    <row r="479" spans="1:460" x14ac:dyDescent="0.25">
      <c r="A479" s="7">
        <v>8.4882575864920131</v>
      </c>
      <c r="B479"/>
      <c r="C479"/>
      <c r="D479"/>
      <c r="E479"/>
      <c r="MC479" s="27" t="s">
        <v>8</v>
      </c>
      <c r="MD479" s="27" t="s">
        <v>7</v>
      </c>
      <c r="ME479" s="27" t="s">
        <v>8</v>
      </c>
      <c r="MV479" s="27" t="s">
        <v>7</v>
      </c>
      <c r="MW479" s="27" t="s">
        <v>8</v>
      </c>
      <c r="MX479" s="27" t="s">
        <v>7</v>
      </c>
      <c r="MY479" s="27" t="s">
        <v>8</v>
      </c>
      <c r="NJ479" s="27" t="s">
        <v>7</v>
      </c>
      <c r="NK479" s="27" t="s">
        <v>8</v>
      </c>
      <c r="NL479" s="27" t="s">
        <v>7</v>
      </c>
      <c r="NN479" s="27" t="s">
        <v>7</v>
      </c>
      <c r="NU479" s="27" t="s">
        <v>8</v>
      </c>
      <c r="NX479" s="27" t="s">
        <v>7</v>
      </c>
      <c r="NY479" s="27" t="s">
        <v>8</v>
      </c>
      <c r="NZ479" s="27" t="s">
        <v>7</v>
      </c>
      <c r="OA479" s="27" t="s">
        <v>8</v>
      </c>
      <c r="OD479" s="27" t="s">
        <v>7</v>
      </c>
      <c r="PK479" s="27" t="s">
        <v>8</v>
      </c>
      <c r="PL479" s="27" t="s">
        <v>7</v>
      </c>
      <c r="QK479" s="27" t="s">
        <v>8</v>
      </c>
      <c r="QQ479" s="27" t="s">
        <v>8</v>
      </c>
    </row>
    <row r="480" spans="1:460" x14ac:dyDescent="0.25">
      <c r="A480" s="7">
        <v>8.3218211632274635</v>
      </c>
      <c r="B480"/>
      <c r="C480"/>
      <c r="D480"/>
      <c r="E480"/>
      <c r="MC480" s="27" t="s">
        <v>8</v>
      </c>
      <c r="MD480" s="27" t="s">
        <v>7</v>
      </c>
      <c r="ME480" s="27" t="s">
        <v>8</v>
      </c>
      <c r="MV480" s="27" t="s">
        <v>7</v>
      </c>
      <c r="MW480" s="27" t="s">
        <v>8</v>
      </c>
      <c r="MX480" s="27" t="s">
        <v>7</v>
      </c>
      <c r="NJ480" s="27" t="s">
        <v>7</v>
      </c>
      <c r="NN480" s="27" t="s">
        <v>7</v>
      </c>
      <c r="NU480" s="27" t="s">
        <v>8</v>
      </c>
      <c r="NX480" s="27" t="s">
        <v>7</v>
      </c>
      <c r="NY480" s="27" t="s">
        <v>8</v>
      </c>
      <c r="NZ480" s="27" t="s">
        <v>7</v>
      </c>
      <c r="OA480" s="27" t="s">
        <v>8</v>
      </c>
      <c r="OD480" s="27" t="s">
        <v>7</v>
      </c>
      <c r="PE480" s="31" t="s">
        <v>8</v>
      </c>
      <c r="PK480" s="27" t="s">
        <v>8</v>
      </c>
      <c r="PL480" s="27" t="s">
        <v>7</v>
      </c>
      <c r="QK480" s="27" t="s">
        <v>8</v>
      </c>
      <c r="QL480" s="27" t="s">
        <v>7</v>
      </c>
      <c r="QQ480" s="27" t="s">
        <v>8</v>
      </c>
      <c r="QR480" s="27" t="s">
        <v>7</v>
      </c>
    </row>
    <row r="481" spans="1:472" x14ac:dyDescent="0.25">
      <c r="A481" s="7">
        <v>8.1586481992426112</v>
      </c>
      <c r="B481"/>
      <c r="C481"/>
      <c r="D481"/>
      <c r="E481"/>
      <c r="MC481" s="27" t="s">
        <v>8</v>
      </c>
      <c r="MD481" s="27" t="s">
        <v>7</v>
      </c>
      <c r="MV481" s="27" t="s">
        <v>7</v>
      </c>
      <c r="MW481" s="27" t="s">
        <v>8</v>
      </c>
      <c r="NN481" s="27" t="s">
        <v>7</v>
      </c>
      <c r="NO481" s="27" t="s">
        <v>8</v>
      </c>
      <c r="NU481" s="27" t="s">
        <v>8</v>
      </c>
      <c r="NX481" s="27" t="s">
        <v>7</v>
      </c>
      <c r="NZ481" s="27" t="s">
        <v>7</v>
      </c>
      <c r="OA481" s="27" t="s">
        <v>8</v>
      </c>
      <c r="OD481" s="27" t="s">
        <v>7</v>
      </c>
      <c r="PE481" s="27" t="s">
        <v>8</v>
      </c>
      <c r="PF481" s="31" t="s">
        <v>7</v>
      </c>
      <c r="PK481" s="27" t="s">
        <v>8</v>
      </c>
      <c r="PL481" s="27" t="s">
        <v>7</v>
      </c>
      <c r="QK481" s="27" t="s">
        <v>8</v>
      </c>
      <c r="QL481" s="27" t="s">
        <v>7</v>
      </c>
      <c r="QQ481" s="27" t="s">
        <v>8</v>
      </c>
      <c r="QR481" s="27" t="s">
        <v>7</v>
      </c>
    </row>
    <row r="482" spans="1:472" x14ac:dyDescent="0.25">
      <c r="A482" s="7">
        <v>7.9986747051398144</v>
      </c>
      <c r="B482"/>
      <c r="C482"/>
      <c r="D482"/>
      <c r="E482"/>
      <c r="LY482" s="27" t="s">
        <v>8</v>
      </c>
      <c r="MC482" s="27" t="s">
        <v>8</v>
      </c>
      <c r="MV482" s="27" t="s">
        <v>7</v>
      </c>
      <c r="MW482" s="27" t="s">
        <v>8</v>
      </c>
      <c r="NN482" s="27" t="s">
        <v>7</v>
      </c>
      <c r="NO482" s="27" t="s">
        <v>8</v>
      </c>
      <c r="NP482" s="27" t="s">
        <v>7</v>
      </c>
      <c r="NS482" s="27" t="s">
        <v>8</v>
      </c>
      <c r="NU482" s="27" t="s">
        <v>8</v>
      </c>
      <c r="NZ482" s="27" t="s">
        <v>7</v>
      </c>
      <c r="OA482" s="27" t="s">
        <v>8</v>
      </c>
      <c r="OD482" s="27" t="s">
        <v>7</v>
      </c>
      <c r="PE482" s="27" t="s">
        <v>8</v>
      </c>
      <c r="PF482" s="27" t="s">
        <v>7</v>
      </c>
      <c r="PG482" s="31" t="s">
        <v>8</v>
      </c>
      <c r="PK482" s="27" t="s">
        <v>8</v>
      </c>
      <c r="PL482" s="27" t="s">
        <v>7</v>
      </c>
      <c r="QK482" s="27" t="s">
        <v>8</v>
      </c>
      <c r="QL482" s="27" t="s">
        <v>7</v>
      </c>
      <c r="QO482" s="27" t="s">
        <v>8</v>
      </c>
      <c r="QQ482" s="27" t="s">
        <v>8</v>
      </c>
      <c r="QR482" s="27" t="s">
        <v>7</v>
      </c>
    </row>
    <row r="483" spans="1:472" x14ac:dyDescent="0.25">
      <c r="A483" s="7">
        <v>7.8418379462155041</v>
      </c>
      <c r="B483"/>
      <c r="C483"/>
      <c r="D483"/>
      <c r="E483"/>
      <c r="LY483" s="27" t="s">
        <v>8</v>
      </c>
      <c r="LZ483" s="27" t="s">
        <v>7</v>
      </c>
      <c r="MC483" s="27" t="s">
        <v>8</v>
      </c>
      <c r="MV483" s="27" t="s">
        <v>7</v>
      </c>
      <c r="MW483" s="27" t="s">
        <v>8</v>
      </c>
      <c r="NN483" s="27" t="s">
        <v>7</v>
      </c>
      <c r="NO483" s="27" t="s">
        <v>8</v>
      </c>
      <c r="NP483" s="27" t="s">
        <v>7</v>
      </c>
      <c r="NS483" s="27" t="s">
        <v>8</v>
      </c>
      <c r="NT483" s="27" t="s">
        <v>7</v>
      </c>
      <c r="NU483" s="27" t="s">
        <v>8</v>
      </c>
      <c r="NZ483" s="27" t="s">
        <v>7</v>
      </c>
      <c r="OA483" s="27" t="s">
        <v>8</v>
      </c>
      <c r="OD483" s="27" t="s">
        <v>7</v>
      </c>
      <c r="PE483" s="27" t="s">
        <v>8</v>
      </c>
      <c r="PF483" s="27" t="s">
        <v>7</v>
      </c>
      <c r="PG483" s="27" t="s">
        <v>8</v>
      </c>
      <c r="PH483" s="31" t="s">
        <v>7</v>
      </c>
      <c r="PK483" s="27" t="s">
        <v>8</v>
      </c>
      <c r="PL483" s="27" t="s">
        <v>7</v>
      </c>
      <c r="QK483" s="27" t="s">
        <v>8</v>
      </c>
      <c r="QL483" s="27" t="s">
        <v>7</v>
      </c>
      <c r="QM483" s="27" t="s">
        <v>8</v>
      </c>
      <c r="QO483" s="27" t="s">
        <v>8</v>
      </c>
      <c r="QP483" s="27" t="s">
        <v>7</v>
      </c>
      <c r="QQ483" s="27" t="s">
        <v>8</v>
      </c>
      <c r="QR483" s="27" t="s">
        <v>7</v>
      </c>
    </row>
    <row r="484" spans="1:472" x14ac:dyDescent="0.25">
      <c r="A484" s="7">
        <v>7.688076417858337</v>
      </c>
      <c r="B484"/>
      <c r="C484"/>
      <c r="D484"/>
      <c r="E484"/>
      <c r="LY484" s="27" t="s">
        <v>8</v>
      </c>
      <c r="LZ484" s="27" t="s">
        <v>7</v>
      </c>
      <c r="MA484" s="27" t="s">
        <v>8</v>
      </c>
      <c r="MC484" s="27" t="s">
        <v>8</v>
      </c>
      <c r="MV484" s="27" t="s">
        <v>7</v>
      </c>
      <c r="MW484" s="27" t="s">
        <v>8</v>
      </c>
      <c r="NN484" s="27" t="s">
        <v>7</v>
      </c>
      <c r="NO484" s="27" t="s">
        <v>8</v>
      </c>
      <c r="NP484" s="27" t="s">
        <v>7</v>
      </c>
      <c r="NS484" s="27" t="s">
        <v>8</v>
      </c>
      <c r="NT484" s="27" t="s">
        <v>7</v>
      </c>
      <c r="NU484" s="27" t="s">
        <v>8</v>
      </c>
      <c r="NZ484" s="27" t="s">
        <v>7</v>
      </c>
      <c r="OA484" s="27" t="s">
        <v>8</v>
      </c>
      <c r="OD484" s="27" t="s">
        <v>7</v>
      </c>
      <c r="PE484" s="27" t="s">
        <v>8</v>
      </c>
      <c r="PF484" s="27" t="s">
        <v>7</v>
      </c>
      <c r="PG484" s="27" t="s">
        <v>8</v>
      </c>
      <c r="PH484" s="27" t="s">
        <v>7</v>
      </c>
      <c r="PI484" s="31"/>
      <c r="PK484" s="27" t="s">
        <v>8</v>
      </c>
      <c r="PL484" s="27" t="s">
        <v>7</v>
      </c>
      <c r="QK484" s="27" t="s">
        <v>8</v>
      </c>
      <c r="QL484" s="27" t="s">
        <v>7</v>
      </c>
      <c r="QM484" s="27" t="s">
        <v>8</v>
      </c>
      <c r="QN484" s="27" t="s">
        <v>7</v>
      </c>
      <c r="QO484" s="27" t="s">
        <v>8</v>
      </c>
      <c r="QP484" s="27" t="s">
        <v>7</v>
      </c>
      <c r="QQ484" s="27" t="s">
        <v>8</v>
      </c>
      <c r="QR484" s="27" t="s">
        <v>7</v>
      </c>
    </row>
    <row r="485" spans="1:472" x14ac:dyDescent="0.25">
      <c r="A485" s="7">
        <v>7.5373298214297417</v>
      </c>
      <c r="B485"/>
      <c r="C485"/>
      <c r="D485"/>
      <c r="E485"/>
      <c r="LY485" s="27" t="s">
        <v>8</v>
      </c>
      <c r="LZ485" s="27" t="s">
        <v>7</v>
      </c>
      <c r="MA485" s="27" t="s">
        <v>8</v>
      </c>
      <c r="MB485" s="27" t="s">
        <v>7</v>
      </c>
      <c r="MC485" s="27" t="s">
        <v>8</v>
      </c>
      <c r="MV485" s="27" t="s">
        <v>7</v>
      </c>
      <c r="MW485" s="27" t="s">
        <v>8</v>
      </c>
      <c r="NN485" s="27" t="s">
        <v>7</v>
      </c>
      <c r="NO485" s="27" t="s">
        <v>8</v>
      </c>
      <c r="NP485" s="27" t="s">
        <v>7</v>
      </c>
      <c r="NS485" s="27" t="s">
        <v>8</v>
      </c>
      <c r="NT485" s="27" t="s">
        <v>7</v>
      </c>
      <c r="NU485" s="27" t="s">
        <v>8</v>
      </c>
      <c r="NZ485" s="27" t="s">
        <v>7</v>
      </c>
      <c r="OA485" s="27" t="s">
        <v>8</v>
      </c>
      <c r="OD485" s="27" t="s">
        <v>7</v>
      </c>
      <c r="PA485" s="27" t="s">
        <v>8</v>
      </c>
      <c r="PC485" s="27" t="s">
        <v>8</v>
      </c>
      <c r="PE485" s="27" t="s">
        <v>8</v>
      </c>
      <c r="PF485" s="27" t="s">
        <v>7</v>
      </c>
      <c r="PG485" s="27" t="s">
        <v>8</v>
      </c>
      <c r="PH485" s="27" t="s">
        <v>7</v>
      </c>
      <c r="PJ485" s="31"/>
      <c r="PK485" s="27" t="s">
        <v>8</v>
      </c>
      <c r="PL485" s="27" t="s">
        <v>7</v>
      </c>
      <c r="QK485" s="27" t="s">
        <v>8</v>
      </c>
      <c r="QL485" s="27" t="s">
        <v>7</v>
      </c>
      <c r="QM485" s="27" t="s">
        <v>8</v>
      </c>
      <c r="QN485" s="27" t="s">
        <v>7</v>
      </c>
      <c r="QO485" s="27" t="s">
        <v>8</v>
      </c>
      <c r="QP485" s="27" t="s">
        <v>7</v>
      </c>
      <c r="QQ485" s="27" t="s">
        <v>8</v>
      </c>
      <c r="QR485" s="27" t="s">
        <v>7</v>
      </c>
      <c r="QY485" s="27" t="s">
        <v>8</v>
      </c>
    </row>
    <row r="486" spans="1:472" x14ac:dyDescent="0.25">
      <c r="A486" s="7">
        <v>7.389539040617394</v>
      </c>
      <c r="B486"/>
      <c r="C486"/>
      <c r="D486"/>
      <c r="E486"/>
      <c r="LY486" s="27" t="s">
        <v>8</v>
      </c>
      <c r="LZ486" s="27" t="s">
        <v>7</v>
      </c>
      <c r="MA486" s="27" t="s">
        <v>8</v>
      </c>
      <c r="MB486" s="27" t="s">
        <v>7</v>
      </c>
      <c r="MC486" s="27" t="s">
        <v>8</v>
      </c>
      <c r="MV486" s="27" t="s">
        <v>7</v>
      </c>
      <c r="MW486" s="27" t="s">
        <v>8</v>
      </c>
      <c r="NN486" s="27" t="s">
        <v>7</v>
      </c>
      <c r="NO486" s="27" t="s">
        <v>8</v>
      </c>
      <c r="NP486" s="27" t="s">
        <v>7</v>
      </c>
      <c r="NS486" s="27" t="s">
        <v>8</v>
      </c>
      <c r="NT486" s="27" t="s">
        <v>7</v>
      </c>
      <c r="NU486" s="27" t="s">
        <v>8</v>
      </c>
      <c r="NZ486" s="27" t="s">
        <v>7</v>
      </c>
      <c r="OD486" s="27" t="s">
        <v>7</v>
      </c>
      <c r="OE486" s="27" t="s">
        <v>8</v>
      </c>
      <c r="OG486" s="27" t="s">
        <v>8</v>
      </c>
      <c r="PA486" s="27" t="s">
        <v>8</v>
      </c>
      <c r="PB486" s="27" t="s">
        <v>7</v>
      </c>
      <c r="PC486" s="27" t="s">
        <v>8</v>
      </c>
      <c r="PD486" s="27" t="s">
        <v>7</v>
      </c>
      <c r="PE486" s="27" t="s">
        <v>8</v>
      </c>
      <c r="PF486" s="27" t="s">
        <v>7</v>
      </c>
      <c r="PG486" s="27" t="s">
        <v>8</v>
      </c>
      <c r="PH486" s="27" t="s">
        <v>7</v>
      </c>
      <c r="PK486" s="31" t="s">
        <v>8</v>
      </c>
      <c r="PL486" s="27" t="s">
        <v>7</v>
      </c>
      <c r="PM486" s="27" t="s">
        <v>8</v>
      </c>
      <c r="QI486" s="27" t="s">
        <v>8</v>
      </c>
      <c r="QK486" s="27" t="s">
        <v>8</v>
      </c>
      <c r="QL486" s="27" t="s">
        <v>7</v>
      </c>
      <c r="QM486" s="27" t="s">
        <v>8</v>
      </c>
      <c r="QN486" s="27" t="s">
        <v>7</v>
      </c>
      <c r="QO486" s="27" t="s">
        <v>8</v>
      </c>
      <c r="QP486" s="27" t="s">
        <v>7</v>
      </c>
      <c r="QQ486" s="27" t="s">
        <v>8</v>
      </c>
      <c r="QR486" s="27" t="s">
        <v>7</v>
      </c>
      <c r="QS486" s="27" t="s">
        <v>8</v>
      </c>
      <c r="QY486" s="27" t="s">
        <v>8</v>
      </c>
      <c r="QZ486" s="27" t="s">
        <v>7</v>
      </c>
    </row>
    <row r="487" spans="1:472" x14ac:dyDescent="0.25">
      <c r="A487" s="7">
        <v>7.2446461182523469</v>
      </c>
      <c r="B487"/>
      <c r="C487"/>
      <c r="D487"/>
      <c r="E487"/>
      <c r="LY487" s="27" t="s">
        <v>8</v>
      </c>
      <c r="LZ487" s="27" t="s">
        <v>7</v>
      </c>
      <c r="MA487" s="27" t="s">
        <v>8</v>
      </c>
      <c r="MB487" s="27" t="s">
        <v>7</v>
      </c>
      <c r="MC487" s="27" t="s">
        <v>8</v>
      </c>
      <c r="MV487" s="27" t="s">
        <v>7</v>
      </c>
      <c r="NN487" s="27" t="s">
        <v>7</v>
      </c>
      <c r="NO487" s="27" t="s">
        <v>8</v>
      </c>
      <c r="NP487" s="27" t="s">
        <v>7</v>
      </c>
      <c r="NQ487" s="27" t="s">
        <v>8</v>
      </c>
      <c r="NS487" s="27" t="s">
        <v>8</v>
      </c>
      <c r="NT487" s="27" t="s">
        <v>7</v>
      </c>
      <c r="NU487" s="27" t="s">
        <v>8</v>
      </c>
      <c r="OD487" s="27" t="s">
        <v>7</v>
      </c>
      <c r="OE487" s="27" t="s">
        <v>8</v>
      </c>
      <c r="OF487" s="27" t="s">
        <v>7</v>
      </c>
      <c r="OG487" s="27" t="s">
        <v>8</v>
      </c>
      <c r="OH487" s="27" t="s">
        <v>7</v>
      </c>
      <c r="OY487" s="27" t="s">
        <v>8</v>
      </c>
      <c r="PA487" s="27" t="s">
        <v>8</v>
      </c>
      <c r="PB487" s="27" t="s">
        <v>7</v>
      </c>
      <c r="PC487" s="27" t="s">
        <v>8</v>
      </c>
      <c r="PD487" s="27" t="s">
        <v>7</v>
      </c>
      <c r="PE487" s="27" t="s">
        <v>8</v>
      </c>
      <c r="PF487" s="27" t="s">
        <v>7</v>
      </c>
      <c r="PG487" s="27" t="s">
        <v>8</v>
      </c>
      <c r="PH487" s="27" t="s">
        <v>7</v>
      </c>
      <c r="PK487" s="27" t="s">
        <v>8</v>
      </c>
      <c r="PL487" s="31" t="s">
        <v>7</v>
      </c>
      <c r="PM487" s="27" t="s">
        <v>8</v>
      </c>
      <c r="PN487" s="27" t="s">
        <v>7</v>
      </c>
      <c r="QI487" s="27" t="s">
        <v>8</v>
      </c>
      <c r="QJ487" s="27" t="s">
        <v>7</v>
      </c>
      <c r="QK487" s="27" t="s">
        <v>8</v>
      </c>
      <c r="QL487" s="27" t="s">
        <v>7</v>
      </c>
      <c r="QM487" s="27" t="s">
        <v>8</v>
      </c>
      <c r="QN487" s="27" t="s">
        <v>7</v>
      </c>
      <c r="QO487" s="27" t="s">
        <v>8</v>
      </c>
      <c r="QP487" s="27" t="s">
        <v>7</v>
      </c>
      <c r="QR487" s="27" t="s">
        <v>7</v>
      </c>
      <c r="QS487" s="27" t="s">
        <v>8</v>
      </c>
      <c r="QT487" s="27" t="s">
        <v>7</v>
      </c>
      <c r="QW487" s="27" t="s">
        <v>8</v>
      </c>
      <c r="QY487" s="27" t="s">
        <v>8</v>
      </c>
      <c r="QZ487" s="27" t="s">
        <v>7</v>
      </c>
    </row>
    <row r="488" spans="1:472" x14ac:dyDescent="0.25">
      <c r="A488" s="7">
        <v>7.1025942335807324</v>
      </c>
      <c r="B488"/>
      <c r="C488"/>
      <c r="D488"/>
      <c r="E488"/>
      <c r="LY488" s="27" t="s">
        <v>8</v>
      </c>
      <c r="LZ488" s="27" t="s">
        <v>7</v>
      </c>
      <c r="MA488" s="27" t="s">
        <v>8</v>
      </c>
      <c r="MB488" s="27" t="s">
        <v>7</v>
      </c>
      <c r="MC488" s="27" t="s">
        <v>8</v>
      </c>
      <c r="NN488" s="27" t="s">
        <v>7</v>
      </c>
      <c r="NO488" s="27" t="s">
        <v>8</v>
      </c>
      <c r="NP488" s="27" t="s">
        <v>7</v>
      </c>
      <c r="NQ488" s="27" t="s">
        <v>8</v>
      </c>
      <c r="NR488" s="27" t="s">
        <v>7</v>
      </c>
      <c r="NS488" s="27" t="s">
        <v>8</v>
      </c>
      <c r="NT488" s="27" t="s">
        <v>7</v>
      </c>
      <c r="NU488" s="27" t="s">
        <v>8</v>
      </c>
      <c r="OD488" s="27" t="s">
        <v>7</v>
      </c>
      <c r="OE488" s="27" t="s">
        <v>8</v>
      </c>
      <c r="OF488" s="27" t="s">
        <v>7</v>
      </c>
      <c r="OG488" s="27" t="s">
        <v>8</v>
      </c>
      <c r="OH488" s="27" t="s">
        <v>7</v>
      </c>
      <c r="OY488" s="27" t="s">
        <v>8</v>
      </c>
      <c r="OZ488" s="27" t="s">
        <v>7</v>
      </c>
      <c r="PA488" s="27" t="s">
        <v>8</v>
      </c>
      <c r="PB488" s="27" t="s">
        <v>7</v>
      </c>
      <c r="PC488" s="27" t="s">
        <v>8</v>
      </c>
      <c r="PD488" s="27" t="s">
        <v>7</v>
      </c>
      <c r="PE488" s="27" t="s">
        <v>8</v>
      </c>
      <c r="PF488" s="27" t="s">
        <v>7</v>
      </c>
      <c r="PG488" s="27" t="s">
        <v>8</v>
      </c>
      <c r="PH488" s="27" t="s">
        <v>7</v>
      </c>
      <c r="PK488" s="27" t="s">
        <v>8</v>
      </c>
      <c r="PL488" s="27" t="s">
        <v>7</v>
      </c>
      <c r="PM488" s="31" t="s">
        <v>8</v>
      </c>
      <c r="PN488" s="27" t="s">
        <v>7</v>
      </c>
      <c r="PQ488" s="27" t="s">
        <v>8</v>
      </c>
      <c r="QI488" s="27" t="s">
        <v>8</v>
      </c>
      <c r="QJ488" s="27" t="s">
        <v>7</v>
      </c>
      <c r="QK488" s="27" t="s">
        <v>8</v>
      </c>
      <c r="QL488" s="27" t="s">
        <v>7</v>
      </c>
      <c r="QM488" s="27" t="s">
        <v>8</v>
      </c>
      <c r="QN488" s="27" t="s">
        <v>7</v>
      </c>
      <c r="QR488" s="27" t="s">
        <v>7</v>
      </c>
      <c r="QS488" s="27" t="s">
        <v>8</v>
      </c>
      <c r="QT488" s="27" t="s">
        <v>7</v>
      </c>
      <c r="QW488" s="27" t="s">
        <v>8</v>
      </c>
      <c r="QX488" s="27" t="s">
        <v>7</v>
      </c>
      <c r="QY488" s="27" t="s">
        <v>8</v>
      </c>
      <c r="QZ488" s="27" t="s">
        <v>7</v>
      </c>
    </row>
    <row r="489" spans="1:472" x14ac:dyDescent="0.25">
      <c r="A489" s="7">
        <v>6.9633276799811101</v>
      </c>
      <c r="B489"/>
      <c r="C489"/>
      <c r="D489"/>
      <c r="E489"/>
      <c r="LY489" s="27" t="s">
        <v>8</v>
      </c>
      <c r="LZ489" s="27" t="s">
        <v>7</v>
      </c>
      <c r="MA489" s="27" t="s">
        <v>8</v>
      </c>
      <c r="MB489" s="27" t="s">
        <v>7</v>
      </c>
      <c r="MC489" s="27" t="s">
        <v>8</v>
      </c>
      <c r="NN489" s="27" t="s">
        <v>7</v>
      </c>
      <c r="NO489" s="27" t="s">
        <v>8</v>
      </c>
      <c r="NP489" s="27" t="s">
        <v>7</v>
      </c>
      <c r="NQ489" s="27" t="s">
        <v>8</v>
      </c>
      <c r="NR489" s="27" t="s">
        <v>7</v>
      </c>
      <c r="NS489" s="27" t="s">
        <v>8</v>
      </c>
      <c r="NT489" s="27" t="s">
        <v>7</v>
      </c>
      <c r="NU489" s="27" t="s">
        <v>8</v>
      </c>
      <c r="OD489" s="27" t="s">
        <v>7</v>
      </c>
      <c r="OE489" s="27" t="s">
        <v>8</v>
      </c>
      <c r="OF489" s="27" t="s">
        <v>7</v>
      </c>
      <c r="OG489" s="27" t="s">
        <v>8</v>
      </c>
      <c r="OH489" s="27" t="s">
        <v>7</v>
      </c>
      <c r="OY489" s="27" t="s">
        <v>8</v>
      </c>
      <c r="OZ489" s="27" t="s">
        <v>7</v>
      </c>
      <c r="PA489" s="27" t="s">
        <v>8</v>
      </c>
      <c r="PB489" s="27" t="s">
        <v>7</v>
      </c>
      <c r="PC489" s="27" t="s">
        <v>8</v>
      </c>
      <c r="PD489" s="27" t="s">
        <v>7</v>
      </c>
      <c r="PF489" s="27" t="s">
        <v>7</v>
      </c>
      <c r="PG489" s="27" t="s">
        <v>8</v>
      </c>
      <c r="PH489" s="27" t="s">
        <v>7</v>
      </c>
      <c r="PI489" s="27" t="s">
        <v>8</v>
      </c>
      <c r="PK489" s="27" t="s">
        <v>8</v>
      </c>
      <c r="PL489" s="27" t="s">
        <v>7</v>
      </c>
      <c r="PM489" s="27" t="s">
        <v>8</v>
      </c>
      <c r="PN489" s="31" t="s">
        <v>7</v>
      </c>
      <c r="PQ489" s="27" t="s">
        <v>8</v>
      </c>
      <c r="PR489" s="27" t="s">
        <v>7</v>
      </c>
      <c r="QC489" s="27" t="s">
        <v>8</v>
      </c>
      <c r="QI489" s="27" t="s">
        <v>8</v>
      </c>
      <c r="QJ489" s="27" t="s">
        <v>7</v>
      </c>
      <c r="QK489" s="27" t="s">
        <v>8</v>
      </c>
      <c r="QL489" s="27" t="s">
        <v>7</v>
      </c>
      <c r="QR489" s="27" t="s">
        <v>7</v>
      </c>
      <c r="QS489" s="27" t="s">
        <v>8</v>
      </c>
      <c r="QT489" s="27" t="s">
        <v>7</v>
      </c>
      <c r="QW489" s="27" t="s">
        <v>8</v>
      </c>
      <c r="QX489" s="27" t="s">
        <v>7</v>
      </c>
      <c r="QY489" s="27" t="s">
        <v>8</v>
      </c>
      <c r="QZ489" s="27" t="s">
        <v>7</v>
      </c>
    </row>
    <row r="490" spans="1:472" x14ac:dyDescent="0.25">
      <c r="A490" s="7">
        <v>6.8267918431187349</v>
      </c>
      <c r="B490"/>
      <c r="C490"/>
      <c r="D490"/>
      <c r="E490"/>
      <c r="LY490" s="27" t="s">
        <v>8</v>
      </c>
      <c r="LZ490" s="27" t="s">
        <v>7</v>
      </c>
      <c r="MA490" s="27" t="s">
        <v>8</v>
      </c>
      <c r="MB490" s="27" t="s">
        <v>7</v>
      </c>
      <c r="MC490" s="27" t="s">
        <v>8</v>
      </c>
      <c r="NN490" s="27" t="s">
        <v>7</v>
      </c>
      <c r="NO490" s="27" t="s">
        <v>8</v>
      </c>
      <c r="NP490" s="27" t="s">
        <v>7</v>
      </c>
      <c r="NQ490" s="27" t="s">
        <v>8</v>
      </c>
      <c r="NR490" s="27" t="s">
        <v>7</v>
      </c>
      <c r="NS490" s="27" t="s">
        <v>8</v>
      </c>
      <c r="NT490" s="27" t="s">
        <v>7</v>
      </c>
      <c r="NU490" s="27" t="s">
        <v>8</v>
      </c>
      <c r="OD490" s="27" t="s">
        <v>7</v>
      </c>
      <c r="OE490" s="27" t="s">
        <v>8</v>
      </c>
      <c r="OF490" s="27" t="s">
        <v>7</v>
      </c>
      <c r="OG490" s="27" t="s">
        <v>8</v>
      </c>
      <c r="OH490" s="27" t="s">
        <v>7</v>
      </c>
      <c r="OK490" s="27" t="s">
        <v>8</v>
      </c>
      <c r="OY490" s="27" t="s">
        <v>8</v>
      </c>
      <c r="OZ490" s="27" t="s">
        <v>7</v>
      </c>
      <c r="PA490" s="27" t="s">
        <v>8</v>
      </c>
      <c r="PB490" s="27" t="s">
        <v>7</v>
      </c>
      <c r="PC490" s="27" t="s">
        <v>8</v>
      </c>
      <c r="PF490" s="27" t="s">
        <v>7</v>
      </c>
      <c r="PG490" s="27" t="s">
        <v>8</v>
      </c>
      <c r="PH490" s="27" t="s">
        <v>7</v>
      </c>
      <c r="PI490" s="27" t="s">
        <v>8</v>
      </c>
      <c r="PJ490" s="27" t="s">
        <v>7</v>
      </c>
      <c r="PK490" s="27" t="s">
        <v>8</v>
      </c>
      <c r="PL490" s="27" t="s">
        <v>7</v>
      </c>
      <c r="PM490" s="27" t="s">
        <v>8</v>
      </c>
      <c r="PN490" s="27" t="s">
        <v>7</v>
      </c>
      <c r="PO490" s="27" t="s">
        <v>8</v>
      </c>
      <c r="PQ490" s="27" t="s">
        <v>8</v>
      </c>
      <c r="PR490" s="27" t="s">
        <v>7</v>
      </c>
      <c r="QA490" s="27" t="s">
        <v>8</v>
      </c>
      <c r="QC490" s="27" t="s">
        <v>8</v>
      </c>
      <c r="QD490" s="27" t="s">
        <v>7</v>
      </c>
      <c r="QG490" s="27" t="s">
        <v>8</v>
      </c>
      <c r="QI490" s="27" t="s">
        <v>8</v>
      </c>
      <c r="QJ490" s="27" t="s">
        <v>7</v>
      </c>
      <c r="QK490" s="27" t="s">
        <v>8</v>
      </c>
      <c r="QR490" s="27" t="s">
        <v>7</v>
      </c>
      <c r="QS490" s="27" t="s">
        <v>8</v>
      </c>
      <c r="QT490" s="27" t="s">
        <v>7</v>
      </c>
      <c r="QW490" s="27" t="s">
        <v>8</v>
      </c>
      <c r="QX490" s="27" t="s">
        <v>7</v>
      </c>
      <c r="QY490" s="27" t="s">
        <v>8</v>
      </c>
      <c r="QZ490" s="27" t="s">
        <v>7</v>
      </c>
      <c r="RA490" s="27" t="s">
        <v>8</v>
      </c>
      <c r="RC490" s="27" t="s">
        <v>8</v>
      </c>
    </row>
    <row r="491" spans="1:472" x14ac:dyDescent="0.25">
      <c r="A491" s="7">
        <v>6.692933179528171</v>
      </c>
      <c r="B491"/>
      <c r="C491"/>
      <c r="D491"/>
      <c r="E491"/>
      <c r="LY491" s="27" t="s">
        <v>8</v>
      </c>
      <c r="LZ491" s="27" t="s">
        <v>7</v>
      </c>
      <c r="MA491" s="27" t="s">
        <v>8</v>
      </c>
      <c r="MB491" s="27" t="s">
        <v>7</v>
      </c>
      <c r="MC491" s="27" t="s">
        <v>8</v>
      </c>
      <c r="NN491" s="27" t="s">
        <v>7</v>
      </c>
      <c r="NO491" s="27" t="s">
        <v>8</v>
      </c>
      <c r="NP491" s="27" t="s">
        <v>7</v>
      </c>
      <c r="NQ491" s="27" t="s">
        <v>8</v>
      </c>
      <c r="NR491" s="27" t="s">
        <v>7</v>
      </c>
      <c r="NS491" s="27" t="s">
        <v>8</v>
      </c>
      <c r="NT491" s="27" t="s">
        <v>7</v>
      </c>
      <c r="NU491" s="27" t="s">
        <v>8</v>
      </c>
      <c r="OD491" s="27" t="s">
        <v>7</v>
      </c>
      <c r="OE491" s="27" t="s">
        <v>8</v>
      </c>
      <c r="OF491" s="27" t="s">
        <v>7</v>
      </c>
      <c r="OG491" s="27" t="s">
        <v>8</v>
      </c>
      <c r="OH491" s="27" t="s">
        <v>7</v>
      </c>
      <c r="OK491" s="27" t="s">
        <v>8</v>
      </c>
      <c r="OL491" s="27" t="s">
        <v>7</v>
      </c>
      <c r="OS491" s="27" t="s">
        <v>8</v>
      </c>
      <c r="OY491" s="27" t="s">
        <v>8</v>
      </c>
      <c r="OZ491" s="27" t="s">
        <v>7</v>
      </c>
      <c r="PA491" s="27" t="s">
        <v>8</v>
      </c>
      <c r="PB491" s="27" t="s">
        <v>7</v>
      </c>
      <c r="PC491" s="27" t="s">
        <v>8</v>
      </c>
      <c r="PF491" s="27" t="s">
        <v>7</v>
      </c>
      <c r="PG491" s="27" t="s">
        <v>8</v>
      </c>
      <c r="PH491" s="27" t="s">
        <v>7</v>
      </c>
      <c r="PI491" s="27" t="s">
        <v>8</v>
      </c>
      <c r="PJ491" s="27" t="s">
        <v>7</v>
      </c>
      <c r="PK491" s="27" t="s">
        <v>8</v>
      </c>
      <c r="PL491" s="27" t="s">
        <v>7</v>
      </c>
      <c r="PM491" s="27" t="s">
        <v>8</v>
      </c>
      <c r="PN491" s="27" t="s">
        <v>7</v>
      </c>
      <c r="PO491" s="27" t="s">
        <v>8</v>
      </c>
      <c r="PP491" s="27" t="s">
        <v>7</v>
      </c>
      <c r="PQ491" s="27" t="s">
        <v>8</v>
      </c>
      <c r="PR491" s="27" t="s">
        <v>7</v>
      </c>
      <c r="QA491" s="27" t="s">
        <v>8</v>
      </c>
      <c r="QB491" s="27" t="s">
        <v>7</v>
      </c>
      <c r="QC491" s="27" t="s">
        <v>8</v>
      </c>
      <c r="QD491" s="27" t="s">
        <v>7</v>
      </c>
      <c r="QG491" s="27" t="s">
        <v>8</v>
      </c>
      <c r="QH491" s="27" t="s">
        <v>7</v>
      </c>
      <c r="QI491" s="27" t="s">
        <v>8</v>
      </c>
      <c r="QJ491" s="27" t="s">
        <v>7</v>
      </c>
      <c r="QK491" s="27" t="s">
        <v>8</v>
      </c>
      <c r="QR491" s="27" t="s">
        <v>7</v>
      </c>
      <c r="QS491" s="27" t="s">
        <v>8</v>
      </c>
      <c r="QT491" s="27" t="s">
        <v>7</v>
      </c>
      <c r="QW491" s="27" t="s">
        <v>8</v>
      </c>
      <c r="QX491" s="27" t="s">
        <v>7</v>
      </c>
      <c r="QY491" s="27" t="s">
        <v>8</v>
      </c>
      <c r="QZ491" s="27" t="s">
        <v>7</v>
      </c>
      <c r="RA491" s="27" t="s">
        <v>8</v>
      </c>
      <c r="RB491" s="27" t="s">
        <v>7</v>
      </c>
      <c r="RC491" s="27" t="s">
        <v>8</v>
      </c>
      <c r="RD491" s="27" t="s">
        <v>7</v>
      </c>
    </row>
    <row r="492" spans="1:472" x14ac:dyDescent="0.25">
      <c r="A492" s="7">
        <v>6.5616991956158541</v>
      </c>
      <c r="B492"/>
      <c r="C492"/>
      <c r="D492"/>
      <c r="E492"/>
      <c r="LY492" s="27" t="s">
        <v>8</v>
      </c>
      <c r="LZ492" s="27" t="s">
        <v>7</v>
      </c>
      <c r="MA492" s="27" t="s">
        <v>8</v>
      </c>
      <c r="MB492" s="27" t="s">
        <v>7</v>
      </c>
      <c r="MC492" s="27" t="s">
        <v>8</v>
      </c>
      <c r="NN492" s="27" t="s">
        <v>7</v>
      </c>
      <c r="NO492" s="27" t="s">
        <v>8</v>
      </c>
      <c r="NP492" s="27" t="s">
        <v>7</v>
      </c>
      <c r="NQ492" s="27" t="s">
        <v>8</v>
      </c>
      <c r="NR492" s="27" t="s">
        <v>7</v>
      </c>
      <c r="NS492" s="27" t="s">
        <v>8</v>
      </c>
      <c r="NT492" s="27" t="s">
        <v>7</v>
      </c>
      <c r="NU492" s="27" t="s">
        <v>8</v>
      </c>
      <c r="OD492" s="27" t="s">
        <v>7</v>
      </c>
      <c r="OE492" s="27" t="s">
        <v>8</v>
      </c>
      <c r="OF492" s="27" t="s">
        <v>7</v>
      </c>
      <c r="OG492" s="27" t="s">
        <v>8</v>
      </c>
      <c r="OH492" s="27" t="s">
        <v>7</v>
      </c>
      <c r="OK492" s="27" t="s">
        <v>8</v>
      </c>
      <c r="OL492" s="27" t="s">
        <v>7</v>
      </c>
      <c r="OS492" s="27" t="s">
        <v>8</v>
      </c>
      <c r="OT492" s="27" t="s">
        <v>7</v>
      </c>
      <c r="OY492" s="27" t="s">
        <v>8</v>
      </c>
      <c r="OZ492" s="27" t="s">
        <v>7</v>
      </c>
      <c r="PA492" s="27" t="s">
        <v>8</v>
      </c>
      <c r="PB492" s="27" t="s">
        <v>7</v>
      </c>
      <c r="PF492" s="27" t="s">
        <v>7</v>
      </c>
      <c r="PH492" s="27" t="s">
        <v>7</v>
      </c>
      <c r="PI492" s="27" t="s">
        <v>8</v>
      </c>
      <c r="PJ492" s="27" t="s">
        <v>7</v>
      </c>
      <c r="PK492" s="27" t="s">
        <v>8</v>
      </c>
      <c r="PL492" s="27" t="s">
        <v>7</v>
      </c>
      <c r="PM492" s="27" t="s">
        <v>8</v>
      </c>
      <c r="PN492" s="27" t="s">
        <v>7</v>
      </c>
      <c r="PO492" s="27" t="s">
        <v>8</v>
      </c>
      <c r="PP492" s="27" t="s">
        <v>7</v>
      </c>
      <c r="PQ492" s="27" t="s">
        <v>8</v>
      </c>
      <c r="PR492" s="27" t="s">
        <v>7</v>
      </c>
      <c r="QA492" s="27" t="s">
        <v>8</v>
      </c>
      <c r="QB492" s="27" t="s">
        <v>7</v>
      </c>
      <c r="QC492" s="27" t="s">
        <v>8</v>
      </c>
      <c r="QD492" s="27" t="s">
        <v>7</v>
      </c>
      <c r="QG492" s="27" t="s">
        <v>8</v>
      </c>
      <c r="QH492" s="27" t="s">
        <v>7</v>
      </c>
      <c r="QI492" s="27" t="s">
        <v>8</v>
      </c>
      <c r="QJ492" s="27" t="s">
        <v>7</v>
      </c>
      <c r="QK492" s="27" t="s">
        <v>8</v>
      </c>
      <c r="QR492" s="27" t="s">
        <v>7</v>
      </c>
      <c r="QS492" s="27" t="s">
        <v>8</v>
      </c>
      <c r="QT492" s="27" t="s">
        <v>7</v>
      </c>
      <c r="QU492" s="27" t="s">
        <v>8</v>
      </c>
      <c r="QW492" s="27" t="s">
        <v>8</v>
      </c>
      <c r="QX492" s="27" t="s">
        <v>7</v>
      </c>
      <c r="QY492" s="27" t="s">
        <v>8</v>
      </c>
      <c r="QZ492" s="27" t="s">
        <v>7</v>
      </c>
      <c r="RA492" s="27" t="s">
        <v>8</v>
      </c>
      <c r="RB492" s="27" t="s">
        <v>7</v>
      </c>
      <c r="RC492" s="27" t="s">
        <v>8</v>
      </c>
      <c r="RD492" s="27" t="s">
        <v>7</v>
      </c>
    </row>
    <row r="493" spans="1:472" x14ac:dyDescent="0.25">
      <c r="A493" s="7">
        <v>6.4330384270743668</v>
      </c>
      <c r="B493"/>
      <c r="C493"/>
      <c r="D493"/>
      <c r="E493"/>
      <c r="LY493" s="27" t="s">
        <v>8</v>
      </c>
      <c r="LZ493" s="27" t="s">
        <v>7</v>
      </c>
      <c r="MA493" s="27" t="s">
        <v>8</v>
      </c>
      <c r="MB493" s="27" t="s">
        <v>7</v>
      </c>
      <c r="NN493" s="27" t="s">
        <v>7</v>
      </c>
      <c r="NO493" s="27" t="s">
        <v>8</v>
      </c>
      <c r="NP493" s="27" t="s">
        <v>7</v>
      </c>
      <c r="NQ493" s="27" t="s">
        <v>8</v>
      </c>
      <c r="NR493" s="27" t="s">
        <v>7</v>
      </c>
      <c r="NS493" s="27" t="s">
        <v>8</v>
      </c>
      <c r="NT493" s="27" t="s">
        <v>7</v>
      </c>
      <c r="NU493" s="27" t="s">
        <v>8</v>
      </c>
      <c r="OD493" s="27" t="s">
        <v>7</v>
      </c>
      <c r="OE493" s="27" t="s">
        <v>8</v>
      </c>
      <c r="OF493" s="27" t="s">
        <v>7</v>
      </c>
      <c r="OG493" s="27" t="s">
        <v>8</v>
      </c>
      <c r="OH493" s="27" t="s">
        <v>7</v>
      </c>
      <c r="OI493" s="27" t="s">
        <v>8</v>
      </c>
      <c r="OK493" s="27" t="s">
        <v>8</v>
      </c>
      <c r="OL493" s="27" t="s">
        <v>7</v>
      </c>
      <c r="OS493" s="27" t="s">
        <v>8</v>
      </c>
      <c r="OT493" s="27" t="s">
        <v>7</v>
      </c>
      <c r="OY493" s="27" t="s">
        <v>8</v>
      </c>
      <c r="OZ493" s="27" t="s">
        <v>7</v>
      </c>
      <c r="PA493" s="27" t="s">
        <v>8</v>
      </c>
      <c r="PH493" s="27" t="s">
        <v>7</v>
      </c>
      <c r="PJ493" s="27" t="s">
        <v>7</v>
      </c>
      <c r="PL493" s="27" t="s">
        <v>7</v>
      </c>
      <c r="PM493" s="27" t="s">
        <v>8</v>
      </c>
      <c r="PN493" s="27" t="s">
        <v>7</v>
      </c>
      <c r="PO493" s="27" t="s">
        <v>8</v>
      </c>
      <c r="PP493" s="27" t="s">
        <v>7</v>
      </c>
      <c r="PQ493" s="27" t="s">
        <v>8</v>
      </c>
      <c r="PR493" s="27" t="s">
        <v>7</v>
      </c>
      <c r="QA493" s="27" t="s">
        <v>8</v>
      </c>
      <c r="QB493" s="27" t="s">
        <v>7</v>
      </c>
      <c r="QC493" s="27" t="s">
        <v>8</v>
      </c>
      <c r="QD493" s="27" t="s">
        <v>7</v>
      </c>
      <c r="QE493" s="27" t="s">
        <v>8</v>
      </c>
      <c r="QG493" s="27" t="s">
        <v>8</v>
      </c>
      <c r="QH493" s="27" t="s">
        <v>7</v>
      </c>
      <c r="QJ493" s="27" t="s">
        <v>7</v>
      </c>
      <c r="QK493" s="27" t="s">
        <v>8</v>
      </c>
      <c r="QR493" s="27" t="s">
        <v>7</v>
      </c>
      <c r="QT493" s="27" t="s">
        <v>7</v>
      </c>
      <c r="QU493" s="27" t="s">
        <v>8</v>
      </c>
      <c r="QV493" s="27" t="s">
        <v>7</v>
      </c>
      <c r="QW493" s="27" t="s">
        <v>8</v>
      </c>
      <c r="QX493" s="27" t="s">
        <v>7</v>
      </c>
      <c r="QY493" s="27" t="s">
        <v>8</v>
      </c>
      <c r="QZ493" s="27" t="s">
        <v>7</v>
      </c>
      <c r="RA493" s="27" t="s">
        <v>8</v>
      </c>
      <c r="RB493" s="27" t="s">
        <v>7</v>
      </c>
      <c r="RC493" s="27" t="s">
        <v>8</v>
      </c>
      <c r="RD493" s="27" t="s">
        <v>7</v>
      </c>
    </row>
    <row r="494" spans="1:472" x14ac:dyDescent="0.25">
      <c r="A494" s="7">
        <v>6.3069004187003594</v>
      </c>
      <c r="B494"/>
      <c r="C494"/>
      <c r="D494"/>
      <c r="E494"/>
      <c r="LY494" s="27" t="s">
        <v>8</v>
      </c>
      <c r="LZ494" s="27" t="s">
        <v>7</v>
      </c>
      <c r="NN494" s="27" t="s">
        <v>7</v>
      </c>
      <c r="NO494" s="27" t="s">
        <v>8</v>
      </c>
      <c r="NP494" s="27" t="s">
        <v>7</v>
      </c>
      <c r="NQ494" s="27" t="s">
        <v>8</v>
      </c>
      <c r="NR494" s="27" t="s">
        <v>7</v>
      </c>
      <c r="NS494" s="27" t="s">
        <v>8</v>
      </c>
      <c r="NT494" s="27" t="s">
        <v>7</v>
      </c>
      <c r="NU494" s="27" t="s">
        <v>8</v>
      </c>
      <c r="OD494" s="27" t="s">
        <v>7</v>
      </c>
      <c r="OE494" s="27" t="s">
        <v>8</v>
      </c>
      <c r="OF494" s="27" t="s">
        <v>7</v>
      </c>
      <c r="OG494" s="27" t="s">
        <v>8</v>
      </c>
      <c r="OH494" s="27" t="s">
        <v>7</v>
      </c>
      <c r="OI494" s="27" t="s">
        <v>8</v>
      </c>
      <c r="OJ494" s="27" t="s">
        <v>7</v>
      </c>
      <c r="OK494" s="27" t="s">
        <v>8</v>
      </c>
      <c r="OL494" s="27" t="s">
        <v>7</v>
      </c>
      <c r="OS494" s="27" t="s">
        <v>8</v>
      </c>
      <c r="OT494" s="27" t="s">
        <v>7</v>
      </c>
      <c r="OY494" s="27" t="s">
        <v>8</v>
      </c>
      <c r="OZ494" s="27" t="s">
        <v>7</v>
      </c>
      <c r="PA494" s="27" t="s">
        <v>8</v>
      </c>
      <c r="PL494" s="27" t="s">
        <v>7</v>
      </c>
      <c r="PM494" s="27" t="s">
        <v>8</v>
      </c>
      <c r="PN494" s="27" t="s">
        <v>7</v>
      </c>
      <c r="PP494" s="27" t="s">
        <v>7</v>
      </c>
      <c r="PQ494" s="27" t="s">
        <v>8</v>
      </c>
      <c r="PR494" s="27" t="s">
        <v>7</v>
      </c>
      <c r="QA494" s="27" t="s">
        <v>8</v>
      </c>
      <c r="QB494" s="27" t="s">
        <v>7</v>
      </c>
      <c r="QC494" s="27" t="s">
        <v>8</v>
      </c>
      <c r="QD494" s="27" t="s">
        <v>7</v>
      </c>
      <c r="QE494" s="27" t="s">
        <v>8</v>
      </c>
      <c r="QF494" s="27" t="s">
        <v>7</v>
      </c>
      <c r="QG494" s="27" t="s">
        <v>8</v>
      </c>
      <c r="QJ494" s="27" t="s">
        <v>7</v>
      </c>
      <c r="QK494" s="27" t="s">
        <v>8</v>
      </c>
      <c r="QT494" s="27" t="s">
        <v>7</v>
      </c>
      <c r="QU494" s="27" t="s">
        <v>8</v>
      </c>
      <c r="QV494" s="27" t="s">
        <v>7</v>
      </c>
      <c r="QW494" s="27" t="s">
        <v>8</v>
      </c>
      <c r="QX494" s="27" t="s">
        <v>7</v>
      </c>
      <c r="QZ494" s="27" t="s">
        <v>7</v>
      </c>
      <c r="RB494" s="27" t="s">
        <v>7</v>
      </c>
      <c r="RC494" s="27" t="s">
        <v>8</v>
      </c>
      <c r="RD494" s="27" t="s">
        <v>7</v>
      </c>
    </row>
    <row r="495" spans="1:472" x14ac:dyDescent="0.25">
      <c r="A495" s="7">
        <v>6.1832357046081956</v>
      </c>
      <c r="B495"/>
      <c r="C495"/>
      <c r="D495"/>
      <c r="E495"/>
      <c r="LY495" s="27" t="s">
        <v>8</v>
      </c>
      <c r="NN495" s="27" t="s">
        <v>7</v>
      </c>
      <c r="NO495" s="27" t="s">
        <v>8</v>
      </c>
      <c r="NP495" s="27" t="s">
        <v>7</v>
      </c>
      <c r="NQ495" s="27" t="s">
        <v>8</v>
      </c>
      <c r="NR495" s="27" t="s">
        <v>7</v>
      </c>
      <c r="NS495" s="27" t="s">
        <v>8</v>
      </c>
      <c r="NT495" s="27" t="s">
        <v>7</v>
      </c>
      <c r="NU495" s="27" t="s">
        <v>8</v>
      </c>
      <c r="OD495" s="27" t="s">
        <v>7</v>
      </c>
      <c r="OE495" s="27" t="s">
        <v>8</v>
      </c>
      <c r="OF495" s="27" t="s">
        <v>7</v>
      </c>
      <c r="OH495" s="27" t="s">
        <v>7</v>
      </c>
      <c r="OI495" s="27" t="s">
        <v>8</v>
      </c>
      <c r="OJ495" s="27" t="s">
        <v>7</v>
      </c>
      <c r="OK495" s="27" t="s">
        <v>8</v>
      </c>
      <c r="OL495" s="27" t="s">
        <v>7</v>
      </c>
      <c r="OM495" s="27" t="s">
        <v>8</v>
      </c>
      <c r="OS495" s="27" t="s">
        <v>8</v>
      </c>
      <c r="OT495" s="27" t="s">
        <v>7</v>
      </c>
      <c r="OU495" s="27" t="s">
        <v>8</v>
      </c>
      <c r="OW495" s="27" t="s">
        <v>8</v>
      </c>
      <c r="OY495" s="27" t="s">
        <v>8</v>
      </c>
      <c r="OZ495" s="27" t="s">
        <v>7</v>
      </c>
      <c r="PL495" s="27" t="s">
        <v>7</v>
      </c>
      <c r="PM495" s="27" t="s">
        <v>8</v>
      </c>
      <c r="PP495" s="27" t="s">
        <v>7</v>
      </c>
      <c r="PQ495" s="27" t="s">
        <v>8</v>
      </c>
      <c r="PR495" s="27" t="s">
        <v>7</v>
      </c>
      <c r="PY495" s="27" t="s">
        <v>8</v>
      </c>
      <c r="QA495" s="27" t="s">
        <v>8</v>
      </c>
      <c r="QB495" s="27" t="s">
        <v>7</v>
      </c>
      <c r="QD495" s="27" t="s">
        <v>7</v>
      </c>
      <c r="QE495" s="27" t="s">
        <v>8</v>
      </c>
      <c r="QF495" s="27" t="s">
        <v>7</v>
      </c>
      <c r="QG495" s="27" t="s">
        <v>8</v>
      </c>
      <c r="QJ495" s="27" t="s">
        <v>7</v>
      </c>
      <c r="QK495" s="27" t="s">
        <v>8</v>
      </c>
      <c r="QT495" s="27" t="s">
        <v>7</v>
      </c>
      <c r="QU495" s="27" t="s">
        <v>8</v>
      </c>
      <c r="QV495" s="27" t="s">
        <v>7</v>
      </c>
      <c r="QW495" s="27" t="s">
        <v>8</v>
      </c>
      <c r="RB495" s="27" t="s">
        <v>7</v>
      </c>
      <c r="RC495" s="27" t="s">
        <v>8</v>
      </c>
      <c r="RD495" s="27" t="s">
        <v>7</v>
      </c>
    </row>
    <row r="496" spans="1:472" x14ac:dyDescent="0.25">
      <c r="A496" s="7">
        <v>6.0619957888315641</v>
      </c>
      <c r="B496"/>
      <c r="C496"/>
      <c r="D496"/>
      <c r="E496"/>
      <c r="LY496" s="27" t="s">
        <v>8</v>
      </c>
      <c r="NN496" s="27" t="s">
        <v>7</v>
      </c>
      <c r="NO496" s="27" t="s">
        <v>8</v>
      </c>
      <c r="NP496" s="27" t="s">
        <v>7</v>
      </c>
      <c r="NQ496" s="27" t="s">
        <v>8</v>
      </c>
      <c r="NR496" s="27" t="s">
        <v>7</v>
      </c>
      <c r="NS496" s="27" t="s">
        <v>8</v>
      </c>
      <c r="NT496" s="27" t="s">
        <v>7</v>
      </c>
      <c r="NU496" s="27" t="s">
        <v>8</v>
      </c>
      <c r="OD496" s="27" t="s">
        <v>7</v>
      </c>
      <c r="OE496" s="27" t="s">
        <v>8</v>
      </c>
      <c r="OH496" s="27" t="s">
        <v>7</v>
      </c>
      <c r="OI496" s="27" t="s">
        <v>8</v>
      </c>
      <c r="OJ496" s="27" t="s">
        <v>7</v>
      </c>
      <c r="OK496" s="27" t="s">
        <v>8</v>
      </c>
      <c r="OL496" s="27" t="s">
        <v>7</v>
      </c>
      <c r="OM496" s="27" t="s">
        <v>8</v>
      </c>
      <c r="ON496" s="27" t="s">
        <v>7</v>
      </c>
      <c r="OS496" s="27" t="s">
        <v>8</v>
      </c>
      <c r="OT496" s="27" t="s">
        <v>7</v>
      </c>
      <c r="OU496" s="27" t="s">
        <v>8</v>
      </c>
      <c r="OV496" s="27" t="s">
        <v>7</v>
      </c>
      <c r="OW496" s="27" t="s">
        <v>8</v>
      </c>
      <c r="OX496" s="27" t="s">
        <v>7</v>
      </c>
      <c r="OY496" s="27" t="s">
        <v>8</v>
      </c>
      <c r="PL496" s="27" t="s">
        <v>7</v>
      </c>
      <c r="PM496" s="27" t="s">
        <v>8</v>
      </c>
      <c r="PP496" s="27" t="s">
        <v>7</v>
      </c>
      <c r="PQ496" s="27" t="s">
        <v>8</v>
      </c>
      <c r="PR496" s="27" t="s">
        <v>7</v>
      </c>
      <c r="PY496" s="27" t="s">
        <v>8</v>
      </c>
      <c r="PZ496" s="27" t="s">
        <v>7</v>
      </c>
      <c r="QA496" s="27" t="s">
        <v>8</v>
      </c>
      <c r="QD496" s="27" t="s">
        <v>7</v>
      </c>
      <c r="QE496" s="27" t="s">
        <v>8</v>
      </c>
      <c r="QF496" s="27" t="s">
        <v>7</v>
      </c>
      <c r="QG496" s="27" t="s">
        <v>8</v>
      </c>
      <c r="QJ496" s="27" t="s">
        <v>7</v>
      </c>
      <c r="QK496" s="27" t="s">
        <v>8</v>
      </c>
      <c r="QT496" s="27" t="s">
        <v>7</v>
      </c>
      <c r="QU496" s="27" t="s">
        <v>8</v>
      </c>
      <c r="QV496" s="27" t="s">
        <v>7</v>
      </c>
      <c r="QW496" s="27" t="s">
        <v>8</v>
      </c>
      <c r="RB496" s="27" t="s">
        <v>7</v>
      </c>
      <c r="RD496" s="27" t="s">
        <v>7</v>
      </c>
    </row>
    <row r="497" spans="1:494" x14ac:dyDescent="0.25">
      <c r="A497" s="7">
        <v>5.9431331263054545</v>
      </c>
      <c r="B497"/>
      <c r="C497"/>
      <c r="D497"/>
      <c r="E497"/>
      <c r="LY497" s="27" t="s">
        <v>8</v>
      </c>
      <c r="NN497" s="27" t="s">
        <v>7</v>
      </c>
      <c r="NO497" s="27" t="s">
        <v>8</v>
      </c>
      <c r="NP497" s="27" t="s">
        <v>7</v>
      </c>
      <c r="NQ497" s="27" t="s">
        <v>8</v>
      </c>
      <c r="NR497" s="27" t="s">
        <v>7</v>
      </c>
      <c r="NS497" s="27" t="s">
        <v>8</v>
      </c>
      <c r="NT497" s="27" t="s">
        <v>7</v>
      </c>
      <c r="OD497" s="27" t="s">
        <v>7</v>
      </c>
      <c r="OE497" s="27" t="s">
        <v>8</v>
      </c>
      <c r="OH497" s="27" t="s">
        <v>7</v>
      </c>
      <c r="OI497" s="27" t="s">
        <v>8</v>
      </c>
      <c r="OJ497" s="27" t="s">
        <v>7</v>
      </c>
      <c r="OL497" s="27" t="s">
        <v>7</v>
      </c>
      <c r="OM497" s="27" t="s">
        <v>8</v>
      </c>
      <c r="ON497" s="27" t="s">
        <v>7</v>
      </c>
      <c r="OS497" s="27" t="s">
        <v>8</v>
      </c>
      <c r="OT497" s="27" t="s">
        <v>7</v>
      </c>
      <c r="OU497" s="27" t="s">
        <v>8</v>
      </c>
      <c r="OV497" s="27" t="s">
        <v>7</v>
      </c>
      <c r="OW497" s="27" t="s">
        <v>8</v>
      </c>
      <c r="OX497" s="27" t="s">
        <v>7</v>
      </c>
      <c r="OY497" s="27" t="s">
        <v>8</v>
      </c>
      <c r="PL497" s="27" t="s">
        <v>7</v>
      </c>
      <c r="PP497" s="27" t="s">
        <v>7</v>
      </c>
      <c r="PQ497" s="27" t="s">
        <v>8</v>
      </c>
      <c r="PR497" s="27" t="s">
        <v>7</v>
      </c>
      <c r="PY497" s="27" t="s">
        <v>8</v>
      </c>
      <c r="PZ497" s="27" t="s">
        <v>7</v>
      </c>
      <c r="QA497" s="27" t="s">
        <v>8</v>
      </c>
      <c r="QD497" s="27" t="s">
        <v>7</v>
      </c>
      <c r="QE497" s="27" t="s">
        <v>8</v>
      </c>
      <c r="QF497" s="27" t="s">
        <v>7</v>
      </c>
      <c r="QG497" s="27" t="s">
        <v>8</v>
      </c>
      <c r="QJ497" s="27" t="s">
        <v>7</v>
      </c>
      <c r="QK497" s="27" t="s">
        <v>8</v>
      </c>
      <c r="QT497" s="27" t="s">
        <v>7</v>
      </c>
      <c r="QV497" s="27" t="s">
        <v>7</v>
      </c>
      <c r="RD497" s="27" t="s">
        <v>7</v>
      </c>
      <c r="RM497" s="27" t="s">
        <v>8</v>
      </c>
    </row>
    <row r="498" spans="1:494" x14ac:dyDescent="0.25">
      <c r="A498" s="7">
        <v>5.8266011042210337</v>
      </c>
      <c r="B498"/>
      <c r="C498"/>
      <c r="D498"/>
      <c r="E498"/>
      <c r="LY498" s="27" t="s">
        <v>8</v>
      </c>
      <c r="NN498" s="27" t="s">
        <v>7</v>
      </c>
      <c r="NO498" s="27" t="s">
        <v>8</v>
      </c>
      <c r="NP498" s="27" t="s">
        <v>7</v>
      </c>
      <c r="NQ498" s="27" t="s">
        <v>8</v>
      </c>
      <c r="NR498" s="27" t="s">
        <v>7</v>
      </c>
      <c r="NS498" s="27" t="s">
        <v>8</v>
      </c>
      <c r="OD498" s="27" t="s">
        <v>7</v>
      </c>
      <c r="OE498" s="27" t="s">
        <v>8</v>
      </c>
      <c r="OH498" s="27" t="s">
        <v>7</v>
      </c>
      <c r="OL498" s="27" t="s">
        <v>7</v>
      </c>
      <c r="ON498" s="27" t="s">
        <v>7</v>
      </c>
      <c r="OS498" s="27" t="s">
        <v>8</v>
      </c>
      <c r="OT498" s="27" t="s">
        <v>7</v>
      </c>
      <c r="OU498" s="27" t="s">
        <v>8</v>
      </c>
      <c r="OV498" s="27" t="s">
        <v>7</v>
      </c>
      <c r="OW498" s="27" t="s">
        <v>8</v>
      </c>
      <c r="OX498" s="27" t="s">
        <v>7</v>
      </c>
      <c r="OY498" s="27" t="s">
        <v>8</v>
      </c>
      <c r="PP498" s="27" t="s">
        <v>7</v>
      </c>
      <c r="PQ498" s="27" t="s">
        <v>8</v>
      </c>
      <c r="PR498" s="27" t="s">
        <v>7</v>
      </c>
      <c r="PS498" s="27" t="s">
        <v>8</v>
      </c>
      <c r="PY498" s="27" t="s">
        <v>8</v>
      </c>
      <c r="PZ498" s="27" t="s">
        <v>7</v>
      </c>
      <c r="QA498" s="27" t="s">
        <v>8</v>
      </c>
      <c r="QD498" s="27" t="s">
        <v>7</v>
      </c>
      <c r="QE498" s="27" t="s">
        <v>8</v>
      </c>
      <c r="QF498" s="27" t="s">
        <v>7</v>
      </c>
      <c r="QG498" s="27" t="s">
        <v>8</v>
      </c>
      <c r="QJ498" s="27" t="s">
        <v>7</v>
      </c>
      <c r="QK498" s="27" t="s">
        <v>8</v>
      </c>
      <c r="RD498" s="27" t="s">
        <v>7</v>
      </c>
      <c r="RM498" s="27" t="s">
        <v>8</v>
      </c>
      <c r="RN498" s="27" t="s">
        <v>7</v>
      </c>
    </row>
    <row r="499" spans="1:494" x14ac:dyDescent="0.25">
      <c r="A499" s="7">
        <v>5.7123540237461112</v>
      </c>
      <c r="B499"/>
      <c r="C499"/>
      <c r="D499"/>
      <c r="E499"/>
      <c r="LY499" s="27" t="s">
        <v>8</v>
      </c>
      <c r="NN499" s="27" t="s">
        <v>7</v>
      </c>
      <c r="NO499" s="27" t="s">
        <v>8</v>
      </c>
      <c r="NP499" s="27" t="s">
        <v>7</v>
      </c>
      <c r="NQ499" s="27" t="s">
        <v>8</v>
      </c>
      <c r="NR499" s="27" t="s">
        <v>7</v>
      </c>
      <c r="NS499" s="27" t="s">
        <v>8</v>
      </c>
      <c r="OD499" s="27" t="s">
        <v>7</v>
      </c>
      <c r="OE499" s="27" t="s">
        <v>8</v>
      </c>
      <c r="ON499" s="27" t="s">
        <v>7</v>
      </c>
      <c r="OS499" s="27" t="s">
        <v>8</v>
      </c>
      <c r="OT499" s="27" t="s">
        <v>7</v>
      </c>
      <c r="OU499" s="27" t="s">
        <v>8</v>
      </c>
      <c r="OV499" s="27" t="s">
        <v>7</v>
      </c>
      <c r="OX499" s="27" t="s">
        <v>7</v>
      </c>
      <c r="OY499" s="27" t="s">
        <v>8</v>
      </c>
      <c r="PP499" s="27" t="s">
        <v>7</v>
      </c>
      <c r="PR499" s="27" t="s">
        <v>7</v>
      </c>
      <c r="PS499" s="27" t="s">
        <v>8</v>
      </c>
      <c r="PT499" s="27" t="s">
        <v>7</v>
      </c>
      <c r="PY499" s="27" t="s">
        <v>8</v>
      </c>
      <c r="PZ499" s="27" t="s">
        <v>7</v>
      </c>
      <c r="QD499" s="27" t="s">
        <v>7</v>
      </c>
      <c r="QE499" s="27" t="s">
        <v>8</v>
      </c>
      <c r="QF499" s="27" t="s">
        <v>7</v>
      </c>
      <c r="QJ499" s="27" t="s">
        <v>7</v>
      </c>
      <c r="RD499" s="27" t="s">
        <v>7</v>
      </c>
      <c r="RM499" s="27" t="s">
        <v>8</v>
      </c>
      <c r="RN499" s="27" t="s">
        <v>7</v>
      </c>
    </row>
    <row r="500" spans="1:494" x14ac:dyDescent="0.25">
      <c r="A500" s="7">
        <v>5.6003470821040304</v>
      </c>
      <c r="B500"/>
      <c r="C500"/>
      <c r="D500"/>
      <c r="E500"/>
      <c r="LY500" s="27" t="s">
        <v>8</v>
      </c>
      <c r="NN500" s="27" t="s">
        <v>7</v>
      </c>
      <c r="NO500" s="27" t="s">
        <v>8</v>
      </c>
      <c r="NP500" s="27" t="s">
        <v>7</v>
      </c>
      <c r="NQ500" s="27" t="s">
        <v>8</v>
      </c>
      <c r="NR500" s="27" t="s">
        <v>7</v>
      </c>
      <c r="NS500" s="27" t="s">
        <v>8</v>
      </c>
      <c r="OD500" s="27" t="s">
        <v>7</v>
      </c>
      <c r="OE500" s="27" t="s">
        <v>8</v>
      </c>
      <c r="ON500" s="27" t="s">
        <v>7</v>
      </c>
      <c r="OS500" s="27" t="s">
        <v>8</v>
      </c>
      <c r="OT500" s="27" t="s">
        <v>7</v>
      </c>
      <c r="OU500" s="27" t="s">
        <v>8</v>
      </c>
      <c r="OX500" s="27" t="s">
        <v>7</v>
      </c>
      <c r="PR500" s="27" t="s">
        <v>7</v>
      </c>
      <c r="PS500" s="27" t="s">
        <v>8</v>
      </c>
      <c r="PT500" s="27" t="s">
        <v>7</v>
      </c>
      <c r="PY500" s="27" t="s">
        <v>8</v>
      </c>
      <c r="QD500" s="27" t="s">
        <v>7</v>
      </c>
      <c r="RD500" s="27" t="s">
        <v>7</v>
      </c>
      <c r="RM500" s="27" t="s">
        <v>8</v>
      </c>
      <c r="RN500" s="27" t="s">
        <v>7</v>
      </c>
    </row>
    <row r="501" spans="1:494" x14ac:dyDescent="0.25">
      <c r="A501" s="7">
        <v>5.4905363550039512</v>
      </c>
      <c r="B501"/>
      <c r="C501"/>
      <c r="D501"/>
      <c r="E501"/>
      <c r="LY501" s="27" t="s">
        <v>8</v>
      </c>
      <c r="NN501" s="27" t="s">
        <v>7</v>
      </c>
      <c r="NO501" s="27" t="s">
        <v>8</v>
      </c>
      <c r="NP501" s="27" t="s">
        <v>7</v>
      </c>
      <c r="NR501" s="27" t="s">
        <v>7</v>
      </c>
      <c r="NS501" s="27" t="s">
        <v>8</v>
      </c>
      <c r="OD501" s="27" t="s">
        <v>7</v>
      </c>
      <c r="OE501" s="27" t="s">
        <v>8</v>
      </c>
      <c r="ON501" s="27" t="s">
        <v>7</v>
      </c>
      <c r="OS501" s="27" t="s">
        <v>8</v>
      </c>
      <c r="OT501" s="27" t="s">
        <v>7</v>
      </c>
      <c r="OU501" s="27" t="s">
        <v>8</v>
      </c>
      <c r="PR501" s="27" t="s">
        <v>7</v>
      </c>
      <c r="PS501" s="27" t="s">
        <v>8</v>
      </c>
      <c r="PT501" s="27" t="s">
        <v>7</v>
      </c>
      <c r="PY501" s="27" t="s">
        <v>8</v>
      </c>
      <c r="RD501" s="27" t="s">
        <v>7</v>
      </c>
      <c r="RM501" s="27" t="s">
        <v>8</v>
      </c>
      <c r="RN501" s="27" t="s">
        <v>7</v>
      </c>
    </row>
    <row r="502" spans="1:494" x14ac:dyDescent="0.25">
      <c r="A502" s="7">
        <v>5.3828787794156385</v>
      </c>
      <c r="B502"/>
      <c r="C502"/>
      <c r="D502"/>
      <c r="E502"/>
      <c r="LY502" s="27" t="s">
        <v>8</v>
      </c>
      <c r="NN502" s="27" t="s">
        <v>7</v>
      </c>
      <c r="NO502" s="27" t="s">
        <v>8</v>
      </c>
      <c r="NR502" s="27" t="s">
        <v>7</v>
      </c>
      <c r="NS502" s="27" t="s">
        <v>8</v>
      </c>
      <c r="OD502" s="27" t="s">
        <v>7</v>
      </c>
      <c r="OE502" s="27" t="s">
        <v>8</v>
      </c>
      <c r="ON502" s="27" t="s">
        <v>7</v>
      </c>
      <c r="OS502" s="27" t="s">
        <v>8</v>
      </c>
      <c r="OT502" s="27" t="s">
        <v>7</v>
      </c>
      <c r="PR502" s="27" t="s">
        <v>7</v>
      </c>
      <c r="PS502" s="27" t="s">
        <v>8</v>
      </c>
      <c r="PT502" s="27" t="s">
        <v>7</v>
      </c>
      <c r="PY502" s="27" t="s">
        <v>8</v>
      </c>
      <c r="RD502" s="27" t="s">
        <v>7</v>
      </c>
      <c r="RM502" s="27" t="s">
        <v>8</v>
      </c>
      <c r="RN502" s="27" t="s">
        <v>7</v>
      </c>
    </row>
    <row r="503" spans="1:494" x14ac:dyDescent="0.25">
      <c r="A503" s="7">
        <v>5.2773321366819985</v>
      </c>
      <c r="B503"/>
      <c r="C503"/>
      <c r="D503"/>
      <c r="E503"/>
      <c r="LY503" s="27" t="s">
        <v>8</v>
      </c>
      <c r="NN503" s="27" t="s">
        <v>7</v>
      </c>
      <c r="NO503" s="27" t="s">
        <v>8</v>
      </c>
      <c r="NR503" s="27" t="s">
        <v>7</v>
      </c>
      <c r="NS503" s="27" t="s">
        <v>8</v>
      </c>
      <c r="OD503" s="27" t="s">
        <v>7</v>
      </c>
      <c r="ON503" s="27" t="s">
        <v>7</v>
      </c>
      <c r="OS503" s="27" t="s">
        <v>8</v>
      </c>
      <c r="PR503" s="27" t="s">
        <v>7</v>
      </c>
      <c r="PS503" s="27" t="s">
        <v>8</v>
      </c>
      <c r="PT503" s="27" t="s">
        <v>7</v>
      </c>
      <c r="PU503" s="27" t="s">
        <v>8</v>
      </c>
      <c r="PW503" s="27" t="s">
        <v>8</v>
      </c>
      <c r="PY503" s="27" t="s">
        <v>8</v>
      </c>
      <c r="RD503" s="27" t="s">
        <v>7</v>
      </c>
      <c r="RM503" s="27" t="s">
        <v>8</v>
      </c>
      <c r="RN503" s="27" t="s">
        <v>7</v>
      </c>
    </row>
    <row r="504" spans="1:494" x14ac:dyDescent="0.25">
      <c r="A504" s="7">
        <v>5.1738550359627435</v>
      </c>
      <c r="B504"/>
      <c r="C504"/>
      <c r="D504"/>
      <c r="E504"/>
      <c r="LY504" s="27" t="s">
        <v>8</v>
      </c>
      <c r="NN504" s="27" t="s">
        <v>7</v>
      </c>
      <c r="NO504" s="27" t="s">
        <v>8</v>
      </c>
      <c r="NR504" s="27" t="s">
        <v>7</v>
      </c>
      <c r="NS504" s="27" t="s">
        <v>8</v>
      </c>
      <c r="ON504" s="27" t="s">
        <v>7</v>
      </c>
      <c r="OO504" s="27" t="s">
        <v>8</v>
      </c>
      <c r="OS504" s="27" t="s">
        <v>8</v>
      </c>
      <c r="PR504" s="27" t="s">
        <v>7</v>
      </c>
      <c r="PS504" s="27" t="s">
        <v>8</v>
      </c>
      <c r="PT504" s="27" t="s">
        <v>7</v>
      </c>
      <c r="PU504" s="27" t="s">
        <v>8</v>
      </c>
      <c r="PV504" s="27" t="s">
        <v>7</v>
      </c>
      <c r="PW504" s="27" t="s">
        <v>8</v>
      </c>
      <c r="PX504" s="27" t="s">
        <v>7</v>
      </c>
      <c r="PY504" s="27" t="s">
        <v>8</v>
      </c>
      <c r="RD504" s="27" t="s">
        <v>7</v>
      </c>
      <c r="RE504" s="27" t="s">
        <v>8</v>
      </c>
      <c r="RM504" s="27" t="s">
        <v>8</v>
      </c>
      <c r="RN504" s="27" t="s">
        <v>7</v>
      </c>
    </row>
    <row r="505" spans="1:494" x14ac:dyDescent="0.25">
      <c r="A505" s="7">
        <v>5.07240689800269</v>
      </c>
      <c r="B505"/>
      <c r="C505"/>
      <c r="D505"/>
      <c r="E505"/>
      <c r="LY505" s="27" t="s">
        <v>8</v>
      </c>
      <c r="NN505" s="27" t="s">
        <v>7</v>
      </c>
      <c r="NO505" s="27" t="s">
        <v>8</v>
      </c>
      <c r="NR505" s="27" t="s">
        <v>7</v>
      </c>
      <c r="NS505" s="27" t="s">
        <v>8</v>
      </c>
      <c r="ON505" s="27" t="s">
        <v>7</v>
      </c>
      <c r="OO505" s="27" t="s">
        <v>8</v>
      </c>
      <c r="OP505" s="27" t="s">
        <v>7</v>
      </c>
      <c r="OS505" s="27" t="s">
        <v>8</v>
      </c>
      <c r="PR505" s="27" t="s">
        <v>7</v>
      </c>
      <c r="PS505" s="27" t="s">
        <v>8</v>
      </c>
      <c r="PT505" s="27" t="s">
        <v>7</v>
      </c>
      <c r="PU505" s="27" t="s">
        <v>8</v>
      </c>
      <c r="PV505" s="27" t="s">
        <v>7</v>
      </c>
      <c r="PW505" s="27" t="s">
        <v>8</v>
      </c>
      <c r="PX505" s="27" t="s">
        <v>7</v>
      </c>
      <c r="PY505" s="27" t="s">
        <v>8</v>
      </c>
      <c r="RD505" s="27" t="s">
        <v>7</v>
      </c>
      <c r="RE505" s="27" t="s">
        <v>8</v>
      </c>
      <c r="RF505" s="27" t="s">
        <v>7</v>
      </c>
      <c r="RM505" s="27" t="s">
        <v>8</v>
      </c>
      <c r="RN505" s="27" t="s">
        <v>7</v>
      </c>
    </row>
    <row r="506" spans="1:494" x14ac:dyDescent="0.25">
      <c r="A506" s="7">
        <v>4.9729479392183231</v>
      </c>
      <c r="B506"/>
      <c r="C506"/>
      <c r="D506"/>
      <c r="E506"/>
      <c r="LY506" s="27" t="s">
        <v>8</v>
      </c>
      <c r="NN506" s="27" t="s">
        <v>7</v>
      </c>
      <c r="NO506" s="27" t="s">
        <v>8</v>
      </c>
      <c r="NR506" s="27" t="s">
        <v>7</v>
      </c>
      <c r="NS506" s="27" t="s">
        <v>8</v>
      </c>
      <c r="ON506" s="27" t="s">
        <v>7</v>
      </c>
      <c r="OO506" s="27" t="s">
        <v>8</v>
      </c>
      <c r="OP506" s="27" t="s">
        <v>7</v>
      </c>
      <c r="OS506" s="27" t="s">
        <v>8</v>
      </c>
      <c r="PR506" s="27" t="s">
        <v>7</v>
      </c>
      <c r="PS506" s="27" t="s">
        <v>8</v>
      </c>
      <c r="PT506" s="27" t="s">
        <v>7</v>
      </c>
      <c r="PV506" s="27" t="s">
        <v>7</v>
      </c>
      <c r="PW506" s="27" t="s">
        <v>8</v>
      </c>
      <c r="PX506" s="27" t="s">
        <v>7</v>
      </c>
      <c r="PY506" s="27" t="s">
        <v>8</v>
      </c>
      <c r="RD506" s="27" t="s">
        <v>7</v>
      </c>
      <c r="RE506" s="27" t="s">
        <v>8</v>
      </c>
      <c r="RF506" s="27" t="s">
        <v>7</v>
      </c>
      <c r="RG506" s="27" t="s">
        <v>8</v>
      </c>
      <c r="RM506" s="27" t="s">
        <v>8</v>
      </c>
      <c r="RN506" s="27" t="s">
        <v>7</v>
      </c>
    </row>
    <row r="507" spans="1:494" x14ac:dyDescent="0.25">
      <c r="A507" s="7">
        <v>4.8754391560963954</v>
      </c>
      <c r="B507"/>
      <c r="C507"/>
      <c r="D507"/>
      <c r="E507"/>
      <c r="LY507" s="27" t="s">
        <v>8</v>
      </c>
      <c r="NN507" s="27" t="s">
        <v>7</v>
      </c>
      <c r="NO507" s="27" t="s">
        <v>8</v>
      </c>
      <c r="NR507" s="27" t="s">
        <v>7</v>
      </c>
      <c r="NS507" s="27" t="s">
        <v>8</v>
      </c>
      <c r="ON507" s="27" t="s">
        <v>7</v>
      </c>
      <c r="OO507" s="27" t="s">
        <v>8</v>
      </c>
      <c r="OP507" s="27" t="s">
        <v>7</v>
      </c>
      <c r="OS507" s="27" t="s">
        <v>8</v>
      </c>
      <c r="PR507" s="27" t="s">
        <v>7</v>
      </c>
      <c r="PS507" s="27" t="s">
        <v>8</v>
      </c>
      <c r="PV507" s="27" t="s">
        <v>7</v>
      </c>
      <c r="PW507" s="27" t="s">
        <v>8</v>
      </c>
      <c r="PX507" s="27" t="s">
        <v>7</v>
      </c>
      <c r="PY507" s="27" t="s">
        <v>8</v>
      </c>
      <c r="RD507" s="27" t="s">
        <v>7</v>
      </c>
      <c r="RE507" s="27" t="s">
        <v>8</v>
      </c>
      <c r="RF507" s="27" t="s">
        <v>7</v>
      </c>
      <c r="RG507" s="27" t="s">
        <v>8</v>
      </c>
      <c r="RH507" s="27" t="s">
        <v>7</v>
      </c>
      <c r="RM507" s="27" t="s">
        <v>8</v>
      </c>
      <c r="RN507" s="27" t="s">
        <v>7</v>
      </c>
      <c r="RO507" s="27" t="s">
        <v>8</v>
      </c>
    </row>
    <row r="508" spans="1:494" x14ac:dyDescent="0.25">
      <c r="A508" s="7">
        <v>4.7798423098984264</v>
      </c>
      <c r="B508"/>
      <c r="C508"/>
      <c r="D508"/>
      <c r="E508"/>
      <c r="LY508" s="27" t="s">
        <v>8</v>
      </c>
      <c r="NN508" s="27" t="s">
        <v>7</v>
      </c>
      <c r="NO508" s="27" t="s">
        <v>8</v>
      </c>
      <c r="NR508" s="27" t="s">
        <v>7</v>
      </c>
      <c r="NS508" s="27" t="s">
        <v>8</v>
      </c>
      <c r="ON508" s="27" t="s">
        <v>7</v>
      </c>
      <c r="OP508" s="27" t="s">
        <v>7</v>
      </c>
      <c r="OS508" s="27" t="s">
        <v>8</v>
      </c>
      <c r="PR508" s="27" t="s">
        <v>7</v>
      </c>
      <c r="PV508" s="27" t="s">
        <v>7</v>
      </c>
      <c r="PX508" s="27" t="s">
        <v>7</v>
      </c>
      <c r="PY508" s="27" t="s">
        <v>8</v>
      </c>
      <c r="RD508" s="27" t="s">
        <v>7</v>
      </c>
      <c r="RE508" s="27" t="s">
        <v>8</v>
      </c>
      <c r="RF508" s="27" t="s">
        <v>7</v>
      </c>
      <c r="RG508" s="27" t="s">
        <v>8</v>
      </c>
      <c r="RH508" s="27" t="s">
        <v>7</v>
      </c>
      <c r="RM508" s="27" t="s">
        <v>8</v>
      </c>
      <c r="RN508" s="27" t="s">
        <v>7</v>
      </c>
      <c r="RO508" s="27" t="s">
        <v>8</v>
      </c>
      <c r="RP508" s="27" t="s">
        <v>7</v>
      </c>
    </row>
    <row r="509" spans="1:494" x14ac:dyDescent="0.25">
      <c r="A509" s="7">
        <v>4.6861199116651235</v>
      </c>
      <c r="B509"/>
      <c r="C509"/>
      <c r="D509"/>
      <c r="E509"/>
      <c r="LW509" s="27" t="s">
        <v>8</v>
      </c>
      <c r="LY509" s="27" t="s">
        <v>8</v>
      </c>
      <c r="NN509" s="27" t="s">
        <v>7</v>
      </c>
      <c r="NO509" s="27" t="s">
        <v>8</v>
      </c>
      <c r="NR509" s="27" t="s">
        <v>7</v>
      </c>
      <c r="NS509" s="27" t="s">
        <v>8</v>
      </c>
      <c r="OP509" s="27" t="s">
        <v>7</v>
      </c>
      <c r="OS509" s="27" t="s">
        <v>8</v>
      </c>
      <c r="PX509" s="27" t="s">
        <v>7</v>
      </c>
      <c r="RD509" s="27" t="s">
        <v>7</v>
      </c>
      <c r="RE509" s="27" t="s">
        <v>8</v>
      </c>
      <c r="RF509" s="27" t="s">
        <v>7</v>
      </c>
      <c r="RG509" s="27" t="s">
        <v>8</v>
      </c>
      <c r="RH509" s="27" t="s">
        <v>7</v>
      </c>
      <c r="RM509" s="27" t="s">
        <v>8</v>
      </c>
      <c r="RN509" s="27" t="s">
        <v>7</v>
      </c>
      <c r="RO509" s="27" t="s">
        <v>8</v>
      </c>
      <c r="RP509" s="27" t="s">
        <v>7</v>
      </c>
    </row>
    <row r="510" spans="1:494" x14ac:dyDescent="0.25">
      <c r="A510" s="7">
        <v>4.5942352075148269</v>
      </c>
      <c r="B510"/>
      <c r="C510"/>
      <c r="D510"/>
      <c r="E510"/>
      <c r="LW510" s="27" t="s">
        <v>8</v>
      </c>
      <c r="LX510" s="27" t="s">
        <v>7</v>
      </c>
      <c r="LY510" s="27" t="s">
        <v>8</v>
      </c>
      <c r="NN510" s="27" t="s">
        <v>7</v>
      </c>
      <c r="NO510" s="27" t="s">
        <v>8</v>
      </c>
      <c r="NR510" s="27" t="s">
        <v>7</v>
      </c>
      <c r="OP510" s="27" t="s">
        <v>7</v>
      </c>
      <c r="OQ510" s="27" t="s">
        <v>8</v>
      </c>
      <c r="OS510" s="27" t="s">
        <v>8</v>
      </c>
      <c r="RD510" s="27" t="s">
        <v>7</v>
      </c>
      <c r="RE510" s="27" t="s">
        <v>8</v>
      </c>
      <c r="RF510" s="27" t="s">
        <v>7</v>
      </c>
      <c r="RG510" s="27" t="s">
        <v>8</v>
      </c>
      <c r="RH510" s="27" t="s">
        <v>7</v>
      </c>
      <c r="RM510" s="27" t="s">
        <v>8</v>
      </c>
      <c r="RN510" s="27" t="s">
        <v>7</v>
      </c>
      <c r="RP510" s="27" t="s">
        <v>7</v>
      </c>
      <c r="RY510" s="27" t="s">
        <v>8</v>
      </c>
    </row>
    <row r="511" spans="1:494" x14ac:dyDescent="0.25">
      <c r="A511" s="7">
        <v>4.5041521642302227</v>
      </c>
      <c r="B511"/>
      <c r="C511"/>
      <c r="D511"/>
      <c r="E511"/>
      <c r="LW511" s="27" t="s">
        <v>8</v>
      </c>
      <c r="LX511" s="27" t="s">
        <v>7</v>
      </c>
      <c r="LY511" s="27" t="s">
        <v>8</v>
      </c>
      <c r="NN511" s="27" t="s">
        <v>7</v>
      </c>
      <c r="NO511" s="27" t="s">
        <v>8</v>
      </c>
      <c r="OP511" s="27" t="s">
        <v>7</v>
      </c>
      <c r="OQ511" s="27" t="s">
        <v>8</v>
      </c>
      <c r="OR511" s="27" t="s">
        <v>7</v>
      </c>
      <c r="OS511" s="27" t="s">
        <v>8</v>
      </c>
      <c r="RD511" s="27" t="s">
        <v>7</v>
      </c>
      <c r="RE511" s="27" t="s">
        <v>8</v>
      </c>
      <c r="RF511" s="27" t="s">
        <v>7</v>
      </c>
      <c r="RG511" s="27" t="s">
        <v>8</v>
      </c>
      <c r="RH511" s="27" t="s">
        <v>7</v>
      </c>
      <c r="RI511" s="27" t="s">
        <v>8</v>
      </c>
      <c r="RM511" s="27" t="s">
        <v>8</v>
      </c>
      <c r="RP511" s="27" t="s">
        <v>7</v>
      </c>
      <c r="RY511" s="27" t="s">
        <v>8</v>
      </c>
      <c r="RZ511" s="27" t="s">
        <v>7</v>
      </c>
    </row>
    <row r="512" spans="1:494" x14ac:dyDescent="0.25">
      <c r="A512" s="7">
        <v>4.4158354551276693</v>
      </c>
      <c r="B512"/>
      <c r="C512"/>
      <c r="D512"/>
      <c r="E512"/>
      <c r="LW512" s="27" t="s">
        <v>8</v>
      </c>
      <c r="LX512" s="27" t="s">
        <v>7</v>
      </c>
      <c r="LY512" s="27" t="s">
        <v>8</v>
      </c>
      <c r="NN512" s="27" t="s">
        <v>7</v>
      </c>
      <c r="NO512" s="27" t="s">
        <v>8</v>
      </c>
      <c r="OP512" s="27" t="s">
        <v>7</v>
      </c>
      <c r="OQ512" s="27" t="s">
        <v>8</v>
      </c>
      <c r="OR512" s="27" t="s">
        <v>7</v>
      </c>
      <c r="OS512" s="27" t="s">
        <v>8</v>
      </c>
      <c r="RD512" s="27" t="s">
        <v>7</v>
      </c>
      <c r="RE512" s="27" t="s">
        <v>8</v>
      </c>
      <c r="RF512" s="27" t="s">
        <v>7</v>
      </c>
      <c r="RG512" s="27" t="s">
        <v>8</v>
      </c>
      <c r="RH512" s="27" t="s">
        <v>7</v>
      </c>
      <c r="RI512" s="27" t="s">
        <v>8</v>
      </c>
      <c r="RJ512" s="27" t="s">
        <v>7</v>
      </c>
      <c r="RK512" s="27" t="s">
        <v>8</v>
      </c>
      <c r="RM512" s="27" t="s">
        <v>8</v>
      </c>
      <c r="RP512" s="27" t="s">
        <v>7</v>
      </c>
      <c r="RQ512" s="27" t="s">
        <v>8</v>
      </c>
      <c r="RY512" s="27" t="s">
        <v>8</v>
      </c>
      <c r="RZ512" s="27" t="s">
        <v>7</v>
      </c>
    </row>
    <row r="513" spans="1:494" x14ac:dyDescent="0.25">
      <c r="A513" s="7">
        <v>4.3292504462035977</v>
      </c>
      <c r="B513"/>
      <c r="C513"/>
      <c r="D513"/>
      <c r="E513"/>
      <c r="LW513" s="27" t="s">
        <v>8</v>
      </c>
      <c r="LX513" s="27" t="s">
        <v>7</v>
      </c>
      <c r="LY513" s="27" t="s">
        <v>8</v>
      </c>
      <c r="NN513" s="27" t="s">
        <v>7</v>
      </c>
      <c r="NO513" s="27" t="s">
        <v>8</v>
      </c>
      <c r="OP513" s="27" t="s">
        <v>7</v>
      </c>
      <c r="OR513" s="27" t="s">
        <v>7</v>
      </c>
      <c r="OS513" s="27" t="s">
        <v>8</v>
      </c>
      <c r="RD513" s="27" t="s">
        <v>7</v>
      </c>
      <c r="RE513" s="27" t="s">
        <v>8</v>
      </c>
      <c r="RF513" s="27" t="s">
        <v>7</v>
      </c>
      <c r="RG513" s="27" t="s">
        <v>8</v>
      </c>
      <c r="RH513" s="27" t="s">
        <v>7</v>
      </c>
      <c r="RI513" s="27" t="s">
        <v>8</v>
      </c>
      <c r="RJ513" s="27" t="s">
        <v>7</v>
      </c>
      <c r="RK513" s="27" t="s">
        <v>8</v>
      </c>
      <c r="RL513" s="27" t="s">
        <v>7</v>
      </c>
      <c r="RM513" s="27" t="s">
        <v>8</v>
      </c>
      <c r="RP513" s="27" t="s">
        <v>7</v>
      </c>
      <c r="RQ513" s="27" t="s">
        <v>8</v>
      </c>
      <c r="RR513" s="27" t="s">
        <v>7</v>
      </c>
      <c r="RU513" s="27" t="s">
        <v>8</v>
      </c>
      <c r="RY513" s="27" t="s">
        <v>8</v>
      </c>
      <c r="RZ513" s="27" t="s">
        <v>7</v>
      </c>
    </row>
    <row r="514" spans="1:494" x14ac:dyDescent="0.25">
      <c r="A514" s="7">
        <v>4.2443631825525463</v>
      </c>
      <c r="B514"/>
      <c r="C514"/>
      <c r="D514"/>
      <c r="E514"/>
      <c r="LW514" s="27" t="s">
        <v>8</v>
      </c>
      <c r="LX514" s="27" t="s">
        <v>7</v>
      </c>
      <c r="LY514" s="27" t="s">
        <v>8</v>
      </c>
      <c r="NN514" s="27" t="s">
        <v>7</v>
      </c>
      <c r="NO514" s="27" t="s">
        <v>8</v>
      </c>
      <c r="OR514" s="27" t="s">
        <v>7</v>
      </c>
      <c r="OS514" s="27" t="s">
        <v>8</v>
      </c>
      <c r="RD514" s="27" t="s">
        <v>7</v>
      </c>
      <c r="RE514" s="27" t="s">
        <v>8</v>
      </c>
      <c r="RF514" s="27" t="s">
        <v>7</v>
      </c>
      <c r="RG514" s="27" t="s">
        <v>8</v>
      </c>
      <c r="RH514" s="27" t="s">
        <v>7</v>
      </c>
      <c r="RJ514" s="27" t="s">
        <v>7</v>
      </c>
      <c r="RK514" s="27" t="s">
        <v>8</v>
      </c>
      <c r="RL514" s="27" t="s">
        <v>7</v>
      </c>
      <c r="RM514" s="27" t="s">
        <v>8</v>
      </c>
      <c r="RP514" s="27" t="s">
        <v>7</v>
      </c>
      <c r="RQ514" s="27" t="s">
        <v>8</v>
      </c>
      <c r="RR514" s="27" t="s">
        <v>7</v>
      </c>
      <c r="RU514" s="27" t="s">
        <v>8</v>
      </c>
      <c r="RV514" s="27" t="s">
        <v>7</v>
      </c>
      <c r="RW514" s="27" t="s">
        <v>8</v>
      </c>
      <c r="RY514" s="27" t="s">
        <v>8</v>
      </c>
      <c r="RZ514" s="27" t="s">
        <v>7</v>
      </c>
    </row>
    <row r="515" spans="1:494" x14ac:dyDescent="0.25">
      <c r="A515" s="7">
        <v>4.1611403750515157</v>
      </c>
      <c r="B515"/>
      <c r="C515"/>
      <c r="D515"/>
      <c r="E515"/>
      <c r="LW515" s="27" t="s">
        <v>8</v>
      </c>
      <c r="LX515" s="27" t="s">
        <v>7</v>
      </c>
      <c r="LY515" s="27" t="s">
        <v>8</v>
      </c>
      <c r="NN515" s="27" t="s">
        <v>7</v>
      </c>
      <c r="NO515" s="27" t="s">
        <v>8</v>
      </c>
      <c r="OR515" s="27" t="s">
        <v>7</v>
      </c>
      <c r="OS515" s="27" t="s">
        <v>8</v>
      </c>
      <c r="RD515" s="27" t="s">
        <v>7</v>
      </c>
      <c r="RE515" s="27" t="s">
        <v>8</v>
      </c>
      <c r="RF515" s="27" t="s">
        <v>7</v>
      </c>
      <c r="RJ515" s="27" t="s">
        <v>7</v>
      </c>
      <c r="RK515" s="27" t="s">
        <v>8</v>
      </c>
      <c r="RL515" s="27" t="s">
        <v>7</v>
      </c>
      <c r="RM515" s="27" t="s">
        <v>8</v>
      </c>
      <c r="RP515" s="27" t="s">
        <v>7</v>
      </c>
      <c r="RR515" s="27" t="s">
        <v>7</v>
      </c>
      <c r="RU515" s="27" t="s">
        <v>8</v>
      </c>
      <c r="RV515" s="27" t="s">
        <v>7</v>
      </c>
      <c r="RW515" s="27" t="s">
        <v>8</v>
      </c>
      <c r="RX515" s="27" t="s">
        <v>7</v>
      </c>
      <c r="RY515" s="27" t="s">
        <v>8</v>
      </c>
      <c r="RZ515" s="27" t="s">
        <v>7</v>
      </c>
    </row>
    <row r="516" spans="1:494" x14ac:dyDescent="0.25">
      <c r="A516" s="7">
        <v>4.0795493873054074</v>
      </c>
      <c r="B516"/>
      <c r="C516"/>
      <c r="D516"/>
      <c r="E516"/>
      <c r="LW516" s="27" t="s">
        <v>8</v>
      </c>
      <c r="LX516" s="27" t="s">
        <v>7</v>
      </c>
      <c r="LY516" s="27" t="s">
        <v>8</v>
      </c>
      <c r="NN516" s="27" t="s">
        <v>7</v>
      </c>
      <c r="NO516" s="27" t="s">
        <v>8</v>
      </c>
      <c r="OR516" s="27" t="s">
        <v>7</v>
      </c>
      <c r="OS516" s="27" t="s">
        <v>8</v>
      </c>
      <c r="RD516" s="27" t="s">
        <v>7</v>
      </c>
      <c r="RE516" s="27" t="s">
        <v>8</v>
      </c>
      <c r="RJ516" s="27" t="s">
        <v>7</v>
      </c>
      <c r="RK516" s="27" t="s">
        <v>8</v>
      </c>
      <c r="RL516" s="27" t="s">
        <v>7</v>
      </c>
      <c r="RM516" s="27" t="s">
        <v>8</v>
      </c>
      <c r="RR516" s="27" t="s">
        <v>7</v>
      </c>
      <c r="RS516" s="27" t="s">
        <v>8</v>
      </c>
      <c r="RU516" s="27" t="s">
        <v>8</v>
      </c>
      <c r="RV516" s="27" t="s">
        <v>7</v>
      </c>
      <c r="RW516" s="27" t="s">
        <v>8</v>
      </c>
      <c r="RX516" s="27" t="s">
        <v>7</v>
      </c>
      <c r="RY516" s="27" t="s">
        <v>8</v>
      </c>
      <c r="RZ516" s="27" t="s">
        <v>7</v>
      </c>
    </row>
    <row r="517" spans="1:494" x14ac:dyDescent="0.25">
      <c r="A517" s="7">
        <v>3.9995582228484383</v>
      </c>
      <c r="B517"/>
      <c r="C517"/>
      <c r="D517"/>
      <c r="E517"/>
      <c r="LW517" s="27" t="s">
        <v>8</v>
      </c>
      <c r="LX517" s="27" t="s">
        <v>7</v>
      </c>
      <c r="LY517" s="27" t="s">
        <v>8</v>
      </c>
      <c r="NN517" s="27" t="s">
        <v>7</v>
      </c>
      <c r="NO517" s="27" t="s">
        <v>8</v>
      </c>
      <c r="OR517" s="18" t="s">
        <v>7</v>
      </c>
      <c r="OS517" s="27" t="s">
        <v>8</v>
      </c>
      <c r="RD517" s="27" t="s">
        <v>7</v>
      </c>
      <c r="RE517" s="27" t="s">
        <v>8</v>
      </c>
      <c r="RJ517" s="27" t="s">
        <v>7</v>
      </c>
      <c r="RK517" s="27" t="s">
        <v>8</v>
      </c>
      <c r="RL517" s="27" t="s">
        <v>7</v>
      </c>
      <c r="RM517" s="27" t="s">
        <v>8</v>
      </c>
      <c r="RR517" s="27" t="s">
        <v>7</v>
      </c>
      <c r="RS517" s="27" t="s">
        <v>8</v>
      </c>
      <c r="RT517" s="27" t="s">
        <v>7</v>
      </c>
      <c r="RU517" s="27" t="s">
        <v>8</v>
      </c>
      <c r="RV517" s="27" t="s">
        <v>7</v>
      </c>
      <c r="RW517" s="27" t="s">
        <v>8</v>
      </c>
      <c r="RX517" s="27" t="s">
        <v>7</v>
      </c>
      <c r="RY517" s="27" t="s">
        <v>8</v>
      </c>
      <c r="RZ517" s="27" t="s">
        <v>7</v>
      </c>
    </row>
    <row r="518" spans="1:494" x14ac:dyDescent="0.25">
      <c r="A518" s="7">
        <v>3.9211355125965079</v>
      </c>
      <c r="B518"/>
      <c r="C518"/>
      <c r="D518"/>
      <c r="E518"/>
      <c r="LQ518" s="27" t="s">
        <v>8</v>
      </c>
      <c r="LW518" s="27" t="s">
        <v>8</v>
      </c>
      <c r="LX518" s="27" t="s">
        <v>7</v>
      </c>
      <c r="LY518" s="27" t="s">
        <v>8</v>
      </c>
      <c r="NN518" s="27" t="s">
        <v>7</v>
      </c>
      <c r="OR518" s="27" t="s">
        <v>7</v>
      </c>
      <c r="OS518" s="27" t="s">
        <v>8</v>
      </c>
      <c r="RD518" s="27" t="s">
        <v>7</v>
      </c>
      <c r="RE518" s="27" t="s">
        <v>8</v>
      </c>
      <c r="RJ518" s="27" t="s">
        <v>7</v>
      </c>
      <c r="RK518" s="27" t="s">
        <v>8</v>
      </c>
      <c r="RL518" s="27" t="s">
        <v>7</v>
      </c>
      <c r="RM518" s="27" t="s">
        <v>8</v>
      </c>
      <c r="RR518" s="27" t="s">
        <v>7</v>
      </c>
      <c r="RS518" s="27" t="s">
        <v>8</v>
      </c>
      <c r="RT518" s="27" t="s">
        <v>7</v>
      </c>
      <c r="RU518" s="27" t="s">
        <v>8</v>
      </c>
      <c r="RV518" s="27" t="s">
        <v>7</v>
      </c>
      <c r="RX518" s="27" t="s">
        <v>7</v>
      </c>
      <c r="RY518" s="27" t="s">
        <v>8</v>
      </c>
      <c r="RZ518" s="27" t="s">
        <v>7</v>
      </c>
    </row>
    <row r="519" spans="1:494" x14ac:dyDescent="0.25">
      <c r="A519" s="7">
        <v>3.844250502545596</v>
      </c>
      <c r="B519"/>
      <c r="C519"/>
      <c r="D519"/>
      <c r="E519"/>
      <c r="LQ519" s="27" t="s">
        <v>8</v>
      </c>
      <c r="LR519" s="27" t="s">
        <v>7</v>
      </c>
      <c r="LW519" s="27" t="s">
        <v>8</v>
      </c>
      <c r="LX519" s="27" t="s">
        <v>7</v>
      </c>
      <c r="OR519" s="27" t="s">
        <v>7</v>
      </c>
      <c r="OS519" s="27" t="s">
        <v>8</v>
      </c>
      <c r="RD519" s="27" t="s">
        <v>7</v>
      </c>
      <c r="RE519" s="27" t="s">
        <v>8</v>
      </c>
      <c r="RJ519" s="27" t="s">
        <v>7</v>
      </c>
      <c r="RL519" s="27" t="s">
        <v>7</v>
      </c>
      <c r="RR519" s="27" t="s">
        <v>7</v>
      </c>
      <c r="RT519" s="27" t="s">
        <v>7</v>
      </c>
      <c r="RU519" s="27" t="s">
        <v>8</v>
      </c>
      <c r="RX519" s="27" t="s">
        <v>7</v>
      </c>
      <c r="RZ519" s="27" t="s">
        <v>7</v>
      </c>
    </row>
    <row r="520" spans="1:494" x14ac:dyDescent="0.25">
      <c r="A520" s="7">
        <v>3.7688730417113687</v>
      </c>
      <c r="B520"/>
      <c r="C520"/>
      <c r="D520"/>
      <c r="E520"/>
      <c r="LQ520" s="27" t="s">
        <v>8</v>
      </c>
      <c r="LR520" s="27" t="s">
        <v>7</v>
      </c>
      <c r="LW520" s="27" t="s">
        <v>8</v>
      </c>
      <c r="OR520" s="27" t="s">
        <v>7</v>
      </c>
      <c r="OS520" s="27" t="s">
        <v>8</v>
      </c>
      <c r="RD520" s="27" t="s">
        <v>7</v>
      </c>
      <c r="RE520" s="27" t="s">
        <v>8</v>
      </c>
      <c r="RT520" s="27" t="s">
        <v>7</v>
      </c>
      <c r="RU520" s="27" t="s">
        <v>8</v>
      </c>
      <c r="RZ520" s="27" t="s">
        <v>7</v>
      </c>
    </row>
    <row r="521" spans="1:494" x14ac:dyDescent="0.25">
      <c r="A521" s="7">
        <v>3.6949735703052635</v>
      </c>
      <c r="B521"/>
      <c r="C521"/>
      <c r="D521"/>
      <c r="E521"/>
      <c r="LO521" s="27" t="s">
        <v>8</v>
      </c>
      <c r="LQ521" s="27" t="s">
        <v>8</v>
      </c>
      <c r="LR521" s="27" t="s">
        <v>7</v>
      </c>
      <c r="LW521" s="27" t="s">
        <v>8</v>
      </c>
      <c r="OR521" s="27" t="s">
        <v>7</v>
      </c>
      <c r="OS521" s="27" t="s">
        <v>8</v>
      </c>
      <c r="RD521" s="27" t="s">
        <v>7</v>
      </c>
      <c r="RT521" s="27" t="s">
        <v>7</v>
      </c>
      <c r="RZ521" s="27" t="s">
        <v>7</v>
      </c>
    </row>
    <row r="522" spans="1:494" x14ac:dyDescent="0.25">
      <c r="A522" s="7">
        <v>3.6225231081424152</v>
      </c>
      <c r="B522"/>
      <c r="C522"/>
      <c r="D522"/>
      <c r="E522"/>
      <c r="LO522" s="27" t="s">
        <v>8</v>
      </c>
      <c r="LP522" s="27" t="s">
        <v>7</v>
      </c>
      <c r="LQ522" s="27" t="s">
        <v>8</v>
      </c>
      <c r="LR522" s="27" t="s">
        <v>7</v>
      </c>
      <c r="LW522" s="27" t="s">
        <v>8</v>
      </c>
      <c r="OR522" s="27" t="s">
        <v>7</v>
      </c>
      <c r="OS522" s="27" t="s">
        <v>8</v>
      </c>
      <c r="RZ522" s="27" t="s">
        <v>7</v>
      </c>
    </row>
    <row r="523" spans="1:494" x14ac:dyDescent="0.25">
      <c r="A523" s="7">
        <v>3.5514932432768775</v>
      </c>
      <c r="B523"/>
      <c r="C523"/>
      <c r="D523"/>
      <c r="E523"/>
      <c r="LO523" s="27" t="s">
        <v>8</v>
      </c>
      <c r="LP523" s="27" t="s">
        <v>7</v>
      </c>
      <c r="LQ523" s="27" t="s">
        <v>8</v>
      </c>
      <c r="LR523" s="27" t="s">
        <v>7</v>
      </c>
      <c r="LW523" s="27" t="s">
        <v>8</v>
      </c>
      <c r="OR523" s="27" t="s">
        <v>7</v>
      </c>
      <c r="RZ523" s="27" t="s">
        <v>7</v>
      </c>
    </row>
    <row r="524" spans="1:494" x14ac:dyDescent="0.25">
      <c r="A524" s="7">
        <v>3.4818561208596837</v>
      </c>
      <c r="B524"/>
      <c r="C524"/>
      <c r="D524"/>
      <c r="E524"/>
      <c r="LO524" s="27" t="s">
        <v>8</v>
      </c>
      <c r="LP524" s="27" t="s">
        <v>7</v>
      </c>
      <c r="LQ524" s="27" t="s">
        <v>8</v>
      </c>
      <c r="LR524" s="27" t="s">
        <v>7</v>
      </c>
      <c r="LS524" s="27" t="s">
        <v>8</v>
      </c>
      <c r="LW524" s="27" t="s">
        <v>8</v>
      </c>
      <c r="RZ524" s="27" t="s">
        <v>7</v>
      </c>
    </row>
    <row r="525" spans="1:494" x14ac:dyDescent="0.25">
      <c r="A525" s="7">
        <v>3.4135844322153761</v>
      </c>
      <c r="B525"/>
      <c r="C525"/>
      <c r="D525"/>
      <c r="E525"/>
      <c r="LO525" s="27" t="s">
        <v>8</v>
      </c>
      <c r="LP525" s="27" t="s">
        <v>7</v>
      </c>
      <c r="LQ525" s="27" t="s">
        <v>8</v>
      </c>
      <c r="LR525" s="27" t="s">
        <v>7</v>
      </c>
      <c r="LS525" s="27" t="s">
        <v>8</v>
      </c>
      <c r="LT525" s="27" t="s">
        <v>7</v>
      </c>
      <c r="LW525" s="27" t="s">
        <v>8</v>
      </c>
      <c r="RZ525" s="27" t="s">
        <v>7</v>
      </c>
    </row>
    <row r="526" spans="1:494" x14ac:dyDescent="0.25">
      <c r="A526" s="7">
        <v>3.3466514041327216</v>
      </c>
      <c r="B526"/>
      <c r="C526"/>
      <c r="D526"/>
      <c r="E526"/>
      <c r="LO526" s="27" t="s">
        <v>8</v>
      </c>
      <c r="LP526" s="27" t="s">
        <v>7</v>
      </c>
      <c r="LQ526" s="27" t="s">
        <v>8</v>
      </c>
      <c r="LR526" s="27" t="s">
        <v>7</v>
      </c>
      <c r="LS526" s="27" t="s">
        <v>8</v>
      </c>
      <c r="LT526" s="27" t="s">
        <v>7</v>
      </c>
      <c r="LW526" s="27" t="s">
        <v>8</v>
      </c>
      <c r="RZ526" s="27" t="s">
        <v>7</v>
      </c>
    </row>
    <row r="527" spans="1:494" x14ac:dyDescent="0.25">
      <c r="A527" s="7">
        <v>3.2810307883654133</v>
      </c>
      <c r="B527"/>
      <c r="C527"/>
      <c r="D527"/>
      <c r="E527"/>
      <c r="LO527" s="27" t="s">
        <v>8</v>
      </c>
      <c r="LP527" s="27" t="s">
        <v>7</v>
      </c>
      <c r="LQ527" s="27" t="s">
        <v>8</v>
      </c>
      <c r="LR527" s="27" t="s">
        <v>7</v>
      </c>
      <c r="LS527" s="27" t="s">
        <v>8</v>
      </c>
      <c r="LT527" s="27" t="s">
        <v>7</v>
      </c>
      <c r="LW527" s="27" t="s">
        <v>8</v>
      </c>
      <c r="RZ527" s="27" t="s">
        <v>7</v>
      </c>
    </row>
    <row r="528" spans="1:494" x14ac:dyDescent="0.25">
      <c r="A528" s="7">
        <v>3.2166968513386403</v>
      </c>
      <c r="B528"/>
      <c r="C528"/>
      <c r="D528"/>
      <c r="E528"/>
      <c r="LO528" s="27" t="s">
        <v>8</v>
      </c>
      <c r="LP528" s="27" t="s">
        <v>7</v>
      </c>
      <c r="LR528" s="27" t="s">
        <v>7</v>
      </c>
      <c r="LS528" s="27" t="s">
        <v>8</v>
      </c>
      <c r="LT528" s="27" t="s">
        <v>7</v>
      </c>
      <c r="LU528" s="27" t="s">
        <v>8</v>
      </c>
      <c r="LW528" s="27" t="s">
        <v>8</v>
      </c>
      <c r="RZ528" s="27" t="s">
        <v>7</v>
      </c>
    </row>
    <row r="529" spans="1:498" x14ac:dyDescent="0.25">
      <c r="A529" s="7">
        <v>3.1536243640574906</v>
      </c>
      <c r="B529"/>
      <c r="C529"/>
      <c r="D529"/>
      <c r="E529"/>
      <c r="LO529" s="27" t="s">
        <v>8</v>
      </c>
      <c r="LR529" s="27" t="s">
        <v>7</v>
      </c>
      <c r="LS529" s="27" t="s">
        <v>8</v>
      </c>
      <c r="LT529" s="27" t="s">
        <v>7</v>
      </c>
      <c r="LU529" s="27" t="s">
        <v>8</v>
      </c>
      <c r="LV529" s="27" t="s">
        <v>7</v>
      </c>
      <c r="LW529" s="27" t="s">
        <v>8</v>
      </c>
      <c r="RZ529" s="27" t="s">
        <v>7</v>
      </c>
    </row>
    <row r="530" spans="1:498" x14ac:dyDescent="0.25">
      <c r="A530" s="7">
        <v>3.0917885922132262</v>
      </c>
      <c r="B530"/>
      <c r="C530"/>
      <c r="D530"/>
      <c r="E530"/>
      <c r="LO530" s="27" t="s">
        <v>8</v>
      </c>
      <c r="LR530" s="27" t="s">
        <v>7</v>
      </c>
      <c r="LS530" s="27" t="s">
        <v>8</v>
      </c>
      <c r="LT530" s="27" t="s">
        <v>7</v>
      </c>
      <c r="LU530" s="27" t="s">
        <v>8</v>
      </c>
      <c r="LV530" s="27" t="s">
        <v>7</v>
      </c>
      <c r="LW530" s="27" t="s">
        <v>8</v>
      </c>
      <c r="RZ530" s="27" t="s">
        <v>7</v>
      </c>
      <c r="SC530" s="27" t="s">
        <v>8</v>
      </c>
    </row>
    <row r="531" spans="1:498" x14ac:dyDescent="0.25">
      <c r="A531" s="7">
        <v>3.0311652864835552</v>
      </c>
      <c r="B531"/>
      <c r="C531"/>
      <c r="D531"/>
      <c r="E531"/>
      <c r="LM531" s="27" t="s">
        <v>8</v>
      </c>
      <c r="LO531" s="27" t="s">
        <v>8</v>
      </c>
      <c r="LR531" s="27" t="s">
        <v>7</v>
      </c>
      <c r="LS531" s="27" t="s">
        <v>8</v>
      </c>
      <c r="LT531" s="27" t="s">
        <v>7</v>
      </c>
      <c r="LU531" s="27" t="s">
        <v>8</v>
      </c>
      <c r="LV531" s="27" t="s">
        <v>7</v>
      </c>
      <c r="LW531" s="27" t="s">
        <v>8</v>
      </c>
      <c r="RZ531" s="27" t="s">
        <v>7</v>
      </c>
      <c r="SC531" s="27" t="s">
        <v>8</v>
      </c>
      <c r="SD531" s="27" t="s">
        <v>7</v>
      </c>
    </row>
    <row r="532" spans="1:498" x14ac:dyDescent="0.25">
      <c r="A532" s="7">
        <v>2.9717306730230932</v>
      </c>
      <c r="B532"/>
      <c r="C532"/>
      <c r="D532"/>
      <c r="E532"/>
      <c r="LM532" s="27" t="s">
        <v>8</v>
      </c>
      <c r="LN532" s="27" t="s">
        <v>7</v>
      </c>
      <c r="LO532" s="27" t="s">
        <v>8</v>
      </c>
      <c r="LR532" s="27" t="s">
        <v>7</v>
      </c>
      <c r="LS532" s="27" t="s">
        <v>8</v>
      </c>
      <c r="LT532" s="27" t="s">
        <v>7</v>
      </c>
      <c r="LU532" s="27" t="s">
        <v>8</v>
      </c>
      <c r="LV532" s="27" t="s">
        <v>7</v>
      </c>
      <c r="LW532" s="27" t="s">
        <v>8</v>
      </c>
      <c r="RZ532" s="27" t="s">
        <v>7</v>
      </c>
      <c r="SC532" s="27" t="s">
        <v>8</v>
      </c>
      <c r="SD532" s="27" t="s">
        <v>7</v>
      </c>
    </row>
    <row r="533" spans="1:498" x14ac:dyDescent="0.25">
      <c r="A533" s="7">
        <v>2.9134614441402875</v>
      </c>
      <c r="B533"/>
      <c r="C533"/>
      <c r="D533"/>
      <c r="E533"/>
      <c r="LM533" s="27" t="s">
        <v>8</v>
      </c>
      <c r="LN533" s="27" t="s">
        <v>7</v>
      </c>
      <c r="LO533" s="27" t="s">
        <v>8</v>
      </c>
      <c r="LR533" s="27" t="s">
        <v>7</v>
      </c>
      <c r="LS533" s="27" t="s">
        <v>8</v>
      </c>
      <c r="LT533" s="27" t="s">
        <v>7</v>
      </c>
      <c r="LV533" s="27" t="s">
        <v>7</v>
      </c>
      <c r="LW533" s="27" t="s">
        <v>8</v>
      </c>
      <c r="RZ533" s="27" t="s">
        <v>7</v>
      </c>
      <c r="SA533" s="27" t="s">
        <v>8</v>
      </c>
      <c r="SC533" s="27" t="s">
        <v>8</v>
      </c>
      <c r="SD533" s="27" t="s">
        <v>7</v>
      </c>
    </row>
    <row r="534" spans="1:498" x14ac:dyDescent="0.25">
      <c r="A534" s="7">
        <v>2.8563347491571447</v>
      </c>
      <c r="B534"/>
      <c r="C534"/>
      <c r="D534"/>
      <c r="E534"/>
      <c r="LM534" s="27" t="s">
        <v>8</v>
      </c>
      <c r="LN534" s="27" t="s">
        <v>7</v>
      </c>
      <c r="LO534" s="27" t="s">
        <v>8</v>
      </c>
      <c r="LR534" s="27" t="s">
        <v>7</v>
      </c>
      <c r="LS534" s="27" t="s">
        <v>8</v>
      </c>
      <c r="LV534" s="27" t="s">
        <v>7</v>
      </c>
      <c r="RZ534" s="27" t="s">
        <v>7</v>
      </c>
      <c r="SA534" s="27" t="s">
        <v>8</v>
      </c>
      <c r="SB534" s="27" t="s">
        <v>7</v>
      </c>
      <c r="SC534" s="27" t="s">
        <v>8</v>
      </c>
      <c r="SD534" s="27" t="s">
        <v>7</v>
      </c>
    </row>
    <row r="535" spans="1:498" x14ac:dyDescent="0.25">
      <c r="A535" s="7">
        <v>2.8003281854481812</v>
      </c>
      <c r="B535"/>
      <c r="C535"/>
      <c r="D535"/>
      <c r="E535"/>
      <c r="LM535" s="27" t="s">
        <v>8</v>
      </c>
      <c r="LN535" s="27" t="s">
        <v>7</v>
      </c>
      <c r="LO535" s="27" t="s">
        <v>8</v>
      </c>
      <c r="LR535" s="27" t="s">
        <v>7</v>
      </c>
      <c r="LS535" s="27" t="s">
        <v>8</v>
      </c>
      <c r="RZ535" s="27" t="s">
        <v>7</v>
      </c>
      <c r="SA535" s="27" t="s">
        <v>8</v>
      </c>
      <c r="SB535" s="27" t="s">
        <v>7</v>
      </c>
      <c r="SC535" s="27" t="s">
        <v>8</v>
      </c>
      <c r="SD535" s="27" t="s">
        <v>7</v>
      </c>
    </row>
    <row r="536" spans="1:498" x14ac:dyDescent="0.25">
      <c r="A536" s="7">
        <v>2.7454197896550796</v>
      </c>
      <c r="B536"/>
      <c r="C536"/>
      <c r="D536"/>
      <c r="E536"/>
      <c r="LM536" s="27" t="s">
        <v>8</v>
      </c>
      <c r="LN536" s="27" t="s">
        <v>7</v>
      </c>
      <c r="LO536" s="27" t="s">
        <v>8</v>
      </c>
      <c r="LR536" s="27" t="s">
        <v>7</v>
      </c>
      <c r="LS536" s="27" t="s">
        <v>8</v>
      </c>
      <c r="RZ536" s="27" t="s">
        <v>7</v>
      </c>
      <c r="SA536" s="27" t="s">
        <v>8</v>
      </c>
      <c r="SB536" s="27" t="s">
        <v>7</v>
      </c>
      <c r="SC536" s="27" t="s">
        <v>8</v>
      </c>
    </row>
    <row r="537" spans="1:498" x14ac:dyDescent="0.25">
      <c r="A537" s="7">
        <v>2.6915880290736074</v>
      </c>
      <c r="B537"/>
      <c r="C537"/>
      <c r="D537"/>
      <c r="E537"/>
      <c r="LM537" s="27" t="s">
        <v>8</v>
      </c>
      <c r="LN537" s="27" t="s">
        <v>7</v>
      </c>
      <c r="LO537" s="27" t="s">
        <v>8</v>
      </c>
      <c r="LR537" s="27" t="s">
        <v>7</v>
      </c>
      <c r="RZ537" s="27" t="s">
        <v>7</v>
      </c>
      <c r="SA537" s="27" t="s">
        <v>8</v>
      </c>
      <c r="SB537" s="27" t="s">
        <v>7</v>
      </c>
      <c r="SC537" s="27" t="s">
        <v>8</v>
      </c>
    </row>
    <row r="538" spans="1:498" x14ac:dyDescent="0.25">
      <c r="A538" s="7">
        <v>2.6388117932094191</v>
      </c>
      <c r="B538"/>
      <c r="C538"/>
      <c r="D538"/>
      <c r="E538"/>
      <c r="LM538" s="27" t="s">
        <v>8</v>
      </c>
      <c r="LN538" s="27" t="s">
        <v>7</v>
      </c>
      <c r="RZ538" s="27" t="s">
        <v>7</v>
      </c>
      <c r="SA538" s="27" t="s">
        <v>8</v>
      </c>
      <c r="SB538" s="27" t="s">
        <v>7</v>
      </c>
      <c r="SC538" s="27" t="s">
        <v>8</v>
      </c>
    </row>
    <row r="539" spans="1:498" x14ac:dyDescent="0.25">
      <c r="A539" s="7">
        <v>2.5870703854994304</v>
      </c>
      <c r="B539"/>
      <c r="C539"/>
      <c r="D539"/>
      <c r="E539"/>
      <c r="LM539" s="27" t="s">
        <v>8</v>
      </c>
      <c r="RZ539" s="27" t="s">
        <v>7</v>
      </c>
      <c r="SA539" s="27" t="s">
        <v>8</v>
      </c>
      <c r="SB539" s="27" t="s">
        <v>7</v>
      </c>
      <c r="SC539" s="27" t="s">
        <v>8</v>
      </c>
    </row>
    <row r="540" spans="1:498" x14ac:dyDescent="0.25">
      <c r="A540" s="7">
        <v>2.53634351519552</v>
      </c>
      <c r="B540"/>
      <c r="C540"/>
      <c r="D540"/>
      <c r="E540"/>
      <c r="LK540" s="27" t="s">
        <v>8</v>
      </c>
      <c r="LM540" s="27" t="s">
        <v>8</v>
      </c>
      <c r="RZ540" s="27" t="s">
        <v>7</v>
      </c>
      <c r="SA540" s="27" t="s">
        <v>8</v>
      </c>
      <c r="SB540" s="27" t="s">
        <v>7</v>
      </c>
      <c r="SC540" s="27" t="s">
        <v>8</v>
      </c>
    </row>
    <row r="541" spans="1:498" x14ac:dyDescent="0.25">
      <c r="A541" s="7">
        <v>2.4866112894073726</v>
      </c>
      <c r="B541"/>
      <c r="C541"/>
      <c r="D541"/>
      <c r="E541"/>
      <c r="KQ541" s="27" t="s">
        <v>8</v>
      </c>
      <c r="LK541" s="27" t="s">
        <v>8</v>
      </c>
      <c r="LL541" s="27" t="s">
        <v>7</v>
      </c>
      <c r="LM541" s="27" t="s">
        <v>8</v>
      </c>
      <c r="RZ541" s="27" t="s">
        <v>7</v>
      </c>
      <c r="SA541" s="27" t="s">
        <v>8</v>
      </c>
      <c r="SB541" s="27" t="s">
        <v>7</v>
      </c>
      <c r="SC541" s="27" t="s">
        <v>8</v>
      </c>
    </row>
    <row r="542" spans="1:498" x14ac:dyDescent="0.25">
      <c r="A542" s="7">
        <v>2.4378542053013459</v>
      </c>
      <c r="B542"/>
      <c r="C542"/>
      <c r="D542"/>
      <c r="E542"/>
      <c r="KQ542" s="27" t="s">
        <v>8</v>
      </c>
      <c r="KR542" s="27" t="s">
        <v>7</v>
      </c>
      <c r="LK542" s="27" t="s">
        <v>8</v>
      </c>
      <c r="LL542" s="27" t="s">
        <v>7</v>
      </c>
      <c r="LM542" s="27" t="s">
        <v>8</v>
      </c>
      <c r="RZ542" s="27" t="s">
        <v>7</v>
      </c>
      <c r="SA542" s="27" t="s">
        <v>8</v>
      </c>
      <c r="SB542" s="27" t="s">
        <v>7</v>
      </c>
      <c r="SC542" s="27" t="s">
        <v>8</v>
      </c>
    </row>
    <row r="543" spans="1:498" x14ac:dyDescent="0.25">
      <c r="A543" s="7">
        <v>2.3900531424522997</v>
      </c>
      <c r="B543"/>
      <c r="C543"/>
      <c r="D543"/>
      <c r="E543"/>
      <c r="KQ543" s="27" t="s">
        <v>8</v>
      </c>
      <c r="KR543" s="27" t="s">
        <v>7</v>
      </c>
      <c r="LE543" s="27" t="s">
        <v>8</v>
      </c>
      <c r="LK543" s="27" t="s">
        <v>8</v>
      </c>
      <c r="LL543" s="27" t="s">
        <v>7</v>
      </c>
      <c r="LM543" s="27" t="s">
        <v>8</v>
      </c>
      <c r="RZ543" s="27" t="s">
        <v>7</v>
      </c>
      <c r="SA543" s="27" t="s">
        <v>8</v>
      </c>
      <c r="SB543" s="27" t="s">
        <v>7</v>
      </c>
      <c r="SC543" s="27" t="s">
        <v>8</v>
      </c>
    </row>
    <row r="544" spans="1:498" x14ac:dyDescent="0.25">
      <c r="A544" s="7">
        <v>2.343189355345392</v>
      </c>
      <c r="B544"/>
      <c r="C544"/>
      <c r="D544"/>
      <c r="E544"/>
      <c r="KQ544" s="27" t="s">
        <v>8</v>
      </c>
      <c r="KR544" s="27" t="s">
        <v>7</v>
      </c>
      <c r="KS544" s="27" t="s">
        <v>8</v>
      </c>
      <c r="LE544" s="27" t="s">
        <v>8</v>
      </c>
      <c r="LF544" s="27" t="s">
        <v>7</v>
      </c>
      <c r="LK544" s="27" t="s">
        <v>8</v>
      </c>
      <c r="LL544" s="27" t="s">
        <v>7</v>
      </c>
      <c r="LM544" s="27" t="s">
        <v>8</v>
      </c>
      <c r="RZ544" s="27" t="s">
        <v>7</v>
      </c>
      <c r="SB544" s="27" t="s">
        <v>7</v>
      </c>
      <c r="SC544" s="27" t="s">
        <v>8</v>
      </c>
    </row>
    <row r="545" spans="1:496" x14ac:dyDescent="0.25">
      <c r="A545" s="7">
        <v>2.2972444660248938</v>
      </c>
      <c r="B545"/>
      <c r="C545"/>
      <c r="D545"/>
      <c r="E545"/>
      <c r="KQ545" s="27" t="s">
        <v>8</v>
      </c>
      <c r="KR545" s="27" t="s">
        <v>7</v>
      </c>
      <c r="KS545" s="27" t="s">
        <v>8</v>
      </c>
      <c r="KT545" s="27" t="s">
        <v>7</v>
      </c>
      <c r="LE545" s="27" t="s">
        <v>8</v>
      </c>
      <c r="LF545" s="27" t="s">
        <v>7</v>
      </c>
      <c r="LK545" s="27" t="s">
        <v>8</v>
      </c>
      <c r="LL545" s="27" t="s">
        <v>7</v>
      </c>
      <c r="LM545" s="27" t="s">
        <v>8</v>
      </c>
      <c r="SB545" s="27" t="s">
        <v>7</v>
      </c>
    </row>
    <row r="546" spans="1:496" x14ac:dyDescent="0.25">
      <c r="A546" s="7">
        <v>2.252200456887151</v>
      </c>
      <c r="B546"/>
      <c r="C546"/>
      <c r="D546"/>
      <c r="E546"/>
      <c r="KQ546" s="27" t="s">
        <v>8</v>
      </c>
      <c r="KR546" s="27" t="s">
        <v>7</v>
      </c>
      <c r="KS546" s="27" t="s">
        <v>8</v>
      </c>
      <c r="KT546" s="27" t="s">
        <v>7</v>
      </c>
      <c r="KW546" s="27" t="s">
        <v>8</v>
      </c>
      <c r="KY546" s="27" t="s">
        <v>8</v>
      </c>
      <c r="LE546" s="27" t="s">
        <v>8</v>
      </c>
      <c r="LF546" s="27" t="s">
        <v>7</v>
      </c>
      <c r="LI546" s="27" t="s">
        <v>8</v>
      </c>
      <c r="LK546" s="27" t="s">
        <v>8</v>
      </c>
      <c r="LL546" s="27" t="s">
        <v>7</v>
      </c>
      <c r="LM546" s="27" t="s">
        <v>8</v>
      </c>
    </row>
    <row r="547" spans="1:496" x14ac:dyDescent="0.25">
      <c r="A547" s="7">
        <v>2.208039663614854</v>
      </c>
      <c r="B547"/>
      <c r="C547"/>
      <c r="D547"/>
      <c r="E547"/>
      <c r="KQ547" s="27" t="s">
        <v>8</v>
      </c>
      <c r="KR547" s="27" t="s">
        <v>7</v>
      </c>
      <c r="KS547" s="27" t="s">
        <v>8</v>
      </c>
      <c r="KT547" s="27" t="s">
        <v>7</v>
      </c>
      <c r="KW547" s="27" t="s">
        <v>8</v>
      </c>
      <c r="KX547" s="27" t="s">
        <v>7</v>
      </c>
      <c r="KY547" s="27" t="s">
        <v>8</v>
      </c>
      <c r="KZ547" s="27" t="s">
        <v>7</v>
      </c>
      <c r="LE547" s="27" t="s">
        <v>8</v>
      </c>
      <c r="LF547" s="27" t="s">
        <v>7</v>
      </c>
      <c r="LI547" s="27" t="s">
        <v>8</v>
      </c>
      <c r="LJ547" s="27" t="s">
        <v>7</v>
      </c>
      <c r="LK547" s="27" t="s">
        <v>8</v>
      </c>
      <c r="LL547" s="27" t="s">
        <v>7</v>
      </c>
      <c r="LM547" s="27" t="s">
        <v>8</v>
      </c>
    </row>
    <row r="548" spans="1:496" x14ac:dyDescent="0.25">
      <c r="A548" s="7">
        <v>2.1647447682498568</v>
      </c>
      <c r="B548"/>
      <c r="C548"/>
      <c r="D548"/>
      <c r="E548"/>
      <c r="KQ548" s="27" t="s">
        <v>8</v>
      </c>
      <c r="KR548" s="27" t="s">
        <v>7</v>
      </c>
      <c r="KS548" s="27" t="s">
        <v>8</v>
      </c>
      <c r="KT548" s="27" t="s">
        <v>7</v>
      </c>
      <c r="KU548" s="27" t="s">
        <v>8</v>
      </c>
      <c r="KW548" s="27" t="s">
        <v>8</v>
      </c>
      <c r="KX548" s="27" t="s">
        <v>7</v>
      </c>
      <c r="KY548" s="27" t="s">
        <v>8</v>
      </c>
      <c r="KZ548" s="27" t="s">
        <v>7</v>
      </c>
      <c r="LE548" s="27" t="s">
        <v>8</v>
      </c>
      <c r="LF548" s="27" t="s">
        <v>7</v>
      </c>
      <c r="LG548" s="27" t="s">
        <v>8</v>
      </c>
      <c r="LI548" s="27" t="s">
        <v>8</v>
      </c>
      <c r="LJ548" s="27" t="s">
        <v>7</v>
      </c>
      <c r="LK548" s="27" t="s">
        <v>8</v>
      </c>
      <c r="LL548" s="27" t="s">
        <v>7</v>
      </c>
      <c r="LM548" s="27" t="s">
        <v>8</v>
      </c>
    </row>
    <row r="549" spans="1:496" x14ac:dyDescent="0.25">
      <c r="A549" s="7">
        <v>2.1222987924018204</v>
      </c>
      <c r="B549"/>
      <c r="C549"/>
      <c r="D549"/>
      <c r="E549"/>
      <c r="KQ549" s="27" t="s">
        <v>8</v>
      </c>
      <c r="KR549" s="27" t="s">
        <v>7</v>
      </c>
      <c r="KS549" s="27" t="s">
        <v>8</v>
      </c>
      <c r="KT549" s="27" t="s">
        <v>7</v>
      </c>
      <c r="KU549" s="27" t="s">
        <v>8</v>
      </c>
      <c r="KV549" s="27" t="s">
        <v>7</v>
      </c>
      <c r="KW549" s="27" t="s">
        <v>8</v>
      </c>
      <c r="KX549" s="27" t="s">
        <v>7</v>
      </c>
      <c r="KY549" s="27" t="s">
        <v>8</v>
      </c>
      <c r="KZ549" s="27" t="s">
        <v>7</v>
      </c>
      <c r="LE549" s="27" t="s">
        <v>8</v>
      </c>
      <c r="LF549" s="27" t="s">
        <v>7</v>
      </c>
      <c r="LG549" s="27" t="s">
        <v>8</v>
      </c>
      <c r="LH549" s="27" t="s">
        <v>7</v>
      </c>
      <c r="LI549" s="27" t="s">
        <v>8</v>
      </c>
      <c r="LJ549" s="27" t="s">
        <v>7</v>
      </c>
      <c r="LL549" s="27" t="s">
        <v>7</v>
      </c>
    </row>
    <row r="550" spans="1:496" x14ac:dyDescent="0.25">
      <c r="A550" s="7">
        <v>2.0806850905900198</v>
      </c>
      <c r="B550"/>
      <c r="C550"/>
      <c r="D550"/>
      <c r="E550"/>
      <c r="KQ550" s="27" t="s">
        <v>8</v>
      </c>
      <c r="KR550" s="27" t="s">
        <v>7</v>
      </c>
      <c r="KS550" s="27" t="s">
        <v>8</v>
      </c>
      <c r="KT550" s="27" t="s">
        <v>7</v>
      </c>
      <c r="KU550" s="27" t="s">
        <v>8</v>
      </c>
      <c r="KV550" s="27" t="s">
        <v>7</v>
      </c>
      <c r="KW550" s="27" t="s">
        <v>8</v>
      </c>
      <c r="KX550" s="27" t="s">
        <v>7</v>
      </c>
      <c r="KY550" s="27" t="s">
        <v>8</v>
      </c>
      <c r="KZ550" s="27" t="s">
        <v>7</v>
      </c>
      <c r="LA550" s="27" t="s">
        <v>8</v>
      </c>
      <c r="LE550" s="27" t="s">
        <v>8</v>
      </c>
      <c r="LF550" s="27" t="s">
        <v>7</v>
      </c>
      <c r="LG550" s="27" t="s">
        <v>8</v>
      </c>
      <c r="LH550" s="27" t="s">
        <v>7</v>
      </c>
      <c r="LI550" s="27" t="s">
        <v>8</v>
      </c>
    </row>
    <row r="551" spans="1:496" x14ac:dyDescent="0.25">
      <c r="A551" s="7">
        <v>2.0398873437157055</v>
      </c>
      <c r="B551"/>
      <c r="C551"/>
      <c r="D551"/>
      <c r="E551"/>
      <c r="KQ551" s="27" t="s">
        <v>8</v>
      </c>
      <c r="KR551" s="27" t="s">
        <v>7</v>
      </c>
      <c r="KS551" s="27" t="s">
        <v>8</v>
      </c>
      <c r="KT551" s="27" t="s">
        <v>7</v>
      </c>
      <c r="KU551" s="27" t="s">
        <v>8</v>
      </c>
      <c r="KV551" s="27" t="s">
        <v>7</v>
      </c>
      <c r="KW551" s="27" t="s">
        <v>8</v>
      </c>
      <c r="KX551" s="27" t="s">
        <v>7</v>
      </c>
      <c r="KY551" s="27" t="s">
        <v>8</v>
      </c>
      <c r="KZ551" s="27" t="s">
        <v>7</v>
      </c>
      <c r="LA551" s="27" t="s">
        <v>8</v>
      </c>
      <c r="LB551" s="27" t="s">
        <v>7</v>
      </c>
      <c r="LE551" s="27" t="s">
        <v>8</v>
      </c>
      <c r="LF551" s="27" t="s">
        <v>7</v>
      </c>
      <c r="LG551" s="27" t="s">
        <v>8</v>
      </c>
      <c r="LH551" s="27" t="s">
        <v>7</v>
      </c>
      <c r="LI551" s="27" t="s">
        <v>8</v>
      </c>
    </row>
    <row r="552" spans="1:496" x14ac:dyDescent="0.25">
      <c r="A552" s="7">
        <v>1.9998895526624565</v>
      </c>
      <c r="B552"/>
      <c r="C552"/>
      <c r="D552"/>
      <c r="E552"/>
      <c r="KQ552" s="27" t="s">
        <v>8</v>
      </c>
      <c r="KR552" s="27" t="s">
        <v>7</v>
      </c>
      <c r="KS552" s="27" t="s">
        <v>8</v>
      </c>
      <c r="KT552" s="27" t="s">
        <v>7</v>
      </c>
      <c r="KU552" s="27" t="s">
        <v>8</v>
      </c>
      <c r="KV552" s="27" t="s">
        <v>7</v>
      </c>
      <c r="KW552" s="27" t="s">
        <v>8</v>
      </c>
      <c r="KX552" s="27" t="s">
        <v>7</v>
      </c>
      <c r="KY552" s="27" t="s">
        <v>8</v>
      </c>
      <c r="KZ552" s="27" t="s">
        <v>7</v>
      </c>
      <c r="LA552" s="27" t="s">
        <v>8</v>
      </c>
      <c r="LB552" s="27" t="s">
        <v>7</v>
      </c>
      <c r="LC552" s="27" t="s">
        <v>8</v>
      </c>
      <c r="LE552" s="27" t="s">
        <v>8</v>
      </c>
      <c r="LF552" s="27" t="s">
        <v>7</v>
      </c>
      <c r="LG552" s="27" t="s">
        <v>8</v>
      </c>
      <c r="LH552" s="27" t="s">
        <v>7</v>
      </c>
      <c r="LI552" s="27" t="s">
        <v>8</v>
      </c>
    </row>
    <row r="553" spans="1:496" x14ac:dyDescent="0.25">
      <c r="A553" s="7">
        <v>1.9606760320220162</v>
      </c>
      <c r="B553"/>
      <c r="C553"/>
      <c r="D553"/>
      <c r="E553"/>
      <c r="KQ553" s="27" t="s">
        <v>8</v>
      </c>
      <c r="KR553" s="27" t="s">
        <v>7</v>
      </c>
      <c r="KS553" s="27" t="s">
        <v>8</v>
      </c>
      <c r="KT553" s="27" t="s">
        <v>7</v>
      </c>
      <c r="KU553" s="27" t="s">
        <v>8</v>
      </c>
      <c r="KV553" s="27" t="s">
        <v>7</v>
      </c>
      <c r="KW553" s="27" t="s">
        <v>8</v>
      </c>
      <c r="KX553" s="27" t="s">
        <v>7</v>
      </c>
      <c r="KY553" s="27" t="s">
        <v>8</v>
      </c>
      <c r="KZ553" s="27" t="s">
        <v>7</v>
      </c>
      <c r="LB553" s="27" t="s">
        <v>7</v>
      </c>
      <c r="LC553" s="27" t="s">
        <v>8</v>
      </c>
      <c r="LD553" s="27" t="s">
        <v>7</v>
      </c>
      <c r="LE553" s="27" t="s">
        <v>8</v>
      </c>
      <c r="LF553" s="27" t="s">
        <v>7</v>
      </c>
      <c r="LH553" s="27" t="s">
        <v>7</v>
      </c>
      <c r="LI553" s="27" t="s">
        <v>8</v>
      </c>
    </row>
    <row r="554" spans="1:496" x14ac:dyDescent="0.25">
      <c r="A554" s="7">
        <v>1.9222314039431532</v>
      </c>
      <c r="B554"/>
      <c r="C554"/>
      <c r="D554"/>
      <c r="E554"/>
      <c r="KQ554" s="27" t="s">
        <v>8</v>
      </c>
      <c r="KR554" s="27" t="s">
        <v>7</v>
      </c>
      <c r="KS554" s="27" t="s">
        <v>8</v>
      </c>
      <c r="KT554" s="27" t="s">
        <v>7</v>
      </c>
      <c r="KU554" s="27" t="s">
        <v>8</v>
      </c>
      <c r="KV554" s="27" t="s">
        <v>7</v>
      </c>
      <c r="KW554" s="27" t="s">
        <v>8</v>
      </c>
      <c r="KX554" s="27" t="s">
        <v>7</v>
      </c>
      <c r="KY554" s="27" t="s">
        <v>8</v>
      </c>
      <c r="LB554" s="27" t="s">
        <v>7</v>
      </c>
      <c r="LC554" s="27" t="s">
        <v>8</v>
      </c>
      <c r="LD554" s="27" t="s">
        <v>7</v>
      </c>
      <c r="LE554" s="27" t="s">
        <v>8</v>
      </c>
      <c r="LH554" s="27" t="s">
        <v>7</v>
      </c>
      <c r="LI554" s="27" t="s">
        <v>8</v>
      </c>
    </row>
    <row r="555" spans="1:496" x14ac:dyDescent="0.25">
      <c r="A555" s="7">
        <v>1.8845405921011305</v>
      </c>
      <c r="B555"/>
      <c r="C555"/>
      <c r="D555"/>
      <c r="E555"/>
      <c r="KQ555" s="27" t="s">
        <v>8</v>
      </c>
      <c r="KR555" s="27" t="s">
        <v>7</v>
      </c>
      <c r="KS555" s="27" t="s">
        <v>8</v>
      </c>
      <c r="KT555" s="27" t="s">
        <v>7</v>
      </c>
      <c r="KU555" s="27" t="s">
        <v>8</v>
      </c>
      <c r="KV555" s="27" t="s">
        <v>7</v>
      </c>
      <c r="KW555" s="27" t="s">
        <v>8</v>
      </c>
      <c r="KX555" s="27" t="s">
        <v>7</v>
      </c>
      <c r="LB555" s="27" t="s">
        <v>7</v>
      </c>
      <c r="LC555" s="27" t="s">
        <v>8</v>
      </c>
      <c r="LD555" s="27" t="s">
        <v>7</v>
      </c>
      <c r="LH555" s="27" t="s">
        <v>7</v>
      </c>
      <c r="LI555" s="27" t="s">
        <v>8</v>
      </c>
    </row>
    <row r="556" spans="1:496" x14ac:dyDescent="0.25">
      <c r="A556" s="7">
        <v>1.8475888157854219</v>
      </c>
      <c r="B556"/>
      <c r="C556"/>
      <c r="D556"/>
      <c r="E556"/>
      <c r="KQ556" s="27" t="s">
        <v>8</v>
      </c>
      <c r="KR556" s="27" t="s">
        <v>7</v>
      </c>
      <c r="KS556" s="27" t="s">
        <v>8</v>
      </c>
      <c r="KT556" s="27" t="s">
        <v>7</v>
      </c>
      <c r="KU556" s="27" t="s">
        <v>8</v>
      </c>
      <c r="KV556" s="27" t="s">
        <v>7</v>
      </c>
      <c r="KW556" s="27" t="s">
        <v>8</v>
      </c>
      <c r="LB556" s="27" t="s">
        <v>7</v>
      </c>
      <c r="LC556" s="27" t="s">
        <v>8</v>
      </c>
      <c r="LH556" s="27" t="s">
        <v>7</v>
      </c>
    </row>
    <row r="557" spans="1:496" x14ac:dyDescent="0.25">
      <c r="A557" s="7">
        <v>1.8113615841033548</v>
      </c>
      <c r="B557"/>
      <c r="C557"/>
      <c r="D557"/>
      <c r="E557"/>
      <c r="KQ557" s="27" t="s">
        <v>8</v>
      </c>
      <c r="KR557" s="27" t="s">
        <v>7</v>
      </c>
      <c r="KS557" s="27" t="s">
        <v>8</v>
      </c>
      <c r="KT557" s="27" t="s">
        <v>7</v>
      </c>
      <c r="KV557" s="27" t="s">
        <v>7</v>
      </c>
      <c r="KW557" s="27" t="s">
        <v>8</v>
      </c>
      <c r="LB557" s="27" t="s">
        <v>7</v>
      </c>
      <c r="LC557" s="27" t="s">
        <v>8</v>
      </c>
    </row>
    <row r="558" spans="1:496" x14ac:dyDescent="0.25">
      <c r="A558" s="7">
        <v>1.7758446902974065</v>
      </c>
      <c r="B558"/>
      <c r="C558"/>
      <c r="D558"/>
      <c r="E558"/>
      <c r="KQ558" s="27" t="s">
        <v>8</v>
      </c>
      <c r="KR558" s="27" t="s">
        <v>7</v>
      </c>
      <c r="KV558" s="27" t="s">
        <v>7</v>
      </c>
      <c r="KW558" s="27" t="s">
        <v>8</v>
      </c>
      <c r="LB558" s="27" t="s">
        <v>7</v>
      </c>
      <c r="LC558" s="27" t="s">
        <v>8</v>
      </c>
    </row>
    <row r="559" spans="1:496" x14ac:dyDescent="0.25">
      <c r="A559" s="7">
        <v>1.7410242061739281</v>
      </c>
      <c r="B559"/>
      <c r="C559"/>
      <c r="D559"/>
      <c r="E559"/>
      <c r="KM559" s="27" t="s">
        <v>8</v>
      </c>
      <c r="KQ559" s="27" t="s">
        <v>8</v>
      </c>
      <c r="KV559" s="27" t="s">
        <v>7</v>
      </c>
      <c r="KW559" s="27" t="s">
        <v>8</v>
      </c>
      <c r="LB559" s="27" t="s">
        <v>7</v>
      </c>
      <c r="LC559" s="27" t="s">
        <v>8</v>
      </c>
    </row>
    <row r="560" spans="1:496" x14ac:dyDescent="0.25">
      <c r="A560" s="7">
        <v>1.7068864766411058</v>
      </c>
      <c r="B560"/>
      <c r="C560"/>
      <c r="D560"/>
      <c r="E560"/>
      <c r="KM560" s="27" t="s">
        <v>8</v>
      </c>
      <c r="KN560" s="27" t="s">
        <v>7</v>
      </c>
      <c r="KQ560" s="27" t="s">
        <v>8</v>
      </c>
      <c r="KV560" s="27" t="s">
        <v>7</v>
      </c>
      <c r="KW560" s="27" t="s">
        <v>8</v>
      </c>
      <c r="LB560" s="27" t="s">
        <v>7</v>
      </c>
      <c r="LC560" s="27" t="s">
        <v>8</v>
      </c>
    </row>
    <row r="561" spans="1:315" x14ac:dyDescent="0.25">
      <c r="A561" s="7">
        <v>1.6734181143540252</v>
      </c>
      <c r="B561"/>
      <c r="C561"/>
      <c r="D561"/>
      <c r="E561"/>
      <c r="KM561" s="27" t="s">
        <v>8</v>
      </c>
      <c r="KN561" s="27" t="s">
        <v>7</v>
      </c>
      <c r="KQ561" s="27" t="s">
        <v>8</v>
      </c>
      <c r="KV561" s="27" t="s">
        <v>7</v>
      </c>
      <c r="KW561" s="27" t="s">
        <v>8</v>
      </c>
      <c r="LB561" s="27" t="s">
        <v>7</v>
      </c>
      <c r="LC561" s="27" t="s">
        <v>8</v>
      </c>
    </row>
    <row r="562" spans="1:315" x14ac:dyDescent="0.25">
      <c r="A562" s="7">
        <v>1.6406059944647307</v>
      </c>
      <c r="B562"/>
      <c r="C562"/>
      <c r="D562"/>
      <c r="E562"/>
      <c r="KM562" s="27" t="s">
        <v>8</v>
      </c>
      <c r="KN562" s="27" t="s">
        <v>7</v>
      </c>
      <c r="KQ562" s="27" t="s">
        <v>8</v>
      </c>
      <c r="KV562" s="27" t="s">
        <v>7</v>
      </c>
      <c r="KW562" s="27" t="s">
        <v>8</v>
      </c>
      <c r="LB562" s="27" t="s">
        <v>7</v>
      </c>
      <c r="LC562" s="27" t="s">
        <v>8</v>
      </c>
    </row>
    <row r="563" spans="1:315" x14ac:dyDescent="0.25">
      <c r="A563" s="7">
        <v>1.6084372494752261</v>
      </c>
      <c r="B563"/>
      <c r="C563"/>
      <c r="D563"/>
      <c r="E563"/>
      <c r="KM563" s="27" t="s">
        <v>8</v>
      </c>
      <c r="KN563" s="27" t="s">
        <v>7</v>
      </c>
      <c r="KO563" s="27" t="s">
        <v>8</v>
      </c>
      <c r="KQ563" s="27" t="s">
        <v>8</v>
      </c>
      <c r="KV563" s="27" t="s">
        <v>7</v>
      </c>
      <c r="KW563" s="27" t="s">
        <v>8</v>
      </c>
      <c r="LB563" s="27" t="s">
        <v>7</v>
      </c>
    </row>
    <row r="564" spans="1:315" x14ac:dyDescent="0.25">
      <c r="A564" s="7">
        <v>1.5768992641913981</v>
      </c>
      <c r="B564"/>
      <c r="C564"/>
      <c r="D564"/>
      <c r="E564"/>
      <c r="KM564" s="27" t="s">
        <v>8</v>
      </c>
      <c r="KN564" s="27" t="s">
        <v>7</v>
      </c>
      <c r="KO564" s="27" t="s">
        <v>8</v>
      </c>
      <c r="KP564" s="27" t="s">
        <v>7</v>
      </c>
      <c r="KQ564" s="27" t="s">
        <v>8</v>
      </c>
      <c r="KV564" s="27" t="s">
        <v>7</v>
      </c>
      <c r="KW564" s="27" t="s">
        <v>8</v>
      </c>
    </row>
    <row r="565" spans="1:315" x14ac:dyDescent="0.25">
      <c r="A565" s="7">
        <v>1.5459796707758806</v>
      </c>
      <c r="B565"/>
      <c r="C565"/>
      <c r="D565"/>
      <c r="E565"/>
      <c r="KM565" s="27" t="s">
        <v>8</v>
      </c>
      <c r="KN565" s="27" t="s">
        <v>7</v>
      </c>
      <c r="KO565" s="27" t="s">
        <v>8</v>
      </c>
      <c r="KP565" s="27" t="s">
        <v>7</v>
      </c>
      <c r="KQ565" s="27" t="s">
        <v>8</v>
      </c>
      <c r="KV565" s="27" t="s">
        <v>7</v>
      </c>
      <c r="KW565" s="27" t="s">
        <v>8</v>
      </c>
    </row>
    <row r="566" spans="1:315" x14ac:dyDescent="0.25">
      <c r="A566" s="7">
        <v>1.5156663438979221</v>
      </c>
      <c r="B566"/>
      <c r="C566"/>
      <c r="D566"/>
      <c r="E566"/>
      <c r="KM566" s="27" t="s">
        <v>8</v>
      </c>
      <c r="KN566" s="27" t="s">
        <v>7</v>
      </c>
      <c r="KO566" s="27" t="s">
        <v>8</v>
      </c>
      <c r="KP566" s="27" t="s">
        <v>7</v>
      </c>
      <c r="KQ566" s="27" t="s">
        <v>8</v>
      </c>
      <c r="KV566" s="27" t="s">
        <v>7</v>
      </c>
      <c r="KW566" s="27" t="s">
        <v>8</v>
      </c>
    </row>
    <row r="567" spans="1:315" x14ac:dyDescent="0.25">
      <c r="A567" s="7">
        <v>1.4859473959783549</v>
      </c>
      <c r="B567"/>
      <c r="C567"/>
      <c r="D567"/>
      <c r="E567"/>
      <c r="KM567" s="27" t="s">
        <v>8</v>
      </c>
      <c r="KN567" s="27" t="s">
        <v>7</v>
      </c>
      <c r="KO567" s="27" t="s">
        <v>8</v>
      </c>
      <c r="KP567" s="27" t="s">
        <v>7</v>
      </c>
      <c r="KQ567" s="27" t="s">
        <v>8</v>
      </c>
      <c r="KV567" s="27" t="s">
        <v>7</v>
      </c>
    </row>
    <row r="568" spans="1:315" x14ac:dyDescent="0.25">
      <c r="A568" s="7">
        <v>1.4568111725277988</v>
      </c>
      <c r="B568"/>
      <c r="C568"/>
      <c r="D568"/>
      <c r="E568"/>
      <c r="KM568" s="27" t="s">
        <v>8</v>
      </c>
      <c r="KN568" s="27" t="s">
        <v>7</v>
      </c>
      <c r="KO568" s="27" t="s">
        <v>8</v>
      </c>
      <c r="KP568" s="27" t="s">
        <v>7</v>
      </c>
      <c r="KQ568" s="27" t="s">
        <v>8</v>
      </c>
    </row>
    <row r="569" spans="1:315" x14ac:dyDescent="0.25">
      <c r="A569" s="7">
        <v>1.4282462475762734</v>
      </c>
      <c r="B569"/>
      <c r="C569"/>
      <c r="D569"/>
      <c r="E569"/>
      <c r="KM569" s="27" t="s">
        <v>8</v>
      </c>
      <c r="KN569" s="27" t="s">
        <v>7</v>
      </c>
      <c r="KO569" s="27" t="s">
        <v>8</v>
      </c>
      <c r="KP569" s="27" t="s">
        <v>7</v>
      </c>
    </row>
    <row r="570" spans="1:315" x14ac:dyDescent="0.25">
      <c r="A570" s="7">
        <v>1.4002414191924248</v>
      </c>
      <c r="B570"/>
      <c r="C570"/>
      <c r="D570"/>
      <c r="E570"/>
      <c r="KM570" s="27" t="s">
        <v>8</v>
      </c>
      <c r="KN570" s="27" t="s">
        <v>7</v>
      </c>
      <c r="KO570" s="27" t="s">
        <v>8</v>
      </c>
    </row>
    <row r="571" spans="1:315" x14ac:dyDescent="0.25">
      <c r="A571" s="7">
        <v>1.3727857050906125</v>
      </c>
      <c r="B571"/>
      <c r="C571"/>
      <c r="D571"/>
      <c r="E571"/>
      <c r="KM571" s="27" t="s">
        <v>8</v>
      </c>
      <c r="KN571" s="27" t="s">
        <v>7</v>
      </c>
      <c r="KO571" s="27" t="s">
        <v>8</v>
      </c>
    </row>
    <row r="572" spans="1:315" x14ac:dyDescent="0.25">
      <c r="A572" s="7">
        <v>1.3458683383241299</v>
      </c>
      <c r="B572"/>
      <c r="C572"/>
      <c r="D572"/>
      <c r="E572"/>
      <c r="KM572" s="27" t="s">
        <v>8</v>
      </c>
      <c r="KN572" s="27" t="s">
        <v>7</v>
      </c>
      <c r="KO572" s="27" t="s">
        <v>8</v>
      </c>
    </row>
    <row r="573" spans="1:315" x14ac:dyDescent="0.25">
      <c r="A573" s="7">
        <v>1.3194787630628724</v>
      </c>
      <c r="B573"/>
      <c r="C573"/>
      <c r="D573"/>
      <c r="E573"/>
      <c r="KM573" s="27" t="s">
        <v>8</v>
      </c>
      <c r="KN573" s="27" t="s">
        <v>7</v>
      </c>
    </row>
    <row r="574" spans="1:315" x14ac:dyDescent="0.25">
      <c r="A574" s="7">
        <v>1.2936066304537963</v>
      </c>
      <c r="B574"/>
      <c r="C574"/>
      <c r="D574"/>
      <c r="E574"/>
      <c r="KM574" s="27" t="s">
        <v>8</v>
      </c>
    </row>
    <row r="575" spans="1:315" x14ac:dyDescent="0.25">
      <c r="A575" s="7">
        <v>1.2682417945625455</v>
      </c>
      <c r="B575"/>
      <c r="C575"/>
      <c r="D575"/>
      <c r="E575"/>
      <c r="KM575" s="27" t="s">
        <v>8</v>
      </c>
    </row>
    <row r="576" spans="1:315" x14ac:dyDescent="0.25">
      <c r="A576" s="7">
        <v>1.2433743083946525</v>
      </c>
      <c r="B576"/>
      <c r="C576"/>
      <c r="D576"/>
      <c r="E576"/>
      <c r="KM576" s="27" t="s">
        <v>8</v>
      </c>
    </row>
    <row r="577" spans="1:299" x14ac:dyDescent="0.25">
      <c r="A577" s="7">
        <v>1.2189944199947573</v>
      </c>
      <c r="B577"/>
      <c r="C577"/>
      <c r="D577"/>
      <c r="E577"/>
      <c r="KM577" s="27" t="s">
        <v>8</v>
      </c>
    </row>
    <row r="578" spans="1:299" x14ac:dyDescent="0.25">
      <c r="A578" s="7">
        <v>1.1950925686223111</v>
      </c>
      <c r="B578"/>
      <c r="C578"/>
      <c r="D578"/>
      <c r="E578"/>
      <c r="KM578" s="27" t="s">
        <v>8</v>
      </c>
    </row>
    <row r="579" spans="1:299" x14ac:dyDescent="0.25">
      <c r="A579" s="7">
        <v>1.1716593810022657</v>
      </c>
      <c r="B579"/>
      <c r="C579"/>
      <c r="D579"/>
      <c r="E579"/>
      <c r="KM579" s="27" t="s">
        <v>8</v>
      </c>
    </row>
    <row r="580" spans="1:299" x14ac:dyDescent="0.25">
      <c r="A580" s="7">
        <v>1.14868566764928</v>
      </c>
      <c r="B580"/>
      <c r="C580"/>
      <c r="D580"/>
      <c r="E580"/>
      <c r="KM580" s="27" t="s">
        <v>8</v>
      </c>
    </row>
    <row r="581" spans="1:299" x14ac:dyDescent="0.25">
      <c r="A581" s="7">
        <v>1.1261624192640001</v>
      </c>
      <c r="B581"/>
      <c r="C581"/>
      <c r="D581"/>
      <c r="E581"/>
      <c r="KM581" s="27" t="s">
        <v>8</v>
      </c>
    </row>
    <row r="582" spans="1:299" x14ac:dyDescent="0.25">
      <c r="A582" s="7">
        <v>1.1040808032</v>
      </c>
      <c r="B582"/>
      <c r="C582"/>
      <c r="D582"/>
      <c r="E582"/>
      <c r="KM582" s="27" t="s">
        <v>8</v>
      </c>
    </row>
    <row r="583" spans="1:299" x14ac:dyDescent="0.25">
      <c r="A583" s="7">
        <v>1.08243216</v>
      </c>
      <c r="B583"/>
      <c r="C583"/>
      <c r="D583"/>
      <c r="E583"/>
      <c r="KM583" s="27" t="s">
        <v>8</v>
      </c>
    </row>
    <row r="584" spans="1:299" x14ac:dyDescent="0.25">
      <c r="A584" s="7">
        <v>1.0612079999999999</v>
      </c>
      <c r="B584"/>
      <c r="C584"/>
      <c r="D584"/>
      <c r="E584"/>
      <c r="KM584" s="27" t="s">
        <v>8</v>
      </c>
    </row>
    <row r="585" spans="1:299" x14ac:dyDescent="0.25">
      <c r="A585" s="7">
        <v>1.0404</v>
      </c>
      <c r="B585"/>
      <c r="C585"/>
      <c r="D585"/>
      <c r="E585"/>
      <c r="KM585" s="27" t="s">
        <v>8</v>
      </c>
    </row>
    <row r="586" spans="1:299" x14ac:dyDescent="0.25">
      <c r="A586" s="7">
        <v>1.02</v>
      </c>
      <c r="B586"/>
      <c r="C586"/>
      <c r="D586"/>
      <c r="E586"/>
      <c r="KM586" s="27" t="s">
        <v>8</v>
      </c>
    </row>
    <row r="587" spans="1:299" x14ac:dyDescent="0.25">
      <c r="A587" s="7">
        <v>1</v>
      </c>
      <c r="B587"/>
      <c r="C587"/>
      <c r="D587"/>
      <c r="E587" s="29" t="s">
        <v>8</v>
      </c>
      <c r="KM587" s="27" t="s">
        <v>8</v>
      </c>
    </row>
    <row r="588" spans="1:299" x14ac:dyDescent="0.25">
      <c r="A588" s="7">
        <v>0.98039215686274506</v>
      </c>
      <c r="B588"/>
      <c r="C588"/>
      <c r="D588"/>
      <c r="E588"/>
      <c r="F588" s="27" t="s">
        <v>7</v>
      </c>
      <c r="KM588" s="27" t="s">
        <v>8</v>
      </c>
    </row>
    <row r="589" spans="1:299" x14ac:dyDescent="0.25">
      <c r="A589" s="7">
        <v>0.96116878123798544</v>
      </c>
      <c r="B589"/>
      <c r="C589"/>
      <c r="D589"/>
      <c r="E589"/>
      <c r="F589" s="27" t="s">
        <v>7</v>
      </c>
      <c r="KM589" s="27" t="s">
        <v>8</v>
      </c>
    </row>
    <row r="590" spans="1:299" x14ac:dyDescent="0.25">
      <c r="A590" s="7">
        <v>0.94232233454704462</v>
      </c>
      <c r="B590"/>
      <c r="C590"/>
      <c r="D590"/>
      <c r="E590"/>
      <c r="F590" s="27" t="s">
        <v>7</v>
      </c>
      <c r="KK590" s="27" t="s">
        <v>8</v>
      </c>
      <c r="KM590" s="27" t="s">
        <v>8</v>
      </c>
    </row>
    <row r="591" spans="1:299" x14ac:dyDescent="0.25">
      <c r="A591" s="7">
        <v>0.92384542602651432</v>
      </c>
      <c r="B591"/>
      <c r="C591"/>
      <c r="D591"/>
      <c r="E591"/>
      <c r="F591" s="27" t="s">
        <v>7</v>
      </c>
      <c r="KK591" s="27" t="s">
        <v>8</v>
      </c>
      <c r="KL591" s="27" t="s">
        <v>7</v>
      </c>
      <c r="KM591" s="27" t="s">
        <v>8</v>
      </c>
    </row>
    <row r="592" spans="1:299" x14ac:dyDescent="0.25">
      <c r="A592" s="7">
        <v>0.90573080982991594</v>
      </c>
      <c r="B592"/>
      <c r="C592"/>
      <c r="D592"/>
      <c r="E592"/>
      <c r="F592" s="27" t="s">
        <v>7</v>
      </c>
      <c r="KI592" s="27" t="s">
        <v>8</v>
      </c>
      <c r="KK592" s="27" t="s">
        <v>8</v>
      </c>
      <c r="KL592" s="27" t="s">
        <v>7</v>
      </c>
      <c r="KM592" s="27" t="s">
        <v>8</v>
      </c>
    </row>
    <row r="593" spans="1:299" x14ac:dyDescent="0.25">
      <c r="A593" s="7">
        <v>0.8879713821861922</v>
      </c>
      <c r="B593"/>
      <c r="C593"/>
      <c r="D593"/>
      <c r="E593"/>
      <c r="F593" s="27" t="s">
        <v>7</v>
      </c>
      <c r="KI593" s="27" t="s">
        <v>8</v>
      </c>
      <c r="KJ593" s="27" t="s">
        <v>7</v>
      </c>
      <c r="KK593" s="27" t="s">
        <v>8</v>
      </c>
      <c r="KL593" s="27" t="s">
        <v>7</v>
      </c>
      <c r="KM593" s="27" t="s">
        <v>8</v>
      </c>
    </row>
    <row r="594" spans="1:299" x14ac:dyDescent="0.25">
      <c r="A594" s="7">
        <v>0.87056017861391399</v>
      </c>
      <c r="B594"/>
      <c r="C594"/>
      <c r="D594"/>
      <c r="E594"/>
      <c r="F594" s="27" t="s">
        <v>7</v>
      </c>
      <c r="KI594" s="27" t="s">
        <v>8</v>
      </c>
      <c r="KJ594" s="27" t="s">
        <v>7</v>
      </c>
      <c r="KK594" s="27" t="s">
        <v>8</v>
      </c>
      <c r="KL594" s="27" t="s">
        <v>7</v>
      </c>
    </row>
    <row r="595" spans="1:299" x14ac:dyDescent="0.25">
      <c r="A595" s="7">
        <v>0.85349037119011173</v>
      </c>
      <c r="B595"/>
      <c r="C595"/>
      <c r="D595"/>
      <c r="E595"/>
      <c r="F595" s="27" t="s">
        <v>7</v>
      </c>
      <c r="KI595" s="27" t="s">
        <v>8</v>
      </c>
      <c r="KJ595" s="27" t="s">
        <v>7</v>
      </c>
      <c r="KK595" s="27" t="s">
        <v>8</v>
      </c>
    </row>
    <row r="596" spans="1:299" x14ac:dyDescent="0.25">
      <c r="A596" s="7">
        <v>0.83675526587265858</v>
      </c>
      <c r="B596"/>
      <c r="C596"/>
      <c r="D596"/>
      <c r="E596"/>
      <c r="F596" s="27" t="s">
        <v>7</v>
      </c>
      <c r="KI596" s="27" t="s">
        <v>8</v>
      </c>
      <c r="KJ596" s="27" t="s">
        <v>7</v>
      </c>
      <c r="KK596" s="27" t="s">
        <v>8</v>
      </c>
    </row>
    <row r="597" spans="1:299" x14ac:dyDescent="0.25">
      <c r="A597" s="7">
        <v>0.82034829987515545</v>
      </c>
      <c r="B597"/>
      <c r="C597"/>
      <c r="D597"/>
      <c r="E597"/>
      <c r="F597" s="27" t="s">
        <v>7</v>
      </c>
      <c r="KI597" s="27" t="s">
        <v>8</v>
      </c>
      <c r="KJ597" s="27" t="s">
        <v>7</v>
      </c>
      <c r="KK597" s="27" t="s">
        <v>8</v>
      </c>
    </row>
    <row r="598" spans="1:299" x14ac:dyDescent="0.25">
      <c r="A598" s="7">
        <v>0.80426303909328967</v>
      </c>
      <c r="B598"/>
      <c r="C598"/>
      <c r="D598"/>
      <c r="E598"/>
      <c r="F598" s="27" t="s">
        <v>7</v>
      </c>
      <c r="KI598" s="27" t="s">
        <v>8</v>
      </c>
      <c r="KJ598" s="27" t="s">
        <v>7</v>
      </c>
    </row>
    <row r="599" spans="1:299" x14ac:dyDescent="0.25">
      <c r="A599" s="7">
        <v>0.78849317558165644</v>
      </c>
      <c r="B599"/>
      <c r="C599"/>
      <c r="D599"/>
      <c r="E599"/>
      <c r="F599" s="27" t="s">
        <v>7</v>
      </c>
      <c r="IY599" s="27" t="s">
        <v>8</v>
      </c>
      <c r="JA599" s="27" t="s">
        <v>8</v>
      </c>
      <c r="KG599" s="27" t="s">
        <v>8</v>
      </c>
      <c r="KI599" s="27" t="s">
        <v>8</v>
      </c>
    </row>
    <row r="600" spans="1:299" x14ac:dyDescent="0.25">
      <c r="A600" s="7">
        <v>0.77303252508005538</v>
      </c>
      <c r="B600"/>
      <c r="C600"/>
      <c r="D600"/>
      <c r="E600"/>
      <c r="F600" s="27" t="s">
        <v>7</v>
      </c>
      <c r="IY600" s="27" t="s">
        <v>8</v>
      </c>
      <c r="IZ600" s="27" t="s">
        <v>7</v>
      </c>
      <c r="JA600" s="27" t="s">
        <v>8</v>
      </c>
      <c r="JB600" s="27" t="s">
        <v>7</v>
      </c>
      <c r="JC600" s="27" t="s">
        <v>8</v>
      </c>
      <c r="KG600" s="27" t="s">
        <v>8</v>
      </c>
      <c r="KH600" s="27" t="s">
        <v>7</v>
      </c>
      <c r="KI600" s="27" t="s">
        <v>8</v>
      </c>
    </row>
    <row r="601" spans="1:299" x14ac:dyDescent="0.25">
      <c r="A601" s="7">
        <v>0.75787502458828959</v>
      </c>
      <c r="B601"/>
      <c r="C601"/>
      <c r="D601"/>
      <c r="E601"/>
      <c r="F601" s="27" t="s">
        <v>7</v>
      </c>
      <c r="IY601" s="27" t="s">
        <v>8</v>
      </c>
      <c r="IZ601" s="27" t="s">
        <v>7</v>
      </c>
      <c r="JA601" s="27" t="s">
        <v>8</v>
      </c>
      <c r="JB601" s="27" t="s">
        <v>7</v>
      </c>
      <c r="JC601" s="27" t="s">
        <v>8</v>
      </c>
      <c r="JD601" s="27" t="s">
        <v>7</v>
      </c>
      <c r="KG601" s="27" t="s">
        <v>8</v>
      </c>
      <c r="KH601" s="27" t="s">
        <v>7</v>
      </c>
      <c r="KI601" s="27" t="s">
        <v>8</v>
      </c>
    </row>
    <row r="602" spans="1:299" x14ac:dyDescent="0.25">
      <c r="A602" s="7">
        <v>0.74301472998851925</v>
      </c>
      <c r="B602"/>
      <c r="C602"/>
      <c r="D602"/>
      <c r="E602"/>
      <c r="F602" s="27" t="s">
        <v>7</v>
      </c>
      <c r="IY602" s="27" t="s">
        <v>8</v>
      </c>
      <c r="IZ602" s="27" t="s">
        <v>7</v>
      </c>
      <c r="JA602" s="27" t="s">
        <v>8</v>
      </c>
      <c r="JB602" s="27" t="s">
        <v>7</v>
      </c>
      <c r="JC602" s="27" t="s">
        <v>8</v>
      </c>
      <c r="JD602" s="27" t="s">
        <v>7</v>
      </c>
      <c r="JY602" s="27" t="s">
        <v>8</v>
      </c>
      <c r="KE602" s="27" t="s">
        <v>8</v>
      </c>
      <c r="KG602" s="27" t="s">
        <v>8</v>
      </c>
      <c r="KH602" s="27" t="s">
        <v>7</v>
      </c>
      <c r="KI602" s="27" t="s">
        <v>8</v>
      </c>
    </row>
    <row r="603" spans="1:299" x14ac:dyDescent="0.25">
      <c r="A603" s="7">
        <v>0.72844581371423456</v>
      </c>
      <c r="B603"/>
      <c r="C603"/>
      <c r="D603"/>
      <c r="E603"/>
      <c r="F603" s="27" t="s">
        <v>7</v>
      </c>
      <c r="IY603" s="27" t="s">
        <v>8</v>
      </c>
      <c r="IZ603" s="27" t="s">
        <v>7</v>
      </c>
      <c r="JA603" s="27" t="s">
        <v>8</v>
      </c>
      <c r="JB603" s="27" t="s">
        <v>7</v>
      </c>
      <c r="JC603" s="27" t="s">
        <v>8</v>
      </c>
      <c r="JD603" s="27" t="s">
        <v>7</v>
      </c>
      <c r="JI603" s="27" t="s">
        <v>8</v>
      </c>
      <c r="JY603" s="27" t="s">
        <v>8</v>
      </c>
      <c r="JZ603" s="27" t="s">
        <v>7</v>
      </c>
      <c r="KE603" s="27" t="s">
        <v>8</v>
      </c>
      <c r="KF603" s="27" t="s">
        <v>7</v>
      </c>
      <c r="KG603" s="27" t="s">
        <v>8</v>
      </c>
      <c r="KH603" s="27" t="s">
        <v>7</v>
      </c>
      <c r="KI603" s="27" t="s">
        <v>8</v>
      </c>
    </row>
    <row r="604" spans="1:299" x14ac:dyDescent="0.25">
      <c r="A604" s="7">
        <v>0.71416256246493581</v>
      </c>
      <c r="B604"/>
      <c r="C604"/>
      <c r="D604"/>
      <c r="E604"/>
      <c r="F604" s="27" t="s">
        <v>7</v>
      </c>
      <c r="IY604" s="27" t="s">
        <v>8</v>
      </c>
      <c r="IZ604" s="27" t="s">
        <v>7</v>
      </c>
      <c r="JA604" s="27" t="s">
        <v>8</v>
      </c>
      <c r="JB604" s="27" t="s">
        <v>7</v>
      </c>
      <c r="JC604" s="27" t="s">
        <v>8</v>
      </c>
      <c r="JD604" s="27" t="s">
        <v>7</v>
      </c>
      <c r="JI604" s="27" t="s">
        <v>8</v>
      </c>
      <c r="JJ604" s="27" t="s">
        <v>7</v>
      </c>
      <c r="JO604" s="27" t="s">
        <v>8</v>
      </c>
      <c r="JY604" s="27" t="s">
        <v>8</v>
      </c>
      <c r="JZ604" s="27" t="s">
        <v>7</v>
      </c>
      <c r="KE604" s="27" t="s">
        <v>8</v>
      </c>
      <c r="KF604" s="27" t="s">
        <v>7</v>
      </c>
      <c r="KG604" s="27" t="s">
        <v>8</v>
      </c>
      <c r="KH604" s="27" t="s">
        <v>7</v>
      </c>
      <c r="KI604" s="27" t="s">
        <v>8</v>
      </c>
    </row>
    <row r="605" spans="1:299" x14ac:dyDescent="0.25">
      <c r="A605" s="7">
        <v>0.7001593749656233</v>
      </c>
      <c r="B605"/>
      <c r="C605"/>
      <c r="D605"/>
      <c r="E605"/>
      <c r="F605" s="27" t="s">
        <v>7</v>
      </c>
      <c r="IY605" s="27" t="s">
        <v>8</v>
      </c>
      <c r="IZ605" s="27" t="s">
        <v>7</v>
      </c>
      <c r="JA605" s="27" t="s">
        <v>8</v>
      </c>
      <c r="JB605" s="27" t="s">
        <v>7</v>
      </c>
      <c r="JC605" s="27" t="s">
        <v>8</v>
      </c>
      <c r="JD605" s="27" t="s">
        <v>7</v>
      </c>
      <c r="JI605" s="27" t="s">
        <v>8</v>
      </c>
      <c r="JJ605" s="27" t="s">
        <v>7</v>
      </c>
      <c r="JO605" s="27" t="s">
        <v>8</v>
      </c>
      <c r="JP605" s="27" t="s">
        <v>7</v>
      </c>
      <c r="JW605" s="27" t="s">
        <v>8</v>
      </c>
      <c r="JY605" s="27" t="s">
        <v>8</v>
      </c>
      <c r="JZ605" s="27" t="s">
        <v>7</v>
      </c>
      <c r="KE605" s="27" t="s">
        <v>8</v>
      </c>
      <c r="KF605" s="27" t="s">
        <v>7</v>
      </c>
      <c r="KG605" s="27" t="s">
        <v>8</v>
      </c>
      <c r="KH605" s="27" t="s">
        <v>7</v>
      </c>
      <c r="KI605" s="27" t="s">
        <v>8</v>
      </c>
    </row>
    <row r="606" spans="1:299" x14ac:dyDescent="0.25">
      <c r="A606" s="7">
        <v>0.68643075977021883</v>
      </c>
      <c r="B606"/>
      <c r="C606"/>
      <c r="D606"/>
      <c r="E606"/>
      <c r="F606" s="27" t="s">
        <v>7</v>
      </c>
      <c r="IY606" s="27" t="s">
        <v>8</v>
      </c>
      <c r="IZ606" s="27" t="s">
        <v>7</v>
      </c>
      <c r="JA606" s="27" t="s">
        <v>8</v>
      </c>
      <c r="JB606" s="27" t="s">
        <v>7</v>
      </c>
      <c r="JC606" s="27" t="s">
        <v>8</v>
      </c>
      <c r="JD606" s="27" t="s">
        <v>7</v>
      </c>
      <c r="JI606" s="27" t="s">
        <v>8</v>
      </c>
      <c r="JJ606" s="27" t="s">
        <v>7</v>
      </c>
      <c r="JO606" s="27" t="s">
        <v>8</v>
      </c>
      <c r="JP606" s="27" t="s">
        <v>7</v>
      </c>
      <c r="JW606" s="27" t="s">
        <v>8</v>
      </c>
      <c r="JX606" s="27" t="s">
        <v>7</v>
      </c>
      <c r="JY606" s="27" t="s">
        <v>8</v>
      </c>
      <c r="JZ606" s="27" t="s">
        <v>7</v>
      </c>
      <c r="KE606" s="27" t="s">
        <v>8</v>
      </c>
      <c r="KF606" s="27" t="s">
        <v>7</v>
      </c>
      <c r="KG606" s="27" t="s">
        <v>8</v>
      </c>
      <c r="KH606" s="27" t="s">
        <v>7</v>
      </c>
      <c r="KI606" s="27" t="s">
        <v>8</v>
      </c>
    </row>
    <row r="607" spans="1:299" x14ac:dyDescent="0.25">
      <c r="A607" s="7">
        <v>0.67297133310805768</v>
      </c>
      <c r="B607"/>
      <c r="C607"/>
      <c r="D607"/>
      <c r="E607"/>
      <c r="F607" s="27" t="s">
        <v>7</v>
      </c>
      <c r="IY607" s="27" t="s">
        <v>8</v>
      </c>
      <c r="IZ607" s="27" t="s">
        <v>7</v>
      </c>
      <c r="JA607" s="27" t="s">
        <v>8</v>
      </c>
      <c r="JB607" s="27" t="s">
        <v>7</v>
      </c>
      <c r="JC607" s="27" t="s">
        <v>8</v>
      </c>
      <c r="JD607" s="27" t="s">
        <v>7</v>
      </c>
      <c r="JE607" s="27" t="s">
        <v>8</v>
      </c>
      <c r="JG607" s="27" t="s">
        <v>8</v>
      </c>
      <c r="JI607" s="27" t="s">
        <v>8</v>
      </c>
      <c r="JJ607" s="27" t="s">
        <v>7</v>
      </c>
      <c r="JO607" s="27" t="s">
        <v>8</v>
      </c>
      <c r="JP607" s="27" t="s">
        <v>7</v>
      </c>
      <c r="JU607" s="27" t="s">
        <v>8</v>
      </c>
      <c r="JW607" s="27" t="s">
        <v>8</v>
      </c>
      <c r="JX607" s="27" t="s">
        <v>7</v>
      </c>
      <c r="JY607" s="27" t="s">
        <v>8</v>
      </c>
      <c r="JZ607" s="27" t="s">
        <v>7</v>
      </c>
      <c r="KE607" s="27" t="s">
        <v>8</v>
      </c>
      <c r="KF607" s="27" t="s">
        <v>7</v>
      </c>
      <c r="KH607" s="27" t="s">
        <v>7</v>
      </c>
      <c r="KI607" s="27" t="s">
        <v>8</v>
      </c>
    </row>
    <row r="608" spans="1:299" x14ac:dyDescent="0.25">
      <c r="A608" s="7">
        <v>0.65977581677260566</v>
      </c>
      <c r="B608"/>
      <c r="C608"/>
      <c r="D608"/>
      <c r="E608"/>
      <c r="F608" s="27" t="s">
        <v>7</v>
      </c>
      <c r="IY608" s="27" t="s">
        <v>8</v>
      </c>
      <c r="IZ608" s="27" t="s">
        <v>7</v>
      </c>
      <c r="JB608" s="27" t="s">
        <v>7</v>
      </c>
      <c r="JD608" s="27" t="s">
        <v>7</v>
      </c>
      <c r="JE608" s="27" t="s">
        <v>8</v>
      </c>
      <c r="JF608" s="27" t="s">
        <v>7</v>
      </c>
      <c r="JG608" s="27" t="s">
        <v>8</v>
      </c>
      <c r="JH608" s="27" t="s">
        <v>7</v>
      </c>
      <c r="JI608" s="27" t="s">
        <v>8</v>
      </c>
      <c r="JJ608" s="27" t="s">
        <v>7</v>
      </c>
      <c r="JO608" s="27" t="s">
        <v>8</v>
      </c>
      <c r="JP608" s="27" t="s">
        <v>7</v>
      </c>
      <c r="JU608" s="27" t="s">
        <v>8</v>
      </c>
      <c r="JV608" s="27" t="s">
        <v>7</v>
      </c>
      <c r="JW608" s="27" t="s">
        <v>8</v>
      </c>
      <c r="JX608" s="27" t="s">
        <v>7</v>
      </c>
      <c r="JY608" s="27" t="s">
        <v>8</v>
      </c>
      <c r="JZ608" s="27" t="s">
        <v>7</v>
      </c>
      <c r="KC608" s="27" t="s">
        <v>8</v>
      </c>
      <c r="KE608" s="27" t="s">
        <v>8</v>
      </c>
      <c r="KH608" s="27" t="s">
        <v>7</v>
      </c>
      <c r="KI608" s="27" t="s">
        <v>8</v>
      </c>
    </row>
    <row r="609" spans="1:294" x14ac:dyDescent="0.25">
      <c r="A609" s="7">
        <v>0.64683903605157422</v>
      </c>
      <c r="B609"/>
      <c r="C609"/>
      <c r="D609"/>
      <c r="E609"/>
      <c r="F609" s="27" t="s">
        <v>7</v>
      </c>
      <c r="IY609" s="27" t="s">
        <v>8</v>
      </c>
      <c r="JD609" s="27" t="s">
        <v>7</v>
      </c>
      <c r="JE609" s="27" t="s">
        <v>8</v>
      </c>
      <c r="JF609" s="27" t="s">
        <v>7</v>
      </c>
      <c r="JG609" s="27" t="s">
        <v>8</v>
      </c>
      <c r="JH609" s="27" t="s">
        <v>7</v>
      </c>
      <c r="JI609" s="27" t="s">
        <v>8</v>
      </c>
      <c r="JJ609" s="27" t="s">
        <v>7</v>
      </c>
      <c r="JO609" s="27" t="s">
        <v>8</v>
      </c>
      <c r="JP609" s="27" t="s">
        <v>7</v>
      </c>
      <c r="JQ609" s="27" t="s">
        <v>8</v>
      </c>
      <c r="JU609" s="27" t="s">
        <v>8</v>
      </c>
      <c r="JV609" s="27" t="s">
        <v>7</v>
      </c>
      <c r="JW609" s="27" t="s">
        <v>8</v>
      </c>
      <c r="JX609" s="27" t="s">
        <v>7</v>
      </c>
      <c r="JY609" s="27" t="s">
        <v>8</v>
      </c>
      <c r="JZ609" s="27" t="s">
        <v>7</v>
      </c>
      <c r="KC609" s="27" t="s">
        <v>8</v>
      </c>
      <c r="KD609" s="27" t="s">
        <v>7</v>
      </c>
      <c r="KE609" s="27" t="s">
        <v>8</v>
      </c>
      <c r="KH609" s="27" t="s">
        <v>7</v>
      </c>
    </row>
    <row r="610" spans="1:294" x14ac:dyDescent="0.25">
      <c r="A610" s="7">
        <v>0.63415591769762181</v>
      </c>
      <c r="B610"/>
      <c r="C610"/>
      <c r="D610"/>
      <c r="E610"/>
      <c r="F610" s="27" t="s">
        <v>7</v>
      </c>
      <c r="IY610" s="27" t="s">
        <v>8</v>
      </c>
      <c r="JD610" s="27" t="s">
        <v>7</v>
      </c>
      <c r="JE610" s="27" t="s">
        <v>8</v>
      </c>
      <c r="JF610" s="27" t="s">
        <v>7</v>
      </c>
      <c r="JG610" s="27" t="s">
        <v>8</v>
      </c>
      <c r="JH610" s="27" t="s">
        <v>7</v>
      </c>
      <c r="JI610" s="27" t="s">
        <v>8</v>
      </c>
      <c r="JJ610" s="27" t="s">
        <v>7</v>
      </c>
      <c r="JK610" s="27" t="s">
        <v>8</v>
      </c>
      <c r="JM610" s="27" t="s">
        <v>8</v>
      </c>
      <c r="JO610" s="27" t="s">
        <v>8</v>
      </c>
      <c r="JP610" s="27" t="s">
        <v>7</v>
      </c>
      <c r="JQ610" s="27" t="s">
        <v>8</v>
      </c>
      <c r="JR610" s="27" t="s">
        <v>7</v>
      </c>
      <c r="JS610" s="27" t="s">
        <v>8</v>
      </c>
      <c r="JU610" s="27" t="s">
        <v>8</v>
      </c>
      <c r="JV610" s="27" t="s">
        <v>7</v>
      </c>
      <c r="JW610" s="27" t="s">
        <v>8</v>
      </c>
      <c r="JX610" s="27" t="s">
        <v>7</v>
      </c>
      <c r="JZ610" s="27" t="s">
        <v>7</v>
      </c>
      <c r="KA610" s="27" t="s">
        <v>8</v>
      </c>
      <c r="KC610" s="27" t="s">
        <v>8</v>
      </c>
      <c r="KD610" s="27" t="s">
        <v>7</v>
      </c>
      <c r="KE610" s="27" t="s">
        <v>8</v>
      </c>
    </row>
    <row r="611" spans="1:294" x14ac:dyDescent="0.25">
      <c r="A611" s="7">
        <v>0.62172148793884496</v>
      </c>
      <c r="B611"/>
      <c r="C611"/>
      <c r="D611"/>
      <c r="E611"/>
      <c r="F611" s="27" t="s">
        <v>7</v>
      </c>
      <c r="IY611" s="27" t="s">
        <v>8</v>
      </c>
      <c r="JD611" s="27" t="s">
        <v>7</v>
      </c>
      <c r="JF611" s="27" t="s">
        <v>7</v>
      </c>
      <c r="JG611" s="27" t="s">
        <v>8</v>
      </c>
      <c r="JH611" s="27" t="s">
        <v>7</v>
      </c>
      <c r="JJ611" s="27" t="s">
        <v>7</v>
      </c>
      <c r="JK611" s="27" t="s">
        <v>8</v>
      </c>
      <c r="JL611" s="27" t="s">
        <v>7</v>
      </c>
      <c r="JM611" s="27" t="s">
        <v>8</v>
      </c>
      <c r="JN611" s="27" t="s">
        <v>7</v>
      </c>
      <c r="JO611" s="27" t="s">
        <v>8</v>
      </c>
      <c r="JP611" s="27" t="s">
        <v>7</v>
      </c>
      <c r="JQ611" s="27" t="s">
        <v>8</v>
      </c>
      <c r="JR611" s="27" t="s">
        <v>7</v>
      </c>
      <c r="JS611" s="27" t="s">
        <v>8</v>
      </c>
      <c r="JT611" s="27" t="s">
        <v>7</v>
      </c>
      <c r="JU611" s="27" t="s">
        <v>8</v>
      </c>
      <c r="JV611" s="27" t="s">
        <v>7</v>
      </c>
      <c r="JZ611" s="27" t="s">
        <v>7</v>
      </c>
      <c r="KA611" s="27" t="s">
        <v>8</v>
      </c>
      <c r="KB611" s="27" t="s">
        <v>7</v>
      </c>
      <c r="KC611" s="27" t="s">
        <v>8</v>
      </c>
      <c r="KD611" s="27" t="s">
        <v>7</v>
      </c>
      <c r="KE611" s="27" t="s">
        <v>8</v>
      </c>
    </row>
    <row r="612" spans="1:294" x14ac:dyDescent="0.25">
      <c r="A612" s="7">
        <v>0.60953087052827937</v>
      </c>
      <c r="B612"/>
      <c r="C612"/>
      <c r="D612"/>
      <c r="E612"/>
      <c r="F612" s="27" t="s">
        <v>7</v>
      </c>
      <c r="IW612" s="27" t="s">
        <v>8</v>
      </c>
      <c r="IY612" s="27" t="s">
        <v>8</v>
      </c>
      <c r="JF612" s="27" t="s">
        <v>7</v>
      </c>
      <c r="JG612" s="27" t="s">
        <v>8</v>
      </c>
      <c r="JJ612" s="27" t="s">
        <v>7</v>
      </c>
      <c r="JK612" s="27" t="s">
        <v>8</v>
      </c>
      <c r="JL612" s="27" t="s">
        <v>7</v>
      </c>
      <c r="JM612" s="27" t="s">
        <v>8</v>
      </c>
      <c r="JN612" s="27" t="s">
        <v>7</v>
      </c>
      <c r="JO612" s="27" t="s">
        <v>8</v>
      </c>
      <c r="JP612" s="27" t="s">
        <v>7</v>
      </c>
      <c r="JR612" s="27" t="s">
        <v>7</v>
      </c>
      <c r="JS612" s="27" t="s">
        <v>8</v>
      </c>
      <c r="JT612" s="27" t="s">
        <v>7</v>
      </c>
      <c r="JU612" s="27" t="s">
        <v>8</v>
      </c>
      <c r="JZ612" s="27" t="s">
        <v>7</v>
      </c>
      <c r="KA612" s="27" t="s">
        <v>8</v>
      </c>
      <c r="KB612" s="27" t="s">
        <v>7</v>
      </c>
      <c r="KC612" s="27" t="s">
        <v>8</v>
      </c>
      <c r="KD612" s="27" t="s">
        <v>7</v>
      </c>
    </row>
    <row r="613" spans="1:294" x14ac:dyDescent="0.25">
      <c r="A613" s="7">
        <v>0.59757928483164646</v>
      </c>
      <c r="B613"/>
      <c r="C613"/>
      <c r="D613"/>
      <c r="E613"/>
      <c r="F613" s="27" t="s">
        <v>7</v>
      </c>
      <c r="IW613" s="27" t="s">
        <v>8</v>
      </c>
      <c r="IX613" s="27" t="s">
        <v>7</v>
      </c>
      <c r="IY613" s="27" t="s">
        <v>8</v>
      </c>
      <c r="JF613" s="27" t="s">
        <v>7</v>
      </c>
      <c r="JG613" s="27" t="s">
        <v>8</v>
      </c>
      <c r="JJ613" s="27" t="s">
        <v>7</v>
      </c>
      <c r="JK613" s="27" t="s">
        <v>8</v>
      </c>
      <c r="JL613" s="27" t="s">
        <v>7</v>
      </c>
      <c r="JM613" s="27" t="s">
        <v>8</v>
      </c>
      <c r="JN613" s="27" t="s">
        <v>7</v>
      </c>
      <c r="JO613" s="27" t="s">
        <v>8</v>
      </c>
      <c r="JR613" s="27" t="s">
        <v>7</v>
      </c>
      <c r="JT613" s="27" t="s">
        <v>7</v>
      </c>
      <c r="JZ613" s="27" t="s">
        <v>7</v>
      </c>
      <c r="KA613" s="27" t="s">
        <v>8</v>
      </c>
      <c r="KB613" s="27" t="s">
        <v>7</v>
      </c>
    </row>
    <row r="614" spans="1:294" x14ac:dyDescent="0.25">
      <c r="A614" s="7">
        <v>0.58586204395259456</v>
      </c>
      <c r="B614"/>
      <c r="C614"/>
      <c r="D614"/>
      <c r="E614"/>
      <c r="F614" s="27" t="s">
        <v>7</v>
      </c>
      <c r="GQ614" s="27" t="s">
        <v>8</v>
      </c>
      <c r="IG614" s="27" t="s">
        <v>8</v>
      </c>
      <c r="IW614" s="27" t="s">
        <v>8</v>
      </c>
      <c r="IX614" s="27" t="s">
        <v>7</v>
      </c>
      <c r="IY614" s="27" t="s">
        <v>8</v>
      </c>
      <c r="JF614" s="27" t="s">
        <v>7</v>
      </c>
      <c r="JG614" s="27" t="s">
        <v>8</v>
      </c>
      <c r="JJ614" s="27" t="s">
        <v>7</v>
      </c>
      <c r="JL614" s="27" t="s">
        <v>7</v>
      </c>
      <c r="JN614" s="27" t="s">
        <v>7</v>
      </c>
      <c r="JO614" s="27" t="s">
        <v>8</v>
      </c>
      <c r="JZ614" s="27" t="s">
        <v>7</v>
      </c>
      <c r="KA614" s="27" t="s">
        <v>8</v>
      </c>
    </row>
    <row r="615" spans="1:294" x14ac:dyDescent="0.25">
      <c r="A615" s="7">
        <v>0.57437455289470052</v>
      </c>
      <c r="B615"/>
      <c r="C615"/>
      <c r="D615"/>
      <c r="E615"/>
      <c r="F615" s="27" t="s">
        <v>7</v>
      </c>
      <c r="GQ615" s="27" t="s">
        <v>8</v>
      </c>
      <c r="GR615" s="27" t="s">
        <v>7</v>
      </c>
      <c r="IG615" s="27" t="s">
        <v>8</v>
      </c>
      <c r="IH615" s="27" t="s">
        <v>7</v>
      </c>
      <c r="IW615" s="27" t="s">
        <v>8</v>
      </c>
      <c r="IX615" s="27" t="s">
        <v>7</v>
      </c>
      <c r="IY615" s="27" t="s">
        <v>8</v>
      </c>
      <c r="JF615" s="27" t="s">
        <v>7</v>
      </c>
      <c r="JN615" s="27" t="s">
        <v>7</v>
      </c>
      <c r="JO615" s="27" t="s">
        <v>8</v>
      </c>
      <c r="JZ615" s="27" t="s">
        <v>7</v>
      </c>
    </row>
    <row r="616" spans="1:294" x14ac:dyDescent="0.25">
      <c r="A616" s="7">
        <v>0.56311230675951029</v>
      </c>
      <c r="B616"/>
      <c r="C616"/>
      <c r="D616"/>
      <c r="E616"/>
      <c r="F616" s="27" t="s">
        <v>7</v>
      </c>
      <c r="GQ616" s="27" t="s">
        <v>8</v>
      </c>
      <c r="GR616" s="27" t="s">
        <v>7</v>
      </c>
      <c r="IG616" s="27" t="s">
        <v>8</v>
      </c>
      <c r="IH616" s="27" t="s">
        <v>7</v>
      </c>
      <c r="IU616" s="27" t="s">
        <v>8</v>
      </c>
      <c r="IW616" s="27" t="s">
        <v>8</v>
      </c>
      <c r="IX616" s="27" t="s">
        <v>7</v>
      </c>
      <c r="IY616" s="27" t="s">
        <v>8</v>
      </c>
      <c r="JN616" s="27" t="s">
        <v>7</v>
      </c>
    </row>
    <row r="617" spans="1:294" x14ac:dyDescent="0.25">
      <c r="A617" s="7">
        <v>0.55207088897991208</v>
      </c>
      <c r="B617"/>
      <c r="C617"/>
      <c r="D617"/>
      <c r="E617"/>
      <c r="F617" s="27" t="s">
        <v>7</v>
      </c>
      <c r="GQ617" s="27" t="s">
        <v>8</v>
      </c>
      <c r="GR617" s="27" t="s">
        <v>7</v>
      </c>
      <c r="IG617" s="27" t="s">
        <v>8</v>
      </c>
      <c r="IH617" s="27" t="s">
        <v>7</v>
      </c>
      <c r="IU617" s="27" t="s">
        <v>8</v>
      </c>
      <c r="IV617" s="27" t="s">
        <v>7</v>
      </c>
      <c r="IW617" s="27" t="s">
        <v>8</v>
      </c>
      <c r="IX617" s="27" t="s">
        <v>7</v>
      </c>
      <c r="IY617" s="27" t="s">
        <v>8</v>
      </c>
    </row>
    <row r="618" spans="1:294" x14ac:dyDescent="0.25">
      <c r="A618" s="7">
        <v>0.54124596958814908</v>
      </c>
      <c r="B618"/>
      <c r="C618"/>
      <c r="D618"/>
      <c r="E618"/>
      <c r="F618" s="27" t="s">
        <v>7</v>
      </c>
      <c r="GQ618" s="27" t="s">
        <v>8</v>
      </c>
      <c r="GR618" s="27" t="s">
        <v>7</v>
      </c>
      <c r="IG618" s="27" t="s">
        <v>8</v>
      </c>
      <c r="IH618" s="27" t="s">
        <v>7</v>
      </c>
      <c r="II618" s="27" t="s">
        <v>8</v>
      </c>
      <c r="IK618" s="27" t="s">
        <v>8</v>
      </c>
      <c r="IS618" s="27" t="s">
        <v>8</v>
      </c>
      <c r="IU618" s="27" t="s">
        <v>8</v>
      </c>
      <c r="IV618" s="27" t="s">
        <v>7</v>
      </c>
      <c r="IW618" s="27" t="s">
        <v>8</v>
      </c>
      <c r="IX618" s="27" t="s">
        <v>7</v>
      </c>
      <c r="IY618" s="27" t="s">
        <v>8</v>
      </c>
    </row>
    <row r="619" spans="1:294" x14ac:dyDescent="0.25">
      <c r="A619" s="7">
        <v>0.53063330351779314</v>
      </c>
      <c r="B619"/>
      <c r="C619"/>
      <c r="D619"/>
      <c r="E619"/>
      <c r="F619" s="27" t="s">
        <v>7</v>
      </c>
      <c r="GQ619" s="27" t="s">
        <v>8</v>
      </c>
      <c r="GR619" s="27" t="s">
        <v>7</v>
      </c>
      <c r="IG619" s="27" t="s">
        <v>8</v>
      </c>
      <c r="IH619" s="27" t="s">
        <v>7</v>
      </c>
      <c r="II619" s="27" t="s">
        <v>8</v>
      </c>
      <c r="IJ619" s="27" t="s">
        <v>7</v>
      </c>
      <c r="IK619" s="27" t="s">
        <v>8</v>
      </c>
      <c r="IL619" s="27" t="s">
        <v>7</v>
      </c>
      <c r="IS619" s="27" t="s">
        <v>8</v>
      </c>
      <c r="IT619" s="27" t="s">
        <v>7</v>
      </c>
      <c r="IU619" s="27" t="s">
        <v>8</v>
      </c>
      <c r="IV619" s="27" t="s">
        <v>7</v>
      </c>
      <c r="IW619" s="27" t="s">
        <v>8</v>
      </c>
      <c r="IX619" s="27" t="s">
        <v>7</v>
      </c>
    </row>
    <row r="620" spans="1:294" x14ac:dyDescent="0.25">
      <c r="A620" s="7">
        <v>0.52022872893901284</v>
      </c>
      <c r="B620"/>
      <c r="C620"/>
      <c r="D620"/>
      <c r="E620"/>
      <c r="F620" s="27" t="s">
        <v>7</v>
      </c>
      <c r="GQ620" s="27" t="s">
        <v>8</v>
      </c>
      <c r="GR620" s="27" t="s">
        <v>7</v>
      </c>
      <c r="IG620" s="27" t="s">
        <v>8</v>
      </c>
      <c r="IH620" s="27" t="s">
        <v>7</v>
      </c>
      <c r="II620" s="27" t="s">
        <v>8</v>
      </c>
      <c r="IJ620" s="27" t="s">
        <v>7</v>
      </c>
      <c r="IK620" s="27" t="s">
        <v>8</v>
      </c>
      <c r="IL620" s="27" t="s">
        <v>7</v>
      </c>
      <c r="IS620" s="27" t="s">
        <v>8</v>
      </c>
      <c r="IT620" s="27" t="s">
        <v>7</v>
      </c>
      <c r="IU620" s="27" t="s">
        <v>8</v>
      </c>
      <c r="IV620" s="27" t="s">
        <v>7</v>
      </c>
      <c r="IW620" s="27" t="s">
        <v>8</v>
      </c>
    </row>
    <row r="621" spans="1:294" x14ac:dyDescent="0.25">
      <c r="A621" s="7">
        <v>0.51002816562648323</v>
      </c>
      <c r="B621"/>
      <c r="C621"/>
      <c r="D621"/>
      <c r="E621"/>
      <c r="F621" s="27" t="s">
        <v>7</v>
      </c>
      <c r="GQ621" s="27" t="s">
        <v>8</v>
      </c>
      <c r="GR621" s="27" t="s">
        <v>7</v>
      </c>
      <c r="IG621" s="27" t="s">
        <v>8</v>
      </c>
      <c r="IH621" s="27" t="s">
        <v>7</v>
      </c>
      <c r="II621" s="27" t="s">
        <v>8</v>
      </c>
      <c r="IJ621" s="27" t="s">
        <v>7</v>
      </c>
      <c r="IK621" s="27" t="s">
        <v>8</v>
      </c>
      <c r="IL621" s="27" t="s">
        <v>7</v>
      </c>
      <c r="IM621" s="27" t="s">
        <v>8</v>
      </c>
      <c r="IS621" s="27" t="s">
        <v>8</v>
      </c>
      <c r="IT621" s="27" t="s">
        <v>7</v>
      </c>
      <c r="IU621" s="27" t="s">
        <v>8</v>
      </c>
      <c r="IV621" s="27" t="s">
        <v>7</v>
      </c>
      <c r="IW621" s="27" t="s">
        <v>8</v>
      </c>
    </row>
    <row r="622" spans="1:294" x14ac:dyDescent="0.25">
      <c r="A622" s="7">
        <v>0.50002761335929735</v>
      </c>
      <c r="B622"/>
      <c r="C622"/>
      <c r="D622"/>
      <c r="E622"/>
      <c r="F622" s="27" t="s">
        <v>7</v>
      </c>
      <c r="GQ622" s="27" t="s">
        <v>8</v>
      </c>
      <c r="GR622" s="27" t="s">
        <v>7</v>
      </c>
      <c r="IG622" s="27" t="s">
        <v>8</v>
      </c>
      <c r="IH622" s="27" t="s">
        <v>7</v>
      </c>
      <c r="II622" s="27" t="s">
        <v>8</v>
      </c>
      <c r="IJ622" s="27" t="s">
        <v>7</v>
      </c>
      <c r="IK622" s="27" t="s">
        <v>8</v>
      </c>
      <c r="IL622" s="27" t="s">
        <v>7</v>
      </c>
      <c r="IM622" s="27" t="s">
        <v>8</v>
      </c>
      <c r="IN622" s="27" t="s">
        <v>7</v>
      </c>
      <c r="IQ622" s="27" t="s">
        <v>8</v>
      </c>
      <c r="IS622" s="27" t="s">
        <v>8</v>
      </c>
      <c r="IT622" s="27" t="s">
        <v>7</v>
      </c>
      <c r="IV622" s="27" t="s">
        <v>7</v>
      </c>
    </row>
    <row r="623" spans="1:294" x14ac:dyDescent="0.25">
      <c r="A623" s="7">
        <v>0.49022315035225228</v>
      </c>
      <c r="B623"/>
      <c r="C623"/>
      <c r="D623"/>
      <c r="E623"/>
      <c r="F623" s="27" t="s">
        <v>7</v>
      </c>
      <c r="GQ623" s="27" t="s">
        <v>8</v>
      </c>
      <c r="GR623" s="27" t="s">
        <v>7</v>
      </c>
      <c r="IG623" s="27" t="s">
        <v>8</v>
      </c>
      <c r="IH623" s="27" t="s">
        <v>7</v>
      </c>
      <c r="II623" s="27" t="s">
        <v>8</v>
      </c>
      <c r="IJ623" s="27" t="s">
        <v>7</v>
      </c>
      <c r="IK623" s="27" t="s">
        <v>8</v>
      </c>
      <c r="IL623" s="27" t="s">
        <v>7</v>
      </c>
      <c r="IM623" s="27" t="s">
        <v>8</v>
      </c>
      <c r="IN623" s="27" t="s">
        <v>7</v>
      </c>
      <c r="IQ623" s="27" t="s">
        <v>8</v>
      </c>
      <c r="IR623" s="27" t="s">
        <v>7</v>
      </c>
      <c r="IS623" s="27" t="s">
        <v>8</v>
      </c>
    </row>
    <row r="624" spans="1:294" x14ac:dyDescent="0.25">
      <c r="A624" s="7">
        <v>0.48061093171789437</v>
      </c>
      <c r="B624"/>
      <c r="C624"/>
      <c r="D624"/>
      <c r="E624"/>
      <c r="F624" s="27" t="s">
        <v>7</v>
      </c>
      <c r="GQ624" s="27" t="s">
        <v>8</v>
      </c>
      <c r="GR624" s="27" t="s">
        <v>7</v>
      </c>
      <c r="IG624" s="27" t="s">
        <v>8</v>
      </c>
      <c r="IH624" s="27" t="s">
        <v>7</v>
      </c>
      <c r="II624" s="27" t="s">
        <v>8</v>
      </c>
      <c r="IJ624" s="27" t="s">
        <v>7</v>
      </c>
      <c r="IK624" s="27" t="s">
        <v>8</v>
      </c>
      <c r="IL624" s="27" t="s">
        <v>7</v>
      </c>
      <c r="IM624" s="27" t="s">
        <v>8</v>
      </c>
      <c r="IN624" s="27" t="s">
        <v>7</v>
      </c>
      <c r="IQ624" s="27" t="s">
        <v>8</v>
      </c>
      <c r="IR624" s="27" t="s">
        <v>7</v>
      </c>
      <c r="IS624" s="27" t="s">
        <v>8</v>
      </c>
    </row>
    <row r="625" spans="1:253" x14ac:dyDescent="0.25">
      <c r="A625" s="7">
        <v>0.47118718795871994</v>
      </c>
      <c r="B625"/>
      <c r="C625"/>
      <c r="D625"/>
      <c r="E625"/>
      <c r="F625" s="27" t="s">
        <v>7</v>
      </c>
      <c r="GQ625" s="27" t="s">
        <v>8</v>
      </c>
      <c r="GR625" s="27" t="s">
        <v>7</v>
      </c>
      <c r="IE625" s="27" t="s">
        <v>8</v>
      </c>
      <c r="IG625" s="27" t="s">
        <v>8</v>
      </c>
      <c r="IH625" s="27" t="s">
        <v>7</v>
      </c>
      <c r="IJ625" s="27" t="s">
        <v>7</v>
      </c>
      <c r="IK625" s="27" t="s">
        <v>8</v>
      </c>
      <c r="IL625" s="27" t="s">
        <v>7</v>
      </c>
      <c r="IN625" s="27" t="s">
        <v>7</v>
      </c>
      <c r="IQ625" s="27" t="s">
        <v>8</v>
      </c>
      <c r="IR625" s="27" t="s">
        <v>7</v>
      </c>
      <c r="IS625" s="27" t="s">
        <v>8</v>
      </c>
    </row>
    <row r="626" spans="1:253" x14ac:dyDescent="0.25">
      <c r="A626" s="7">
        <v>0.46194822348894116</v>
      </c>
      <c r="B626"/>
      <c r="C626"/>
      <c r="D626"/>
      <c r="E626"/>
      <c r="F626" s="27" t="s">
        <v>7</v>
      </c>
      <c r="GQ626" s="27" t="s">
        <v>8</v>
      </c>
      <c r="GR626" s="27" t="s">
        <v>7</v>
      </c>
      <c r="IC626" s="27" t="s">
        <v>8</v>
      </c>
      <c r="IE626" s="27" t="s">
        <v>8</v>
      </c>
      <c r="IF626" s="27" t="s">
        <v>7</v>
      </c>
      <c r="IG626" s="27" t="s">
        <v>8</v>
      </c>
      <c r="IJ626" s="27" t="s">
        <v>7</v>
      </c>
      <c r="IK626" s="27" t="s">
        <v>8</v>
      </c>
      <c r="IN626" s="27" t="s">
        <v>7</v>
      </c>
      <c r="IQ626" s="27" t="s">
        <v>8</v>
      </c>
      <c r="IR626" s="27" t="s">
        <v>7</v>
      </c>
    </row>
    <row r="627" spans="1:253" x14ac:dyDescent="0.25">
      <c r="A627" s="7">
        <v>0.45289041518523643</v>
      </c>
      <c r="B627"/>
      <c r="C627"/>
      <c r="D627"/>
      <c r="E627"/>
      <c r="F627" s="27" t="s">
        <v>7</v>
      </c>
      <c r="GQ627" s="27" t="s">
        <v>8</v>
      </c>
      <c r="GR627" s="27" t="s">
        <v>7</v>
      </c>
      <c r="IC627" s="27" t="s">
        <v>8</v>
      </c>
      <c r="ID627" s="27" t="s">
        <v>7</v>
      </c>
      <c r="IE627" s="27" t="s">
        <v>8</v>
      </c>
      <c r="IF627" s="27" t="s">
        <v>7</v>
      </c>
      <c r="IG627" s="27" t="s">
        <v>8</v>
      </c>
      <c r="IJ627" s="27" t="s">
        <v>7</v>
      </c>
      <c r="IK627" s="27" t="s">
        <v>8</v>
      </c>
      <c r="IN627" s="27" t="s">
        <v>7</v>
      </c>
      <c r="IQ627" s="27" t="s">
        <v>8</v>
      </c>
    </row>
    <row r="628" spans="1:253" x14ac:dyDescent="0.25">
      <c r="A628" s="7">
        <v>0.44401021096591808</v>
      </c>
      <c r="B628"/>
      <c r="C628"/>
      <c r="D628"/>
      <c r="E628"/>
      <c r="F628" s="27" t="s">
        <v>7</v>
      </c>
      <c r="GQ628" s="27" t="s">
        <v>8</v>
      </c>
      <c r="GR628" s="27" t="s">
        <v>7</v>
      </c>
      <c r="IC628" s="27" t="s">
        <v>8</v>
      </c>
      <c r="ID628" s="27" t="s">
        <v>7</v>
      </c>
      <c r="IE628" s="27" t="s">
        <v>8</v>
      </c>
      <c r="IF628" s="27" t="s">
        <v>7</v>
      </c>
      <c r="IG628" s="27" t="s">
        <v>8</v>
      </c>
      <c r="IJ628" s="27" t="s">
        <v>7</v>
      </c>
      <c r="IK628" s="27" t="s">
        <v>8</v>
      </c>
      <c r="IN628" s="27" t="s">
        <v>7</v>
      </c>
      <c r="IQ628" s="27" t="s">
        <v>8</v>
      </c>
    </row>
    <row r="629" spans="1:253" x14ac:dyDescent="0.25">
      <c r="A629" s="7">
        <v>0.4353041283979589</v>
      </c>
      <c r="B629"/>
      <c r="C629"/>
      <c r="D629"/>
      <c r="E629"/>
      <c r="F629" s="27" t="s">
        <v>7</v>
      </c>
      <c r="GQ629" s="27" t="s">
        <v>8</v>
      </c>
      <c r="GR629" s="27" t="s">
        <v>7</v>
      </c>
      <c r="IC629" s="27" t="s">
        <v>8</v>
      </c>
      <c r="ID629" s="27" t="s">
        <v>7</v>
      </c>
      <c r="IE629" s="27" t="s">
        <v>8</v>
      </c>
      <c r="IF629" s="27" t="s">
        <v>7</v>
      </c>
      <c r="IG629" s="27" t="s">
        <v>8</v>
      </c>
      <c r="IJ629" s="27" t="s">
        <v>7</v>
      </c>
      <c r="IK629" s="27" t="s">
        <v>8</v>
      </c>
      <c r="IN629" s="27" t="s">
        <v>7</v>
      </c>
      <c r="IQ629" s="27" t="s">
        <v>8</v>
      </c>
    </row>
    <row r="630" spans="1:253" x14ac:dyDescent="0.25">
      <c r="A630" s="7">
        <v>0.4267687533313323</v>
      </c>
      <c r="B630"/>
      <c r="C630"/>
      <c r="D630"/>
      <c r="E630"/>
      <c r="F630" s="27" t="s">
        <v>7</v>
      </c>
      <c r="GQ630" s="27" t="s">
        <v>8</v>
      </c>
      <c r="GR630" s="27" t="s">
        <v>7</v>
      </c>
      <c r="IC630" s="27" t="s">
        <v>8</v>
      </c>
      <c r="ID630" s="27" t="s">
        <v>7</v>
      </c>
      <c r="IE630" s="27" t="s">
        <v>8</v>
      </c>
      <c r="IF630" s="27" t="s">
        <v>7</v>
      </c>
      <c r="IG630" s="27" t="s">
        <v>8</v>
      </c>
      <c r="IJ630" s="27" t="s">
        <v>7</v>
      </c>
      <c r="IN630" s="27" t="s">
        <v>7</v>
      </c>
      <c r="IO630" s="27" t="s">
        <v>8</v>
      </c>
      <c r="IQ630" s="27" t="s">
        <v>8</v>
      </c>
    </row>
    <row r="631" spans="1:253" x14ac:dyDescent="0.25">
      <c r="A631" s="7">
        <v>0.41840073856012971</v>
      </c>
      <c r="B631"/>
      <c r="C631"/>
      <c r="D631"/>
      <c r="E631"/>
      <c r="F631" s="27" t="s">
        <v>7</v>
      </c>
      <c r="GQ631" s="27" t="s">
        <v>8</v>
      </c>
      <c r="GR631" s="27" t="s">
        <v>7</v>
      </c>
      <c r="IA631" s="27" t="s">
        <v>8</v>
      </c>
      <c r="IC631" s="27" t="s">
        <v>8</v>
      </c>
      <c r="ID631" s="27" t="s">
        <v>7</v>
      </c>
      <c r="IE631" s="27" t="s">
        <v>8</v>
      </c>
      <c r="IF631" s="27" t="s">
        <v>7</v>
      </c>
      <c r="IG631" s="27" t="s">
        <v>8</v>
      </c>
      <c r="IN631" s="27" t="s">
        <v>7</v>
      </c>
      <c r="IO631" s="27" t="s">
        <v>8</v>
      </c>
      <c r="IP631" s="27" t="s">
        <v>7</v>
      </c>
      <c r="IQ631" s="27" t="s">
        <v>8</v>
      </c>
    </row>
    <row r="632" spans="1:253" x14ac:dyDescent="0.25">
      <c r="A632" s="7">
        <v>0.41019680250993112</v>
      </c>
      <c r="B632"/>
      <c r="C632"/>
      <c r="D632"/>
      <c r="E632"/>
      <c r="F632" s="27" t="s">
        <v>7</v>
      </c>
      <c r="GQ632" s="27" t="s">
        <v>8</v>
      </c>
      <c r="GR632" s="27" t="s">
        <v>7</v>
      </c>
      <c r="IA632" s="27" t="s">
        <v>8</v>
      </c>
      <c r="IB632" s="27" t="s">
        <v>7</v>
      </c>
      <c r="IC632" s="27" t="s">
        <v>8</v>
      </c>
      <c r="ID632" s="27" t="s">
        <v>7</v>
      </c>
      <c r="IF632" s="27" t="s">
        <v>7</v>
      </c>
      <c r="IG632" s="27" t="s">
        <v>8</v>
      </c>
      <c r="IN632" s="27" t="s">
        <v>7</v>
      </c>
      <c r="IO632" s="27" t="s">
        <v>8</v>
      </c>
      <c r="IP632" s="27" t="s">
        <v>7</v>
      </c>
      <c r="IQ632" s="27" t="s">
        <v>8</v>
      </c>
    </row>
    <row r="633" spans="1:253" x14ac:dyDescent="0.25">
      <c r="A633" s="7">
        <v>0.40215372795091286</v>
      </c>
      <c r="B633"/>
      <c r="C633"/>
      <c r="D633"/>
      <c r="E633"/>
      <c r="F633" s="27" t="s">
        <v>7</v>
      </c>
      <c r="GQ633" s="27" t="s">
        <v>8</v>
      </c>
      <c r="GR633" s="27" t="s">
        <v>7</v>
      </c>
      <c r="IA633" s="27" t="s">
        <v>8</v>
      </c>
      <c r="IB633" s="27" t="s">
        <v>7</v>
      </c>
      <c r="IC633" s="27" t="s">
        <v>8</v>
      </c>
      <c r="IF633" s="27" t="s">
        <v>7</v>
      </c>
      <c r="IN633" s="27" t="s">
        <v>7</v>
      </c>
      <c r="IO633" s="27" t="s">
        <v>8</v>
      </c>
      <c r="IP633" s="27" t="s">
        <v>7</v>
      </c>
      <c r="IQ633" s="27" t="s">
        <v>8</v>
      </c>
    </row>
    <row r="634" spans="1:253" x14ac:dyDescent="0.25">
      <c r="A634" s="7">
        <v>0.39426836073618904</v>
      </c>
      <c r="B634"/>
      <c r="C634"/>
      <c r="D634"/>
      <c r="E634"/>
      <c r="F634" s="27" t="s">
        <v>7</v>
      </c>
      <c r="GQ634" s="27" t="s">
        <v>8</v>
      </c>
      <c r="GR634" s="27" t="s">
        <v>7</v>
      </c>
      <c r="IA634" s="27" t="s">
        <v>8</v>
      </c>
      <c r="IB634" s="27" t="s">
        <v>7</v>
      </c>
      <c r="IC634" s="27" t="s">
        <v>8</v>
      </c>
      <c r="IN634" s="27" t="s">
        <v>7</v>
      </c>
      <c r="IO634" s="27" t="s">
        <v>8</v>
      </c>
      <c r="IP634" s="27" t="s">
        <v>7</v>
      </c>
      <c r="IQ634" s="27" t="s">
        <v>8</v>
      </c>
    </row>
    <row r="635" spans="1:253" x14ac:dyDescent="0.25">
      <c r="A635" s="7">
        <v>0.38653760856489122</v>
      </c>
      <c r="B635"/>
      <c r="C635"/>
      <c r="D635"/>
      <c r="E635"/>
      <c r="F635" s="27" t="s">
        <v>7</v>
      </c>
      <c r="GQ635" s="27" t="s">
        <v>8</v>
      </c>
      <c r="GR635" s="27" t="s">
        <v>7</v>
      </c>
      <c r="HY635" s="27" t="s">
        <v>8</v>
      </c>
      <c r="IA635" s="27" t="s">
        <v>8</v>
      </c>
      <c r="IB635" s="27" t="s">
        <v>7</v>
      </c>
      <c r="IC635" s="27" t="s">
        <v>8</v>
      </c>
      <c r="IN635" s="27" t="s">
        <v>7</v>
      </c>
      <c r="IO635" s="27" t="s">
        <v>8</v>
      </c>
      <c r="IP635" s="27" t="s">
        <v>7</v>
      </c>
    </row>
    <row r="636" spans="1:253" x14ac:dyDescent="0.25">
      <c r="A636" s="7">
        <v>0.37895843976950117</v>
      </c>
      <c r="B636"/>
      <c r="C636"/>
      <c r="D636"/>
      <c r="E636"/>
      <c r="F636" s="27" t="s">
        <v>7</v>
      </c>
      <c r="GO636" s="27" t="s">
        <v>8</v>
      </c>
      <c r="GQ636" s="27" t="s">
        <v>8</v>
      </c>
      <c r="GR636" s="27" t="s">
        <v>7</v>
      </c>
      <c r="HY636" s="27" t="s">
        <v>8</v>
      </c>
      <c r="HZ636" s="27" t="s">
        <v>7</v>
      </c>
      <c r="IA636" s="27" t="s">
        <v>8</v>
      </c>
      <c r="IB636" s="27" t="s">
        <v>7</v>
      </c>
      <c r="IC636" s="27" t="s">
        <v>8</v>
      </c>
      <c r="IN636" s="27" t="s">
        <v>7</v>
      </c>
      <c r="IO636" s="27" t="s">
        <v>8</v>
      </c>
    </row>
    <row r="637" spans="1:253" x14ac:dyDescent="0.25">
      <c r="A637" s="7">
        <v>0.37152788212696197</v>
      </c>
      <c r="B637"/>
      <c r="C637"/>
      <c r="D637"/>
      <c r="E637"/>
      <c r="F637" s="27" t="s">
        <v>7</v>
      </c>
      <c r="GO637" s="27" t="s">
        <v>8</v>
      </c>
      <c r="GP637" s="27" t="s">
        <v>7</v>
      </c>
      <c r="GQ637" s="27" t="s">
        <v>8</v>
      </c>
      <c r="GR637" s="27" t="s">
        <v>7</v>
      </c>
      <c r="HY637" s="27" t="s">
        <v>8</v>
      </c>
      <c r="HZ637" s="27" t="s">
        <v>7</v>
      </c>
      <c r="IA637" s="27" t="s">
        <v>8</v>
      </c>
      <c r="IB637" s="27" t="s">
        <v>7</v>
      </c>
      <c r="IN637" s="27" t="s">
        <v>7</v>
      </c>
    </row>
    <row r="638" spans="1:253" x14ac:dyDescent="0.25">
      <c r="A638" s="7">
        <v>0.36424302169310002</v>
      </c>
      <c r="B638"/>
      <c r="C638"/>
      <c r="D638"/>
      <c r="E638"/>
      <c r="F638" s="27" t="s">
        <v>7</v>
      </c>
      <c r="GO638" s="27" t="s">
        <v>8</v>
      </c>
      <c r="GP638" s="27" t="s">
        <v>7</v>
      </c>
      <c r="GQ638" s="27" t="s">
        <v>8</v>
      </c>
      <c r="GR638" s="27" t="s">
        <v>7</v>
      </c>
      <c r="HY638" s="27" t="s">
        <v>8</v>
      </c>
      <c r="HZ638" s="27" t="s">
        <v>7</v>
      </c>
      <c r="IA638" s="27" t="s">
        <v>8</v>
      </c>
    </row>
    <row r="639" spans="1:253" x14ac:dyDescent="0.25">
      <c r="A639" s="7">
        <v>0.35710100165990194</v>
      </c>
      <c r="B639"/>
      <c r="C639"/>
      <c r="D639"/>
      <c r="E639"/>
      <c r="F639" s="27" t="s">
        <v>7</v>
      </c>
      <c r="GO639" s="27" t="s">
        <v>8</v>
      </c>
      <c r="GP639" s="27" t="s">
        <v>7</v>
      </c>
      <c r="GQ639" s="27" t="s">
        <v>8</v>
      </c>
      <c r="GR639" s="27" t="s">
        <v>7</v>
      </c>
      <c r="HY639" s="27" t="s">
        <v>8</v>
      </c>
      <c r="HZ639" s="27" t="s">
        <v>7</v>
      </c>
      <c r="IA639" s="27" t="s">
        <v>8</v>
      </c>
    </row>
    <row r="640" spans="1:253" x14ac:dyDescent="0.25">
      <c r="A640" s="7">
        <v>0.35009902123519804</v>
      </c>
      <c r="B640"/>
      <c r="C640"/>
      <c r="D640"/>
      <c r="E640"/>
      <c r="F640" s="27" t="s">
        <v>7</v>
      </c>
      <c r="GO640" s="27" t="s">
        <v>8</v>
      </c>
      <c r="GP640" s="27" t="s">
        <v>7</v>
      </c>
      <c r="GQ640" s="27" t="s">
        <v>8</v>
      </c>
      <c r="GR640" s="27" t="s">
        <v>7</v>
      </c>
      <c r="HY640" s="27" t="s">
        <v>8</v>
      </c>
      <c r="HZ640" s="27" t="s">
        <v>7</v>
      </c>
      <c r="IA640" s="27" t="s">
        <v>8</v>
      </c>
    </row>
    <row r="641" spans="1:235" x14ac:dyDescent="0.25">
      <c r="A641" s="7">
        <v>0.34323433454431179</v>
      </c>
      <c r="B641"/>
      <c r="C641"/>
      <c r="D641"/>
      <c r="E641"/>
      <c r="F641" s="27" t="s">
        <v>7</v>
      </c>
      <c r="GO641" s="27" t="s">
        <v>8</v>
      </c>
      <c r="GP641" s="27" t="s">
        <v>7</v>
      </c>
      <c r="GQ641" s="27" t="s">
        <v>8</v>
      </c>
      <c r="GR641" s="27" t="s">
        <v>7</v>
      </c>
      <c r="HY641" s="27" t="s">
        <v>8</v>
      </c>
      <c r="HZ641" s="27" t="s">
        <v>7</v>
      </c>
      <c r="IA641" s="27" t="s">
        <v>8</v>
      </c>
    </row>
    <row r="642" spans="1:235" x14ac:dyDescent="0.25">
      <c r="A642" s="7">
        <v>0.33650424955324681</v>
      </c>
      <c r="B642"/>
      <c r="C642"/>
      <c r="D642"/>
      <c r="E642"/>
      <c r="F642" s="27" t="s">
        <v>7</v>
      </c>
      <c r="GO642" s="27" t="s">
        <v>8</v>
      </c>
      <c r="GP642" s="27" t="s">
        <v>7</v>
      </c>
      <c r="GR642" s="27" t="s">
        <v>7</v>
      </c>
      <c r="GS642" s="27" t="s">
        <v>8</v>
      </c>
      <c r="HU642" s="27" t="s">
        <v>8</v>
      </c>
      <c r="HY642" s="27" t="s">
        <v>8</v>
      </c>
      <c r="HZ642" s="27" t="s">
        <v>7</v>
      </c>
      <c r="IA642" s="27" t="s">
        <v>8</v>
      </c>
    </row>
    <row r="643" spans="1:235" x14ac:dyDescent="0.25">
      <c r="A643" s="7">
        <v>0.3299061270129871</v>
      </c>
      <c r="B643"/>
      <c r="C643"/>
      <c r="D643"/>
      <c r="E643"/>
      <c r="F643" s="27" t="s">
        <v>7</v>
      </c>
      <c r="GM643" s="27" t="s">
        <v>8</v>
      </c>
      <c r="GO643" s="27" t="s">
        <v>8</v>
      </c>
      <c r="GR643" s="27" t="s">
        <v>7</v>
      </c>
      <c r="GS643" s="27" t="s">
        <v>8</v>
      </c>
      <c r="GT643" s="27" t="s">
        <v>7</v>
      </c>
      <c r="HU643" s="27" t="s">
        <v>8</v>
      </c>
      <c r="HV643" s="27" t="s">
        <v>7</v>
      </c>
      <c r="HW643" s="27" t="s">
        <v>8</v>
      </c>
      <c r="HY643" s="27" t="s">
        <v>8</v>
      </c>
      <c r="HZ643" s="27" t="s">
        <v>7</v>
      </c>
    </row>
    <row r="644" spans="1:235" x14ac:dyDescent="0.25">
      <c r="A644" s="7">
        <v>0.32343737942449713</v>
      </c>
      <c r="B644"/>
      <c r="C644"/>
      <c r="D644"/>
      <c r="E644"/>
      <c r="F644" s="27" t="s">
        <v>7</v>
      </c>
      <c r="GM644" s="27" t="s">
        <v>8</v>
      </c>
      <c r="GN644" s="27" t="s">
        <v>7</v>
      </c>
      <c r="GO644" s="27" t="s">
        <v>8</v>
      </c>
      <c r="GR644" s="27" t="s">
        <v>7</v>
      </c>
      <c r="GS644" s="27" t="s">
        <v>8</v>
      </c>
      <c r="GT644" s="27" t="s">
        <v>7</v>
      </c>
      <c r="HU644" s="27" t="s">
        <v>8</v>
      </c>
      <c r="HV644" s="27" t="s">
        <v>7</v>
      </c>
      <c r="HW644" s="27" t="s">
        <v>8</v>
      </c>
      <c r="HX644" s="27" t="s">
        <v>7</v>
      </c>
      <c r="HY644" s="27" t="s">
        <v>8</v>
      </c>
    </row>
    <row r="645" spans="1:235" x14ac:dyDescent="0.25">
      <c r="A645" s="7">
        <v>0.31709547002401678</v>
      </c>
      <c r="B645"/>
      <c r="C645"/>
      <c r="D645"/>
      <c r="E645"/>
      <c r="F645" s="27" t="s">
        <v>7</v>
      </c>
      <c r="GM645" s="27" t="s">
        <v>8</v>
      </c>
      <c r="GN645" s="27" t="s">
        <v>7</v>
      </c>
      <c r="GO645" s="27" t="s">
        <v>8</v>
      </c>
      <c r="GR645" s="27" t="s">
        <v>7</v>
      </c>
      <c r="GS645" s="27" t="s">
        <v>8</v>
      </c>
      <c r="GT645" s="27" t="s">
        <v>7</v>
      </c>
      <c r="HS645" s="27" t="s">
        <v>8</v>
      </c>
      <c r="HU645" s="27" t="s">
        <v>8</v>
      </c>
      <c r="HV645" s="27" t="s">
        <v>7</v>
      </c>
      <c r="HW645" s="27" t="s">
        <v>8</v>
      </c>
      <c r="HX645" s="27" t="s">
        <v>7</v>
      </c>
      <c r="HY645" s="27" t="s">
        <v>8</v>
      </c>
    </row>
    <row r="646" spans="1:235" x14ac:dyDescent="0.25">
      <c r="A646" s="7">
        <v>0.31087791178825175</v>
      </c>
      <c r="B646"/>
      <c r="C646"/>
      <c r="D646"/>
      <c r="E646"/>
      <c r="F646" s="27" t="s">
        <v>7</v>
      </c>
      <c r="GM646" s="27" t="s">
        <v>8</v>
      </c>
      <c r="GN646" s="27" t="s">
        <v>7</v>
      </c>
      <c r="GO646" s="27" t="s">
        <v>8</v>
      </c>
      <c r="GR646" s="27" t="s">
        <v>7</v>
      </c>
      <c r="GS646" s="27" t="s">
        <v>8</v>
      </c>
      <c r="GT646" s="27" t="s">
        <v>7</v>
      </c>
      <c r="HS646" s="27" t="s">
        <v>8</v>
      </c>
      <c r="HT646" s="27" t="s">
        <v>7</v>
      </c>
      <c r="HU646" s="27" t="s">
        <v>8</v>
      </c>
      <c r="HV646" s="27" t="s">
        <v>7</v>
      </c>
      <c r="HW646" s="27" t="s">
        <v>8</v>
      </c>
      <c r="HX646" s="27" t="s">
        <v>7</v>
      </c>
    </row>
    <row r="647" spans="1:235" x14ac:dyDescent="0.25">
      <c r="A647" s="7">
        <v>0.30478226645907036</v>
      </c>
      <c r="B647"/>
      <c r="C647"/>
      <c r="D647"/>
      <c r="E647"/>
      <c r="F647" s="27" t="s">
        <v>7</v>
      </c>
      <c r="GM647" s="27" t="s">
        <v>8</v>
      </c>
      <c r="GN647" s="27" t="s">
        <v>7</v>
      </c>
      <c r="GO647" s="27" t="s">
        <v>8</v>
      </c>
      <c r="GR647" s="27" t="s">
        <v>7</v>
      </c>
      <c r="GS647" s="27" t="s">
        <v>8</v>
      </c>
      <c r="GT647" s="27" t="s">
        <v>7</v>
      </c>
      <c r="GW647" s="27" t="s">
        <v>8</v>
      </c>
      <c r="HS647" s="27" t="s">
        <v>8</v>
      </c>
      <c r="HT647" s="27" t="s">
        <v>7</v>
      </c>
      <c r="HU647" s="27" t="s">
        <v>8</v>
      </c>
      <c r="HV647" s="27" t="s">
        <v>7</v>
      </c>
      <c r="HW647" s="27" t="s">
        <v>8</v>
      </c>
    </row>
    <row r="648" spans="1:235" x14ac:dyDescent="0.25">
      <c r="A648" s="7">
        <v>0.29880614358732388</v>
      </c>
      <c r="B648"/>
      <c r="C648"/>
      <c r="D648"/>
      <c r="E648"/>
      <c r="F648" s="27" t="s">
        <v>7</v>
      </c>
      <c r="GM648" s="27" t="s">
        <v>8</v>
      </c>
      <c r="GN648" s="27" t="s">
        <v>7</v>
      </c>
      <c r="GO648" s="27" t="s">
        <v>8</v>
      </c>
      <c r="GR648" s="27" t="s">
        <v>7</v>
      </c>
      <c r="GS648" s="27" t="s">
        <v>8</v>
      </c>
      <c r="GT648" s="27" t="s">
        <v>7</v>
      </c>
      <c r="GW648" s="27" t="s">
        <v>8</v>
      </c>
      <c r="GX648" s="27" t="s">
        <v>7</v>
      </c>
      <c r="HS648" s="27" t="s">
        <v>8</v>
      </c>
      <c r="HT648" s="27" t="s">
        <v>7</v>
      </c>
      <c r="HU648" s="27" t="s">
        <v>8</v>
      </c>
      <c r="HV648" s="27" t="s">
        <v>7</v>
      </c>
      <c r="HW648" s="27" t="s">
        <v>8</v>
      </c>
    </row>
    <row r="649" spans="1:235" x14ac:dyDescent="0.25">
      <c r="A649" s="7">
        <v>0.2929471995954156</v>
      </c>
      <c r="B649"/>
      <c r="C649"/>
      <c r="D649"/>
      <c r="E649"/>
      <c r="F649" s="27" t="s">
        <v>7</v>
      </c>
      <c r="GM649" s="27" t="s">
        <v>8</v>
      </c>
      <c r="GN649" s="27" t="s">
        <v>7</v>
      </c>
      <c r="GO649" s="27" t="s">
        <v>8</v>
      </c>
      <c r="GR649" s="27" t="s">
        <v>7</v>
      </c>
      <c r="GS649" s="27" t="s">
        <v>8</v>
      </c>
      <c r="GT649" s="27" t="s">
        <v>7</v>
      </c>
      <c r="GW649" s="27" t="s">
        <v>8</v>
      </c>
      <c r="GX649" s="27" t="s">
        <v>7</v>
      </c>
      <c r="HS649" s="27" t="s">
        <v>8</v>
      </c>
      <c r="HT649" s="27" t="s">
        <v>7</v>
      </c>
      <c r="HU649" s="27" t="s">
        <v>8</v>
      </c>
      <c r="HV649" s="27" t="s">
        <v>7</v>
      </c>
    </row>
    <row r="650" spans="1:235" x14ac:dyDescent="0.25">
      <c r="A650" s="7">
        <v>0.28720313685825055</v>
      </c>
      <c r="B650"/>
      <c r="C650"/>
      <c r="D650"/>
      <c r="E650"/>
      <c r="F650" s="27" t="s">
        <v>7</v>
      </c>
      <c r="GM650" s="27" t="s">
        <v>8</v>
      </c>
      <c r="GN650" s="27" t="s">
        <v>7</v>
      </c>
      <c r="GO650" s="27" t="s">
        <v>8</v>
      </c>
      <c r="GR650" s="27" t="s">
        <v>7</v>
      </c>
      <c r="GS650" s="27" t="s">
        <v>8</v>
      </c>
      <c r="GT650" s="27" t="s">
        <v>7</v>
      </c>
      <c r="GU650" s="27" t="s">
        <v>8</v>
      </c>
      <c r="GW650" s="27" t="s">
        <v>8</v>
      </c>
      <c r="GX650" s="27" t="s">
        <v>7</v>
      </c>
      <c r="HS650" s="27" t="s">
        <v>8</v>
      </c>
      <c r="HT650" s="27" t="s">
        <v>7</v>
      </c>
      <c r="HU650" s="27" t="s">
        <v>8</v>
      </c>
    </row>
    <row r="651" spans="1:235" x14ac:dyDescent="0.25">
      <c r="A651" s="7">
        <v>0.28157170280220645</v>
      </c>
      <c r="B651"/>
      <c r="C651"/>
      <c r="D651"/>
      <c r="E651"/>
      <c r="F651" s="27" t="s">
        <v>7</v>
      </c>
      <c r="GM651" s="27" t="s">
        <v>8</v>
      </c>
      <c r="GN651" s="27" t="s">
        <v>7</v>
      </c>
      <c r="GO651" s="27" t="s">
        <v>8</v>
      </c>
      <c r="GR651" s="27" t="s">
        <v>7</v>
      </c>
      <c r="GS651" s="27" t="s">
        <v>8</v>
      </c>
      <c r="GT651" s="27" t="s">
        <v>7</v>
      </c>
      <c r="GU651" s="27" t="s">
        <v>8</v>
      </c>
      <c r="GV651" s="27" t="s">
        <v>7</v>
      </c>
      <c r="GW651" s="27" t="s">
        <v>8</v>
      </c>
      <c r="GX651" s="27" t="s">
        <v>7</v>
      </c>
      <c r="HK651" s="27" t="s">
        <v>8</v>
      </c>
      <c r="HS651" s="27" t="s">
        <v>8</v>
      </c>
      <c r="HT651" s="27" t="s">
        <v>7</v>
      </c>
      <c r="HU651" s="27" t="s">
        <v>8</v>
      </c>
    </row>
    <row r="652" spans="1:235" x14ac:dyDescent="0.25">
      <c r="A652" s="7">
        <v>0.27605068902177105</v>
      </c>
      <c r="B652"/>
      <c r="C652"/>
      <c r="D652"/>
      <c r="E652"/>
      <c r="F652" s="27" t="s">
        <v>7</v>
      </c>
      <c r="GM652" s="27" t="s">
        <v>8</v>
      </c>
      <c r="GN652" s="27" t="s">
        <v>7</v>
      </c>
      <c r="GO652" s="27" t="s">
        <v>8</v>
      </c>
      <c r="GR652" s="27" t="s">
        <v>7</v>
      </c>
      <c r="GT652" s="27" t="s">
        <v>7</v>
      </c>
      <c r="GU652" s="27" t="s">
        <v>8</v>
      </c>
      <c r="GV652" s="27" t="s">
        <v>7</v>
      </c>
      <c r="GW652" s="27" t="s">
        <v>8</v>
      </c>
      <c r="GX652" s="27" t="s">
        <v>7</v>
      </c>
      <c r="HK652" s="27" t="s">
        <v>8</v>
      </c>
      <c r="HL652" s="27" t="s">
        <v>7</v>
      </c>
      <c r="HS652" s="27" t="s">
        <v>8</v>
      </c>
      <c r="HT652" s="27" t="s">
        <v>7</v>
      </c>
      <c r="HU652" s="27" t="s">
        <v>8</v>
      </c>
    </row>
    <row r="653" spans="1:235" x14ac:dyDescent="0.25">
      <c r="A653" s="7">
        <v>0.27063793041350104</v>
      </c>
      <c r="B653"/>
      <c r="C653"/>
      <c r="D653"/>
      <c r="E653"/>
      <c r="F653" s="27" t="s">
        <v>7</v>
      </c>
      <c r="GM653" s="27" t="s">
        <v>8</v>
      </c>
      <c r="GN653" s="27" t="s">
        <v>7</v>
      </c>
      <c r="GO653" s="27" t="s">
        <v>8</v>
      </c>
      <c r="GT653" s="27" t="s">
        <v>7</v>
      </c>
      <c r="GU653" s="27" t="s">
        <v>8</v>
      </c>
      <c r="GV653" s="27" t="s">
        <v>7</v>
      </c>
      <c r="GW653" s="27" t="s">
        <v>8</v>
      </c>
      <c r="GX653" s="27" t="s">
        <v>7</v>
      </c>
      <c r="HA653" s="27" t="s">
        <v>8</v>
      </c>
      <c r="HK653" s="27" t="s">
        <v>8</v>
      </c>
      <c r="HL653" s="27" t="s">
        <v>7</v>
      </c>
      <c r="HS653" s="27" t="s">
        <v>8</v>
      </c>
      <c r="HT653" s="27" t="s">
        <v>7</v>
      </c>
      <c r="HU653" s="27" t="s">
        <v>8</v>
      </c>
    </row>
    <row r="654" spans="1:235" x14ac:dyDescent="0.25">
      <c r="A654" s="7">
        <v>0.26533130432696184</v>
      </c>
      <c r="B654"/>
      <c r="C654"/>
      <c r="D654"/>
      <c r="E654"/>
      <c r="F654" s="27" t="s">
        <v>7</v>
      </c>
      <c r="GM654" s="27" t="s">
        <v>8</v>
      </c>
      <c r="GN654" s="27" t="s">
        <v>7</v>
      </c>
      <c r="GO654" s="27" t="s">
        <v>8</v>
      </c>
      <c r="GT654" s="27" t="s">
        <v>7</v>
      </c>
      <c r="GU654" s="27" t="s">
        <v>8</v>
      </c>
      <c r="GV654" s="27" t="s">
        <v>7</v>
      </c>
      <c r="GW654" s="27" t="s">
        <v>8</v>
      </c>
      <c r="GX654" s="27" t="s">
        <v>7</v>
      </c>
      <c r="GY654" s="27" t="s">
        <v>8</v>
      </c>
      <c r="HA654" s="27" t="s">
        <v>8</v>
      </c>
      <c r="HB654" s="27" t="s">
        <v>7</v>
      </c>
      <c r="HK654" s="27" t="s">
        <v>8</v>
      </c>
      <c r="HL654" s="27" t="s">
        <v>7</v>
      </c>
      <c r="HQ654" s="27" t="s">
        <v>8</v>
      </c>
      <c r="HS654" s="27" t="s">
        <v>8</v>
      </c>
      <c r="HT654" s="27" t="s">
        <v>7</v>
      </c>
      <c r="HU654" s="27" t="s">
        <v>8</v>
      </c>
    </row>
    <row r="655" spans="1:235" x14ac:dyDescent="0.25">
      <c r="A655" s="7">
        <v>0.26012872973231554</v>
      </c>
      <c r="B655"/>
      <c r="C655"/>
      <c r="D655"/>
      <c r="E655"/>
      <c r="F655" s="27" t="s">
        <v>7</v>
      </c>
      <c r="GM655" s="27" t="s">
        <v>8</v>
      </c>
      <c r="GN655" s="27" t="s">
        <v>7</v>
      </c>
      <c r="GO655" s="27" t="s">
        <v>8</v>
      </c>
      <c r="GT655" s="27" t="s">
        <v>7</v>
      </c>
      <c r="GU655" s="27" t="s">
        <v>8</v>
      </c>
      <c r="GV655" s="27" t="s">
        <v>7</v>
      </c>
      <c r="GW655" s="27" t="s">
        <v>8</v>
      </c>
      <c r="GX655" s="27" t="s">
        <v>7</v>
      </c>
      <c r="GY655" s="27" t="s">
        <v>8</v>
      </c>
      <c r="GZ655" s="27" t="s">
        <v>7</v>
      </c>
      <c r="HA655" s="27" t="s">
        <v>8</v>
      </c>
      <c r="HB655" s="27" t="s">
        <v>7</v>
      </c>
      <c r="HE655" s="27" t="s">
        <v>8</v>
      </c>
      <c r="HI655" s="27" t="s">
        <v>8</v>
      </c>
      <c r="HK655" s="27" t="s">
        <v>8</v>
      </c>
      <c r="HL655" s="27" t="s">
        <v>7</v>
      </c>
      <c r="HQ655" s="27" t="s">
        <v>8</v>
      </c>
      <c r="HR655" s="27" t="s">
        <v>7</v>
      </c>
      <c r="HS655" s="27" t="s">
        <v>8</v>
      </c>
      <c r="HT655" s="27" t="s">
        <v>7</v>
      </c>
      <c r="HU655" s="27" t="s">
        <v>8</v>
      </c>
    </row>
    <row r="656" spans="1:235" x14ac:dyDescent="0.25">
      <c r="A656" s="7">
        <v>0.25502816640423093</v>
      </c>
      <c r="B656"/>
      <c r="C656"/>
      <c r="D656"/>
      <c r="E656"/>
      <c r="F656" s="27" t="s">
        <v>7</v>
      </c>
      <c r="GM656" s="27" t="s">
        <v>8</v>
      </c>
      <c r="GN656" s="27" t="s">
        <v>7</v>
      </c>
      <c r="GO656" s="27" t="s">
        <v>8</v>
      </c>
      <c r="GT656" s="27" t="s">
        <v>7</v>
      </c>
      <c r="GU656" s="27" t="s">
        <v>8</v>
      </c>
      <c r="GV656" s="27" t="s">
        <v>7</v>
      </c>
      <c r="GW656" s="27" t="s">
        <v>8</v>
      </c>
      <c r="GX656" s="27" t="s">
        <v>7</v>
      </c>
      <c r="GY656" s="27" t="s">
        <v>8</v>
      </c>
      <c r="GZ656" s="27" t="s">
        <v>7</v>
      </c>
      <c r="HA656" s="27" t="s">
        <v>8</v>
      </c>
      <c r="HB656" s="27" t="s">
        <v>7</v>
      </c>
      <c r="HE656" s="27" t="s">
        <v>8</v>
      </c>
      <c r="HF656" s="27" t="s">
        <v>7</v>
      </c>
      <c r="HI656" s="27" t="s">
        <v>8</v>
      </c>
      <c r="HJ656" s="27" t="s">
        <v>7</v>
      </c>
      <c r="HK656" s="27" t="s">
        <v>8</v>
      </c>
      <c r="HL656" s="27" t="s">
        <v>7</v>
      </c>
      <c r="HQ656" s="27" t="s">
        <v>8</v>
      </c>
      <c r="HR656" s="27" t="s">
        <v>7</v>
      </c>
      <c r="HS656" s="27" t="s">
        <v>8</v>
      </c>
      <c r="HT656" s="27" t="s">
        <v>7</v>
      </c>
      <c r="HU656" s="27" t="s">
        <v>8</v>
      </c>
    </row>
    <row r="657" spans="1:228" x14ac:dyDescent="0.25">
      <c r="A657" s="7">
        <v>0.25002761412179503</v>
      </c>
      <c r="B657"/>
      <c r="C657"/>
      <c r="D657"/>
      <c r="E657"/>
      <c r="F657" s="27" t="s">
        <v>7</v>
      </c>
      <c r="GM657" s="27" t="s">
        <v>8</v>
      </c>
      <c r="GN657" s="27" t="s">
        <v>7</v>
      </c>
      <c r="GT657" s="27" t="s">
        <v>7</v>
      </c>
      <c r="GU657" s="27" t="s">
        <v>8</v>
      </c>
      <c r="GV657" s="27" t="s">
        <v>7</v>
      </c>
      <c r="GW657" s="27" t="s">
        <v>8</v>
      </c>
      <c r="GX657" s="27" t="s">
        <v>7</v>
      </c>
      <c r="GZ657" s="27" t="s">
        <v>7</v>
      </c>
      <c r="HA657" s="27" t="s">
        <v>8</v>
      </c>
      <c r="HB657" s="27" t="s">
        <v>7</v>
      </c>
      <c r="HE657" s="27" t="s">
        <v>8</v>
      </c>
      <c r="HF657" s="27" t="s">
        <v>7</v>
      </c>
      <c r="HI657" s="27" t="s">
        <v>8</v>
      </c>
      <c r="HJ657" s="27" t="s">
        <v>7</v>
      </c>
      <c r="HK657" s="27" t="s">
        <v>8</v>
      </c>
      <c r="HL657" s="27" t="s">
        <v>7</v>
      </c>
      <c r="HM657" s="27" t="s">
        <v>8</v>
      </c>
      <c r="HO657" s="27" t="s">
        <v>8</v>
      </c>
      <c r="HQ657" s="27" t="s">
        <v>8</v>
      </c>
      <c r="HR657" s="27" t="s">
        <v>7</v>
      </c>
      <c r="HS657" s="27" t="s">
        <v>8</v>
      </c>
      <c r="HT657" s="27" t="s">
        <v>7</v>
      </c>
    </row>
    <row r="658" spans="1:228" x14ac:dyDescent="0.25">
      <c r="A658" s="7">
        <v>0.24512511188411276</v>
      </c>
      <c r="B658"/>
      <c r="C658"/>
      <c r="D658"/>
      <c r="E658"/>
      <c r="F658" s="27" t="s">
        <v>7</v>
      </c>
      <c r="GM658" s="27" t="s">
        <v>8</v>
      </c>
      <c r="GT658" s="27" t="s">
        <v>7</v>
      </c>
      <c r="GV658" s="27" t="s">
        <v>7</v>
      </c>
      <c r="GW658" s="27" t="s">
        <v>8</v>
      </c>
      <c r="GZ658" s="27" t="s">
        <v>7</v>
      </c>
      <c r="HA658" s="27" t="s">
        <v>8</v>
      </c>
      <c r="HB658" s="27" t="s">
        <v>7</v>
      </c>
      <c r="HE658" s="27" t="s">
        <v>8</v>
      </c>
      <c r="HF658" s="27" t="s">
        <v>7</v>
      </c>
      <c r="HI658" s="27" t="s">
        <v>8</v>
      </c>
      <c r="HJ658" s="27" t="s">
        <v>7</v>
      </c>
      <c r="HK658" s="27" t="s">
        <v>8</v>
      </c>
      <c r="HL658" s="27" t="s">
        <v>7</v>
      </c>
      <c r="HM658" s="27" t="s">
        <v>8</v>
      </c>
      <c r="HN658" s="27" t="s">
        <v>7</v>
      </c>
      <c r="HO658" s="27" t="s">
        <v>8</v>
      </c>
      <c r="HP658" s="27" t="s">
        <v>7</v>
      </c>
      <c r="HQ658" s="27" t="s">
        <v>8</v>
      </c>
      <c r="HR658" s="27" t="s">
        <v>7</v>
      </c>
      <c r="HS658" s="27" t="s">
        <v>8</v>
      </c>
    </row>
    <row r="659" spans="1:228" x14ac:dyDescent="0.25">
      <c r="A659" s="7">
        <v>0.24031873714128701</v>
      </c>
      <c r="B659"/>
      <c r="C659"/>
      <c r="D659"/>
      <c r="E659"/>
      <c r="F659" s="27" t="s">
        <v>7</v>
      </c>
      <c r="GM659" s="27" t="s">
        <v>8</v>
      </c>
      <c r="GV659" s="27" t="s">
        <v>7</v>
      </c>
      <c r="GW659" s="27" t="s">
        <v>8</v>
      </c>
      <c r="GZ659" s="27" t="s">
        <v>7</v>
      </c>
      <c r="HA659" s="27" t="s">
        <v>8</v>
      </c>
      <c r="HB659" s="27" t="s">
        <v>7</v>
      </c>
      <c r="HC659" s="27" t="s">
        <v>8</v>
      </c>
      <c r="HE659" s="27" t="s">
        <v>8</v>
      </c>
      <c r="HF659" s="27" t="s">
        <v>7</v>
      </c>
      <c r="HI659" s="27" t="s">
        <v>8</v>
      </c>
      <c r="HJ659" s="27" t="s">
        <v>7</v>
      </c>
      <c r="HK659" s="27" t="s">
        <v>8</v>
      </c>
      <c r="HL659" s="27" t="s">
        <v>7</v>
      </c>
      <c r="HM659" s="27" t="s">
        <v>8</v>
      </c>
      <c r="HN659" s="27" t="s">
        <v>7</v>
      </c>
      <c r="HO659" s="27" t="s">
        <v>8</v>
      </c>
      <c r="HP659" s="27" t="s">
        <v>7</v>
      </c>
      <c r="HQ659" s="27" t="s">
        <v>8</v>
      </c>
      <c r="HR659" s="27" t="s">
        <v>7</v>
      </c>
      <c r="HS659" s="27" t="s">
        <v>8</v>
      </c>
    </row>
    <row r="660" spans="1:228" x14ac:dyDescent="0.25">
      <c r="A660" s="7">
        <v>0.23560660504047748</v>
      </c>
      <c r="B660"/>
      <c r="C660"/>
      <c r="D660"/>
      <c r="E660"/>
      <c r="F660" s="27" t="s">
        <v>7</v>
      </c>
      <c r="GM660" s="27" t="s">
        <v>8</v>
      </c>
      <c r="GV660" s="27" t="s">
        <v>7</v>
      </c>
      <c r="GW660" s="27" t="s">
        <v>8</v>
      </c>
      <c r="GZ660" s="27" t="s">
        <v>7</v>
      </c>
      <c r="HA660" s="27" t="s">
        <v>8</v>
      </c>
      <c r="HB660" s="27" t="s">
        <v>7</v>
      </c>
      <c r="HC660" s="27" t="s">
        <v>8</v>
      </c>
      <c r="HD660" s="27" t="s">
        <v>7</v>
      </c>
      <c r="HE660" s="27" t="s">
        <v>8</v>
      </c>
      <c r="HF660" s="27" t="s">
        <v>7</v>
      </c>
      <c r="HI660" s="27" t="s">
        <v>8</v>
      </c>
      <c r="HJ660" s="27" t="s">
        <v>7</v>
      </c>
      <c r="HK660" s="27" t="s">
        <v>8</v>
      </c>
      <c r="HL660" s="27" t="s">
        <v>7</v>
      </c>
      <c r="HM660" s="27" t="s">
        <v>8</v>
      </c>
      <c r="HN660" s="27" t="s">
        <v>7</v>
      </c>
      <c r="HO660" s="27" t="s">
        <v>8</v>
      </c>
      <c r="HP660" s="27" t="s">
        <v>7</v>
      </c>
      <c r="HR660" s="27" t="s">
        <v>7</v>
      </c>
      <c r="HS660" s="27" t="s">
        <v>8</v>
      </c>
    </row>
    <row r="661" spans="1:228" x14ac:dyDescent="0.25">
      <c r="A661" s="7">
        <v>0.23098686768674265</v>
      </c>
      <c r="B661"/>
      <c r="C661"/>
      <c r="D661"/>
      <c r="E661"/>
      <c r="F661" s="27" t="s">
        <v>7</v>
      </c>
      <c r="GM661" s="27" t="s">
        <v>8</v>
      </c>
      <c r="GV661" s="27" t="s">
        <v>7</v>
      </c>
      <c r="GZ661" s="27" t="s">
        <v>7</v>
      </c>
      <c r="HA661" s="27" t="s">
        <v>8</v>
      </c>
      <c r="HB661" s="27" t="s">
        <v>7</v>
      </c>
      <c r="HC661" s="27" t="s">
        <v>8</v>
      </c>
      <c r="HD661" s="27" t="s">
        <v>7</v>
      </c>
      <c r="HE661" s="27" t="s">
        <v>8</v>
      </c>
      <c r="HF661" s="27" t="s">
        <v>7</v>
      </c>
      <c r="HI661" s="27" t="s">
        <v>8</v>
      </c>
      <c r="HJ661" s="27" t="s">
        <v>7</v>
      </c>
      <c r="HL661" s="27" t="s">
        <v>7</v>
      </c>
      <c r="HM661" s="27" t="s">
        <v>8</v>
      </c>
      <c r="HN661" s="27" t="s">
        <v>7</v>
      </c>
      <c r="HO661" s="27" t="s">
        <v>8</v>
      </c>
      <c r="HR661" s="27" t="s">
        <v>7</v>
      </c>
      <c r="HS661" s="27" t="s">
        <v>8</v>
      </c>
    </row>
    <row r="662" spans="1:228" x14ac:dyDescent="0.25">
      <c r="A662" s="7">
        <v>0.22645771341837515</v>
      </c>
      <c r="B662"/>
      <c r="C662"/>
      <c r="D662"/>
      <c r="E662"/>
      <c r="F662" s="27" t="s">
        <v>7</v>
      </c>
      <c r="GM662" s="27" t="s">
        <v>8</v>
      </c>
      <c r="GZ662" s="27" t="s">
        <v>7</v>
      </c>
      <c r="HA662" s="27" t="s">
        <v>8</v>
      </c>
      <c r="HB662" s="27" t="s">
        <v>7</v>
      </c>
      <c r="HC662" s="27" t="s">
        <v>8</v>
      </c>
      <c r="HD662" s="27" t="s">
        <v>7</v>
      </c>
      <c r="HE662" s="27" t="s">
        <v>8</v>
      </c>
      <c r="HF662" s="27" t="s">
        <v>7</v>
      </c>
      <c r="HG662" s="27" t="s">
        <v>8</v>
      </c>
      <c r="HI662" s="27" t="s">
        <v>8</v>
      </c>
      <c r="HL662" s="27" t="s">
        <v>7</v>
      </c>
      <c r="HM662" s="27" t="s">
        <v>8</v>
      </c>
      <c r="HN662" s="27" t="s">
        <v>7</v>
      </c>
      <c r="HO662" s="27" t="s">
        <v>8</v>
      </c>
      <c r="HR662" s="27" t="s">
        <v>7</v>
      </c>
    </row>
    <row r="663" spans="1:228" x14ac:dyDescent="0.25">
      <c r="A663" s="7">
        <v>0.22201736609644623</v>
      </c>
      <c r="B663"/>
      <c r="C663"/>
      <c r="D663"/>
      <c r="E663"/>
      <c r="F663" s="27" t="s">
        <v>7</v>
      </c>
      <c r="GM663" s="27" t="s">
        <v>8</v>
      </c>
      <c r="GZ663" s="27" t="s">
        <v>7</v>
      </c>
      <c r="HA663" s="27" t="s">
        <v>8</v>
      </c>
      <c r="HB663" s="27" t="s">
        <v>7</v>
      </c>
      <c r="HC663" s="27" t="s">
        <v>8</v>
      </c>
      <c r="HD663" s="27" t="s">
        <v>7</v>
      </c>
      <c r="HE663" s="27" t="s">
        <v>8</v>
      </c>
      <c r="HF663" s="27" t="s">
        <v>7</v>
      </c>
      <c r="HG663" s="27" t="s">
        <v>8</v>
      </c>
      <c r="HH663" s="27" t="s">
        <v>7</v>
      </c>
      <c r="HI663" s="27" t="s">
        <v>8</v>
      </c>
      <c r="HL663" s="27" t="s">
        <v>7</v>
      </c>
      <c r="HN663" s="27" t="s">
        <v>7</v>
      </c>
    </row>
    <row r="664" spans="1:228" x14ac:dyDescent="0.25">
      <c r="A664" s="7">
        <v>0.21766408440828061</v>
      </c>
      <c r="B664"/>
      <c r="C664"/>
      <c r="D664"/>
      <c r="E664"/>
      <c r="F664" s="27" t="s">
        <v>7</v>
      </c>
      <c r="GM664" s="27" t="s">
        <v>8</v>
      </c>
      <c r="GZ664" s="27" t="s">
        <v>7</v>
      </c>
      <c r="HA664" s="27" t="s">
        <v>8</v>
      </c>
      <c r="HB664" s="27" t="s">
        <v>7</v>
      </c>
      <c r="HC664" s="27" t="s">
        <v>8</v>
      </c>
      <c r="HD664" s="27" t="s">
        <v>7</v>
      </c>
      <c r="HF664" s="27" t="s">
        <v>7</v>
      </c>
      <c r="HG664" s="27" t="s">
        <v>8</v>
      </c>
      <c r="HH664" s="27" t="s">
        <v>7</v>
      </c>
      <c r="HI664" s="27" t="s">
        <v>8</v>
      </c>
    </row>
    <row r="665" spans="1:228" x14ac:dyDescent="0.25">
      <c r="A665" s="7">
        <v>0.21339616118458882</v>
      </c>
      <c r="B665"/>
      <c r="C665"/>
      <c r="D665"/>
      <c r="E665"/>
      <c r="F665" s="27" t="s">
        <v>7</v>
      </c>
      <c r="GM665" s="27" t="s">
        <v>8</v>
      </c>
      <c r="GZ665" s="27" t="s">
        <v>7</v>
      </c>
      <c r="HA665" s="27" t="s">
        <v>8</v>
      </c>
      <c r="HB665" s="27" t="s">
        <v>7</v>
      </c>
      <c r="HF665" s="27" t="s">
        <v>7</v>
      </c>
      <c r="HG665" s="27" t="s">
        <v>8</v>
      </c>
      <c r="HH665" s="27" t="s">
        <v>7</v>
      </c>
    </row>
    <row r="666" spans="1:228" x14ac:dyDescent="0.25">
      <c r="A666" s="7">
        <v>0.20921192272998904</v>
      </c>
      <c r="B666"/>
      <c r="C666"/>
      <c r="D666"/>
      <c r="E666"/>
      <c r="F666" s="27" t="s">
        <v>7</v>
      </c>
      <c r="GM666" s="27" t="s">
        <v>8</v>
      </c>
      <c r="GZ666" s="27" t="s">
        <v>7</v>
      </c>
      <c r="HA666" s="27" t="s">
        <v>8</v>
      </c>
      <c r="HF666" s="27" t="s">
        <v>7</v>
      </c>
      <c r="HG666" s="27" t="s">
        <v>8</v>
      </c>
    </row>
    <row r="667" spans="1:228" x14ac:dyDescent="0.25">
      <c r="A667" s="7">
        <v>0.20510972816665593</v>
      </c>
      <c r="B667"/>
      <c r="C667"/>
      <c r="D667"/>
      <c r="E667"/>
      <c r="F667" s="27" t="s">
        <v>7</v>
      </c>
      <c r="GM667" s="27" t="s">
        <v>8</v>
      </c>
      <c r="GZ667" s="27" t="s">
        <v>7</v>
      </c>
      <c r="HA667" s="27" t="s">
        <v>8</v>
      </c>
      <c r="HF667" s="27" t="s">
        <v>7</v>
      </c>
      <c r="HG667" s="27" t="s">
        <v>8</v>
      </c>
    </row>
    <row r="668" spans="1:228" x14ac:dyDescent="0.25">
      <c r="A668" s="7">
        <v>0.20108796879083912</v>
      </c>
      <c r="B668"/>
      <c r="C668"/>
      <c r="D668"/>
      <c r="E668"/>
      <c r="F668" s="27" t="s">
        <v>7</v>
      </c>
      <c r="GM668" s="27" t="s">
        <v>8</v>
      </c>
      <c r="GZ668" s="27" t="s">
        <v>7</v>
      </c>
      <c r="HF668" s="27" t="s">
        <v>7</v>
      </c>
      <c r="HG668" s="27" t="s">
        <v>8</v>
      </c>
    </row>
    <row r="669" spans="1:228" x14ac:dyDescent="0.25">
      <c r="A669" s="7">
        <v>0.19714506744199917</v>
      </c>
      <c r="B669"/>
      <c r="C669"/>
      <c r="D669"/>
      <c r="E669"/>
      <c r="F669" s="27" t="s">
        <v>7</v>
      </c>
      <c r="GM669" s="27" t="s">
        <v>8</v>
      </c>
      <c r="HF669" s="27" t="s">
        <v>7</v>
      </c>
      <c r="HG669" s="27" t="s">
        <v>8</v>
      </c>
    </row>
    <row r="670" spans="1:228" x14ac:dyDescent="0.25">
      <c r="A670" s="7">
        <v>0.19327947788431293</v>
      </c>
      <c r="B670"/>
      <c r="C670"/>
      <c r="D670"/>
      <c r="E670"/>
      <c r="F670" s="27" t="s">
        <v>7</v>
      </c>
      <c r="GI670" s="27" t="s">
        <v>8</v>
      </c>
      <c r="GK670" s="27" t="s">
        <v>8</v>
      </c>
      <c r="GM670" s="27" t="s">
        <v>8</v>
      </c>
      <c r="HF670" s="27" t="s">
        <v>7</v>
      </c>
    </row>
    <row r="671" spans="1:228" x14ac:dyDescent="0.25">
      <c r="A671" s="7">
        <v>0.18948968420030682</v>
      </c>
      <c r="B671"/>
      <c r="C671"/>
      <c r="D671"/>
      <c r="E671"/>
      <c r="F671" s="27" t="s">
        <v>7</v>
      </c>
      <c r="GI671" s="27" t="s">
        <v>8</v>
      </c>
      <c r="GJ671" s="27" t="s">
        <v>7</v>
      </c>
      <c r="GK671" s="27" t="s">
        <v>8</v>
      </c>
      <c r="GL671" s="27" t="s">
        <v>7</v>
      </c>
      <c r="GM671" s="27" t="s">
        <v>8</v>
      </c>
    </row>
    <row r="672" spans="1:228" x14ac:dyDescent="0.25">
      <c r="A672" s="7">
        <v>0.18577420019637925</v>
      </c>
      <c r="B672"/>
      <c r="C672"/>
      <c r="D672"/>
      <c r="E672"/>
      <c r="F672" s="27" t="s">
        <v>7</v>
      </c>
      <c r="GG672" s="27" t="s">
        <v>8</v>
      </c>
      <c r="GI672" s="27" t="s">
        <v>8</v>
      </c>
      <c r="GJ672" s="27" t="s">
        <v>7</v>
      </c>
      <c r="GK672" s="27" t="s">
        <v>8</v>
      </c>
      <c r="GL672" s="27" t="s">
        <v>7</v>
      </c>
      <c r="GM672" s="27" t="s">
        <v>8</v>
      </c>
    </row>
    <row r="673" spans="1:194" x14ac:dyDescent="0.25">
      <c r="A673" s="7">
        <v>0.18213156881997963</v>
      </c>
      <c r="B673"/>
      <c r="C673"/>
      <c r="D673"/>
      <c r="E673"/>
      <c r="F673" s="27" t="s">
        <v>7</v>
      </c>
      <c r="ES673" s="27" t="s">
        <v>8</v>
      </c>
      <c r="GG673" s="27" t="s">
        <v>8</v>
      </c>
      <c r="GH673" s="27" t="s">
        <v>7</v>
      </c>
      <c r="GI673" s="27" t="s">
        <v>8</v>
      </c>
      <c r="GJ673" s="27" t="s">
        <v>7</v>
      </c>
      <c r="GL673" s="27" t="s">
        <v>7</v>
      </c>
    </row>
    <row r="674" spans="1:194" x14ac:dyDescent="0.25">
      <c r="A674" s="7">
        <v>0.17856036158821534</v>
      </c>
      <c r="B674"/>
      <c r="C674"/>
      <c r="D674"/>
      <c r="E674"/>
      <c r="F674" s="27" t="s">
        <v>7</v>
      </c>
      <c r="ES674" s="27" t="s">
        <v>8</v>
      </c>
      <c r="ET674" s="27" t="s">
        <v>7</v>
      </c>
      <c r="GG674" s="27" t="s">
        <v>8</v>
      </c>
      <c r="GH674" s="27" t="s">
        <v>7</v>
      </c>
      <c r="GI674" s="27" t="s">
        <v>8</v>
      </c>
    </row>
    <row r="675" spans="1:194" x14ac:dyDescent="0.25">
      <c r="A675" s="7">
        <v>0.17505917802766208</v>
      </c>
      <c r="B675"/>
      <c r="C675"/>
      <c r="D675"/>
      <c r="E675"/>
      <c r="F675" s="27" t="s">
        <v>7</v>
      </c>
      <c r="ES675" s="27" t="s">
        <v>8</v>
      </c>
      <c r="ET675" s="27" t="s">
        <v>7</v>
      </c>
      <c r="GG675" s="27" t="s">
        <v>8</v>
      </c>
      <c r="GH675" s="27" t="s">
        <v>7</v>
      </c>
      <c r="GI675" s="27" t="s">
        <v>8</v>
      </c>
    </row>
    <row r="676" spans="1:194" x14ac:dyDescent="0.25">
      <c r="A676" s="7">
        <v>0.17162664512515888</v>
      </c>
      <c r="B676"/>
      <c r="C676"/>
      <c r="D676"/>
      <c r="E676"/>
      <c r="F676" s="27" t="s">
        <v>7</v>
      </c>
      <c r="ES676" s="27" t="s">
        <v>8</v>
      </c>
      <c r="ET676" s="27" t="s">
        <v>7</v>
      </c>
      <c r="GG676" s="27" t="s">
        <v>8</v>
      </c>
      <c r="GH676" s="27" t="s">
        <v>7</v>
      </c>
      <c r="GI676" s="27" t="s">
        <v>8</v>
      </c>
    </row>
    <row r="677" spans="1:194" x14ac:dyDescent="0.25">
      <c r="A677" s="7">
        <v>0.16826141678937145</v>
      </c>
      <c r="B677"/>
      <c r="C677"/>
      <c r="D677"/>
      <c r="E677"/>
      <c r="F677" s="27" t="s">
        <v>7</v>
      </c>
      <c r="ES677" s="27" t="s">
        <v>8</v>
      </c>
      <c r="ET677" s="27" t="s">
        <v>7</v>
      </c>
      <c r="GC677" s="27" t="s">
        <v>8</v>
      </c>
      <c r="GE677" s="27" t="s">
        <v>8</v>
      </c>
      <c r="GG677" s="27" t="s">
        <v>8</v>
      </c>
      <c r="GH677" s="27" t="s">
        <v>7</v>
      </c>
      <c r="GI677" s="27" t="s">
        <v>8</v>
      </c>
    </row>
    <row r="678" spans="1:194" x14ac:dyDescent="0.25">
      <c r="A678" s="7">
        <v>0.16496217332291319</v>
      </c>
      <c r="B678"/>
      <c r="C678"/>
      <c r="D678"/>
      <c r="E678"/>
      <c r="F678" s="27" t="s">
        <v>7</v>
      </c>
      <c r="AE678" s="27" t="s">
        <v>8</v>
      </c>
      <c r="ES678" s="27" t="s">
        <v>8</v>
      </c>
      <c r="ET678" s="27" t="s">
        <v>7</v>
      </c>
      <c r="GC678" s="27" t="s">
        <v>8</v>
      </c>
      <c r="GD678" s="27" t="s">
        <v>7</v>
      </c>
      <c r="GE678" s="27" t="s">
        <v>8</v>
      </c>
      <c r="GF678" s="27" t="s">
        <v>7</v>
      </c>
      <c r="GG678" s="27" t="s">
        <v>8</v>
      </c>
      <c r="GH678" s="27" t="s">
        <v>7</v>
      </c>
      <c r="GI678" s="27" t="s">
        <v>8</v>
      </c>
    </row>
    <row r="679" spans="1:194" x14ac:dyDescent="0.25">
      <c r="A679" s="7">
        <v>0.16172762090481685</v>
      </c>
      <c r="B679"/>
      <c r="C679"/>
      <c r="D679"/>
      <c r="E679"/>
      <c r="F679" s="27" t="s">
        <v>7</v>
      </c>
      <c r="AE679" s="27" t="s">
        <v>8</v>
      </c>
      <c r="AF679" s="27" t="s">
        <v>7</v>
      </c>
      <c r="ES679" s="27" t="s">
        <v>8</v>
      </c>
      <c r="ET679" s="27" t="s">
        <v>7</v>
      </c>
      <c r="GC679" s="27" t="s">
        <v>8</v>
      </c>
      <c r="GD679" s="27" t="s">
        <v>7</v>
      </c>
      <c r="GE679" s="27" t="s">
        <v>8</v>
      </c>
      <c r="GF679" s="27" t="s">
        <v>7</v>
      </c>
      <c r="GG679" s="27" t="s">
        <v>8</v>
      </c>
      <c r="GH679" s="27" t="s">
        <v>7</v>
      </c>
    </row>
    <row r="680" spans="1:194" x14ac:dyDescent="0.25">
      <c r="A680" s="7">
        <v>0.15855649108315376</v>
      </c>
      <c r="B680"/>
      <c r="C680"/>
      <c r="D680"/>
      <c r="E680"/>
      <c r="F680" s="27" t="s">
        <v>7</v>
      </c>
      <c r="AE680" s="27" t="s">
        <v>8</v>
      </c>
      <c r="AF680" s="27" t="s">
        <v>7</v>
      </c>
      <c r="ES680" s="27" t="s">
        <v>8</v>
      </c>
      <c r="ET680" s="27" t="s">
        <v>7</v>
      </c>
      <c r="GA680" s="27" t="s">
        <v>8</v>
      </c>
      <c r="GC680" s="27" t="s">
        <v>8</v>
      </c>
      <c r="GD680" s="27" t="s">
        <v>7</v>
      </c>
      <c r="GF680" s="27" t="s">
        <v>7</v>
      </c>
      <c r="GG680" s="27" t="s">
        <v>8</v>
      </c>
    </row>
    <row r="681" spans="1:194" x14ac:dyDescent="0.25">
      <c r="A681" s="7">
        <v>0.15544754027760171</v>
      </c>
      <c r="B681"/>
      <c r="C681"/>
      <c r="D681"/>
      <c r="E681"/>
      <c r="F681" s="27" t="s">
        <v>7</v>
      </c>
      <c r="AE681" s="27" t="s">
        <v>8</v>
      </c>
      <c r="AF681" s="27" t="s">
        <v>7</v>
      </c>
      <c r="ES681" s="27" t="s">
        <v>8</v>
      </c>
      <c r="ET681" s="27" t="s">
        <v>7</v>
      </c>
      <c r="GA681" s="27" t="s">
        <v>8</v>
      </c>
      <c r="GB681" s="27" t="s">
        <v>7</v>
      </c>
      <c r="GC681" s="27" t="s">
        <v>8</v>
      </c>
      <c r="GF681" s="27" t="s">
        <v>7</v>
      </c>
      <c r="GG681" s="27" t="s">
        <v>8</v>
      </c>
    </row>
    <row r="682" spans="1:194" x14ac:dyDescent="0.25">
      <c r="A682" s="7">
        <v>0.15239954929176638</v>
      </c>
      <c r="B682"/>
      <c r="C682"/>
      <c r="D682"/>
      <c r="E682"/>
      <c r="F682" s="27" t="s">
        <v>7</v>
      </c>
      <c r="AE682" s="27" t="s">
        <v>8</v>
      </c>
      <c r="AF682" s="27" t="s">
        <v>7</v>
      </c>
      <c r="ES682" s="27" t="s">
        <v>8</v>
      </c>
      <c r="ET682" s="27" t="s">
        <v>7</v>
      </c>
      <c r="GA682" s="27" t="s">
        <v>8</v>
      </c>
      <c r="GB682" s="27" t="s">
        <v>7</v>
      </c>
      <c r="GC682" s="27" t="s">
        <v>8</v>
      </c>
      <c r="GF682" s="27" t="s">
        <v>7</v>
      </c>
      <c r="GG682" s="27" t="s">
        <v>8</v>
      </c>
    </row>
    <row r="683" spans="1:194" x14ac:dyDescent="0.25">
      <c r="A683" s="7">
        <v>0.14941132283506509</v>
      </c>
      <c r="B683"/>
      <c r="C683"/>
      <c r="D683"/>
      <c r="E683"/>
      <c r="F683" s="27" t="s">
        <v>7</v>
      </c>
      <c r="AE683" s="27" t="s">
        <v>8</v>
      </c>
      <c r="AF683" s="27" t="s">
        <v>7</v>
      </c>
      <c r="ES683" s="27" t="s">
        <v>8</v>
      </c>
      <c r="ET683" s="27" t="s">
        <v>7</v>
      </c>
      <c r="EW683" s="27" t="s">
        <v>8</v>
      </c>
      <c r="GA683" s="27" t="s">
        <v>8</v>
      </c>
      <c r="GB683" s="27" t="s">
        <v>7</v>
      </c>
      <c r="GC683" s="27" t="s">
        <v>8</v>
      </c>
      <c r="GF683" s="27" t="s">
        <v>7</v>
      </c>
      <c r="GG683" s="27" t="s">
        <v>8</v>
      </c>
    </row>
    <row r="684" spans="1:194" x14ac:dyDescent="0.25">
      <c r="A684" s="7">
        <v>0.14648168905398537</v>
      </c>
      <c r="B684"/>
      <c r="C684"/>
      <c r="D684"/>
      <c r="E684"/>
      <c r="F684" s="27" t="s">
        <v>7</v>
      </c>
      <c r="AE684" s="27" t="s">
        <v>8</v>
      </c>
      <c r="AF684" s="27" t="s">
        <v>7</v>
      </c>
      <c r="AI684" s="27" t="s">
        <v>8</v>
      </c>
      <c r="AM684" s="27" t="s">
        <v>8</v>
      </c>
      <c r="ES684" s="27" t="s">
        <v>8</v>
      </c>
      <c r="ET684" s="27" t="s">
        <v>7</v>
      </c>
      <c r="EU684" s="27" t="s">
        <v>8</v>
      </c>
      <c r="EW684" s="27" t="s">
        <v>8</v>
      </c>
      <c r="EX684" s="27" t="s">
        <v>7</v>
      </c>
      <c r="FC684" s="27" t="s">
        <v>8</v>
      </c>
      <c r="FY684" s="27" t="s">
        <v>8</v>
      </c>
      <c r="GA684" s="27" t="s">
        <v>8</v>
      </c>
      <c r="GB684" s="27" t="s">
        <v>7</v>
      </c>
      <c r="GF684" s="27" t="s">
        <v>7</v>
      </c>
      <c r="GG684" s="27" t="s">
        <v>8</v>
      </c>
    </row>
    <row r="685" spans="1:194" x14ac:dyDescent="0.25">
      <c r="A685" s="7">
        <v>0.14360949907253467</v>
      </c>
      <c r="B685"/>
      <c r="C685"/>
      <c r="D685"/>
      <c r="E685"/>
      <c r="F685" s="27" t="s">
        <v>7</v>
      </c>
      <c r="AA685" s="27" t="s">
        <v>8</v>
      </c>
      <c r="AE685" s="27" t="s">
        <v>8</v>
      </c>
      <c r="AF685" s="27" t="s">
        <v>7</v>
      </c>
      <c r="AI685" s="27" t="s">
        <v>8</v>
      </c>
      <c r="AJ685" s="27" t="s">
        <v>7</v>
      </c>
      <c r="AK685" s="27" t="s">
        <v>8</v>
      </c>
      <c r="AM685" s="27" t="s">
        <v>8</v>
      </c>
      <c r="AN685" s="27" t="s">
        <v>7</v>
      </c>
      <c r="ES685" s="27" t="s">
        <v>8</v>
      </c>
      <c r="ET685" s="27" t="s">
        <v>7</v>
      </c>
      <c r="EU685" s="27" t="s">
        <v>8</v>
      </c>
      <c r="EV685" s="27" t="s">
        <v>7</v>
      </c>
      <c r="EW685" s="27" t="s">
        <v>8</v>
      </c>
      <c r="EX685" s="27" t="s">
        <v>7</v>
      </c>
      <c r="FC685" s="27" t="s">
        <v>8</v>
      </c>
      <c r="FD685" s="27" t="s">
        <v>7</v>
      </c>
      <c r="FY685" s="27" t="s">
        <v>8</v>
      </c>
      <c r="FZ685" s="27" t="s">
        <v>7</v>
      </c>
      <c r="GA685" s="27" t="s">
        <v>8</v>
      </c>
      <c r="GF685" s="27" t="s">
        <v>7</v>
      </c>
      <c r="GG685" s="27" t="s">
        <v>8</v>
      </c>
    </row>
    <row r="686" spans="1:194" x14ac:dyDescent="0.25">
      <c r="A686" s="7">
        <v>0.14079362654170066</v>
      </c>
      <c r="B686"/>
      <c r="C686"/>
      <c r="D686"/>
      <c r="E686"/>
      <c r="F686" s="27" t="s">
        <v>7</v>
      </c>
      <c r="AA686" s="27" t="s">
        <v>8</v>
      </c>
      <c r="AB686" s="27" t="s">
        <v>7</v>
      </c>
      <c r="AE686" s="27" t="s">
        <v>8</v>
      </c>
      <c r="AF686" s="27" t="s">
        <v>7</v>
      </c>
      <c r="AI686" s="27" t="s">
        <v>8</v>
      </c>
      <c r="AJ686" s="27" t="s">
        <v>7</v>
      </c>
      <c r="AK686" s="27" t="s">
        <v>8</v>
      </c>
      <c r="AL686" s="27" t="s">
        <v>7</v>
      </c>
      <c r="AM686" s="27" t="s">
        <v>8</v>
      </c>
      <c r="AN686" s="27" t="s">
        <v>7</v>
      </c>
      <c r="AS686" s="27" t="s">
        <v>8</v>
      </c>
      <c r="BO686" s="27" t="s">
        <v>8</v>
      </c>
      <c r="ES686" s="27" t="s">
        <v>8</v>
      </c>
      <c r="ET686" s="27" t="s">
        <v>7</v>
      </c>
      <c r="EU686" s="27" t="s">
        <v>8</v>
      </c>
      <c r="EV686" s="27" t="s">
        <v>7</v>
      </c>
      <c r="EW686" s="27" t="s">
        <v>8</v>
      </c>
      <c r="EX686" s="27" t="s">
        <v>7</v>
      </c>
      <c r="FC686" s="27" t="s">
        <v>8</v>
      </c>
      <c r="FD686" s="27" t="s">
        <v>7</v>
      </c>
      <c r="FY686" s="27" t="s">
        <v>8</v>
      </c>
      <c r="FZ686" s="27" t="s">
        <v>7</v>
      </c>
      <c r="GA686" s="27" t="s">
        <v>8</v>
      </c>
      <c r="GF686" s="27" t="s">
        <v>7</v>
      </c>
      <c r="GG686" s="27" t="s">
        <v>8</v>
      </c>
    </row>
    <row r="687" spans="1:194" x14ac:dyDescent="0.25">
      <c r="A687" s="7">
        <v>0.13803296719774574</v>
      </c>
      <c r="B687"/>
      <c r="C687"/>
      <c r="D687"/>
      <c r="E687"/>
      <c r="F687" s="27" t="s">
        <v>7</v>
      </c>
      <c r="AA687" s="27" t="s">
        <v>8</v>
      </c>
      <c r="AB687" s="27" t="s">
        <v>7</v>
      </c>
      <c r="AC687" s="27" t="s">
        <v>8</v>
      </c>
      <c r="AE687" s="27" t="s">
        <v>8</v>
      </c>
      <c r="AF687" s="27" t="s">
        <v>7</v>
      </c>
      <c r="AG687" s="27" t="s">
        <v>8</v>
      </c>
      <c r="AI687" s="27" t="s">
        <v>8</v>
      </c>
      <c r="AJ687" s="27" t="s">
        <v>7</v>
      </c>
      <c r="AK687" s="27" t="s">
        <v>8</v>
      </c>
      <c r="AL687" s="27" t="s">
        <v>7</v>
      </c>
      <c r="AM687" s="27" t="s">
        <v>8</v>
      </c>
      <c r="AN687" s="27" t="s">
        <v>7</v>
      </c>
      <c r="AS687" s="27" t="s">
        <v>8</v>
      </c>
      <c r="AT687" s="27" t="s">
        <v>7</v>
      </c>
      <c r="BO687" s="27" t="s">
        <v>8</v>
      </c>
      <c r="BP687" s="27" t="s">
        <v>7</v>
      </c>
      <c r="DQ687" s="27" t="s">
        <v>8</v>
      </c>
      <c r="ES687" s="27" t="s">
        <v>8</v>
      </c>
      <c r="ET687" s="27" t="s">
        <v>7</v>
      </c>
      <c r="EU687" s="27" t="s">
        <v>8</v>
      </c>
      <c r="EV687" s="27" t="s">
        <v>7</v>
      </c>
      <c r="EW687" s="27" t="s">
        <v>8</v>
      </c>
      <c r="EX687" s="27" t="s">
        <v>7</v>
      </c>
      <c r="FC687" s="27" t="s">
        <v>8</v>
      </c>
      <c r="FD687" s="27" t="s">
        <v>7</v>
      </c>
      <c r="FY687" s="27" t="s">
        <v>8</v>
      </c>
      <c r="FZ687" s="27" t="s">
        <v>7</v>
      </c>
      <c r="GA687" s="27" t="s">
        <v>8</v>
      </c>
      <c r="GF687" s="27" t="s">
        <v>7</v>
      </c>
      <c r="GG687" s="27" t="s">
        <v>8</v>
      </c>
    </row>
    <row r="688" spans="1:194" x14ac:dyDescent="0.25">
      <c r="A688" s="7">
        <v>0.1353264384291625</v>
      </c>
      <c r="B688"/>
      <c r="C688"/>
      <c r="D688"/>
      <c r="E688"/>
      <c r="F688" s="27" t="s">
        <v>7</v>
      </c>
      <c r="I688" s="27" t="s">
        <v>8</v>
      </c>
      <c r="AA688" s="27" t="s">
        <v>8</v>
      </c>
      <c r="AB688" s="27" t="s">
        <v>7</v>
      </c>
      <c r="AC688" s="27" t="s">
        <v>8</v>
      </c>
      <c r="AD688" s="27" t="s">
        <v>7</v>
      </c>
      <c r="AE688" s="27" t="s">
        <v>8</v>
      </c>
      <c r="AF688" s="27" t="s">
        <v>7</v>
      </c>
      <c r="AG688" s="27" t="s">
        <v>8</v>
      </c>
      <c r="AH688" s="27" t="s">
        <v>7</v>
      </c>
      <c r="AI688" s="27" t="s">
        <v>8</v>
      </c>
      <c r="AJ688" s="27" t="s">
        <v>7</v>
      </c>
      <c r="AK688" s="27" t="s">
        <v>8</v>
      </c>
      <c r="AL688" s="27" t="s">
        <v>7</v>
      </c>
      <c r="AM688" s="27" t="s">
        <v>8</v>
      </c>
      <c r="AN688" s="27" t="s">
        <v>7</v>
      </c>
      <c r="AS688" s="27" t="s">
        <v>8</v>
      </c>
      <c r="AT688" s="27" t="s">
        <v>7</v>
      </c>
      <c r="BO688" s="27" t="s">
        <v>8</v>
      </c>
      <c r="BP688" s="27" t="s">
        <v>7</v>
      </c>
      <c r="DQ688" s="27" t="s">
        <v>8</v>
      </c>
      <c r="DR688" s="27" t="s">
        <v>7</v>
      </c>
      <c r="ES688" s="27" t="s">
        <v>8</v>
      </c>
      <c r="ET688" s="27" t="s">
        <v>7</v>
      </c>
      <c r="EU688" s="27" t="s">
        <v>8</v>
      </c>
      <c r="EV688" s="27" t="s">
        <v>7</v>
      </c>
      <c r="EW688" s="27" t="s">
        <v>8</v>
      </c>
      <c r="EX688" s="27" t="s">
        <v>7</v>
      </c>
      <c r="FC688" s="27" t="s">
        <v>8</v>
      </c>
      <c r="FD688" s="27" t="s">
        <v>7</v>
      </c>
      <c r="FY688" s="27" t="s">
        <v>8</v>
      </c>
      <c r="FZ688" s="27" t="s">
        <v>7</v>
      </c>
      <c r="GA688" s="27" t="s">
        <v>8</v>
      </c>
      <c r="GF688" s="27" t="s">
        <v>7</v>
      </c>
      <c r="GG688" s="27" t="s">
        <v>8</v>
      </c>
    </row>
    <row r="689" spans="1:188" x14ac:dyDescent="0.25">
      <c r="A689" s="7">
        <v>0.13267297885212009</v>
      </c>
      <c r="B689"/>
      <c r="C689"/>
      <c r="D689"/>
      <c r="E689"/>
      <c r="F689" s="27" t="s">
        <v>7</v>
      </c>
      <c r="I689" s="27" t="s">
        <v>8</v>
      </c>
      <c r="J689" s="27" t="s">
        <v>7</v>
      </c>
      <c r="AA689" s="27" t="s">
        <v>8</v>
      </c>
      <c r="AB689" s="27" t="s">
        <v>7</v>
      </c>
      <c r="AC689" s="27" t="s">
        <v>8</v>
      </c>
      <c r="AD689" s="27" t="s">
        <v>7</v>
      </c>
      <c r="AE689" s="27" t="s">
        <v>8</v>
      </c>
      <c r="AF689" s="27" t="s">
        <v>7</v>
      </c>
      <c r="AG689" s="27" t="s">
        <v>8</v>
      </c>
      <c r="AH689" s="27" t="s">
        <v>7</v>
      </c>
      <c r="AI689" s="27" t="s">
        <v>8</v>
      </c>
      <c r="AJ689" s="27" t="s">
        <v>7</v>
      </c>
      <c r="AK689" s="27" t="s">
        <v>8</v>
      </c>
      <c r="AL689" s="27" t="s">
        <v>7</v>
      </c>
      <c r="AM689" s="27" t="s">
        <v>8</v>
      </c>
      <c r="AN689" s="27" t="s">
        <v>7</v>
      </c>
      <c r="AQ689" s="27" t="s">
        <v>8</v>
      </c>
      <c r="AS689" s="27" t="s">
        <v>8</v>
      </c>
      <c r="AT689" s="27" t="s">
        <v>7</v>
      </c>
      <c r="BK689" s="27" t="s">
        <v>8</v>
      </c>
      <c r="BO689" s="27" t="s">
        <v>8</v>
      </c>
      <c r="BP689" s="27" t="s">
        <v>7</v>
      </c>
      <c r="BU689" s="27" t="s">
        <v>8</v>
      </c>
      <c r="BW689" s="27" t="s">
        <v>8</v>
      </c>
      <c r="DQ689" s="27" t="s">
        <v>8</v>
      </c>
      <c r="DR689" s="27" t="s">
        <v>7</v>
      </c>
      <c r="ES689" s="27" t="s">
        <v>8</v>
      </c>
      <c r="ET689" s="27" t="s">
        <v>7</v>
      </c>
      <c r="EU689" s="27" t="s">
        <v>8</v>
      </c>
      <c r="EV689" s="27" t="s">
        <v>7</v>
      </c>
      <c r="EW689" s="27" t="s">
        <v>8</v>
      </c>
      <c r="EX689" s="27" t="s">
        <v>7</v>
      </c>
      <c r="EY689" s="27" t="s">
        <v>8</v>
      </c>
      <c r="FA689" s="27" t="s">
        <v>8</v>
      </c>
      <c r="FC689" s="27" t="s">
        <v>8</v>
      </c>
      <c r="FD689" s="27" t="s">
        <v>7</v>
      </c>
      <c r="FY689" s="27" t="s">
        <v>8</v>
      </c>
      <c r="FZ689" s="27" t="s">
        <v>7</v>
      </c>
      <c r="GF689" s="27" t="s">
        <v>7</v>
      </c>
    </row>
    <row r="690" spans="1:188" x14ac:dyDescent="0.25">
      <c r="A690" s="7">
        <v>0.13007154789423539</v>
      </c>
      <c r="B690"/>
      <c r="C690"/>
      <c r="D690"/>
      <c r="E690"/>
      <c r="F690" s="27" t="s">
        <v>7</v>
      </c>
      <c r="I690" s="27" t="s">
        <v>8</v>
      </c>
      <c r="J690" s="27" t="s">
        <v>7</v>
      </c>
      <c r="AA690" s="27" t="s">
        <v>8</v>
      </c>
      <c r="AB690" s="27" t="s">
        <v>7</v>
      </c>
      <c r="AC690" s="27" t="s">
        <v>8</v>
      </c>
      <c r="AD690" s="27" t="s">
        <v>7</v>
      </c>
      <c r="AE690" s="27" t="s">
        <v>8</v>
      </c>
      <c r="AF690" s="27" t="s">
        <v>7</v>
      </c>
      <c r="AG690" s="27" t="s">
        <v>8</v>
      </c>
      <c r="AH690" s="27" t="s">
        <v>7</v>
      </c>
      <c r="AI690" s="27" t="s">
        <v>8</v>
      </c>
      <c r="AJ690" s="27" t="s">
        <v>7</v>
      </c>
      <c r="AK690" s="27" t="s">
        <v>8</v>
      </c>
      <c r="AL690" s="27" t="s">
        <v>7</v>
      </c>
      <c r="AM690" s="27" t="s">
        <v>8</v>
      </c>
      <c r="AN690" s="27" t="s">
        <v>7</v>
      </c>
      <c r="AO690" s="27" t="s">
        <v>8</v>
      </c>
      <c r="AQ690" s="27" t="s">
        <v>8</v>
      </c>
      <c r="AR690" s="27" t="s">
        <v>7</v>
      </c>
      <c r="AS690" s="27" t="s">
        <v>8</v>
      </c>
      <c r="AT690" s="27" t="s">
        <v>7</v>
      </c>
      <c r="BI690" s="27" t="s">
        <v>8</v>
      </c>
      <c r="BK690" s="27" t="s">
        <v>8</v>
      </c>
      <c r="BL690" s="27" t="s">
        <v>7</v>
      </c>
      <c r="BM690" s="27" t="s">
        <v>8</v>
      </c>
      <c r="BO690" s="27" t="s">
        <v>8</v>
      </c>
      <c r="BP690" s="27" t="s">
        <v>7</v>
      </c>
      <c r="BU690" s="27" t="s">
        <v>8</v>
      </c>
      <c r="BV690" s="27" t="s">
        <v>7</v>
      </c>
      <c r="BW690" s="27" t="s">
        <v>8</v>
      </c>
      <c r="BX690" s="27" t="s">
        <v>7</v>
      </c>
      <c r="DQ690" s="27" t="s">
        <v>8</v>
      </c>
      <c r="DR690" s="27" t="s">
        <v>7</v>
      </c>
      <c r="EQ690" s="27" t="s">
        <v>8</v>
      </c>
      <c r="ES690" s="27" t="s">
        <v>8</v>
      </c>
      <c r="ET690" s="27" t="s">
        <v>7</v>
      </c>
      <c r="EU690" s="27" t="s">
        <v>8</v>
      </c>
      <c r="EV690" s="27" t="s">
        <v>7</v>
      </c>
      <c r="EW690" s="27" t="s">
        <v>8</v>
      </c>
      <c r="EX690" s="27" t="s">
        <v>7</v>
      </c>
      <c r="EY690" s="27" t="s">
        <v>8</v>
      </c>
      <c r="EZ690" s="27" t="s">
        <v>7</v>
      </c>
      <c r="FA690" s="27" t="s">
        <v>8</v>
      </c>
      <c r="FB690" s="27" t="s">
        <v>7</v>
      </c>
      <c r="FC690" s="27" t="s">
        <v>8</v>
      </c>
      <c r="FD690" s="27" t="s">
        <v>7</v>
      </c>
      <c r="FY690" s="27" t="s">
        <v>8</v>
      </c>
    </row>
    <row r="691" spans="1:188" x14ac:dyDescent="0.25">
      <c r="A691" s="7">
        <v>0.12752112538650529</v>
      </c>
      <c r="B691"/>
      <c r="C691"/>
      <c r="D691"/>
      <c r="E691"/>
      <c r="F691" s="27" t="s">
        <v>7</v>
      </c>
      <c r="I691" s="27" t="s">
        <v>8</v>
      </c>
      <c r="J691" s="27" t="s">
        <v>7</v>
      </c>
      <c r="AA691" s="27" t="s">
        <v>8</v>
      </c>
      <c r="AB691" s="27" t="s">
        <v>7</v>
      </c>
      <c r="AC691" s="27" t="s">
        <v>8</v>
      </c>
      <c r="AD691" s="27" t="s">
        <v>7</v>
      </c>
      <c r="AE691" s="27" t="s">
        <v>8</v>
      </c>
      <c r="AF691" s="27" t="s">
        <v>7</v>
      </c>
      <c r="AG691" s="27" t="s">
        <v>8</v>
      </c>
      <c r="AH691" s="27" t="s">
        <v>7</v>
      </c>
      <c r="AJ691" s="27" t="s">
        <v>7</v>
      </c>
      <c r="AK691" s="27" t="s">
        <v>8</v>
      </c>
      <c r="AL691" s="27" t="s">
        <v>7</v>
      </c>
      <c r="AN691" s="27" t="s">
        <v>7</v>
      </c>
      <c r="AO691" s="27" t="s">
        <v>8</v>
      </c>
      <c r="AP691" s="27" t="s">
        <v>7</v>
      </c>
      <c r="AQ691" s="27" t="s">
        <v>8</v>
      </c>
      <c r="AR691" s="27" t="s">
        <v>7</v>
      </c>
      <c r="AS691" s="27" t="s">
        <v>8</v>
      </c>
      <c r="AT691" s="27" t="s">
        <v>7</v>
      </c>
      <c r="BI691" s="27" t="s">
        <v>8</v>
      </c>
      <c r="BJ691" s="27" t="s">
        <v>7</v>
      </c>
      <c r="BK691" s="27" t="s">
        <v>8</v>
      </c>
      <c r="BL691" s="27" t="s">
        <v>7</v>
      </c>
      <c r="BM691" s="27" t="s">
        <v>8</v>
      </c>
      <c r="BN691" s="27" t="s">
        <v>7</v>
      </c>
      <c r="BO691" s="27" t="s">
        <v>8</v>
      </c>
      <c r="BP691" s="27" t="s">
        <v>7</v>
      </c>
      <c r="BQ691" s="27" t="s">
        <v>8</v>
      </c>
      <c r="BU691" s="27" t="s">
        <v>8</v>
      </c>
      <c r="BV691" s="27" t="s">
        <v>7</v>
      </c>
      <c r="BW691" s="27" t="s">
        <v>8</v>
      </c>
      <c r="BX691" s="27" t="s">
        <v>7</v>
      </c>
      <c r="DQ691" s="27" t="s">
        <v>8</v>
      </c>
      <c r="DR691" s="27" t="s">
        <v>7</v>
      </c>
      <c r="DS691" s="27" t="s">
        <v>8</v>
      </c>
      <c r="EQ691" s="27" t="s">
        <v>8</v>
      </c>
      <c r="ER691" s="27" t="s">
        <v>7</v>
      </c>
      <c r="ES691" s="27" t="s">
        <v>8</v>
      </c>
      <c r="ET691" s="27" t="s">
        <v>7</v>
      </c>
      <c r="EU691" s="27" t="s">
        <v>8</v>
      </c>
      <c r="EV691" s="27" t="s">
        <v>7</v>
      </c>
      <c r="EW691" s="27" t="s">
        <v>8</v>
      </c>
      <c r="EX691" s="27" t="s">
        <v>7</v>
      </c>
      <c r="EY691" s="27" t="s">
        <v>8</v>
      </c>
      <c r="EZ691" s="27" t="s">
        <v>7</v>
      </c>
      <c r="FA691" s="27" t="s">
        <v>8</v>
      </c>
      <c r="FB691" s="27" t="s">
        <v>7</v>
      </c>
      <c r="FC691" s="27" t="s">
        <v>8</v>
      </c>
      <c r="FD691" s="27" t="s">
        <v>7</v>
      </c>
      <c r="FY691" s="27" t="s">
        <v>8</v>
      </c>
    </row>
    <row r="692" spans="1:188" x14ac:dyDescent="0.25">
      <c r="A692" s="7">
        <v>0.12502071116324048</v>
      </c>
      <c r="B692"/>
      <c r="C692"/>
      <c r="D692"/>
      <c r="E692"/>
      <c r="F692" s="27" t="s">
        <v>7</v>
      </c>
      <c r="I692" s="27" t="s">
        <v>8</v>
      </c>
      <c r="J692" s="27" t="s">
        <v>7</v>
      </c>
      <c r="U692" s="27" t="s">
        <v>8</v>
      </c>
      <c r="AA692" s="27" t="s">
        <v>8</v>
      </c>
      <c r="AB692" s="27" t="s">
        <v>7</v>
      </c>
      <c r="AC692" s="27" t="s">
        <v>8</v>
      </c>
      <c r="AD692" s="27" t="s">
        <v>7</v>
      </c>
      <c r="AE692" s="27" t="s">
        <v>8</v>
      </c>
      <c r="AF692" s="27" t="s">
        <v>7</v>
      </c>
      <c r="AJ692" s="27" t="s">
        <v>7</v>
      </c>
      <c r="AK692" s="27" t="s">
        <v>8</v>
      </c>
      <c r="AN692" s="27" t="s">
        <v>7</v>
      </c>
      <c r="AO692" s="27" t="s">
        <v>8</v>
      </c>
      <c r="AP692" s="27" t="s">
        <v>7</v>
      </c>
      <c r="AQ692" s="27" t="s">
        <v>8</v>
      </c>
      <c r="AR692" s="27" t="s">
        <v>7</v>
      </c>
      <c r="AT692" s="27" t="s">
        <v>7</v>
      </c>
      <c r="AW692" s="27" t="s">
        <v>8</v>
      </c>
      <c r="BA692" s="27" t="s">
        <v>8</v>
      </c>
      <c r="BE692" s="27" t="s">
        <v>8</v>
      </c>
      <c r="BI692" s="27" t="s">
        <v>8</v>
      </c>
      <c r="BJ692" s="27" t="s">
        <v>7</v>
      </c>
      <c r="BK692" s="27" t="s">
        <v>8</v>
      </c>
      <c r="BL692" s="27" t="s">
        <v>7</v>
      </c>
      <c r="BM692" s="27" t="s">
        <v>8</v>
      </c>
      <c r="BN692" s="27" t="s">
        <v>7</v>
      </c>
      <c r="BO692" s="27" t="s">
        <v>8</v>
      </c>
      <c r="BP692" s="27" t="s">
        <v>7</v>
      </c>
      <c r="BQ692" s="27" t="s">
        <v>8</v>
      </c>
      <c r="BR692" s="27" t="s">
        <v>7</v>
      </c>
      <c r="BS692" s="27" t="s">
        <v>8</v>
      </c>
      <c r="BU692" s="27" t="s">
        <v>8</v>
      </c>
      <c r="BV692" s="27" t="s">
        <v>7</v>
      </c>
      <c r="BW692" s="27" t="s">
        <v>8</v>
      </c>
      <c r="BX692" s="27" t="s">
        <v>7</v>
      </c>
      <c r="DQ692" s="27" t="s">
        <v>8</v>
      </c>
      <c r="DR692" s="27" t="s">
        <v>7</v>
      </c>
      <c r="DS692" s="27" t="s">
        <v>8</v>
      </c>
      <c r="DT692" s="27" t="s">
        <v>7</v>
      </c>
      <c r="EO692" s="27" t="s">
        <v>8</v>
      </c>
      <c r="EQ692" s="27" t="s">
        <v>8</v>
      </c>
      <c r="ER692" s="27" t="s">
        <v>7</v>
      </c>
      <c r="ES692" s="27" t="s">
        <v>8</v>
      </c>
      <c r="ET692" s="27" t="s">
        <v>7</v>
      </c>
      <c r="EU692" s="27" t="s">
        <v>8</v>
      </c>
      <c r="EV692" s="27" t="s">
        <v>7</v>
      </c>
      <c r="EW692" s="27" t="s">
        <v>8</v>
      </c>
      <c r="EX692" s="27" t="s">
        <v>7</v>
      </c>
      <c r="EY692" s="27" t="s">
        <v>8</v>
      </c>
      <c r="EZ692" s="27" t="s">
        <v>7</v>
      </c>
      <c r="FA692" s="27" t="s">
        <v>8</v>
      </c>
      <c r="FB692" s="27" t="s">
        <v>7</v>
      </c>
      <c r="FD692" s="27" t="s">
        <v>7</v>
      </c>
      <c r="FY692" s="27" t="s">
        <v>8</v>
      </c>
    </row>
    <row r="693" spans="1:188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I693" s="27" t="s">
        <v>8</v>
      </c>
      <c r="J693" s="27" t="s">
        <v>7</v>
      </c>
      <c r="U693" s="27" t="s">
        <v>8</v>
      </c>
      <c r="V693" s="27" t="s">
        <v>7</v>
      </c>
      <c r="W693" s="27" t="s">
        <v>8</v>
      </c>
      <c r="AA693" s="27" t="s">
        <v>8</v>
      </c>
      <c r="AB693" s="27" t="s">
        <v>7</v>
      </c>
      <c r="AC693" s="27" t="s">
        <v>8</v>
      </c>
      <c r="AD693" s="27" t="s">
        <v>7</v>
      </c>
      <c r="AJ693" s="27" t="s">
        <v>7</v>
      </c>
      <c r="AK693" s="27" t="s">
        <v>8</v>
      </c>
      <c r="AN693" s="27" t="s">
        <v>7</v>
      </c>
      <c r="AP693" s="27" t="s">
        <v>7</v>
      </c>
      <c r="AT693" s="27" t="s">
        <v>7</v>
      </c>
      <c r="AW693" s="27" t="s">
        <v>8</v>
      </c>
      <c r="AX693" s="27" t="s">
        <v>7</v>
      </c>
      <c r="BA693" s="27" t="s">
        <v>8</v>
      </c>
      <c r="BB693" s="27" t="s">
        <v>7</v>
      </c>
      <c r="BC693" s="27" t="s">
        <v>8</v>
      </c>
      <c r="BE693" s="27" t="s">
        <v>8</v>
      </c>
      <c r="BF693" s="27" t="s">
        <v>7</v>
      </c>
      <c r="BI693" s="27" t="s">
        <v>8</v>
      </c>
      <c r="BJ693" s="27" t="s">
        <v>7</v>
      </c>
      <c r="BK693" s="27" t="s">
        <v>8</v>
      </c>
      <c r="BL693" s="27" t="s">
        <v>7</v>
      </c>
      <c r="BN693" s="27" t="s">
        <v>7</v>
      </c>
      <c r="BO693" s="27" t="s">
        <v>8</v>
      </c>
      <c r="BP693" s="27" t="s">
        <v>7</v>
      </c>
      <c r="BQ693" s="27" t="s">
        <v>8</v>
      </c>
      <c r="BR693" s="27" t="s">
        <v>7</v>
      </c>
      <c r="BS693" s="27" t="s">
        <v>8</v>
      </c>
      <c r="BT693" s="27" t="s">
        <v>7</v>
      </c>
      <c r="BU693" s="27" t="s">
        <v>8</v>
      </c>
      <c r="BV693" s="27" t="s">
        <v>7</v>
      </c>
      <c r="BW693" s="27" t="s">
        <v>8</v>
      </c>
      <c r="BX693" s="27" t="s">
        <v>7</v>
      </c>
      <c r="DQ693" s="27" t="s">
        <v>8</v>
      </c>
      <c r="DR693" s="27" t="s">
        <v>7</v>
      </c>
      <c r="DS693" s="27" t="s">
        <v>8</v>
      </c>
      <c r="DT693" s="27" t="s">
        <v>7</v>
      </c>
      <c r="EO693" s="27" t="s">
        <v>8</v>
      </c>
      <c r="EP693" s="27" t="s">
        <v>7</v>
      </c>
      <c r="EQ693" s="27" t="s">
        <v>8</v>
      </c>
      <c r="ER693" s="27" t="s">
        <v>7</v>
      </c>
      <c r="ET693" s="27" t="s">
        <v>7</v>
      </c>
      <c r="EU693" s="27" t="s">
        <v>8</v>
      </c>
      <c r="EV693" s="27" t="s">
        <v>7</v>
      </c>
      <c r="EX693" s="27" t="s">
        <v>7</v>
      </c>
      <c r="EY693" s="27" t="s">
        <v>8</v>
      </c>
      <c r="EZ693" s="27" t="s">
        <v>7</v>
      </c>
      <c r="FA693" s="27" t="s">
        <v>8</v>
      </c>
      <c r="FD693" s="27" t="s">
        <v>7</v>
      </c>
      <c r="FY693" s="27" t="s">
        <v>8</v>
      </c>
    </row>
    <row r="694" spans="1:188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I694" s="27" t="s">
        <v>8</v>
      </c>
      <c r="J694" s="27" t="s">
        <v>7</v>
      </c>
      <c r="U694" s="27" t="s">
        <v>8</v>
      </c>
      <c r="V694" s="27" t="s">
        <v>7</v>
      </c>
      <c r="W694" s="27" t="s">
        <v>8</v>
      </c>
      <c r="X694" s="27" t="s">
        <v>7</v>
      </c>
      <c r="Y694" s="27" t="s">
        <v>8</v>
      </c>
      <c r="AA694" s="27" t="s">
        <v>8</v>
      </c>
      <c r="AB694" s="27" t="s">
        <v>7</v>
      </c>
      <c r="AJ694" s="27" t="s">
        <v>7</v>
      </c>
      <c r="AT694" s="27" t="s">
        <v>7</v>
      </c>
      <c r="AU694" s="27" t="s">
        <v>8</v>
      </c>
      <c r="AW694" s="27" t="s">
        <v>8</v>
      </c>
      <c r="AX694" s="27" t="s">
        <v>7</v>
      </c>
      <c r="AY694" s="27" t="s">
        <v>8</v>
      </c>
      <c r="BA694" s="27" t="s">
        <v>8</v>
      </c>
      <c r="BB694" s="27" t="s">
        <v>7</v>
      </c>
      <c r="BC694" s="27" t="s">
        <v>8</v>
      </c>
      <c r="BD694" s="27" t="s">
        <v>7</v>
      </c>
      <c r="BE694" s="27" t="s">
        <v>8</v>
      </c>
      <c r="BF694" s="27" t="s">
        <v>7</v>
      </c>
      <c r="BI694" s="27" t="s">
        <v>8</v>
      </c>
      <c r="BJ694" s="27" t="s">
        <v>7</v>
      </c>
      <c r="BK694" s="27" t="s">
        <v>8</v>
      </c>
      <c r="BN694" s="27" t="s">
        <v>7</v>
      </c>
      <c r="BP694" s="27" t="s">
        <v>7</v>
      </c>
      <c r="BQ694" s="27" t="s">
        <v>8</v>
      </c>
      <c r="BR694" s="27" t="s">
        <v>7</v>
      </c>
      <c r="BS694" s="27" t="s">
        <v>8</v>
      </c>
      <c r="BT694" s="27" t="s">
        <v>7</v>
      </c>
      <c r="BU694" s="27" t="s">
        <v>8</v>
      </c>
      <c r="BV694" s="27" t="s">
        <v>7</v>
      </c>
      <c r="BX694" s="27" t="s">
        <v>7</v>
      </c>
      <c r="DQ694" s="27" t="s">
        <v>8</v>
      </c>
      <c r="DR694" s="27" t="s">
        <v>7</v>
      </c>
      <c r="DS694" s="27" t="s">
        <v>8</v>
      </c>
      <c r="DT694" s="27" t="s">
        <v>7</v>
      </c>
      <c r="EO694" s="27" t="s">
        <v>8</v>
      </c>
      <c r="EP694" s="27" t="s">
        <v>7</v>
      </c>
      <c r="EQ694" s="27" t="s">
        <v>8</v>
      </c>
      <c r="ET694" s="27" t="s">
        <v>7</v>
      </c>
      <c r="EU694" s="27" t="s">
        <v>8</v>
      </c>
      <c r="EX694" s="27" t="s">
        <v>7</v>
      </c>
      <c r="EY694" s="27" t="s">
        <v>8</v>
      </c>
      <c r="EZ694" s="27" t="s">
        <v>7</v>
      </c>
      <c r="FA694" s="27" t="s">
        <v>8</v>
      </c>
      <c r="FD694" s="27" t="s">
        <v>7</v>
      </c>
      <c r="FY694" s="27" t="s">
        <v>8</v>
      </c>
    </row>
    <row r="695" spans="1:188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H695" s="27" t="s">
        <v>7</v>
      </c>
      <c r="I695" s="27" t="s">
        <v>8</v>
      </c>
      <c r="J695" s="27" t="s">
        <v>7</v>
      </c>
      <c r="K695" s="27" t="s">
        <v>8</v>
      </c>
      <c r="U695" s="27" t="s">
        <v>8</v>
      </c>
      <c r="V695" s="27" t="s">
        <v>7</v>
      </c>
      <c r="W695" s="27" t="s">
        <v>8</v>
      </c>
      <c r="X695" s="27" t="s">
        <v>7</v>
      </c>
      <c r="Y695" s="27" t="s">
        <v>8</v>
      </c>
      <c r="Z695" s="27" t="s">
        <v>7</v>
      </c>
      <c r="AA695" s="27" t="s">
        <v>8</v>
      </c>
      <c r="AT695" s="27" t="s">
        <v>7</v>
      </c>
      <c r="AU695" s="27" t="s">
        <v>8</v>
      </c>
      <c r="AV695" s="27" t="s">
        <v>7</v>
      </c>
      <c r="AW695" s="27" t="s">
        <v>8</v>
      </c>
      <c r="AX695" s="27" t="s">
        <v>7</v>
      </c>
      <c r="AY695" s="27" t="s">
        <v>8</v>
      </c>
      <c r="AZ695" s="27" t="s">
        <v>7</v>
      </c>
      <c r="BA695" s="27" t="s">
        <v>8</v>
      </c>
      <c r="BB695" s="27" t="s">
        <v>7</v>
      </c>
      <c r="BC695" s="27" t="s">
        <v>8</v>
      </c>
      <c r="BD695" s="27" t="s">
        <v>7</v>
      </c>
      <c r="BE695" s="27" t="s">
        <v>8</v>
      </c>
      <c r="BF695" s="27" t="s">
        <v>7</v>
      </c>
      <c r="BG695" s="27" t="s">
        <v>8</v>
      </c>
      <c r="BI695" s="27" t="s">
        <v>8</v>
      </c>
      <c r="BJ695" s="27" t="s">
        <v>7</v>
      </c>
      <c r="BK695" s="27" t="s">
        <v>8</v>
      </c>
      <c r="BP695" s="27" t="s">
        <v>7</v>
      </c>
      <c r="BQ695" s="27" t="s">
        <v>8</v>
      </c>
      <c r="BR695" s="27" t="s">
        <v>7</v>
      </c>
      <c r="BS695" s="27" t="s">
        <v>8</v>
      </c>
      <c r="BT695" s="27" t="s">
        <v>7</v>
      </c>
      <c r="BX695" s="27" t="s">
        <v>7</v>
      </c>
      <c r="DQ695" s="27" t="s">
        <v>8</v>
      </c>
      <c r="DR695" s="27" t="s">
        <v>7</v>
      </c>
      <c r="DS695" s="27" t="s">
        <v>8</v>
      </c>
      <c r="DT695" s="27" t="s">
        <v>7</v>
      </c>
      <c r="EK695" s="27" t="s">
        <v>8</v>
      </c>
      <c r="EO695" s="27" t="s">
        <v>8</v>
      </c>
      <c r="EP695" s="27" t="s">
        <v>7</v>
      </c>
      <c r="EQ695" s="27" t="s">
        <v>8</v>
      </c>
      <c r="ET695" s="27" t="s">
        <v>7</v>
      </c>
      <c r="EX695" s="27" t="s">
        <v>7</v>
      </c>
      <c r="EY695" s="27" t="s">
        <v>8</v>
      </c>
      <c r="EZ695" s="27" t="s">
        <v>7</v>
      </c>
      <c r="FA695" s="27" t="s">
        <v>8</v>
      </c>
      <c r="FD695" s="27" t="s">
        <v>7</v>
      </c>
      <c r="FY695" s="27" t="s">
        <v>8</v>
      </c>
    </row>
    <row r="696" spans="1:188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H696" s="27" t="s">
        <v>7</v>
      </c>
      <c r="J696" s="27" t="s">
        <v>7</v>
      </c>
      <c r="K696" s="27" t="s">
        <v>8</v>
      </c>
      <c r="L696" s="27" t="s">
        <v>7</v>
      </c>
      <c r="U696" s="27" t="s">
        <v>8</v>
      </c>
      <c r="V696" s="27" t="s">
        <v>7</v>
      </c>
      <c r="W696" s="27" t="s">
        <v>8</v>
      </c>
      <c r="X696" s="27" t="s">
        <v>7</v>
      </c>
      <c r="Y696" s="27" t="s">
        <v>8</v>
      </c>
      <c r="Z696" s="27" t="s">
        <v>7</v>
      </c>
      <c r="AA696" s="27" t="s">
        <v>8</v>
      </c>
      <c r="AT696" s="27" t="s">
        <v>7</v>
      </c>
      <c r="AU696" s="27" t="s">
        <v>8</v>
      </c>
      <c r="AV696" s="27" t="s">
        <v>7</v>
      </c>
      <c r="AW696" s="27" t="s">
        <v>8</v>
      </c>
      <c r="AX696" s="27" t="s">
        <v>7</v>
      </c>
      <c r="AY696" s="27" t="s">
        <v>8</v>
      </c>
      <c r="AZ696" s="27" t="s">
        <v>7</v>
      </c>
      <c r="BA696" s="27" t="s">
        <v>8</v>
      </c>
      <c r="BB696" s="27" t="s">
        <v>7</v>
      </c>
      <c r="BC696" s="27" t="s">
        <v>8</v>
      </c>
      <c r="BD696" s="27" t="s">
        <v>7</v>
      </c>
      <c r="BF696" s="27" t="s">
        <v>7</v>
      </c>
      <c r="BG696" s="27" t="s">
        <v>8</v>
      </c>
      <c r="BH696" s="27" t="s">
        <v>7</v>
      </c>
      <c r="BI696" s="27" t="s">
        <v>8</v>
      </c>
      <c r="BJ696" s="27" t="s">
        <v>7</v>
      </c>
      <c r="BP696" s="27" t="s">
        <v>7</v>
      </c>
      <c r="BQ696" s="27" t="s">
        <v>8</v>
      </c>
      <c r="BR696" s="27" t="s">
        <v>7</v>
      </c>
      <c r="BS696" s="27" t="s">
        <v>8</v>
      </c>
      <c r="BX696" s="27" t="s">
        <v>7</v>
      </c>
      <c r="BY696" s="27" t="s">
        <v>8</v>
      </c>
      <c r="CA696" s="27" t="s">
        <v>8</v>
      </c>
      <c r="DQ696" s="27" t="s">
        <v>8</v>
      </c>
      <c r="DR696" s="27" t="s">
        <v>7</v>
      </c>
      <c r="DS696" s="27" t="s">
        <v>8</v>
      </c>
      <c r="DT696" s="27" t="s">
        <v>7</v>
      </c>
      <c r="EI696" s="27" t="s">
        <v>8</v>
      </c>
      <c r="EK696" s="27" t="s">
        <v>8</v>
      </c>
      <c r="EL696" s="27" t="s">
        <v>7</v>
      </c>
      <c r="EO696" s="27" t="s">
        <v>8</v>
      </c>
      <c r="EP696" s="27" t="s">
        <v>7</v>
      </c>
      <c r="EX696" s="27" t="s">
        <v>7</v>
      </c>
      <c r="EY696" s="27" t="s">
        <v>8</v>
      </c>
      <c r="EZ696" s="27" t="s">
        <v>7</v>
      </c>
      <c r="FA696" s="27" t="s">
        <v>8</v>
      </c>
      <c r="FD696" s="27" t="s">
        <v>7</v>
      </c>
      <c r="FW696" s="27" t="s">
        <v>8</v>
      </c>
      <c r="FY696" s="27" t="s">
        <v>8</v>
      </c>
    </row>
    <row r="697" spans="1:188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J697" s="27" t="s">
        <v>7</v>
      </c>
      <c r="K697" s="27" t="s">
        <v>8</v>
      </c>
      <c r="L697" s="27" t="s">
        <v>7</v>
      </c>
      <c r="U697" s="27" t="s">
        <v>8</v>
      </c>
      <c r="V697" s="27" t="s">
        <v>7</v>
      </c>
      <c r="W697" s="27" t="s">
        <v>8</v>
      </c>
      <c r="X697" s="27" t="s">
        <v>7</v>
      </c>
      <c r="Y697" s="27" t="s">
        <v>8</v>
      </c>
      <c r="Z697" s="27" t="s">
        <v>7</v>
      </c>
      <c r="AA697" s="27" t="s">
        <v>8</v>
      </c>
      <c r="AT697" s="27" t="s">
        <v>7</v>
      </c>
      <c r="AU697" s="27" t="s">
        <v>8</v>
      </c>
      <c r="AV697" s="27" t="s">
        <v>7</v>
      </c>
      <c r="AX697" s="27" t="s">
        <v>7</v>
      </c>
      <c r="AZ697" s="27" t="s">
        <v>7</v>
      </c>
      <c r="BB697" s="27" t="s">
        <v>7</v>
      </c>
      <c r="BF697" s="27" t="s">
        <v>7</v>
      </c>
      <c r="BG697" s="27" t="s">
        <v>8</v>
      </c>
      <c r="BH697" s="27" t="s">
        <v>7</v>
      </c>
      <c r="BI697" s="27" t="s">
        <v>8</v>
      </c>
      <c r="BP697" s="27" t="s">
        <v>7</v>
      </c>
      <c r="BR697" s="27" t="s">
        <v>7</v>
      </c>
      <c r="BS697" s="27" t="s">
        <v>8</v>
      </c>
      <c r="BX697" s="27" t="s">
        <v>7</v>
      </c>
      <c r="BY697" s="27" t="s">
        <v>8</v>
      </c>
      <c r="BZ697" s="27" t="s">
        <v>7</v>
      </c>
      <c r="CA697" s="27" t="s">
        <v>8</v>
      </c>
      <c r="CB697" s="27" t="s">
        <v>7</v>
      </c>
      <c r="DQ697" s="27" t="s">
        <v>8</v>
      </c>
      <c r="DR697" s="27" t="s">
        <v>7</v>
      </c>
      <c r="DS697" s="27" t="s">
        <v>8</v>
      </c>
      <c r="DT697" s="27" t="s">
        <v>7</v>
      </c>
      <c r="EI697" s="27" t="s">
        <v>8</v>
      </c>
      <c r="EJ697" s="27" t="s">
        <v>7</v>
      </c>
      <c r="EK697" s="27" t="s">
        <v>8</v>
      </c>
      <c r="EL697" s="27" t="s">
        <v>7</v>
      </c>
      <c r="EO697" s="27" t="s">
        <v>8</v>
      </c>
      <c r="EX697" s="27" t="s">
        <v>7</v>
      </c>
      <c r="EY697" s="27" t="s">
        <v>8</v>
      </c>
      <c r="EZ697" s="27" t="s">
        <v>7</v>
      </c>
      <c r="FD697" s="27" t="s">
        <v>7</v>
      </c>
      <c r="FE697" s="27" t="s">
        <v>8</v>
      </c>
      <c r="FW697" s="27" t="s">
        <v>8</v>
      </c>
      <c r="FX697" s="27" t="s">
        <v>7</v>
      </c>
      <c r="FY697" s="27" t="s">
        <v>8</v>
      </c>
    </row>
    <row r="698" spans="1:188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J698" s="27" t="s">
        <v>7</v>
      </c>
      <c r="L698" s="27" t="s">
        <v>7</v>
      </c>
      <c r="U698" s="27" t="s">
        <v>8</v>
      </c>
      <c r="V698" s="27" t="s">
        <v>7</v>
      </c>
      <c r="W698" s="27" t="s">
        <v>8</v>
      </c>
      <c r="X698" s="27" t="s">
        <v>7</v>
      </c>
      <c r="Y698" s="27" t="s">
        <v>8</v>
      </c>
      <c r="Z698" s="27" t="s">
        <v>7</v>
      </c>
      <c r="AA698" s="27" t="s">
        <v>8</v>
      </c>
      <c r="AT698" s="27" t="s">
        <v>7</v>
      </c>
      <c r="BF698" s="27" t="s">
        <v>7</v>
      </c>
      <c r="BG698" s="27" t="s">
        <v>8</v>
      </c>
      <c r="BH698" s="27" t="s">
        <v>7</v>
      </c>
      <c r="BI698" s="27" t="s">
        <v>8</v>
      </c>
      <c r="BR698" s="27" t="s">
        <v>7</v>
      </c>
      <c r="BS698" s="27" t="s">
        <v>8</v>
      </c>
      <c r="BX698" s="27" t="s">
        <v>7</v>
      </c>
      <c r="BY698" s="27" t="s">
        <v>8</v>
      </c>
      <c r="BZ698" s="27" t="s">
        <v>7</v>
      </c>
      <c r="CA698" s="27" t="s">
        <v>8</v>
      </c>
      <c r="CB698" s="27" t="s">
        <v>7</v>
      </c>
      <c r="CE698" s="27" t="s">
        <v>8</v>
      </c>
      <c r="CW698" s="27" t="s">
        <v>8</v>
      </c>
      <c r="DQ698" s="27" t="s">
        <v>8</v>
      </c>
      <c r="DR698" s="27" t="s">
        <v>7</v>
      </c>
      <c r="DS698" s="27" t="s">
        <v>8</v>
      </c>
      <c r="DT698" s="27" t="s">
        <v>7</v>
      </c>
      <c r="EI698" s="27" t="s">
        <v>8</v>
      </c>
      <c r="EJ698" s="27" t="s">
        <v>7</v>
      </c>
      <c r="EK698" s="27" t="s">
        <v>8</v>
      </c>
      <c r="EL698" s="27" t="s">
        <v>7</v>
      </c>
      <c r="EM698" s="27" t="s">
        <v>8</v>
      </c>
      <c r="EO698" s="27" t="s">
        <v>8</v>
      </c>
      <c r="EX698" s="27" t="s">
        <v>7</v>
      </c>
      <c r="EY698" s="27" t="s">
        <v>8</v>
      </c>
      <c r="FD698" s="27" t="s">
        <v>7</v>
      </c>
      <c r="FE698" s="27" t="s">
        <v>8</v>
      </c>
      <c r="FF698" s="27" t="s">
        <v>7</v>
      </c>
      <c r="FW698" s="27" t="s">
        <v>8</v>
      </c>
      <c r="FX698" s="27" t="s">
        <v>7</v>
      </c>
      <c r="FY698" s="27" t="s">
        <v>8</v>
      </c>
    </row>
    <row r="699" spans="1:188" x14ac:dyDescent="0.25">
      <c r="A699" s="7">
        <v>0.10883805264070913</v>
      </c>
      <c r="B699"/>
      <c r="C699"/>
      <c r="D699"/>
      <c r="E699"/>
      <c r="F699" s="27" t="s">
        <v>7</v>
      </c>
      <c r="G699" s="27" t="s">
        <v>8</v>
      </c>
      <c r="L699" s="27" t="s">
        <v>7</v>
      </c>
      <c r="M699" s="27" t="s">
        <v>8</v>
      </c>
      <c r="U699" s="27" t="s">
        <v>8</v>
      </c>
      <c r="V699" s="27" t="s">
        <v>7</v>
      </c>
      <c r="W699" s="27" t="s">
        <v>8</v>
      </c>
      <c r="X699" s="27" t="s">
        <v>7</v>
      </c>
      <c r="Z699" s="27" t="s">
        <v>7</v>
      </c>
      <c r="AA699" s="27" t="s">
        <v>8</v>
      </c>
      <c r="BF699" s="27" t="s">
        <v>7</v>
      </c>
      <c r="BG699" s="27" t="s">
        <v>8</v>
      </c>
      <c r="BH699" s="27" t="s">
        <v>7</v>
      </c>
      <c r="BI699" s="27" t="s">
        <v>8</v>
      </c>
      <c r="BR699" s="27" t="s">
        <v>7</v>
      </c>
      <c r="BS699" s="27" t="s">
        <v>8</v>
      </c>
      <c r="BX699" s="27" t="s">
        <v>7</v>
      </c>
      <c r="BY699" s="27" t="s">
        <v>8</v>
      </c>
      <c r="BZ699" s="27" t="s">
        <v>7</v>
      </c>
      <c r="CB699" s="27" t="s">
        <v>7</v>
      </c>
      <c r="CC699" s="27" t="s">
        <v>8</v>
      </c>
      <c r="CE699" s="27" t="s">
        <v>8</v>
      </c>
      <c r="CF699" s="27" t="s">
        <v>7</v>
      </c>
      <c r="CW699" s="27" t="s">
        <v>8</v>
      </c>
      <c r="CX699" s="27" t="s">
        <v>7</v>
      </c>
      <c r="DQ699" s="27" t="s">
        <v>8</v>
      </c>
      <c r="DR699" s="27" t="s">
        <v>7</v>
      </c>
      <c r="DS699" s="27" t="s">
        <v>8</v>
      </c>
      <c r="DT699" s="27" t="s">
        <v>7</v>
      </c>
      <c r="EG699" s="27" t="s">
        <v>8</v>
      </c>
      <c r="EI699" s="27" t="s">
        <v>8</v>
      </c>
      <c r="EJ699" s="27" t="s">
        <v>7</v>
      </c>
      <c r="EK699" s="27" t="s">
        <v>8</v>
      </c>
      <c r="EL699" s="27" t="s">
        <v>7</v>
      </c>
      <c r="EM699" s="27" t="s">
        <v>8</v>
      </c>
      <c r="EN699" s="27" t="s">
        <v>7</v>
      </c>
      <c r="EO699" s="27" t="s">
        <v>8</v>
      </c>
      <c r="EX699" s="27" t="s">
        <v>7</v>
      </c>
      <c r="FD699" s="27" t="s">
        <v>7</v>
      </c>
      <c r="FE699" s="27" t="s">
        <v>8</v>
      </c>
      <c r="FF699" s="27" t="s">
        <v>7</v>
      </c>
      <c r="FW699" s="27" t="s">
        <v>8</v>
      </c>
      <c r="FX699" s="27" t="s">
        <v>7</v>
      </c>
      <c r="FY699" s="27" t="s">
        <v>8</v>
      </c>
    </row>
    <row r="700" spans="1:188" x14ac:dyDescent="0.25">
      <c r="A700" s="7">
        <v>0.10670397317716582</v>
      </c>
      <c r="B700"/>
      <c r="C700"/>
      <c r="D700"/>
      <c r="E700"/>
      <c r="F700" s="27" t="s">
        <v>7</v>
      </c>
      <c r="G700" s="27" t="s">
        <v>8</v>
      </c>
      <c r="L700" s="27" t="s">
        <v>7</v>
      </c>
      <c r="M700" s="27" t="s">
        <v>8</v>
      </c>
      <c r="N700" s="27" t="s">
        <v>7</v>
      </c>
      <c r="U700" s="27" t="s">
        <v>8</v>
      </c>
      <c r="V700" s="27" t="s">
        <v>7</v>
      </c>
      <c r="W700" s="27" t="s">
        <v>8</v>
      </c>
      <c r="Z700" s="27" t="s">
        <v>7</v>
      </c>
      <c r="AA700" s="27" t="s">
        <v>8</v>
      </c>
      <c r="BF700" s="27" t="s">
        <v>7</v>
      </c>
      <c r="BH700" s="27" t="s">
        <v>7</v>
      </c>
      <c r="BI700" s="27" t="s">
        <v>8</v>
      </c>
      <c r="BR700" s="27" t="s">
        <v>7</v>
      </c>
      <c r="BX700" s="27" t="s">
        <v>7</v>
      </c>
      <c r="CB700" s="27" t="s">
        <v>7</v>
      </c>
      <c r="CC700" s="27" t="s">
        <v>8</v>
      </c>
      <c r="CD700" s="27" t="s">
        <v>7</v>
      </c>
      <c r="CE700" s="27" t="s">
        <v>8</v>
      </c>
      <c r="CF700" s="27" t="s">
        <v>7</v>
      </c>
      <c r="CW700" s="27" t="s">
        <v>8</v>
      </c>
      <c r="CX700" s="27" t="s">
        <v>7</v>
      </c>
      <c r="DQ700" s="27" t="s">
        <v>8</v>
      </c>
      <c r="DR700" s="27" t="s">
        <v>7</v>
      </c>
      <c r="DS700" s="27" t="s">
        <v>8</v>
      </c>
      <c r="DT700" s="27" t="s">
        <v>7</v>
      </c>
      <c r="EG700" s="27" t="s">
        <v>8</v>
      </c>
      <c r="EH700" s="27" t="s">
        <v>7</v>
      </c>
      <c r="EI700" s="27" t="s">
        <v>8</v>
      </c>
      <c r="EJ700" s="27" t="s">
        <v>7</v>
      </c>
      <c r="EL700" s="27" t="s">
        <v>7</v>
      </c>
      <c r="EM700" s="27" t="s">
        <v>8</v>
      </c>
      <c r="EN700" s="27" t="s">
        <v>7</v>
      </c>
      <c r="EO700" s="27" t="s">
        <v>8</v>
      </c>
      <c r="FD700" s="27" t="s">
        <v>7</v>
      </c>
      <c r="FE700" s="27" t="s">
        <v>8</v>
      </c>
      <c r="FF700" s="27" t="s">
        <v>7</v>
      </c>
      <c r="FW700" s="27" t="s">
        <v>8</v>
      </c>
      <c r="FX700" s="27" t="s">
        <v>7</v>
      </c>
      <c r="FY700" s="27" t="s">
        <v>8</v>
      </c>
    </row>
    <row r="701" spans="1:188" x14ac:dyDescent="0.25">
      <c r="A701" s="7">
        <v>0.1046117384089861</v>
      </c>
      <c r="B701"/>
      <c r="C701"/>
      <c r="D701"/>
      <c r="E701"/>
      <c r="F701" s="27" t="s">
        <v>7</v>
      </c>
      <c r="L701" s="27" t="s">
        <v>7</v>
      </c>
      <c r="M701" s="27" t="s">
        <v>8</v>
      </c>
      <c r="N701" s="27" t="s">
        <v>7</v>
      </c>
      <c r="U701" s="27" t="s">
        <v>8</v>
      </c>
      <c r="V701" s="27" t="s">
        <v>7</v>
      </c>
      <c r="W701" s="27" t="s">
        <v>8</v>
      </c>
      <c r="Z701" s="27" t="s">
        <v>7</v>
      </c>
      <c r="AA701" s="27" t="s">
        <v>8</v>
      </c>
      <c r="BH701" s="27" t="s">
        <v>7</v>
      </c>
      <c r="BI701" s="27" t="s">
        <v>8</v>
      </c>
      <c r="CB701" s="27" t="s">
        <v>7</v>
      </c>
      <c r="CC701" s="27" t="s">
        <v>8</v>
      </c>
      <c r="CD701" s="27" t="s">
        <v>7</v>
      </c>
      <c r="CE701" s="27" t="s">
        <v>8</v>
      </c>
      <c r="CF701" s="27" t="s">
        <v>7</v>
      </c>
      <c r="CW701" s="27" t="s">
        <v>8</v>
      </c>
      <c r="CX701" s="27" t="s">
        <v>7</v>
      </c>
      <c r="DA701" s="27" t="s">
        <v>8</v>
      </c>
      <c r="DQ701" s="27" t="s">
        <v>8</v>
      </c>
      <c r="DR701" s="27" t="s">
        <v>7</v>
      </c>
      <c r="DS701" s="27" t="s">
        <v>8</v>
      </c>
      <c r="DT701" s="27" t="s">
        <v>7</v>
      </c>
      <c r="EG701" s="27" t="s">
        <v>8</v>
      </c>
      <c r="EH701" s="27" t="s">
        <v>7</v>
      </c>
      <c r="EI701" s="27" t="s">
        <v>8</v>
      </c>
      <c r="EL701" s="27" t="s">
        <v>7</v>
      </c>
      <c r="EM701" s="27" t="s">
        <v>8</v>
      </c>
      <c r="EN701" s="27" t="s">
        <v>7</v>
      </c>
      <c r="EO701" s="27" t="s">
        <v>8</v>
      </c>
      <c r="FD701" s="27" t="s">
        <v>7</v>
      </c>
      <c r="FE701" s="27" t="s">
        <v>8</v>
      </c>
      <c r="FF701" s="27" t="s">
        <v>7</v>
      </c>
      <c r="FU701" s="27" t="s">
        <v>8</v>
      </c>
      <c r="FW701" s="27" t="s">
        <v>8</v>
      </c>
      <c r="FX701" s="27" t="s">
        <v>7</v>
      </c>
      <c r="FY701" s="27" t="s">
        <v>8</v>
      </c>
    </row>
    <row r="702" spans="1:188" x14ac:dyDescent="0.25">
      <c r="A702" s="7">
        <v>0.10256052785194716</v>
      </c>
      <c r="B702"/>
      <c r="C702"/>
      <c r="D702"/>
      <c r="E702"/>
      <c r="L702" s="27" t="s">
        <v>7</v>
      </c>
      <c r="M702" s="27" t="s">
        <v>8</v>
      </c>
      <c r="N702" s="27" t="s">
        <v>7</v>
      </c>
      <c r="U702" s="27" t="s">
        <v>8</v>
      </c>
      <c r="V702" s="27" t="s">
        <v>7</v>
      </c>
      <c r="W702" s="27" t="s">
        <v>8</v>
      </c>
      <c r="Z702" s="27" t="s">
        <v>7</v>
      </c>
      <c r="BH702" s="27" t="s">
        <v>7</v>
      </c>
      <c r="BI702" s="27" t="s">
        <v>8</v>
      </c>
      <c r="CB702" s="27" t="s">
        <v>7</v>
      </c>
      <c r="CD702" s="27" t="s">
        <v>7</v>
      </c>
      <c r="CF702" s="27" t="s">
        <v>7</v>
      </c>
      <c r="CW702" s="27" t="s">
        <v>8</v>
      </c>
      <c r="CX702" s="27" t="s">
        <v>7</v>
      </c>
      <c r="DA702" s="27" t="s">
        <v>8</v>
      </c>
      <c r="DB702" s="27" t="s">
        <v>7</v>
      </c>
      <c r="DQ702" s="27" t="s">
        <v>8</v>
      </c>
      <c r="DR702" s="27" t="s">
        <v>7</v>
      </c>
      <c r="DS702" s="27" t="s">
        <v>8</v>
      </c>
      <c r="DT702" s="27" t="s">
        <v>7</v>
      </c>
      <c r="EA702" s="27" t="s">
        <v>8</v>
      </c>
      <c r="EG702" s="27" t="s">
        <v>8</v>
      </c>
      <c r="EH702" s="27" t="s">
        <v>7</v>
      </c>
      <c r="EI702" s="27" t="s">
        <v>8</v>
      </c>
      <c r="EL702" s="27" t="s">
        <v>7</v>
      </c>
      <c r="EM702" s="27" t="s">
        <v>8</v>
      </c>
      <c r="EN702" s="27" t="s">
        <v>7</v>
      </c>
      <c r="FD702" s="27" t="s">
        <v>7</v>
      </c>
      <c r="FE702" s="27" t="s">
        <v>8</v>
      </c>
      <c r="FF702" s="27" t="s">
        <v>7</v>
      </c>
      <c r="FU702" s="27" t="s">
        <v>8</v>
      </c>
      <c r="FV702" s="27" t="s">
        <v>7</v>
      </c>
      <c r="FW702" s="27" t="s">
        <v>8</v>
      </c>
      <c r="FX702" s="27" t="s">
        <v>7</v>
      </c>
      <c r="FY702" s="27" t="s">
        <v>8</v>
      </c>
    </row>
    <row r="703" spans="1:188" x14ac:dyDescent="0.25">
      <c r="A703" s="7">
        <v>0.10054953710975212</v>
      </c>
      <c r="B703"/>
      <c r="C703"/>
      <c r="D703"/>
      <c r="E703"/>
      <c r="L703" s="27" t="s">
        <v>7</v>
      </c>
      <c r="M703" s="27" t="s">
        <v>8</v>
      </c>
      <c r="N703" s="27" t="s">
        <v>7</v>
      </c>
      <c r="U703" s="27" t="s">
        <v>8</v>
      </c>
      <c r="V703" s="27" t="s">
        <v>7</v>
      </c>
      <c r="W703" s="27" t="s">
        <v>8</v>
      </c>
      <c r="BH703" s="27" t="s">
        <v>7</v>
      </c>
      <c r="BI703" s="27" t="s">
        <v>8</v>
      </c>
      <c r="CF703" s="27" t="s">
        <v>7</v>
      </c>
      <c r="CW703" s="27" t="s">
        <v>8</v>
      </c>
      <c r="CX703" s="27" t="s">
        <v>7</v>
      </c>
      <c r="DA703" s="27" t="s">
        <v>8</v>
      </c>
      <c r="DB703" s="27" t="s">
        <v>7</v>
      </c>
      <c r="DQ703" s="27" t="s">
        <v>8</v>
      </c>
      <c r="DR703" s="27" t="s">
        <v>7</v>
      </c>
      <c r="DS703" s="27" t="s">
        <v>8</v>
      </c>
      <c r="DT703" s="27" t="s">
        <v>7</v>
      </c>
      <c r="EA703" s="27" t="s">
        <v>8</v>
      </c>
      <c r="EB703" s="27" t="s">
        <v>7</v>
      </c>
      <c r="EC703" s="27" t="s">
        <v>8</v>
      </c>
      <c r="EG703" s="27" t="s">
        <v>8</v>
      </c>
      <c r="EH703" s="27" t="s">
        <v>7</v>
      </c>
      <c r="EL703" s="27" t="s">
        <v>7</v>
      </c>
      <c r="FD703" s="27" t="s">
        <v>7</v>
      </c>
      <c r="FF703" s="27" t="s">
        <v>7</v>
      </c>
      <c r="FU703" s="27" t="s">
        <v>8</v>
      </c>
      <c r="FV703" s="27" t="s">
        <v>7</v>
      </c>
      <c r="FW703" s="27" t="s">
        <v>8</v>
      </c>
      <c r="FX703" s="27" t="s">
        <v>7</v>
      </c>
      <c r="FY703" s="27" t="s">
        <v>8</v>
      </c>
    </row>
    <row r="704" spans="1:188" x14ac:dyDescent="0.25">
      <c r="A704" s="7">
        <v>9.8577977558580512E-2</v>
      </c>
      <c r="B704"/>
      <c r="C704"/>
      <c r="D704"/>
      <c r="E704"/>
      <c r="L704" s="27" t="s">
        <v>7</v>
      </c>
      <c r="M704" s="27" t="s">
        <v>8</v>
      </c>
      <c r="N704" s="27" t="s">
        <v>7</v>
      </c>
      <c r="O704" s="27" t="s">
        <v>8</v>
      </c>
      <c r="U704" s="27" t="s">
        <v>8</v>
      </c>
      <c r="V704" s="27" t="s">
        <v>7</v>
      </c>
      <c r="W704" s="27" t="s">
        <v>8</v>
      </c>
      <c r="BH704" s="27" t="s">
        <v>7</v>
      </c>
      <c r="BI704" s="27" t="s">
        <v>8</v>
      </c>
      <c r="CF704" s="27" t="s">
        <v>7</v>
      </c>
      <c r="CW704" s="27" t="s">
        <v>8</v>
      </c>
      <c r="CX704" s="27" t="s">
        <v>7</v>
      </c>
      <c r="CY704" s="27" t="s">
        <v>8</v>
      </c>
      <c r="DA704" s="27" t="s">
        <v>8</v>
      </c>
      <c r="DB704" s="27" t="s">
        <v>7</v>
      </c>
      <c r="DQ704" s="27" t="s">
        <v>8</v>
      </c>
      <c r="DR704" s="27" t="s">
        <v>7</v>
      </c>
      <c r="DS704" s="27" t="s">
        <v>8</v>
      </c>
      <c r="DT704" s="27" t="s">
        <v>7</v>
      </c>
      <c r="EA704" s="27" t="s">
        <v>8</v>
      </c>
      <c r="EB704" s="27" t="s">
        <v>7</v>
      </c>
      <c r="EC704" s="27" t="s">
        <v>8</v>
      </c>
      <c r="ED704" s="27" t="s">
        <v>7</v>
      </c>
      <c r="EE704" s="27" t="s">
        <v>8</v>
      </c>
      <c r="EG704" s="27" t="s">
        <v>8</v>
      </c>
      <c r="FF704" s="27" t="s">
        <v>7</v>
      </c>
      <c r="FU704" s="27" t="s">
        <v>8</v>
      </c>
      <c r="FV704" s="27" t="s">
        <v>7</v>
      </c>
      <c r="FX704" s="27" t="s">
        <v>7</v>
      </c>
      <c r="FY704" s="27" t="s">
        <v>8</v>
      </c>
    </row>
    <row r="705" spans="1:181" x14ac:dyDescent="0.25">
      <c r="A705" s="7">
        <v>9.6645076037824032E-2</v>
      </c>
      <c r="B705"/>
      <c r="C705"/>
      <c r="D705"/>
      <c r="E705"/>
      <c r="L705" s="27" t="s">
        <v>7</v>
      </c>
      <c r="M705" s="27" t="s">
        <v>8</v>
      </c>
      <c r="N705" s="27" t="s">
        <v>7</v>
      </c>
      <c r="O705" s="27" t="s">
        <v>8</v>
      </c>
      <c r="P705" s="27" t="s">
        <v>7</v>
      </c>
      <c r="U705" s="27" t="s">
        <v>8</v>
      </c>
      <c r="V705" s="27" t="s">
        <v>7</v>
      </c>
      <c r="BH705" s="27" t="s">
        <v>7</v>
      </c>
      <c r="BI705" s="27" t="s">
        <v>8</v>
      </c>
      <c r="CF705" s="27" t="s">
        <v>7</v>
      </c>
      <c r="CW705" s="27" t="s">
        <v>8</v>
      </c>
      <c r="CX705" s="27" t="s">
        <v>7</v>
      </c>
      <c r="CY705" s="27" t="s">
        <v>8</v>
      </c>
      <c r="CZ705" s="27" t="s">
        <v>7</v>
      </c>
      <c r="DA705" s="27" t="s">
        <v>8</v>
      </c>
      <c r="DB705" s="27" t="s">
        <v>7</v>
      </c>
      <c r="DE705" s="27" t="s">
        <v>8</v>
      </c>
      <c r="DQ705" s="27" t="s">
        <v>8</v>
      </c>
      <c r="DR705" s="27" t="s">
        <v>7</v>
      </c>
      <c r="DS705" s="27" t="s">
        <v>8</v>
      </c>
      <c r="DT705" s="27" t="s">
        <v>7</v>
      </c>
      <c r="DU705" s="27" t="s">
        <v>8</v>
      </c>
      <c r="EA705" s="27" t="s">
        <v>8</v>
      </c>
      <c r="EB705" s="27" t="s">
        <v>7</v>
      </c>
      <c r="EC705" s="27" t="s">
        <v>8</v>
      </c>
      <c r="ED705" s="27" t="s">
        <v>7</v>
      </c>
      <c r="EE705" s="27" t="s">
        <v>8</v>
      </c>
      <c r="EF705" s="27" t="s">
        <v>7</v>
      </c>
      <c r="EG705" s="27" t="s">
        <v>8</v>
      </c>
      <c r="FF705" s="27" t="s">
        <v>7</v>
      </c>
      <c r="FU705" s="27" t="s">
        <v>8</v>
      </c>
      <c r="FX705" s="27" t="s">
        <v>7</v>
      </c>
      <c r="FY705" s="27" t="s">
        <v>8</v>
      </c>
    </row>
    <row r="706" spans="1:181" x14ac:dyDescent="0.25">
      <c r="A706" s="7">
        <v>9.4750074546886304E-2</v>
      </c>
      <c r="B706"/>
      <c r="C706"/>
      <c r="D706"/>
      <c r="E706"/>
      <c r="L706" s="27" t="s">
        <v>7</v>
      </c>
      <c r="M706" s="27" t="s">
        <v>8</v>
      </c>
      <c r="N706" s="27" t="s">
        <v>7</v>
      </c>
      <c r="O706" s="27" t="s">
        <v>8</v>
      </c>
      <c r="P706" s="27" t="s">
        <v>7</v>
      </c>
      <c r="U706" s="27" t="s">
        <v>8</v>
      </c>
      <c r="BH706" s="27" t="s">
        <v>7</v>
      </c>
      <c r="BI706" s="27" t="s">
        <v>8</v>
      </c>
      <c r="CF706" s="27" t="s">
        <v>7</v>
      </c>
      <c r="CW706" s="27" t="s">
        <v>8</v>
      </c>
      <c r="CX706" s="27" t="s">
        <v>7</v>
      </c>
      <c r="CY706" s="27" t="s">
        <v>8</v>
      </c>
      <c r="CZ706" s="27" t="s">
        <v>7</v>
      </c>
      <c r="DA706" s="27" t="s">
        <v>8</v>
      </c>
      <c r="DB706" s="27" t="s">
        <v>7</v>
      </c>
      <c r="DE706" s="27" t="s">
        <v>8</v>
      </c>
      <c r="DF706" s="27" t="s">
        <v>7</v>
      </c>
      <c r="DQ706" s="27" t="s">
        <v>8</v>
      </c>
      <c r="DR706" s="27" t="s">
        <v>7</v>
      </c>
      <c r="DS706" s="27" t="s">
        <v>8</v>
      </c>
      <c r="DT706" s="27" t="s">
        <v>7</v>
      </c>
      <c r="DU706" s="27" t="s">
        <v>8</v>
      </c>
      <c r="DV706" s="27" t="s">
        <v>7</v>
      </c>
      <c r="DY706" s="27" t="s">
        <v>8</v>
      </c>
      <c r="EA706" s="27" t="s">
        <v>8</v>
      </c>
      <c r="EB706" s="27" t="s">
        <v>7</v>
      </c>
      <c r="EC706" s="27" t="s">
        <v>8</v>
      </c>
      <c r="ED706" s="27" t="s">
        <v>7</v>
      </c>
      <c r="EE706" s="27" t="s">
        <v>8</v>
      </c>
      <c r="EF706" s="27" t="s">
        <v>7</v>
      </c>
      <c r="EG706" s="27" t="s">
        <v>8</v>
      </c>
      <c r="FF706" s="27" t="s">
        <v>7</v>
      </c>
      <c r="FU706" s="27" t="s">
        <v>8</v>
      </c>
      <c r="FX706" s="27" t="s">
        <v>7</v>
      </c>
      <c r="FY706" s="27" t="s">
        <v>8</v>
      </c>
    </row>
    <row r="707" spans="1:181" x14ac:dyDescent="0.25">
      <c r="A707" s="7">
        <v>9.2892229947927743E-2</v>
      </c>
      <c r="B707"/>
      <c r="C707"/>
      <c r="D707"/>
      <c r="E707"/>
      <c r="L707" s="27" t="s">
        <v>7</v>
      </c>
      <c r="M707" s="27" t="s">
        <v>8</v>
      </c>
      <c r="N707" s="27" t="s">
        <v>7</v>
      </c>
      <c r="O707" s="27" t="s">
        <v>8</v>
      </c>
      <c r="P707" s="27" t="s">
        <v>7</v>
      </c>
      <c r="Q707" s="27" t="s">
        <v>8</v>
      </c>
      <c r="U707" s="27" t="s">
        <v>8</v>
      </c>
      <c r="BH707" s="27" t="s">
        <v>7</v>
      </c>
      <c r="BI707" s="27" t="s">
        <v>8</v>
      </c>
      <c r="CF707" s="27" t="s">
        <v>7</v>
      </c>
      <c r="CW707" s="27" t="s">
        <v>8</v>
      </c>
      <c r="CX707" s="27" t="s">
        <v>7</v>
      </c>
      <c r="CY707" s="27" t="s">
        <v>8</v>
      </c>
      <c r="CZ707" s="27" t="s">
        <v>7</v>
      </c>
      <c r="DB707" s="27" t="s">
        <v>7</v>
      </c>
      <c r="DC707" s="27" t="s">
        <v>8</v>
      </c>
      <c r="DE707" s="27" t="s">
        <v>8</v>
      </c>
      <c r="DF707" s="27" t="s">
        <v>7</v>
      </c>
      <c r="DQ707" s="27" t="s">
        <v>8</v>
      </c>
      <c r="DR707" s="27" t="s">
        <v>7</v>
      </c>
      <c r="DS707" s="27" t="s">
        <v>8</v>
      </c>
      <c r="DT707" s="27" t="s">
        <v>7</v>
      </c>
      <c r="DU707" s="27" t="s">
        <v>8</v>
      </c>
      <c r="DV707" s="27" t="s">
        <v>7</v>
      </c>
      <c r="DY707" s="27" t="s">
        <v>8</v>
      </c>
      <c r="DZ707" s="27" t="s">
        <v>7</v>
      </c>
      <c r="EA707" s="27" t="s">
        <v>8</v>
      </c>
      <c r="EB707" s="27" t="s">
        <v>7</v>
      </c>
      <c r="ED707" s="27" t="s">
        <v>7</v>
      </c>
      <c r="EF707" s="27" t="s">
        <v>7</v>
      </c>
      <c r="FF707" s="27" t="s">
        <v>7</v>
      </c>
      <c r="FU707" s="27" t="s">
        <v>8</v>
      </c>
      <c r="FX707" s="27" t="s">
        <v>7</v>
      </c>
    </row>
    <row r="708" spans="1:181" x14ac:dyDescent="0.25">
      <c r="A708" s="7">
        <v>9.1070813674438963E-2</v>
      </c>
      <c r="B708"/>
      <c r="C708"/>
      <c r="D708"/>
      <c r="E708"/>
      <c r="L708" s="27" t="s">
        <v>7</v>
      </c>
      <c r="N708" s="27" t="s">
        <v>7</v>
      </c>
      <c r="O708" s="27" t="s">
        <v>8</v>
      </c>
      <c r="P708" s="27" t="s">
        <v>7</v>
      </c>
      <c r="Q708" s="27" t="s">
        <v>8</v>
      </c>
      <c r="R708" s="27" t="s">
        <v>7</v>
      </c>
      <c r="S708" s="27" t="s">
        <v>8</v>
      </c>
      <c r="U708" s="27" t="s">
        <v>8</v>
      </c>
      <c r="BH708" s="27" t="s">
        <v>7</v>
      </c>
      <c r="CF708" s="27" t="s">
        <v>7</v>
      </c>
      <c r="CG708" s="27" t="s">
        <v>8</v>
      </c>
      <c r="CO708" s="27" t="s">
        <v>8</v>
      </c>
      <c r="CS708" s="27" t="s">
        <v>8</v>
      </c>
      <c r="CW708" s="27" t="s">
        <v>8</v>
      </c>
      <c r="CX708" s="27" t="s">
        <v>7</v>
      </c>
      <c r="DB708" s="27" t="s">
        <v>7</v>
      </c>
      <c r="DC708" s="27" t="s">
        <v>8</v>
      </c>
      <c r="DD708" s="27" t="s">
        <v>7</v>
      </c>
      <c r="DE708" s="27" t="s">
        <v>8</v>
      </c>
      <c r="DF708" s="27" t="s">
        <v>7</v>
      </c>
      <c r="DO708" s="27" t="s">
        <v>8</v>
      </c>
      <c r="DQ708" s="27" t="s">
        <v>8</v>
      </c>
      <c r="DR708" s="27" t="s">
        <v>7</v>
      </c>
      <c r="DT708" s="27" t="s">
        <v>7</v>
      </c>
      <c r="DU708" s="27" t="s">
        <v>8</v>
      </c>
      <c r="DV708" s="27" t="s">
        <v>7</v>
      </c>
      <c r="DW708" s="27" t="s">
        <v>8</v>
      </c>
      <c r="DY708" s="27" t="s">
        <v>8</v>
      </c>
      <c r="DZ708" s="27" t="s">
        <v>7</v>
      </c>
      <c r="EA708" s="27" t="s">
        <v>8</v>
      </c>
      <c r="FF708" s="27" t="s">
        <v>7</v>
      </c>
      <c r="FU708" s="27" t="s">
        <v>8</v>
      </c>
    </row>
    <row r="709" spans="1:181" x14ac:dyDescent="0.25">
      <c r="A709" s="7">
        <v>8.9285111445528392E-2</v>
      </c>
      <c r="B709"/>
      <c r="C709"/>
      <c r="D709"/>
      <c r="E709"/>
      <c r="N709" s="27" t="s">
        <v>7</v>
      </c>
      <c r="P709" s="27" t="s">
        <v>7</v>
      </c>
      <c r="Q709" s="27" t="s">
        <v>8</v>
      </c>
      <c r="R709" s="27" t="s">
        <v>7</v>
      </c>
      <c r="S709" s="27" t="s">
        <v>8</v>
      </c>
      <c r="T709" s="27" t="s">
        <v>7</v>
      </c>
      <c r="U709" s="27" t="s">
        <v>8</v>
      </c>
      <c r="CF709" s="27" t="s">
        <v>7</v>
      </c>
      <c r="CG709" s="27" t="s">
        <v>8</v>
      </c>
      <c r="CH709" s="27" t="s">
        <v>7</v>
      </c>
      <c r="CO709" s="27" t="s">
        <v>8</v>
      </c>
      <c r="CP709" s="27" t="s">
        <v>7</v>
      </c>
      <c r="CQ709" s="27" t="s">
        <v>8</v>
      </c>
      <c r="CS709" s="27" t="s">
        <v>8</v>
      </c>
      <c r="CT709" s="27" t="s">
        <v>7</v>
      </c>
      <c r="CW709" s="27" t="s">
        <v>8</v>
      </c>
      <c r="DB709" s="27" t="s">
        <v>7</v>
      </c>
      <c r="DC709" s="27" t="s">
        <v>8</v>
      </c>
      <c r="DD709" s="27" t="s">
        <v>7</v>
      </c>
      <c r="DE709" s="27" t="s">
        <v>8</v>
      </c>
      <c r="DF709" s="27" t="s">
        <v>7</v>
      </c>
      <c r="DO709" s="27" t="s">
        <v>8</v>
      </c>
      <c r="DP709" s="27" t="s">
        <v>7</v>
      </c>
      <c r="DQ709" s="27" t="s">
        <v>8</v>
      </c>
      <c r="DT709" s="27" t="s">
        <v>7</v>
      </c>
      <c r="DV709" s="27" t="s">
        <v>7</v>
      </c>
      <c r="DW709" s="27" t="s">
        <v>8</v>
      </c>
      <c r="DX709" s="27" t="s">
        <v>7</v>
      </c>
      <c r="DY709" s="27" t="s">
        <v>8</v>
      </c>
      <c r="DZ709" s="27" t="s">
        <v>7</v>
      </c>
      <c r="EA709" s="27" t="s">
        <v>8</v>
      </c>
      <c r="FF709" s="27" t="s">
        <v>7</v>
      </c>
      <c r="FQ709" s="27" t="s">
        <v>8</v>
      </c>
      <c r="FU709" s="27" t="s">
        <v>8</v>
      </c>
    </row>
    <row r="710" spans="1:181" x14ac:dyDescent="0.25">
      <c r="A710" s="7">
        <v>8.7534422985812155E-2</v>
      </c>
      <c r="B710"/>
      <c r="C710"/>
      <c r="D710"/>
      <c r="E710"/>
      <c r="P710" s="27" t="s">
        <v>7</v>
      </c>
      <c r="R710" s="27" t="s">
        <v>7</v>
      </c>
      <c r="S710" s="27" t="s">
        <v>8</v>
      </c>
      <c r="T710" s="27" t="s">
        <v>7</v>
      </c>
      <c r="U710" s="27" t="s">
        <v>8</v>
      </c>
      <c r="CF710" s="27" t="s">
        <v>7</v>
      </c>
      <c r="CG710" s="27" t="s">
        <v>8</v>
      </c>
      <c r="CH710" s="27" t="s">
        <v>7</v>
      </c>
      <c r="CI710" s="27" t="s">
        <v>8</v>
      </c>
      <c r="CM710" s="27" t="s">
        <v>8</v>
      </c>
      <c r="CO710" s="27" t="s">
        <v>8</v>
      </c>
      <c r="CP710" s="27" t="s">
        <v>7</v>
      </c>
      <c r="CQ710" s="27" t="s">
        <v>8</v>
      </c>
      <c r="CR710" s="27" t="s">
        <v>7</v>
      </c>
      <c r="CS710" s="27" t="s">
        <v>8</v>
      </c>
      <c r="CT710" s="27" t="s">
        <v>7</v>
      </c>
      <c r="CW710" s="27" t="s">
        <v>8</v>
      </c>
      <c r="DB710" s="27" t="s">
        <v>7</v>
      </c>
      <c r="DC710" s="27" t="s">
        <v>8</v>
      </c>
      <c r="DD710" s="27" t="s">
        <v>7</v>
      </c>
      <c r="DF710" s="27" t="s">
        <v>7</v>
      </c>
      <c r="DM710" s="27" t="s">
        <v>8</v>
      </c>
      <c r="DO710" s="27" t="s">
        <v>8</v>
      </c>
      <c r="DP710" s="27" t="s">
        <v>7</v>
      </c>
      <c r="DQ710" s="27" t="s">
        <v>8</v>
      </c>
      <c r="DV710" s="27" t="s">
        <v>7</v>
      </c>
      <c r="DW710" s="27" t="s">
        <v>8</v>
      </c>
      <c r="DX710" s="27" t="s">
        <v>7</v>
      </c>
      <c r="DY710" s="27" t="s">
        <v>8</v>
      </c>
      <c r="DZ710" s="27" t="s">
        <v>7</v>
      </c>
      <c r="EA710" s="27" t="s">
        <v>8</v>
      </c>
      <c r="FF710" s="27" t="s">
        <v>7</v>
      </c>
      <c r="FQ710" s="27" t="s">
        <v>8</v>
      </c>
      <c r="FR710" s="27" t="s">
        <v>7</v>
      </c>
      <c r="FU710" s="27" t="s">
        <v>8</v>
      </c>
    </row>
    <row r="711" spans="1:181" x14ac:dyDescent="0.25">
      <c r="A711" s="7">
        <v>8.5818061750796232E-2</v>
      </c>
      <c r="B711"/>
      <c r="C711"/>
      <c r="D711"/>
      <c r="E711"/>
      <c r="R711" s="27" t="s">
        <v>7</v>
      </c>
      <c r="S711" s="27" t="s">
        <v>8</v>
      </c>
      <c r="T711" s="27" t="s">
        <v>7</v>
      </c>
      <c r="CF711" s="27" t="s">
        <v>7</v>
      </c>
      <c r="CG711" s="27" t="s">
        <v>8</v>
      </c>
      <c r="CH711" s="27" t="s">
        <v>7</v>
      </c>
      <c r="CI711" s="27" t="s">
        <v>8</v>
      </c>
      <c r="CJ711" s="27" t="s">
        <v>7</v>
      </c>
      <c r="CM711" s="27" t="s">
        <v>8</v>
      </c>
      <c r="CN711" s="27" t="s">
        <v>7</v>
      </c>
      <c r="CO711" s="27" t="s">
        <v>8</v>
      </c>
      <c r="CP711" s="27" t="s">
        <v>7</v>
      </c>
      <c r="CQ711" s="27" t="s">
        <v>8</v>
      </c>
      <c r="CR711" s="27" t="s">
        <v>7</v>
      </c>
      <c r="CS711" s="27" t="s">
        <v>8</v>
      </c>
      <c r="CT711" s="27" t="s">
        <v>7</v>
      </c>
      <c r="CU711" s="27" t="s">
        <v>8</v>
      </c>
      <c r="CW711" s="27" t="s">
        <v>8</v>
      </c>
      <c r="DB711" s="27" t="s">
        <v>7</v>
      </c>
      <c r="DF711" s="27" t="s">
        <v>7</v>
      </c>
      <c r="DM711" s="27" t="s">
        <v>8</v>
      </c>
      <c r="DN711" s="27" t="s">
        <v>7</v>
      </c>
      <c r="DO711" s="27" t="s">
        <v>8</v>
      </c>
      <c r="DP711" s="27" t="s">
        <v>7</v>
      </c>
      <c r="DQ711" s="27" t="s">
        <v>8</v>
      </c>
      <c r="DV711" s="27" t="s">
        <v>7</v>
      </c>
      <c r="DX711" s="27" t="s">
        <v>7</v>
      </c>
      <c r="DZ711" s="27" t="s">
        <v>7</v>
      </c>
      <c r="EA711" s="27" t="s">
        <v>8</v>
      </c>
      <c r="FF711" s="27" t="s">
        <v>7</v>
      </c>
      <c r="FQ711" s="27" t="s">
        <v>8</v>
      </c>
      <c r="FR711" s="27" t="s">
        <v>7</v>
      </c>
      <c r="FU711" s="27" t="s">
        <v>8</v>
      </c>
    </row>
    <row r="712" spans="1:181" x14ac:dyDescent="0.25">
      <c r="A712" s="7">
        <v>8.4135354657643366E-2</v>
      </c>
      <c r="B712"/>
      <c r="C712"/>
      <c r="D712"/>
      <c r="E712"/>
      <c r="R712" s="27" t="s">
        <v>7</v>
      </c>
      <c r="S712" s="27" t="s">
        <v>8</v>
      </c>
      <c r="CF712" s="27" t="s">
        <v>7</v>
      </c>
      <c r="CG712" s="27" t="s">
        <v>8</v>
      </c>
      <c r="CH712" s="27" t="s">
        <v>7</v>
      </c>
      <c r="CI712" s="27" t="s">
        <v>8</v>
      </c>
      <c r="CJ712" s="27" t="s">
        <v>7</v>
      </c>
      <c r="CK712" s="27" t="s">
        <v>8</v>
      </c>
      <c r="CM712" s="27" t="s">
        <v>8</v>
      </c>
      <c r="CN712" s="27" t="s">
        <v>7</v>
      </c>
      <c r="CO712" s="27" t="s">
        <v>8</v>
      </c>
      <c r="CP712" s="27" t="s">
        <v>7</v>
      </c>
      <c r="CR712" s="27" t="s">
        <v>7</v>
      </c>
      <c r="CT712" s="27" t="s">
        <v>7</v>
      </c>
      <c r="CU712" s="27" t="s">
        <v>8</v>
      </c>
      <c r="CV712" s="27" t="s">
        <v>7</v>
      </c>
      <c r="CW712" s="27" t="s">
        <v>8</v>
      </c>
      <c r="DF712" s="27" t="s">
        <v>7</v>
      </c>
      <c r="DM712" s="27" t="s">
        <v>8</v>
      </c>
      <c r="DN712" s="27" t="s">
        <v>7</v>
      </c>
      <c r="DO712" s="27" t="s">
        <v>8</v>
      </c>
      <c r="DP712" s="27" t="s">
        <v>7</v>
      </c>
      <c r="DQ712" s="27" t="s">
        <v>8</v>
      </c>
      <c r="DZ712" s="27" t="s">
        <v>7</v>
      </c>
      <c r="EA712" s="27" t="s">
        <v>8</v>
      </c>
      <c r="FF712" s="27" t="s">
        <v>7</v>
      </c>
      <c r="FK712" s="27" t="s">
        <v>8</v>
      </c>
      <c r="FQ712" s="27" t="s">
        <v>8</v>
      </c>
      <c r="FR712" s="27" t="s">
        <v>7</v>
      </c>
      <c r="FU712" s="27" t="s">
        <v>8</v>
      </c>
    </row>
    <row r="713" spans="1:181" x14ac:dyDescent="0.25">
      <c r="A713" s="7">
        <v>8.248564182121898E-2</v>
      </c>
      <c r="B713"/>
      <c r="C713"/>
      <c r="D713"/>
      <c r="E713"/>
      <c r="R713" s="27" t="s">
        <v>7</v>
      </c>
      <c r="S713" s="27" t="s">
        <v>8</v>
      </c>
      <c r="CF713" s="27" t="s">
        <v>7</v>
      </c>
      <c r="CG713" s="27" t="s">
        <v>8</v>
      </c>
      <c r="CH713" s="27" t="s">
        <v>7</v>
      </c>
      <c r="CI713" s="27" t="s">
        <v>8</v>
      </c>
      <c r="CJ713" s="27" t="s">
        <v>7</v>
      </c>
      <c r="CK713" s="27" t="s">
        <v>8</v>
      </c>
      <c r="CL713" s="27" t="s">
        <v>7</v>
      </c>
      <c r="CM713" s="27" t="s">
        <v>8</v>
      </c>
      <c r="CN713" s="27" t="s">
        <v>7</v>
      </c>
      <c r="CO713" s="27" t="s">
        <v>8</v>
      </c>
      <c r="CT713" s="27" t="s">
        <v>7</v>
      </c>
      <c r="CU713" s="27" t="s">
        <v>8</v>
      </c>
      <c r="CV713" s="27" t="s">
        <v>7</v>
      </c>
      <c r="CW713" s="27" t="s">
        <v>8</v>
      </c>
      <c r="DF713" s="27" t="s">
        <v>7</v>
      </c>
      <c r="DM713" s="27" t="s">
        <v>8</v>
      </c>
      <c r="DN713" s="27" t="s">
        <v>7</v>
      </c>
      <c r="DO713" s="27" t="s">
        <v>8</v>
      </c>
      <c r="DP713" s="27" t="s">
        <v>7</v>
      </c>
      <c r="DZ713" s="27" t="s">
        <v>7</v>
      </c>
      <c r="FF713" s="27" t="s">
        <v>7</v>
      </c>
      <c r="FK713" s="27" t="s">
        <v>8</v>
      </c>
      <c r="FL713" s="27" t="s">
        <v>7</v>
      </c>
      <c r="FQ713" s="27" t="s">
        <v>8</v>
      </c>
      <c r="FR713" s="27" t="s">
        <v>7</v>
      </c>
      <c r="FU713" s="27" t="s">
        <v>8</v>
      </c>
    </row>
    <row r="714" spans="1:181" x14ac:dyDescent="0.25">
      <c r="A714" s="7">
        <v>8.0868276295312735E-2</v>
      </c>
      <c r="B714"/>
      <c r="C714"/>
      <c r="D714"/>
      <c r="E714"/>
      <c r="R714" s="27" t="s">
        <v>7</v>
      </c>
      <c r="S714" s="27" t="s">
        <v>8</v>
      </c>
      <c r="CF714" s="27" t="s">
        <v>7</v>
      </c>
      <c r="CG714" s="27" t="s">
        <v>8</v>
      </c>
      <c r="CH714" s="27" t="s">
        <v>7</v>
      </c>
      <c r="CJ714" s="27" t="s">
        <v>7</v>
      </c>
      <c r="CK714" s="27" t="s">
        <v>8</v>
      </c>
      <c r="CL714" s="27" t="s">
        <v>7</v>
      </c>
      <c r="CM714" s="27" t="s">
        <v>8</v>
      </c>
      <c r="CN714" s="27" t="s">
        <v>7</v>
      </c>
      <c r="CT714" s="27" t="s">
        <v>7</v>
      </c>
      <c r="CV714" s="27" t="s">
        <v>7</v>
      </c>
      <c r="DF714" s="27" t="s">
        <v>7</v>
      </c>
      <c r="DM714" s="27" t="s">
        <v>8</v>
      </c>
      <c r="DN714" s="27" t="s">
        <v>7</v>
      </c>
      <c r="DO714" s="27" t="s">
        <v>8</v>
      </c>
      <c r="FF714" s="27" t="s">
        <v>7</v>
      </c>
      <c r="FK714" s="27" t="s">
        <v>8</v>
      </c>
      <c r="FL714" s="27" t="s">
        <v>7</v>
      </c>
      <c r="FQ714" s="27" t="s">
        <v>8</v>
      </c>
      <c r="FR714" s="27" t="s">
        <v>7</v>
      </c>
      <c r="FU714" s="27" t="s">
        <v>8</v>
      </c>
    </row>
    <row r="715" spans="1:181" x14ac:dyDescent="0.25">
      <c r="A715" s="7">
        <v>7.9282623818934056E-2</v>
      </c>
      <c r="B715"/>
      <c r="C715"/>
      <c r="D715"/>
      <c r="E715"/>
      <c r="R715" s="27" t="s">
        <v>7</v>
      </c>
      <c r="S715" s="27" t="s">
        <v>8</v>
      </c>
      <c r="CF715" s="27" t="s">
        <v>7</v>
      </c>
      <c r="CJ715" s="27" t="s">
        <v>7</v>
      </c>
      <c r="CL715" s="27" t="s">
        <v>7</v>
      </c>
      <c r="DF715" s="27" t="s">
        <v>7</v>
      </c>
      <c r="DM715" s="27" t="s">
        <v>8</v>
      </c>
      <c r="DN715" s="27" t="s">
        <v>7</v>
      </c>
      <c r="DO715" s="27" t="s">
        <v>8</v>
      </c>
      <c r="FF715" s="27" t="s">
        <v>7</v>
      </c>
      <c r="FK715" s="27" t="s">
        <v>8</v>
      </c>
      <c r="FL715" s="27" t="s">
        <v>7</v>
      </c>
      <c r="FQ715" s="27" t="s">
        <v>8</v>
      </c>
      <c r="FR715" s="27" t="s">
        <v>7</v>
      </c>
      <c r="FS715" s="27" t="s">
        <v>8</v>
      </c>
      <c r="FU715" s="27" t="s">
        <v>8</v>
      </c>
    </row>
    <row r="716" spans="1:181" x14ac:dyDescent="0.25">
      <c r="A716" s="7">
        <v>7.7728062567582412E-2</v>
      </c>
      <c r="B716"/>
      <c r="C716"/>
      <c r="D716"/>
      <c r="E716"/>
      <c r="R716" s="27" t="s">
        <v>7</v>
      </c>
      <c r="DF716" s="27" t="s">
        <v>7</v>
      </c>
      <c r="DI716" s="27" t="s">
        <v>8</v>
      </c>
      <c r="DM716" s="27" t="s">
        <v>8</v>
      </c>
      <c r="DN716" s="27" t="s">
        <v>7</v>
      </c>
      <c r="DO716" s="27" t="s">
        <v>8</v>
      </c>
      <c r="FF716" s="27" t="s">
        <v>7</v>
      </c>
      <c r="FK716" s="27" t="s">
        <v>8</v>
      </c>
      <c r="FL716" s="27" t="s">
        <v>7</v>
      </c>
      <c r="FM716" s="27" t="s">
        <v>8</v>
      </c>
      <c r="FQ716" s="27" t="s">
        <v>8</v>
      </c>
      <c r="FR716" s="27" t="s">
        <v>7</v>
      </c>
      <c r="FS716" s="27" t="s">
        <v>8</v>
      </c>
      <c r="FT716" s="27" t="s">
        <v>7</v>
      </c>
      <c r="FU716" s="27" t="s">
        <v>8</v>
      </c>
    </row>
    <row r="717" spans="1:181" x14ac:dyDescent="0.25">
      <c r="A717" s="7">
        <v>7.6203982909394521E-2</v>
      </c>
      <c r="B717"/>
      <c r="C717"/>
      <c r="D717"/>
      <c r="E717"/>
      <c r="DF717" s="27" t="s">
        <v>7</v>
      </c>
      <c r="DI717" s="27" t="s">
        <v>8</v>
      </c>
      <c r="DJ717" s="27" t="s">
        <v>7</v>
      </c>
      <c r="DM717" s="27" t="s">
        <v>8</v>
      </c>
      <c r="DN717" s="27" t="s">
        <v>7</v>
      </c>
      <c r="DO717" s="27" t="s">
        <v>8</v>
      </c>
      <c r="FF717" s="27" t="s">
        <v>7</v>
      </c>
      <c r="FK717" s="27" t="s">
        <v>8</v>
      </c>
      <c r="FL717" s="27" t="s">
        <v>7</v>
      </c>
      <c r="FM717" s="27" t="s">
        <v>8</v>
      </c>
      <c r="FN717" s="27" t="s">
        <v>7</v>
      </c>
      <c r="FQ717" s="27" t="s">
        <v>8</v>
      </c>
      <c r="FR717" s="27" t="s">
        <v>7</v>
      </c>
      <c r="FS717" s="27" t="s">
        <v>8</v>
      </c>
      <c r="FT717" s="27" t="s">
        <v>7</v>
      </c>
      <c r="FU717" s="27" t="s">
        <v>8</v>
      </c>
    </row>
    <row r="718" spans="1:181" x14ac:dyDescent="0.25">
      <c r="A718" s="7">
        <v>7.4709787166073058E-2</v>
      </c>
      <c r="B718"/>
      <c r="C718"/>
      <c r="D718"/>
      <c r="E718"/>
      <c r="DF718" s="27" t="s">
        <v>7</v>
      </c>
      <c r="DG718" s="27" t="s">
        <v>8</v>
      </c>
      <c r="DI718" s="27" t="s">
        <v>8</v>
      </c>
      <c r="DJ718" s="27" t="s">
        <v>7</v>
      </c>
      <c r="DK718" s="27" t="s">
        <v>8</v>
      </c>
      <c r="DM718" s="27" t="s">
        <v>8</v>
      </c>
      <c r="DN718" s="27" t="s">
        <v>7</v>
      </c>
      <c r="DO718" s="27" t="s">
        <v>8</v>
      </c>
      <c r="FF718" s="27" t="s">
        <v>7</v>
      </c>
      <c r="FK718" s="27" t="s">
        <v>8</v>
      </c>
      <c r="FL718" s="27" t="s">
        <v>7</v>
      </c>
      <c r="FM718" s="27" t="s">
        <v>8</v>
      </c>
      <c r="FN718" s="27" t="s">
        <v>7</v>
      </c>
      <c r="FO718" s="27" t="s">
        <v>8</v>
      </c>
      <c r="FQ718" s="27" t="s">
        <v>8</v>
      </c>
      <c r="FR718" s="27" t="s">
        <v>7</v>
      </c>
      <c r="FT718" s="27" t="s">
        <v>7</v>
      </c>
      <c r="FU718" s="27" t="s">
        <v>8</v>
      </c>
    </row>
    <row r="719" spans="1:181" x14ac:dyDescent="0.25">
      <c r="A719" s="7">
        <v>7.3244889378503E-2</v>
      </c>
      <c r="B719"/>
      <c r="C719"/>
      <c r="D719"/>
      <c r="E719"/>
      <c r="DF719" s="27" t="s">
        <v>7</v>
      </c>
      <c r="DG719" s="27" t="s">
        <v>8</v>
      </c>
      <c r="DH719" s="27" t="s">
        <v>7</v>
      </c>
      <c r="DI719" s="27" t="s">
        <v>8</v>
      </c>
      <c r="DJ719" s="27" t="s">
        <v>7</v>
      </c>
      <c r="DK719" s="27" t="s">
        <v>8</v>
      </c>
      <c r="DL719" s="27" t="s">
        <v>7</v>
      </c>
      <c r="DM719" s="27" t="s">
        <v>8</v>
      </c>
      <c r="DN719" s="27" t="s">
        <v>7</v>
      </c>
      <c r="FF719" s="27" t="s">
        <v>7</v>
      </c>
      <c r="FK719" s="27" t="s">
        <v>8</v>
      </c>
      <c r="FL719" s="27" t="s">
        <v>7</v>
      </c>
      <c r="FM719" s="27" t="s">
        <v>8</v>
      </c>
      <c r="FN719" s="27" t="s">
        <v>7</v>
      </c>
      <c r="FO719" s="27" t="s">
        <v>8</v>
      </c>
      <c r="FP719" s="27" t="s">
        <v>7</v>
      </c>
      <c r="FQ719" s="27" t="s">
        <v>8</v>
      </c>
      <c r="FT719" s="27" t="s">
        <v>7</v>
      </c>
      <c r="FU719" s="27" t="s">
        <v>8</v>
      </c>
    </row>
    <row r="720" spans="1:181" x14ac:dyDescent="0.25">
      <c r="A720" s="7">
        <v>7.1808715076963722E-2</v>
      </c>
      <c r="B720"/>
      <c r="C720"/>
      <c r="D720"/>
      <c r="E720"/>
      <c r="DF720" s="27" t="s">
        <v>7</v>
      </c>
      <c r="DG720" s="27" t="s">
        <v>8</v>
      </c>
      <c r="DH720" s="27" t="s">
        <v>7</v>
      </c>
      <c r="DI720" s="27" t="s">
        <v>8</v>
      </c>
      <c r="DJ720" s="27" t="s">
        <v>7</v>
      </c>
      <c r="DK720" s="27" t="s">
        <v>8</v>
      </c>
      <c r="DL720" s="27" t="s">
        <v>7</v>
      </c>
      <c r="DM720" s="27" t="s">
        <v>8</v>
      </c>
      <c r="FF720" s="27" t="s">
        <v>7</v>
      </c>
      <c r="FK720" s="27" t="s">
        <v>8</v>
      </c>
      <c r="FL720" s="27" t="s">
        <v>7</v>
      </c>
      <c r="FM720" s="27" t="s">
        <v>8</v>
      </c>
      <c r="FN720" s="27" t="s">
        <v>7</v>
      </c>
      <c r="FO720" s="27" t="s">
        <v>8</v>
      </c>
      <c r="FP720" s="27" t="s">
        <v>7</v>
      </c>
      <c r="FQ720" s="27" t="s">
        <v>8</v>
      </c>
      <c r="FT720" s="27" t="s">
        <v>7</v>
      </c>
    </row>
    <row r="721" spans="1:172" x14ac:dyDescent="0.25">
      <c r="A721" s="7">
        <v>7.0400701055846782E-2</v>
      </c>
      <c r="B721"/>
      <c r="C721"/>
      <c r="D721"/>
      <c r="E721"/>
      <c r="DF721" s="27" t="s">
        <v>7</v>
      </c>
      <c r="DH721" s="27" t="s">
        <v>7</v>
      </c>
      <c r="DI721" s="27" t="s">
        <v>8</v>
      </c>
      <c r="DJ721" s="27" t="s">
        <v>7</v>
      </c>
      <c r="DK721" s="27" t="s">
        <v>8</v>
      </c>
      <c r="DL721" s="27" t="s">
        <v>7</v>
      </c>
      <c r="FF721" s="27" t="s">
        <v>7</v>
      </c>
      <c r="FK721" s="27" t="s">
        <v>8</v>
      </c>
      <c r="FL721" s="27" t="s">
        <v>7</v>
      </c>
      <c r="FM721" s="27" t="s">
        <v>8</v>
      </c>
      <c r="FN721" s="27" t="s">
        <v>7</v>
      </c>
      <c r="FO721" s="27" t="s">
        <v>8</v>
      </c>
      <c r="FP721" s="27" t="s">
        <v>7</v>
      </c>
    </row>
    <row r="722" spans="1:172" x14ac:dyDescent="0.25">
      <c r="A722" s="7">
        <v>6.9020295152790956E-2</v>
      </c>
      <c r="B722"/>
      <c r="C722"/>
      <c r="D722"/>
      <c r="E722"/>
      <c r="DH722" s="27" t="s">
        <v>7</v>
      </c>
      <c r="DI722" s="27" t="s">
        <v>8</v>
      </c>
      <c r="DJ722" s="27" t="s">
        <v>7</v>
      </c>
      <c r="FF722" s="27" t="s">
        <v>7</v>
      </c>
      <c r="FK722" s="27" t="s">
        <v>8</v>
      </c>
      <c r="FL722" s="27" t="s">
        <v>7</v>
      </c>
      <c r="FM722" s="27" t="s">
        <v>8</v>
      </c>
      <c r="FN722" s="27" t="s">
        <v>7</v>
      </c>
      <c r="FO722" s="27" t="s">
        <v>8</v>
      </c>
    </row>
    <row r="723" spans="1:172" x14ac:dyDescent="0.25">
      <c r="A723" s="7">
        <v>6.7666956032147993E-2</v>
      </c>
      <c r="B723"/>
      <c r="C723"/>
      <c r="D723"/>
      <c r="E723"/>
      <c r="DH723" s="27" t="s">
        <v>7</v>
      </c>
      <c r="DI723" s="27" t="s">
        <v>8</v>
      </c>
      <c r="FF723" s="27" t="s">
        <v>7</v>
      </c>
      <c r="FK723" s="27" t="s">
        <v>8</v>
      </c>
      <c r="FL723" s="27" t="s">
        <v>7</v>
      </c>
      <c r="FM723" s="27" t="s">
        <v>8</v>
      </c>
      <c r="FN723" s="27" t="s">
        <v>7</v>
      </c>
      <c r="FO723" s="27" t="s">
        <v>8</v>
      </c>
    </row>
    <row r="724" spans="1:172" x14ac:dyDescent="0.25">
      <c r="A724" s="7">
        <v>6.6340152972694105E-2</v>
      </c>
      <c r="B724"/>
      <c r="C724"/>
      <c r="D724"/>
      <c r="E724"/>
      <c r="DH724" s="27" t="s">
        <v>7</v>
      </c>
      <c r="DI724" s="27" t="s">
        <v>8</v>
      </c>
      <c r="FF724" s="27" t="s">
        <v>7</v>
      </c>
      <c r="FG724" s="27" t="s">
        <v>8</v>
      </c>
      <c r="FK724" s="27" t="s">
        <v>8</v>
      </c>
      <c r="FL724" s="27" t="s">
        <v>7</v>
      </c>
      <c r="FM724" s="27" t="s">
        <v>8</v>
      </c>
      <c r="FN724" s="27" t="s">
        <v>7</v>
      </c>
    </row>
    <row r="725" spans="1:172" x14ac:dyDescent="0.25">
      <c r="A725" s="7">
        <v>6.5039365659504023E-2</v>
      </c>
      <c r="B725"/>
      <c r="C725"/>
      <c r="D725"/>
      <c r="E725"/>
      <c r="DH725" s="27" t="s">
        <v>7</v>
      </c>
      <c r="DI725" s="27" t="s">
        <v>8</v>
      </c>
      <c r="FF725" s="27" t="s">
        <v>7</v>
      </c>
      <c r="FG725" s="27" t="s">
        <v>8</v>
      </c>
      <c r="FH725" s="27" t="s">
        <v>7</v>
      </c>
      <c r="FK725" s="27" t="s">
        <v>8</v>
      </c>
      <c r="FL725" s="27" t="s">
        <v>7</v>
      </c>
      <c r="FM725" s="27" t="s">
        <v>8</v>
      </c>
    </row>
    <row r="726" spans="1:172" x14ac:dyDescent="0.25">
      <c r="A726" s="7">
        <v>6.3764083979905906E-2</v>
      </c>
      <c r="B726"/>
      <c r="C726"/>
      <c r="D726"/>
      <c r="E726"/>
      <c r="DH726" s="27" t="s">
        <v>7</v>
      </c>
      <c r="DI726" s="27" t="s">
        <v>8</v>
      </c>
      <c r="FF726" s="27" t="s">
        <v>7</v>
      </c>
      <c r="FG726" s="27" t="s">
        <v>8</v>
      </c>
      <c r="FH726" s="27" t="s">
        <v>7</v>
      </c>
      <c r="FK726" s="27" t="s">
        <v>8</v>
      </c>
      <c r="FL726" s="27" t="s">
        <v>7</v>
      </c>
      <c r="FM726" s="27" t="s">
        <v>8</v>
      </c>
    </row>
    <row r="727" spans="1:172" x14ac:dyDescent="0.25">
      <c r="A727" s="7">
        <v>6.251380782343717E-2</v>
      </c>
      <c r="B727"/>
      <c r="C727"/>
      <c r="D727"/>
      <c r="E727"/>
      <c r="DH727" s="27" t="s">
        <v>7</v>
      </c>
      <c r="DI727" s="27" t="s">
        <v>8</v>
      </c>
      <c r="FF727" s="27" t="s">
        <v>7</v>
      </c>
      <c r="FG727" s="27" t="s">
        <v>8</v>
      </c>
      <c r="FH727" s="27" t="s">
        <v>7</v>
      </c>
      <c r="FK727" s="27" t="s">
        <v>8</v>
      </c>
      <c r="FL727" s="27" t="s">
        <v>7</v>
      </c>
    </row>
    <row r="728" spans="1:172" x14ac:dyDescent="0.25">
      <c r="A728" s="7">
        <v>6.1288046885722716E-2</v>
      </c>
      <c r="B728"/>
      <c r="C728"/>
      <c r="D728"/>
      <c r="E728"/>
      <c r="DH728" s="27" t="s">
        <v>7</v>
      </c>
      <c r="DI728" s="27" t="s">
        <v>8</v>
      </c>
      <c r="FF728" s="27" t="s">
        <v>7</v>
      </c>
      <c r="FG728" s="27" t="s">
        <v>8</v>
      </c>
      <c r="FH728" s="27" t="s">
        <v>7</v>
      </c>
      <c r="FK728" s="27" t="s">
        <v>8</v>
      </c>
    </row>
    <row r="729" spans="1:172" x14ac:dyDescent="0.25">
      <c r="A729" s="7">
        <v>6.0086320476198739E-2</v>
      </c>
      <c r="B729"/>
      <c r="C729"/>
      <c r="D729"/>
      <c r="E729"/>
      <c r="DH729" s="27" t="s">
        <v>7</v>
      </c>
      <c r="DI729" s="27" t="s">
        <v>8</v>
      </c>
      <c r="FF729" s="27" t="s">
        <v>7</v>
      </c>
      <c r="FG729" s="27" t="s">
        <v>8</v>
      </c>
      <c r="FH729" s="27" t="s">
        <v>7</v>
      </c>
      <c r="FK729" s="27" t="s">
        <v>8</v>
      </c>
    </row>
    <row r="730" spans="1:172" x14ac:dyDescent="0.25">
      <c r="A730" s="7">
        <v>5.8908157329606609E-2</v>
      </c>
      <c r="B730"/>
      <c r="C730"/>
      <c r="D730"/>
      <c r="E730"/>
      <c r="DH730" s="27" t="s">
        <v>7</v>
      </c>
      <c r="DI730" s="27" t="s">
        <v>8</v>
      </c>
      <c r="FF730" s="27" t="s">
        <v>7</v>
      </c>
      <c r="FG730" s="27" t="s">
        <v>8</v>
      </c>
      <c r="FH730" s="27" t="s">
        <v>7</v>
      </c>
      <c r="FI730" s="27" t="s">
        <v>8</v>
      </c>
      <c r="FK730" s="27" t="s">
        <v>8</v>
      </c>
    </row>
    <row r="731" spans="1:172" x14ac:dyDescent="0.25">
      <c r="A731" s="7">
        <v>5.7753095421182947E-2</v>
      </c>
      <c r="B731"/>
      <c r="C731"/>
      <c r="D731"/>
      <c r="E731"/>
      <c r="DH731" s="27" t="s">
        <v>7</v>
      </c>
      <c r="DI731" s="27" t="s">
        <v>8</v>
      </c>
      <c r="FF731" s="27" t="s">
        <v>7</v>
      </c>
      <c r="FG731" s="27" t="s">
        <v>8</v>
      </c>
      <c r="FH731" s="27" t="s">
        <v>7</v>
      </c>
      <c r="FI731" s="27" t="s">
        <v>8</v>
      </c>
      <c r="FJ731" s="27" t="s">
        <v>7</v>
      </c>
      <c r="FK731" s="27" t="s">
        <v>8</v>
      </c>
    </row>
    <row r="732" spans="1:172" x14ac:dyDescent="0.25">
      <c r="A732" s="7">
        <v>5.6620681785473484E-2</v>
      </c>
      <c r="B732"/>
      <c r="C732"/>
      <c r="D732"/>
      <c r="E732"/>
      <c r="DH732" s="27" t="s">
        <v>7</v>
      </c>
      <c r="DI732" s="27" t="s">
        <v>8</v>
      </c>
      <c r="FF732" s="27" t="s">
        <v>7</v>
      </c>
      <c r="FG732" s="27" t="s">
        <v>8</v>
      </c>
      <c r="FH732" s="27" t="s">
        <v>7</v>
      </c>
      <c r="FI732" s="27" t="s">
        <v>8</v>
      </c>
      <c r="FJ732" s="27" t="s">
        <v>7</v>
      </c>
      <c r="FK732" s="27" t="s">
        <v>8</v>
      </c>
    </row>
    <row r="733" spans="1:172" x14ac:dyDescent="0.25">
      <c r="A733" s="7">
        <v>5.5510472338699497E-2</v>
      </c>
      <c r="B733"/>
      <c r="C733"/>
      <c r="D733"/>
      <c r="E733"/>
      <c r="DH733" s="27" t="s">
        <v>7</v>
      </c>
      <c r="DI733" s="27" t="s">
        <v>8</v>
      </c>
      <c r="FF733" s="27" t="s">
        <v>7</v>
      </c>
      <c r="FG733" s="27" t="s">
        <v>8</v>
      </c>
      <c r="FH733" s="27" t="s">
        <v>7</v>
      </c>
      <c r="FI733" s="27" t="s">
        <v>8</v>
      </c>
      <c r="FJ733" s="27" t="s">
        <v>7</v>
      </c>
      <c r="FK733" s="27" t="s">
        <v>8</v>
      </c>
    </row>
    <row r="734" spans="1:172" x14ac:dyDescent="0.25">
      <c r="A734" s="7">
        <v>5.4422031704607354E-2</v>
      </c>
      <c r="B734"/>
      <c r="C734"/>
      <c r="D734"/>
      <c r="E734"/>
      <c r="DH734" s="27" t="s">
        <v>7</v>
      </c>
      <c r="DI734" s="27" t="s">
        <v>8</v>
      </c>
      <c r="FF734" s="27" t="s">
        <v>7</v>
      </c>
      <c r="FG734" s="27" t="s">
        <v>8</v>
      </c>
      <c r="FH734" s="27" t="s">
        <v>7</v>
      </c>
      <c r="FI734" s="27" t="s">
        <v>8</v>
      </c>
      <c r="FJ734" s="27" t="s">
        <v>7</v>
      </c>
      <c r="FK734" s="27" t="s">
        <v>8</v>
      </c>
    </row>
    <row r="735" spans="1:172" x14ac:dyDescent="0.25">
      <c r="A735" s="7">
        <v>5.3354933043732705E-2</v>
      </c>
      <c r="B735"/>
      <c r="C735"/>
      <c r="D735"/>
      <c r="E735"/>
      <c r="DH735" s="27" t="s">
        <v>7</v>
      </c>
      <c r="FF735" s="27" t="s">
        <v>7</v>
      </c>
      <c r="FG735" s="27" t="s">
        <v>8</v>
      </c>
      <c r="FH735" s="27" t="s">
        <v>7</v>
      </c>
      <c r="FI735" s="27" t="s">
        <v>8</v>
      </c>
      <c r="FJ735" s="27" t="s">
        <v>7</v>
      </c>
    </row>
    <row r="736" spans="1:172" x14ac:dyDescent="0.25">
      <c r="A736" s="7">
        <v>5.2308757886012455E-2</v>
      </c>
      <c r="B736"/>
      <c r="C736"/>
      <c r="D736"/>
      <c r="E736"/>
      <c r="FF736" s="27" t="s">
        <v>7</v>
      </c>
      <c r="FG736" s="27" t="s">
        <v>8</v>
      </c>
      <c r="FH736" s="27" t="s">
        <v>7</v>
      </c>
      <c r="FI736" s="27" t="s">
        <v>8</v>
      </c>
    </row>
    <row r="737" spans="1:165" x14ac:dyDescent="0.25">
      <c r="A737" s="7">
        <v>5.1283095966678877E-2</v>
      </c>
      <c r="B737"/>
      <c r="C737"/>
      <c r="D737"/>
      <c r="E737"/>
      <c r="FF737" s="27" t="s">
        <v>7</v>
      </c>
      <c r="FG737" s="27" t="s">
        <v>8</v>
      </c>
      <c r="FH737" s="27" t="s">
        <v>7</v>
      </c>
      <c r="FI737" s="27" t="s">
        <v>8</v>
      </c>
    </row>
    <row r="738" spans="1:165" x14ac:dyDescent="0.25">
      <c r="A738" s="7">
        <v>5.0277545065371444E-2</v>
      </c>
      <c r="B738"/>
      <c r="C738"/>
      <c r="D738"/>
      <c r="E738"/>
      <c r="FF738" s="27" t="s">
        <v>7</v>
      </c>
      <c r="FG738" s="27" t="s">
        <v>8</v>
      </c>
      <c r="FH738" s="27" t="s">
        <v>7</v>
      </c>
      <c r="FI738" s="27" t="s">
        <v>8</v>
      </c>
    </row>
    <row r="739" spans="1:165" x14ac:dyDescent="0.25">
      <c r="A739" s="7">
        <v>4.9291710848403378E-2</v>
      </c>
      <c r="B739"/>
      <c r="C739"/>
      <c r="D739"/>
      <c r="E739"/>
      <c r="FF739" s="27" t="s">
        <v>7</v>
      </c>
      <c r="FG739" s="27" t="s">
        <v>8</v>
      </c>
      <c r="FH739" s="27" t="s">
        <v>7</v>
      </c>
      <c r="FI739" s="27" t="s">
        <v>8</v>
      </c>
    </row>
    <row r="740" spans="1:165" x14ac:dyDescent="0.25">
      <c r="A740" s="7">
        <v>4.8325206714120959E-2</v>
      </c>
      <c r="B740"/>
      <c r="C740"/>
      <c r="D740"/>
      <c r="E740"/>
      <c r="FF740" s="27" t="s">
        <v>7</v>
      </c>
      <c r="FG740" s="27" t="s">
        <v>8</v>
      </c>
      <c r="FH740" s="27" t="s">
        <v>7</v>
      </c>
    </row>
    <row r="741" spans="1:165" x14ac:dyDescent="0.25">
      <c r="A741" s="7">
        <v>4.7377653641295057E-2</v>
      </c>
      <c r="B741"/>
      <c r="C741"/>
      <c r="D741"/>
      <c r="E741"/>
      <c r="FF741" s="27" t="s">
        <v>7</v>
      </c>
      <c r="FG741" s="27" t="s">
        <v>8</v>
      </c>
    </row>
    <row r="742" spans="1:165" x14ac:dyDescent="0.25">
      <c r="A742" s="7">
        <v>4.644868004048535E-2</v>
      </c>
      <c r="B742"/>
      <c r="C742"/>
      <c r="D742"/>
      <c r="E742"/>
      <c r="FF742" s="27" t="s">
        <v>7</v>
      </c>
      <c r="FG742" s="27" t="s">
        <v>8</v>
      </c>
    </row>
    <row r="743" spans="1:165" x14ac:dyDescent="0.25">
      <c r="A743" s="7">
        <v>4.5537921608318974E-2</v>
      </c>
      <c r="B743"/>
      <c r="C743"/>
      <c r="D743"/>
      <c r="E743"/>
      <c r="FF743" s="27" t="s">
        <v>7</v>
      </c>
      <c r="FG743" s="27" t="s">
        <v>8</v>
      </c>
    </row>
    <row r="744" spans="1:165" x14ac:dyDescent="0.25">
      <c r="A744" s="7">
        <v>4.4645021184626446E-2</v>
      </c>
      <c r="B744"/>
      <c r="C744"/>
      <c r="D744"/>
      <c r="E744"/>
      <c r="FF744" s="27" t="s">
        <v>7</v>
      </c>
      <c r="FG744" s="27" t="s">
        <v>8</v>
      </c>
    </row>
    <row r="745" spans="1:165" x14ac:dyDescent="0.25">
      <c r="A745" s="7">
        <v>4.3769628612378868E-2</v>
      </c>
      <c r="B745"/>
      <c r="C745"/>
      <c r="D745"/>
      <c r="E745"/>
      <c r="FF745" s="27" t="s">
        <v>7</v>
      </c>
      <c r="FG745" s="27" t="s">
        <v>8</v>
      </c>
    </row>
    <row r="746" spans="1:165" x14ac:dyDescent="0.25">
      <c r="A746" s="7">
        <v>4.2911400600371442E-2</v>
      </c>
      <c r="B746"/>
      <c r="C746"/>
      <c r="D746"/>
      <c r="E746"/>
      <c r="FF746" s="27" t="s">
        <v>7</v>
      </c>
      <c r="FG746" s="27" t="s">
        <v>8</v>
      </c>
    </row>
    <row r="747" spans="1:165" x14ac:dyDescent="0.25">
      <c r="A747" s="7">
        <v>4.2070000588599457E-2</v>
      </c>
      <c r="B747"/>
      <c r="C747"/>
      <c r="D747"/>
      <c r="E747"/>
      <c r="FF747" s="27" t="s">
        <v>7</v>
      </c>
      <c r="FG747" s="27" t="s">
        <v>8</v>
      </c>
    </row>
    <row r="748" spans="1:165" x14ac:dyDescent="0.25">
      <c r="A748" s="7">
        <v>4.1245098616273977E-2</v>
      </c>
      <c r="B748"/>
      <c r="C748"/>
      <c r="D748"/>
      <c r="E748"/>
      <c r="FF748" s="27" t="s">
        <v>7</v>
      </c>
      <c r="FG748" s="27" t="s">
        <v>8</v>
      </c>
    </row>
    <row r="749" spans="1:165" x14ac:dyDescent="0.25">
      <c r="A749" s="7">
        <v>4.043637119242547E-2</v>
      </c>
      <c r="B749"/>
      <c r="C749"/>
      <c r="D749"/>
      <c r="E749"/>
      <c r="FF749" s="27" t="s">
        <v>7</v>
      </c>
      <c r="FG749" s="27" t="s">
        <v>8</v>
      </c>
    </row>
    <row r="750" spans="1:165" x14ac:dyDescent="0.25">
      <c r="A750" s="7">
        <v>3.9643501169044582E-2</v>
      </c>
      <c r="B750"/>
      <c r="C750"/>
      <c r="D750"/>
      <c r="E750"/>
      <c r="FF750" s="27" t="s">
        <v>7</v>
      </c>
      <c r="FG750" s="27" t="s">
        <v>8</v>
      </c>
    </row>
    <row r="751" spans="1:165" x14ac:dyDescent="0.25">
      <c r="A751" s="7">
        <v>3.8866177616710372E-2</v>
      </c>
      <c r="B751"/>
      <c r="C751"/>
      <c r="D751"/>
      <c r="E751"/>
      <c r="FF751" s="27" t="s">
        <v>7</v>
      </c>
      <c r="FG751" s="27" t="s">
        <v>8</v>
      </c>
    </row>
    <row r="752" spans="1:165" x14ac:dyDescent="0.25">
      <c r="A752" s="7">
        <v>3.8104095702657229E-2</v>
      </c>
      <c r="B752"/>
      <c r="C752"/>
      <c r="D752"/>
      <c r="E752"/>
      <c r="FF752" s="27" t="s">
        <v>7</v>
      </c>
      <c r="FG752" s="27" t="s">
        <v>8</v>
      </c>
    </row>
    <row r="753" spans="1:163" x14ac:dyDescent="0.25">
      <c r="A753" s="7">
        <v>3.7356956571232579E-2</v>
      </c>
      <c r="B753"/>
      <c r="C753"/>
      <c r="D753"/>
      <c r="E753"/>
      <c r="FF753" s="27" t="s">
        <v>7</v>
      </c>
      <c r="FG753" s="27" t="s">
        <v>8</v>
      </c>
    </row>
    <row r="754" spans="1:163" x14ac:dyDescent="0.25">
      <c r="A754" s="7">
        <v>3.6624467226698605E-2</v>
      </c>
      <c r="B754"/>
      <c r="C754"/>
      <c r="D754"/>
      <c r="E754"/>
      <c r="FF754" s="27" t="s">
        <v>7</v>
      </c>
      <c r="FG754" s="27" t="s">
        <v>8</v>
      </c>
    </row>
    <row r="755" spans="1:163" x14ac:dyDescent="0.25">
      <c r="A755" s="7">
        <v>3.5906340418331961E-2</v>
      </c>
      <c r="B755"/>
      <c r="C755"/>
      <c r="D755"/>
      <c r="E755"/>
      <c r="FF755" s="27" t="s">
        <v>7</v>
      </c>
    </row>
    <row r="756" spans="1:163" x14ac:dyDescent="0.25">
      <c r="A756" s="7">
        <v>3.5202294527776436E-2</v>
      </c>
      <c r="B756"/>
      <c r="C756"/>
      <c r="D756"/>
      <c r="E756"/>
    </row>
    <row r="757" spans="1:163" x14ac:dyDescent="0.25">
      <c r="A757" s="7">
        <v>3.451205345860435E-2</v>
      </c>
      <c r="B757"/>
      <c r="C757"/>
      <c r="D757"/>
      <c r="E757"/>
    </row>
    <row r="758" spans="1:163" x14ac:dyDescent="0.25">
      <c r="A758" s="7">
        <v>3.3835346528043479E-2</v>
      </c>
      <c r="B758"/>
      <c r="C758"/>
      <c r="D758"/>
      <c r="E758"/>
    </row>
    <row r="759" spans="1:163" x14ac:dyDescent="0.25">
      <c r="A759" s="7">
        <v>3.3171908360826938E-2</v>
      </c>
      <c r="B759"/>
      <c r="C759"/>
      <c r="D759"/>
      <c r="E759"/>
    </row>
    <row r="760" spans="1:163" x14ac:dyDescent="0.25">
      <c r="A760" s="7">
        <v>3.2521478785124451E-2</v>
      </c>
      <c r="B760"/>
      <c r="C760"/>
      <c r="D760"/>
      <c r="E760"/>
    </row>
    <row r="761" spans="1:163" x14ac:dyDescent="0.25">
      <c r="A761" s="7">
        <v>3.1883802730514173E-2</v>
      </c>
      <c r="B761"/>
      <c r="C761"/>
      <c r="D761"/>
      <c r="E761"/>
    </row>
    <row r="762" spans="1:163" x14ac:dyDescent="0.25">
      <c r="A762" s="7">
        <v>3.1258630127955073E-2</v>
      </c>
      <c r="B762"/>
      <c r="C762"/>
      <c r="D762"/>
      <c r="E762"/>
    </row>
    <row r="763" spans="1:163" x14ac:dyDescent="0.25">
      <c r="A763" s="7">
        <v>3.064571581172066E-2</v>
      </c>
      <c r="B763"/>
      <c r="C763"/>
      <c r="D763"/>
      <c r="E763"/>
    </row>
    <row r="764" spans="1:163" x14ac:dyDescent="0.25">
      <c r="A764" s="7">
        <v>3.0044819423255549E-2</v>
      </c>
      <c r="B764"/>
      <c r="C764"/>
      <c r="D764"/>
      <c r="E764"/>
    </row>
    <row r="765" spans="1:163" x14ac:dyDescent="0.25">
      <c r="A765" s="7">
        <v>2.9455705316917203E-2</v>
      </c>
      <c r="B765"/>
      <c r="C765"/>
      <c r="D765"/>
      <c r="E765"/>
    </row>
    <row r="766" spans="1:163" x14ac:dyDescent="0.25">
      <c r="A766" s="7">
        <v>2.8878142467565884E-2</v>
      </c>
      <c r="B766"/>
      <c r="C766"/>
      <c r="D766"/>
      <c r="E766"/>
    </row>
    <row r="767" spans="1:163" x14ac:dyDescent="0.25">
      <c r="A767" s="7">
        <v>2.8311904379966554E-2</v>
      </c>
      <c r="B767"/>
      <c r="C767"/>
      <c r="D767"/>
      <c r="E767"/>
    </row>
    <row r="768" spans="1:163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29" operator="equal">
      <formula>$U$1</formula>
    </cfRule>
    <cfRule type="cellIs" dxfId="89" priority="1430" operator="equal">
      <formula>$S$1</formula>
    </cfRule>
  </conditionalFormatting>
  <conditionalFormatting sqref="D27">
    <cfRule type="cellIs" dxfId="88" priority="1427" operator="equal">
      <formula>$S$1</formula>
    </cfRule>
    <cfRule type="cellIs" dxfId="87" priority="1428" operator="equal">
      <formula>$U$1</formula>
    </cfRule>
  </conditionalFormatting>
  <conditionalFormatting sqref="C164">
    <cfRule type="cellIs" dxfId="86" priority="1425" operator="equal">
      <formula>$U$1</formula>
    </cfRule>
    <cfRule type="cellIs" dxfId="85" priority="1426" operator="equal">
      <formula>$S$1</formula>
    </cfRule>
  </conditionalFormatting>
  <conditionalFormatting sqref="D164">
    <cfRule type="cellIs" dxfId="84" priority="1423" operator="equal">
      <formula>$S$1</formula>
    </cfRule>
    <cfRule type="cellIs" dxfId="83" priority="1424" operator="equal">
      <formula>$U$1</formula>
    </cfRule>
  </conditionalFormatting>
  <conditionalFormatting sqref="C55">
    <cfRule type="cellIs" dxfId="82" priority="1421" operator="equal">
      <formula>$U$1</formula>
    </cfRule>
    <cfRule type="cellIs" dxfId="81" priority="1422" operator="equal">
      <formula>$S$1</formula>
    </cfRule>
  </conditionalFormatting>
  <conditionalFormatting sqref="D55">
    <cfRule type="cellIs" dxfId="80" priority="1419" operator="equal">
      <formula>$S$1</formula>
    </cfRule>
    <cfRule type="cellIs" dxfId="79" priority="1420" operator="equal">
      <formula>$U$1</formula>
    </cfRule>
  </conditionalFormatting>
  <conditionalFormatting sqref="C89">
    <cfRule type="cellIs" dxfId="78" priority="1417" operator="equal">
      <formula>$U$1</formula>
    </cfRule>
    <cfRule type="cellIs" dxfId="77" priority="1418" operator="equal">
      <formula>$S$1</formula>
    </cfRule>
  </conditionalFormatting>
  <conditionalFormatting sqref="D89">
    <cfRule type="cellIs" dxfId="76" priority="1415" operator="equal">
      <formula>$S$1</formula>
    </cfRule>
    <cfRule type="cellIs" dxfId="75" priority="1416" operator="equal">
      <formula>$U$1</formula>
    </cfRule>
  </conditionalFormatting>
  <conditionalFormatting sqref="C136">
    <cfRule type="cellIs" dxfId="74" priority="1413" operator="equal">
      <formula>$U$1</formula>
    </cfRule>
    <cfRule type="cellIs" dxfId="73" priority="1414" operator="equal">
      <formula>$S$1</formula>
    </cfRule>
  </conditionalFormatting>
  <conditionalFormatting sqref="D136">
    <cfRule type="cellIs" dxfId="72" priority="1411" operator="equal">
      <formula>$S$1</formula>
    </cfRule>
    <cfRule type="cellIs" dxfId="71" priority="1412" operator="equal">
      <formula>$U$1</formula>
    </cfRule>
  </conditionalFormatting>
  <conditionalFormatting sqref="C1">
    <cfRule type="cellIs" dxfId="70" priority="141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88" zoomScale="90" zoomScaleNormal="90" workbookViewId="0">
      <pane xSplit="4" topLeftCell="DZ1" activePane="topRight" state="frozen"/>
      <selection activeCell="A109" sqref="A109"/>
      <selection pane="topRight" activeCell="GO217" sqref="GO21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$A$216</v>
      </c>
      <c r="D111" s="1" t="str">
        <f>ADDRESS(C121-1,D121,1,1)</f>
        <v>$GO$216</v>
      </c>
      <c r="E111"/>
    </row>
    <row r="112" spans="1:5" x14ac:dyDescent="0.25">
      <c r="A112" s="30">
        <v>515.50191262726139</v>
      </c>
      <c r="C112" s="1" t="str">
        <f>ADDRESS(C121,1,1,1)</f>
        <v>$A$217</v>
      </c>
      <c r="D112" s="1" t="str">
        <f>ADDRESS(C121,D121-1,1,1)</f>
        <v>$GN$217</v>
      </c>
      <c r="E112"/>
    </row>
    <row r="113" spans="1:5" x14ac:dyDescent="0.25">
      <c r="A113" s="30">
        <v>490.95420250215363</v>
      </c>
      <c r="C113" s="1" t="str">
        <f>ADDRESS(C121+1,1,1,1)</f>
        <v>$A$218</v>
      </c>
      <c r="D113" s="1" t="str">
        <f>ADDRESS(C121-1,D121+1,1,1)</f>
        <v>$GP$216</v>
      </c>
    </row>
    <row r="114" spans="1:5" x14ac:dyDescent="0.25">
      <c r="A114" s="30">
        <v>467.57543095443202</v>
      </c>
      <c r="C114" s="1" t="str">
        <f>ADDRESS(C121,D121,1,1)</f>
        <v>$GO$217</v>
      </c>
      <c r="D114" s="1" t="str">
        <f>ADDRESS(C121+1,D121+1,1,1)</f>
        <v>$GP$218</v>
      </c>
    </row>
    <row r="115" spans="1:5" x14ac:dyDescent="0.25">
      <c r="A115" s="30">
        <v>445.30993424231622</v>
      </c>
      <c r="C115" s="1" t="str">
        <f>ADDRESS(C121+1,D121,1,1)</f>
        <v>$GO$218</v>
      </c>
    </row>
    <row r="116" spans="1:5" x14ac:dyDescent="0.25">
      <c r="A116" s="30">
        <v>424.10469927839637</v>
      </c>
      <c r="C116" s="1">
        <f>C117-1</f>
        <v>216</v>
      </c>
    </row>
    <row r="117" spans="1:5" x14ac:dyDescent="0.25">
      <c r="A117" s="30">
        <v>403.9092374079965</v>
      </c>
      <c r="C117" s="1">
        <f>C121</f>
        <v>217</v>
      </c>
      <c r="D117" s="1">
        <f>D121</f>
        <v>197</v>
      </c>
    </row>
    <row r="118" spans="1:5" x14ac:dyDescent="0.25">
      <c r="A118" s="30">
        <v>384.6754641980919</v>
      </c>
      <c r="C118" s="1">
        <f>C117+1</f>
        <v>218</v>
      </c>
      <c r="D118" s="1">
        <f>D117+1</f>
        <v>198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217</v>
      </c>
      <c r="D121" s="19">
        <v>197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R217</v>
      </c>
      <c r="D123" s="1" t="str">
        <f>"C"&amp;D121</f>
        <v>C197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3.0715237559178128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47" x14ac:dyDescent="0.25">
      <c r="A177" s="30">
        <v>21.623492570684135</v>
      </c>
      <c r="E177"/>
    </row>
    <row r="178" spans="1:147" x14ac:dyDescent="0.25">
      <c r="A178" s="30">
        <v>20.593802448270605</v>
      </c>
      <c r="C178" s="7"/>
      <c r="D178"/>
      <c r="E178"/>
    </row>
    <row r="179" spans="1:147" x14ac:dyDescent="0.25">
      <c r="A179" s="30">
        <v>19.613145188829147</v>
      </c>
      <c r="E179"/>
    </row>
    <row r="180" spans="1:147" x14ac:dyDescent="0.25">
      <c r="A180" s="30">
        <v>18.679185894122998</v>
      </c>
      <c r="E180"/>
    </row>
    <row r="181" spans="1:147" x14ac:dyDescent="0.25">
      <c r="A181" s="30">
        <v>17.78970085154571</v>
      </c>
      <c r="C181"/>
      <c r="D181"/>
      <c r="E181"/>
    </row>
    <row r="182" spans="1:147" x14ac:dyDescent="0.25">
      <c r="A182" s="30">
        <v>16.942572239567344</v>
      </c>
      <c r="E182"/>
    </row>
    <row r="183" spans="1:147" x14ac:dyDescent="0.25">
      <c r="A183" s="30">
        <v>16.135783085302233</v>
      </c>
      <c r="E183"/>
    </row>
    <row r="184" spans="1:147" x14ac:dyDescent="0.25">
      <c r="A184" s="30">
        <v>15.367412462192602</v>
      </c>
      <c r="E184"/>
      <c r="DU184" s="27" t="s">
        <v>8</v>
      </c>
    </row>
    <row r="185" spans="1:147" x14ac:dyDescent="0.25">
      <c r="A185" s="30">
        <v>14.635630916373906</v>
      </c>
      <c r="C185"/>
      <c r="E185"/>
      <c r="DO185" s="27" t="s">
        <v>8</v>
      </c>
      <c r="DU185" s="27" t="s">
        <v>8</v>
      </c>
      <c r="DV185" s="27" t="s">
        <v>7</v>
      </c>
    </row>
    <row r="186" spans="1:147" x14ac:dyDescent="0.25">
      <c r="A186" s="30">
        <v>13.938696110832291</v>
      </c>
      <c r="E186"/>
      <c r="DO186" s="27" t="s">
        <v>8</v>
      </c>
      <c r="DP186" s="27" t="s">
        <v>7</v>
      </c>
      <c r="DQ186" s="27" t="s">
        <v>8</v>
      </c>
      <c r="DU186" s="27" t="s">
        <v>8</v>
      </c>
      <c r="DV186" s="27" t="s">
        <v>7</v>
      </c>
    </row>
    <row r="187" spans="1:14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O187" s="27" t="s">
        <v>8</v>
      </c>
      <c r="DP187" s="27" t="s">
        <v>7</v>
      </c>
      <c r="DQ187" s="27" t="s">
        <v>8</v>
      </c>
      <c r="DR187" s="27" t="s">
        <v>7</v>
      </c>
      <c r="DS187" s="27" t="s">
        <v>8</v>
      </c>
      <c r="DU187" s="27" t="s">
        <v>8</v>
      </c>
      <c r="DV187" s="27" t="s">
        <v>7</v>
      </c>
    </row>
    <row r="188" spans="1:147" x14ac:dyDescent="0.25">
      <c r="A188" s="30">
        <v>12.64280826379346</v>
      </c>
      <c r="E188"/>
      <c r="DO188" s="27" t="s">
        <v>8</v>
      </c>
      <c r="DP188" s="27" t="s">
        <v>7</v>
      </c>
      <c r="DQ188" s="27" t="s">
        <v>8</v>
      </c>
      <c r="DR188" s="27" t="s">
        <v>7</v>
      </c>
      <c r="DS188" s="27" t="s">
        <v>8</v>
      </c>
      <c r="DT188" s="27" t="s">
        <v>7</v>
      </c>
      <c r="DU188" s="27" t="s">
        <v>8</v>
      </c>
      <c r="DV188" s="27" t="s">
        <v>7</v>
      </c>
      <c r="EE188" s="31" t="s">
        <v>8</v>
      </c>
    </row>
    <row r="189" spans="1:147" x14ac:dyDescent="0.25">
      <c r="A189" s="30">
        <v>12.04076977504139</v>
      </c>
      <c r="E189"/>
      <c r="DO189" s="27" t="s">
        <v>8</v>
      </c>
      <c r="DP189" s="27" t="s">
        <v>7</v>
      </c>
      <c r="DQ189" s="27" t="s">
        <v>8</v>
      </c>
      <c r="DR189" s="27" t="s">
        <v>7</v>
      </c>
      <c r="DS189" s="27" t="s">
        <v>8</v>
      </c>
      <c r="DT189" s="27" t="s">
        <v>7</v>
      </c>
      <c r="DU189" s="27" t="s">
        <v>8</v>
      </c>
      <c r="DV189" s="27" t="s">
        <v>7</v>
      </c>
      <c r="DW189" s="32" t="s">
        <v>8</v>
      </c>
      <c r="DY189" s="32" t="s">
        <v>8</v>
      </c>
      <c r="EC189" s="27" t="s">
        <v>8</v>
      </c>
      <c r="EE189" s="27" t="s">
        <v>8</v>
      </c>
      <c r="EF189" s="31" t="s">
        <v>7</v>
      </c>
    </row>
    <row r="190" spans="1:147" x14ac:dyDescent="0.25">
      <c r="A190" s="30">
        <v>11.467399785753704</v>
      </c>
      <c r="E190"/>
      <c r="DO190" s="27" t="s">
        <v>8</v>
      </c>
      <c r="DP190" s="27" t="s">
        <v>7</v>
      </c>
      <c r="DQ190" s="27" t="s">
        <v>8</v>
      </c>
      <c r="DR190" s="32" t="s">
        <v>7</v>
      </c>
      <c r="DT190" s="32" t="s">
        <v>7</v>
      </c>
      <c r="DV190" s="27" t="s">
        <v>7</v>
      </c>
      <c r="DW190" s="27" t="s">
        <v>8</v>
      </c>
      <c r="DX190" s="27" t="s">
        <v>7</v>
      </c>
      <c r="DY190" s="27" t="s">
        <v>8</v>
      </c>
      <c r="DZ190" s="27" t="s">
        <v>7</v>
      </c>
      <c r="EC190" s="27" t="s">
        <v>8</v>
      </c>
      <c r="ED190" s="27" t="s">
        <v>7</v>
      </c>
      <c r="EE190" s="27" t="s">
        <v>8</v>
      </c>
      <c r="EF190" s="27" t="s">
        <v>7</v>
      </c>
      <c r="EG190" s="31"/>
    </row>
    <row r="191" spans="1:147" x14ac:dyDescent="0.25">
      <c r="A191" s="30">
        <v>10.921333129289241</v>
      </c>
      <c r="E191"/>
      <c r="DO191" s="27" t="s">
        <v>8</v>
      </c>
      <c r="DP191" s="27" t="s">
        <v>7</v>
      </c>
      <c r="DQ191" s="27" t="s">
        <v>8</v>
      </c>
      <c r="DV191" s="33" t="s">
        <v>7</v>
      </c>
      <c r="DW191" s="27" t="s">
        <v>8</v>
      </c>
      <c r="DX191" s="27" t="s">
        <v>7</v>
      </c>
      <c r="DY191" s="27" t="s">
        <v>8</v>
      </c>
      <c r="DZ191" s="27" t="s">
        <v>7</v>
      </c>
      <c r="EC191" s="27" t="s">
        <v>8</v>
      </c>
      <c r="ED191" s="27" t="s">
        <v>7</v>
      </c>
      <c r="EE191" s="27" t="s">
        <v>8</v>
      </c>
      <c r="EF191" s="27" t="s">
        <v>7</v>
      </c>
      <c r="EH191" s="31"/>
    </row>
    <row r="192" spans="1:147" x14ac:dyDescent="0.25">
      <c r="A192" s="30">
        <v>10.401269646942135</v>
      </c>
      <c r="E192"/>
      <c r="DO192" s="27" t="s">
        <v>8</v>
      </c>
      <c r="DP192" s="27" t="s">
        <v>7</v>
      </c>
      <c r="DV192" s="27" t="s">
        <v>7</v>
      </c>
      <c r="DW192" s="27" t="s">
        <v>8</v>
      </c>
      <c r="DX192" s="27" t="s">
        <v>7</v>
      </c>
      <c r="DY192" s="27" t="s">
        <v>8</v>
      </c>
      <c r="DZ192" s="27" t="s">
        <v>7</v>
      </c>
      <c r="EC192" s="34" t="s">
        <v>8</v>
      </c>
      <c r="ED192" s="27" t="s">
        <v>7</v>
      </c>
      <c r="EF192" s="27" t="s">
        <v>7</v>
      </c>
      <c r="EG192" s="27" t="s">
        <v>8</v>
      </c>
      <c r="EI192" s="31"/>
      <c r="EQ192" s="27" t="s">
        <v>8</v>
      </c>
    </row>
    <row r="193" spans="1:192" x14ac:dyDescent="0.25">
      <c r="A193" s="30">
        <v>9.9059710923258422</v>
      </c>
      <c r="E193"/>
      <c r="DO193" s="27" t="s">
        <v>8</v>
      </c>
      <c r="DV193" s="27" t="s">
        <v>7</v>
      </c>
      <c r="DW193" s="27" t="s">
        <v>8</v>
      </c>
      <c r="DX193" s="27" t="s">
        <v>7</v>
      </c>
      <c r="DZ193" s="27" t="s">
        <v>7</v>
      </c>
      <c r="EA193" s="27" t="s">
        <v>8</v>
      </c>
      <c r="EC193" s="27" t="s">
        <v>8</v>
      </c>
      <c r="EF193" s="33" t="s">
        <v>7</v>
      </c>
      <c r="EG193" s="27" t="s">
        <v>8</v>
      </c>
      <c r="EH193" s="27" t="s">
        <v>7</v>
      </c>
      <c r="EI193" s="27" t="s">
        <v>8</v>
      </c>
      <c r="EJ193" s="31"/>
      <c r="EQ193" s="27" t="s">
        <v>8</v>
      </c>
      <c r="ER193" s="27" t="s">
        <v>7</v>
      </c>
      <c r="ES193" s="27" t="s">
        <v>8</v>
      </c>
      <c r="EW193" s="34" t="s">
        <v>8</v>
      </c>
    </row>
    <row r="194" spans="1:192" x14ac:dyDescent="0.25">
      <c r="A194" s="30">
        <v>9.4342581831674686</v>
      </c>
      <c r="E194"/>
      <c r="DO194" s="27" t="s">
        <v>8</v>
      </c>
      <c r="DV194" s="27" t="s">
        <v>7</v>
      </c>
      <c r="DW194" s="27" t="s">
        <v>8</v>
      </c>
      <c r="DZ194" s="27" t="s">
        <v>7</v>
      </c>
      <c r="EA194" s="27" t="s">
        <v>8</v>
      </c>
      <c r="EB194" s="27" t="s">
        <v>7</v>
      </c>
      <c r="EC194" s="27" t="s">
        <v>8</v>
      </c>
      <c r="EF194" s="27" t="s">
        <v>7</v>
      </c>
      <c r="EG194" s="27" t="s">
        <v>8</v>
      </c>
      <c r="EH194" s="27" t="s">
        <v>7</v>
      </c>
      <c r="EI194" s="27" t="s">
        <v>8</v>
      </c>
      <c r="EJ194" s="27" t="s">
        <v>7</v>
      </c>
      <c r="EK194" s="31"/>
      <c r="EQ194" s="27" t="s">
        <v>8</v>
      </c>
      <c r="ER194" s="27" t="s">
        <v>7</v>
      </c>
      <c r="ES194" s="27" t="s">
        <v>8</v>
      </c>
      <c r="ET194" s="27" t="s">
        <v>7</v>
      </c>
      <c r="EU194" s="27" t="s">
        <v>8</v>
      </c>
      <c r="EW194" s="27" t="s">
        <v>8</v>
      </c>
      <c r="EX194" s="31" t="s">
        <v>7</v>
      </c>
      <c r="FK194" s="31" t="s">
        <v>8</v>
      </c>
    </row>
    <row r="195" spans="1:192" x14ac:dyDescent="0.25">
      <c r="A195" s="30">
        <v>8.9850077934928265</v>
      </c>
      <c r="E195"/>
      <c r="DO195" s="27" t="s">
        <v>8</v>
      </c>
      <c r="DV195" s="27" t="s">
        <v>7</v>
      </c>
      <c r="DZ195" s="27" t="s">
        <v>7</v>
      </c>
      <c r="EA195" s="27" t="s">
        <v>8</v>
      </c>
      <c r="EB195" s="27" t="s">
        <v>7</v>
      </c>
      <c r="EC195" s="27" t="s">
        <v>8</v>
      </c>
      <c r="EF195" s="27" t="s">
        <v>7</v>
      </c>
      <c r="EG195" s="27" t="s">
        <v>8</v>
      </c>
      <c r="EH195" s="27" t="s">
        <v>7</v>
      </c>
      <c r="EI195" s="27" t="s">
        <v>8</v>
      </c>
      <c r="EJ195" s="27" t="s">
        <v>7</v>
      </c>
      <c r="EL195" s="31"/>
      <c r="EQ195" s="27" t="s">
        <v>8</v>
      </c>
      <c r="ER195" s="27" t="s">
        <v>7</v>
      </c>
      <c r="ES195" s="27" t="s">
        <v>8</v>
      </c>
      <c r="ET195" s="27" t="s">
        <v>7</v>
      </c>
      <c r="EU195" s="27" t="s">
        <v>8</v>
      </c>
      <c r="EV195" s="27" t="s">
        <v>7</v>
      </c>
      <c r="EW195" s="27" t="s">
        <v>8</v>
      </c>
      <c r="EX195" s="27" t="s">
        <v>7</v>
      </c>
      <c r="EY195" s="31"/>
      <c r="FK195" s="27" t="s">
        <v>8</v>
      </c>
      <c r="FL195" s="31" t="s">
        <v>7</v>
      </c>
    </row>
    <row r="196" spans="1:192" x14ac:dyDescent="0.25">
      <c r="A196" s="30">
        <v>8.5571502795169767</v>
      </c>
      <c r="E196"/>
      <c r="DO196" s="27" t="s">
        <v>8</v>
      </c>
      <c r="DZ196" s="27" t="s">
        <v>7</v>
      </c>
      <c r="EA196" s="27" t="s">
        <v>8</v>
      </c>
      <c r="EB196" s="27" t="s">
        <v>7</v>
      </c>
      <c r="EF196" s="32" t="s">
        <v>7</v>
      </c>
      <c r="EH196" s="32" t="s">
        <v>7</v>
      </c>
      <c r="EJ196" s="27" t="s">
        <v>7</v>
      </c>
      <c r="EM196" s="31"/>
      <c r="EQ196" s="27" t="s">
        <v>8</v>
      </c>
      <c r="ER196" s="27" t="s">
        <v>7</v>
      </c>
      <c r="ET196" s="27" t="s">
        <v>7</v>
      </c>
      <c r="EU196" s="27" t="s">
        <v>8</v>
      </c>
      <c r="EV196" s="27" t="s">
        <v>7</v>
      </c>
      <c r="EW196" s="27" t="s">
        <v>8</v>
      </c>
      <c r="EX196" s="27" t="s">
        <v>7</v>
      </c>
      <c r="EZ196" s="31"/>
      <c r="FK196" s="27" t="s">
        <v>8</v>
      </c>
      <c r="FL196" s="27" t="s">
        <v>7</v>
      </c>
      <c r="FM196" s="31"/>
      <c r="FW196" s="27" t="s">
        <v>8</v>
      </c>
    </row>
    <row r="197" spans="1:192" x14ac:dyDescent="0.25">
      <c r="A197" s="30">
        <v>8.1496669328733109</v>
      </c>
      <c r="E197"/>
      <c r="DO197" s="27" t="s">
        <v>8</v>
      </c>
      <c r="DZ197" s="27" t="s">
        <v>7</v>
      </c>
      <c r="EA197" s="27" t="s">
        <v>8</v>
      </c>
      <c r="EJ197" s="27" t="s">
        <v>7</v>
      </c>
      <c r="EK197" s="27" t="s">
        <v>8</v>
      </c>
      <c r="EN197" s="31"/>
      <c r="EO197" s="27" t="s">
        <v>8</v>
      </c>
      <c r="EQ197" s="27" t="s">
        <v>8</v>
      </c>
      <c r="ET197" s="33" t="s">
        <v>7</v>
      </c>
      <c r="EV197" s="27" t="s">
        <v>7</v>
      </c>
      <c r="EW197" s="27" t="s">
        <v>8</v>
      </c>
      <c r="EX197" s="27" t="s">
        <v>7</v>
      </c>
      <c r="FA197" s="31"/>
      <c r="FG197" s="27" t="s">
        <v>8</v>
      </c>
      <c r="FK197" s="27" t="s">
        <v>8</v>
      </c>
      <c r="FL197" s="27" t="s">
        <v>7</v>
      </c>
      <c r="FN197" s="31"/>
      <c r="FW197" s="27" t="s">
        <v>8</v>
      </c>
      <c r="FX197" s="27" t="s">
        <v>7</v>
      </c>
      <c r="FY197" s="27" t="s">
        <v>8</v>
      </c>
    </row>
    <row r="198" spans="1:192" x14ac:dyDescent="0.25">
      <c r="A198" s="30">
        <v>7.7615875551174378</v>
      </c>
      <c r="E198"/>
      <c r="DK198" s="27" t="s">
        <v>8</v>
      </c>
      <c r="DO198" s="27" t="s">
        <v>8</v>
      </c>
      <c r="DZ198" s="27" t="s">
        <v>7</v>
      </c>
      <c r="EA198" s="27" t="s">
        <v>8</v>
      </c>
      <c r="EJ198" s="27" t="s">
        <v>7</v>
      </c>
      <c r="EK198" s="27" t="s">
        <v>8</v>
      </c>
      <c r="EL198" s="27" t="s">
        <v>7</v>
      </c>
      <c r="EO198" s="31" t="s">
        <v>8</v>
      </c>
      <c r="EP198" s="27" t="s">
        <v>7</v>
      </c>
      <c r="EQ198" s="27" t="s">
        <v>8</v>
      </c>
      <c r="EV198" s="27" t="s">
        <v>7</v>
      </c>
      <c r="EW198" s="27" t="s">
        <v>8</v>
      </c>
      <c r="EX198" s="31" t="s">
        <v>7</v>
      </c>
      <c r="FB198" s="31"/>
      <c r="FG198" s="27" t="s">
        <v>8</v>
      </c>
      <c r="FH198" s="27" t="s">
        <v>7</v>
      </c>
      <c r="FI198" s="27" t="s">
        <v>8</v>
      </c>
      <c r="FK198" s="27" t="s">
        <v>8</v>
      </c>
      <c r="FL198" s="27" t="s">
        <v>7</v>
      </c>
      <c r="FO198" s="31"/>
      <c r="FW198" s="27" t="s">
        <v>8</v>
      </c>
      <c r="FX198" s="27" t="s">
        <v>7</v>
      </c>
      <c r="FY198" s="27" t="s">
        <v>8</v>
      </c>
      <c r="FZ198" s="27" t="s">
        <v>7</v>
      </c>
    </row>
    <row r="199" spans="1:192" x14ac:dyDescent="0.25">
      <c r="A199" s="30">
        <v>7.3919881477308929</v>
      </c>
      <c r="E199"/>
      <c r="DK199" s="27" t="s">
        <v>8</v>
      </c>
      <c r="DL199" s="27" t="s">
        <v>7</v>
      </c>
      <c r="DM199" s="27" t="s">
        <v>8</v>
      </c>
      <c r="DO199" s="27" t="s">
        <v>8</v>
      </c>
      <c r="DZ199" s="27" t="s">
        <v>7</v>
      </c>
      <c r="EJ199" s="27" t="s">
        <v>7</v>
      </c>
      <c r="EK199" s="27" t="s">
        <v>8</v>
      </c>
      <c r="EL199" s="27" t="s">
        <v>7</v>
      </c>
      <c r="EO199" s="34" t="s">
        <v>8</v>
      </c>
      <c r="EP199" s="27" t="s">
        <v>7</v>
      </c>
      <c r="EQ199" s="27" t="s">
        <v>8</v>
      </c>
      <c r="EV199" s="27" t="s">
        <v>7</v>
      </c>
      <c r="EW199" s="31"/>
      <c r="EX199" s="27" t="s">
        <v>7</v>
      </c>
      <c r="EY199" s="32" t="s">
        <v>8</v>
      </c>
      <c r="FA199" s="32" t="s">
        <v>8</v>
      </c>
      <c r="FC199" s="31"/>
      <c r="FG199" s="27" t="s">
        <v>8</v>
      </c>
      <c r="FH199" s="27" t="s">
        <v>7</v>
      </c>
      <c r="FI199" s="27" t="s">
        <v>8</v>
      </c>
      <c r="FJ199" s="27" t="s">
        <v>7</v>
      </c>
      <c r="FK199" s="27" t="s">
        <v>8</v>
      </c>
      <c r="FL199" s="27" t="s">
        <v>7</v>
      </c>
      <c r="FM199" s="27" t="s">
        <v>8</v>
      </c>
      <c r="FP199" s="31"/>
      <c r="FU199" s="27" t="s">
        <v>8</v>
      </c>
      <c r="FW199" s="27" t="s">
        <v>8</v>
      </c>
      <c r="FX199" s="27" t="s">
        <v>7</v>
      </c>
      <c r="FY199" s="27" t="s">
        <v>8</v>
      </c>
      <c r="FZ199" s="27" t="s">
        <v>7</v>
      </c>
      <c r="GA199" s="32" t="s">
        <v>8</v>
      </c>
      <c r="GC199" s="32" t="s">
        <v>8</v>
      </c>
    </row>
    <row r="200" spans="1:192" x14ac:dyDescent="0.25">
      <c r="A200" s="30">
        <v>7.0399887121246598</v>
      </c>
      <c r="E200"/>
      <c r="DK200" s="27" t="s">
        <v>8</v>
      </c>
      <c r="DL200" s="27" t="s">
        <v>7</v>
      </c>
      <c r="DM200" s="27" t="s">
        <v>8</v>
      </c>
      <c r="DN200" s="27" t="s">
        <v>7</v>
      </c>
      <c r="DO200" s="27" t="s">
        <v>8</v>
      </c>
      <c r="EJ200" s="27" t="s">
        <v>7</v>
      </c>
      <c r="EK200" s="27" t="s">
        <v>8</v>
      </c>
      <c r="EL200" s="27" t="s">
        <v>7</v>
      </c>
      <c r="EM200" s="27" t="s">
        <v>8</v>
      </c>
      <c r="EO200" s="27" t="s">
        <v>8</v>
      </c>
      <c r="EP200" s="27" t="s">
        <v>7</v>
      </c>
      <c r="EQ200" s="27" t="s">
        <v>8</v>
      </c>
      <c r="EV200" s="31"/>
      <c r="EX200" s="33" t="s">
        <v>7</v>
      </c>
      <c r="EY200" s="27" t="s">
        <v>8</v>
      </c>
      <c r="EZ200" s="27" t="s">
        <v>7</v>
      </c>
      <c r="FA200" s="27" t="s">
        <v>8</v>
      </c>
      <c r="FB200" s="27" t="s">
        <v>7</v>
      </c>
      <c r="FD200" s="31"/>
      <c r="FG200" s="34" t="s">
        <v>8</v>
      </c>
      <c r="FH200" s="27" t="s">
        <v>7</v>
      </c>
      <c r="FI200" s="27" t="s">
        <v>8</v>
      </c>
      <c r="FJ200" s="27" t="s">
        <v>7</v>
      </c>
      <c r="FK200" s="27" t="s">
        <v>8</v>
      </c>
      <c r="FL200" s="27" t="s">
        <v>7</v>
      </c>
      <c r="FM200" s="27" t="s">
        <v>8</v>
      </c>
      <c r="FN200" s="27" t="s">
        <v>7</v>
      </c>
      <c r="FO200" s="27" t="s">
        <v>8</v>
      </c>
      <c r="FQ200" s="31"/>
      <c r="FU200" s="27" t="s">
        <v>8</v>
      </c>
      <c r="FV200" s="27" t="s">
        <v>7</v>
      </c>
      <c r="FW200" s="27" t="s">
        <v>8</v>
      </c>
      <c r="FX200" s="27" t="s">
        <v>7</v>
      </c>
      <c r="FZ200" s="31" t="s">
        <v>7</v>
      </c>
      <c r="GA200" s="27" t="s">
        <v>8</v>
      </c>
      <c r="GB200" s="27" t="s">
        <v>7</v>
      </c>
      <c r="GC200" s="27" t="s">
        <v>8</v>
      </c>
      <c r="GD200" s="27" t="s">
        <v>7</v>
      </c>
    </row>
    <row r="201" spans="1:192" x14ac:dyDescent="0.25">
      <c r="A201" s="30">
        <v>6.7047511544044376</v>
      </c>
      <c r="E201"/>
      <c r="DK201" s="27" t="s">
        <v>8</v>
      </c>
      <c r="DL201" s="27" t="s">
        <v>7</v>
      </c>
      <c r="DM201" s="27" t="s">
        <v>8</v>
      </c>
      <c r="DN201" s="27" t="s">
        <v>7</v>
      </c>
      <c r="DO201" s="27" t="s">
        <v>8</v>
      </c>
      <c r="EJ201" s="27" t="s">
        <v>7</v>
      </c>
      <c r="EK201" s="27" t="s">
        <v>8</v>
      </c>
      <c r="EL201" s="27" t="s">
        <v>7</v>
      </c>
      <c r="EM201" s="27" t="s">
        <v>8</v>
      </c>
      <c r="EN201" s="27" t="s">
        <v>7</v>
      </c>
      <c r="EO201" s="27" t="s">
        <v>8</v>
      </c>
      <c r="EP201" s="27" t="s">
        <v>7</v>
      </c>
      <c r="EQ201" s="27" t="s">
        <v>8</v>
      </c>
      <c r="EU201" s="31"/>
      <c r="EX201" s="27" t="s">
        <v>7</v>
      </c>
      <c r="EY201" s="27" t="s">
        <v>8</v>
      </c>
      <c r="EZ201" s="27" t="s">
        <v>7</v>
      </c>
      <c r="FA201" s="27" t="s">
        <v>8</v>
      </c>
      <c r="FB201" s="27" t="s">
        <v>7</v>
      </c>
      <c r="FC201" s="32" t="s">
        <v>8</v>
      </c>
      <c r="FE201" s="32" t="s">
        <v>8</v>
      </c>
      <c r="FG201" s="27" t="s">
        <v>8</v>
      </c>
      <c r="FH201" s="27" t="s">
        <v>7</v>
      </c>
      <c r="FJ201" s="27" t="s">
        <v>7</v>
      </c>
      <c r="FK201" s="27" t="s">
        <v>8</v>
      </c>
      <c r="FL201" s="27" t="s">
        <v>7</v>
      </c>
      <c r="FM201" s="27" t="s">
        <v>8</v>
      </c>
      <c r="FN201" s="27" t="s">
        <v>7</v>
      </c>
      <c r="FO201" s="27" t="s">
        <v>8</v>
      </c>
      <c r="FP201" s="27" t="s">
        <v>7</v>
      </c>
      <c r="FR201" s="31"/>
      <c r="FS201" s="27" t="s">
        <v>8</v>
      </c>
      <c r="FU201" s="27" t="s">
        <v>8</v>
      </c>
      <c r="FV201" s="27" t="s">
        <v>7</v>
      </c>
      <c r="FW201" s="27" t="s">
        <v>8</v>
      </c>
      <c r="FY201" s="31"/>
      <c r="FZ201" s="27" t="s">
        <v>7</v>
      </c>
      <c r="GA201" s="27" t="s">
        <v>8</v>
      </c>
      <c r="GB201" s="27" t="s">
        <v>7</v>
      </c>
      <c r="GC201" s="27" t="s">
        <v>8</v>
      </c>
      <c r="GD201" s="27" t="s">
        <v>7</v>
      </c>
    </row>
    <row r="202" spans="1:192" x14ac:dyDescent="0.25">
      <c r="A202" s="30">
        <v>6.3854772899089882</v>
      </c>
      <c r="E202"/>
      <c r="DK202" s="27" t="s">
        <v>8</v>
      </c>
      <c r="DL202" s="32" t="s">
        <v>7</v>
      </c>
      <c r="DN202" s="32" t="s">
        <v>7</v>
      </c>
      <c r="EJ202" s="27" t="s">
        <v>7</v>
      </c>
      <c r="EK202" s="27" t="s">
        <v>8</v>
      </c>
      <c r="EL202" s="27" t="s">
        <v>7</v>
      </c>
      <c r="EM202" s="27" t="s">
        <v>8</v>
      </c>
      <c r="EN202" s="27" t="s">
        <v>7</v>
      </c>
      <c r="EO202" s="27" t="s">
        <v>8</v>
      </c>
      <c r="EP202" s="27" t="s">
        <v>7</v>
      </c>
      <c r="EQ202" s="27" t="s">
        <v>8</v>
      </c>
      <c r="ET202" s="31"/>
      <c r="EX202" s="27" t="s">
        <v>7</v>
      </c>
      <c r="EY202" s="27" t="s">
        <v>8</v>
      </c>
      <c r="EZ202" s="27" t="s">
        <v>7</v>
      </c>
      <c r="FB202" s="27" t="s">
        <v>7</v>
      </c>
      <c r="FC202" s="27" t="s">
        <v>8</v>
      </c>
      <c r="FD202" s="27" t="s">
        <v>7</v>
      </c>
      <c r="FE202" s="27" t="s">
        <v>8</v>
      </c>
      <c r="FF202" s="31" t="s">
        <v>7</v>
      </c>
      <c r="FG202" s="27" t="s">
        <v>8</v>
      </c>
      <c r="FJ202" s="27" t="s">
        <v>7</v>
      </c>
      <c r="FL202" s="27" t="s">
        <v>7</v>
      </c>
      <c r="FM202" s="27" t="s">
        <v>8</v>
      </c>
      <c r="FN202" s="27" t="s">
        <v>7</v>
      </c>
      <c r="FO202" s="27" t="s">
        <v>8</v>
      </c>
      <c r="FP202" s="27" t="s">
        <v>7</v>
      </c>
      <c r="FS202" s="31" t="s">
        <v>8</v>
      </c>
      <c r="FT202" s="27" t="s">
        <v>7</v>
      </c>
      <c r="FU202" s="27" t="s">
        <v>8</v>
      </c>
      <c r="FV202" s="27" t="s">
        <v>7</v>
      </c>
      <c r="FW202" s="27" t="s">
        <v>8</v>
      </c>
      <c r="FX202" s="31"/>
      <c r="FZ202" s="27" t="s">
        <v>7</v>
      </c>
      <c r="GB202" s="27" t="s">
        <v>7</v>
      </c>
      <c r="GC202" s="27" t="s">
        <v>8</v>
      </c>
      <c r="GD202" s="27" t="s">
        <v>7</v>
      </c>
    </row>
    <row r="203" spans="1:192" x14ac:dyDescent="0.25">
      <c r="A203" s="30">
        <v>6.0814069427704647</v>
      </c>
      <c r="C203" s="7"/>
      <c r="D203"/>
      <c r="E203"/>
      <c r="DK203" s="27" t="s">
        <v>8</v>
      </c>
      <c r="EJ203" s="27" t="s">
        <v>7</v>
      </c>
      <c r="EK203" s="27" t="s">
        <v>8</v>
      </c>
      <c r="EL203" s="27" t="s">
        <v>7</v>
      </c>
      <c r="EM203" s="27" t="s">
        <v>8</v>
      </c>
      <c r="EN203" s="27" t="s">
        <v>7</v>
      </c>
      <c r="EO203" s="27" t="s">
        <v>8</v>
      </c>
      <c r="EP203" s="27" t="s">
        <v>7</v>
      </c>
      <c r="ES203" s="31"/>
      <c r="EX203" s="27" t="s">
        <v>7</v>
      </c>
      <c r="EY203" s="27" t="s">
        <v>8</v>
      </c>
      <c r="FB203" s="27" t="s">
        <v>7</v>
      </c>
      <c r="FC203" s="27" t="s">
        <v>8</v>
      </c>
      <c r="FD203" s="27" t="s">
        <v>7</v>
      </c>
      <c r="FE203" s="27" t="s">
        <v>8</v>
      </c>
      <c r="FF203" s="27" t="s">
        <v>7</v>
      </c>
      <c r="FG203" s="31" t="s">
        <v>8</v>
      </c>
      <c r="FL203" s="27" t="s">
        <v>7</v>
      </c>
      <c r="FN203" s="27" t="s">
        <v>7</v>
      </c>
      <c r="FO203" s="27" t="s">
        <v>8</v>
      </c>
      <c r="FP203" s="27" t="s">
        <v>7</v>
      </c>
      <c r="FS203" s="27" t="s">
        <v>8</v>
      </c>
      <c r="FT203" s="27" t="s">
        <v>7</v>
      </c>
      <c r="FU203" s="27" t="s">
        <v>8</v>
      </c>
      <c r="FV203" s="27" t="s">
        <v>7</v>
      </c>
      <c r="FW203" s="31" t="s">
        <v>8</v>
      </c>
      <c r="GB203" s="27" t="s">
        <v>7</v>
      </c>
      <c r="GD203" s="27" t="s">
        <v>7</v>
      </c>
    </row>
    <row r="204" spans="1:192" x14ac:dyDescent="0.25">
      <c r="A204" s="30">
        <v>5.7918161359718709</v>
      </c>
      <c r="E204"/>
      <c r="DK204" s="27" t="s">
        <v>8</v>
      </c>
      <c r="EJ204" s="27" t="s">
        <v>7</v>
      </c>
      <c r="EK204" s="27" t="s">
        <v>8</v>
      </c>
      <c r="EL204" s="27" t="s">
        <v>7</v>
      </c>
      <c r="EM204" s="27" t="s">
        <v>8</v>
      </c>
      <c r="EN204" s="27" t="s">
        <v>7</v>
      </c>
      <c r="EO204" s="27" t="s">
        <v>8</v>
      </c>
      <c r="ER204" s="31"/>
      <c r="EX204" s="27" t="s">
        <v>7</v>
      </c>
      <c r="EY204" s="27" t="s">
        <v>8</v>
      </c>
      <c r="FB204" s="27" t="s">
        <v>7</v>
      </c>
      <c r="FD204" s="27" t="s">
        <v>7</v>
      </c>
      <c r="FE204" s="27" t="s">
        <v>8</v>
      </c>
      <c r="FF204" s="27" t="s">
        <v>7</v>
      </c>
      <c r="FG204" s="27" t="s">
        <v>8</v>
      </c>
      <c r="FN204" s="31" t="s">
        <v>7</v>
      </c>
      <c r="FP204" s="27" t="s">
        <v>7</v>
      </c>
      <c r="FQ204" s="27" t="s">
        <v>8</v>
      </c>
      <c r="FS204" s="27" t="s">
        <v>8</v>
      </c>
      <c r="FT204" s="27" t="s">
        <v>7</v>
      </c>
      <c r="FV204" s="31" t="s">
        <v>7</v>
      </c>
      <c r="GD204" s="27" t="s">
        <v>7</v>
      </c>
      <c r="GI204" s="27" t="s">
        <v>8</v>
      </c>
    </row>
    <row r="205" spans="1:192" x14ac:dyDescent="0.25">
      <c r="A205" s="30">
        <v>5.5160153675922574</v>
      </c>
      <c r="E205"/>
      <c r="DK205" s="27" t="s">
        <v>8</v>
      </c>
      <c r="EJ205" s="27" t="s">
        <v>7</v>
      </c>
      <c r="EK205" s="27" t="s">
        <v>8</v>
      </c>
      <c r="EL205" s="27" t="s">
        <v>7</v>
      </c>
      <c r="EN205" s="27" t="s">
        <v>7</v>
      </c>
      <c r="EO205" s="27" t="s">
        <v>8</v>
      </c>
      <c r="EQ205" s="31"/>
      <c r="EX205" s="27" t="s">
        <v>7</v>
      </c>
      <c r="EY205" s="27" t="s">
        <v>8</v>
      </c>
      <c r="FD205" s="27" t="s">
        <v>7</v>
      </c>
      <c r="FE205" s="27" t="s">
        <v>8</v>
      </c>
      <c r="FF205" s="27" t="s">
        <v>7</v>
      </c>
      <c r="FM205" s="31"/>
      <c r="FP205" s="27" t="s">
        <v>7</v>
      </c>
      <c r="FQ205" s="27" t="s">
        <v>8</v>
      </c>
      <c r="FR205" s="27" t="s">
        <v>7</v>
      </c>
      <c r="FS205" s="27" t="s">
        <v>8</v>
      </c>
      <c r="FU205" s="31"/>
      <c r="GD205" s="27" t="s">
        <v>7</v>
      </c>
      <c r="GI205" s="27" t="s">
        <v>8</v>
      </c>
      <c r="GJ205" s="27" t="s">
        <v>7</v>
      </c>
    </row>
    <row r="206" spans="1:192" x14ac:dyDescent="0.25">
      <c r="A206" s="30">
        <v>5.2533479691354827</v>
      </c>
      <c r="C206"/>
      <c r="D206"/>
      <c r="E206"/>
      <c r="DK206" s="27" t="s">
        <v>8</v>
      </c>
      <c r="EJ206" s="27" t="s">
        <v>7</v>
      </c>
      <c r="EK206" s="27" t="s">
        <v>8</v>
      </c>
      <c r="EN206" s="27" t="s">
        <v>7</v>
      </c>
      <c r="EO206" s="27" t="s">
        <v>8</v>
      </c>
      <c r="EP206" s="31"/>
      <c r="EX206" s="27" t="s">
        <v>7</v>
      </c>
      <c r="FD206" s="27" t="s">
        <v>7</v>
      </c>
      <c r="FE206" s="27" t="s">
        <v>8</v>
      </c>
      <c r="FL206" s="31"/>
      <c r="FP206" s="27" t="s">
        <v>7</v>
      </c>
      <c r="FQ206" s="27" t="s">
        <v>8</v>
      </c>
      <c r="FR206" s="27" t="s">
        <v>7</v>
      </c>
      <c r="FS206" s="27" t="s">
        <v>8</v>
      </c>
      <c r="FT206" s="31"/>
      <c r="GD206" s="27" t="s">
        <v>7</v>
      </c>
      <c r="GI206" s="27" t="s">
        <v>8</v>
      </c>
      <c r="GJ206" s="27" t="s">
        <v>7</v>
      </c>
    </row>
    <row r="207" spans="1:192" x14ac:dyDescent="0.25">
      <c r="A207" s="30">
        <v>5.0031885420337927</v>
      </c>
      <c r="E207"/>
      <c r="DK207" s="27" t="s">
        <v>8</v>
      </c>
      <c r="EJ207" s="27" t="s">
        <v>7</v>
      </c>
      <c r="EK207" s="27" t="s">
        <v>8</v>
      </c>
      <c r="EN207" s="27" t="s">
        <v>7</v>
      </c>
      <c r="EO207" s="31" t="s">
        <v>8</v>
      </c>
      <c r="FD207" s="27" t="s">
        <v>7</v>
      </c>
      <c r="FE207" s="27" t="s">
        <v>8</v>
      </c>
      <c r="FK207" s="31"/>
      <c r="FP207" s="27" t="s">
        <v>7</v>
      </c>
      <c r="FQ207" s="27" t="s">
        <v>8</v>
      </c>
      <c r="FR207" s="27" t="s">
        <v>7</v>
      </c>
      <c r="FS207" s="31" t="s">
        <v>8</v>
      </c>
      <c r="GD207" s="27" t="s">
        <v>7</v>
      </c>
      <c r="GE207" s="27" t="s">
        <v>8</v>
      </c>
      <c r="GG207" s="27" t="s">
        <v>8</v>
      </c>
      <c r="GI207" s="27" t="s">
        <v>8</v>
      </c>
      <c r="GJ207" s="27" t="s">
        <v>7</v>
      </c>
    </row>
    <row r="208" spans="1:192" x14ac:dyDescent="0.25">
      <c r="A208" s="30">
        <v>4.7649414686036122</v>
      </c>
      <c r="E208"/>
      <c r="DK208" s="27" t="s">
        <v>8</v>
      </c>
      <c r="EJ208" s="27" t="s">
        <v>7</v>
      </c>
      <c r="EK208" s="27" t="s">
        <v>8</v>
      </c>
      <c r="EN208" s="31" t="s">
        <v>7</v>
      </c>
      <c r="FD208" s="27" t="s">
        <v>7</v>
      </c>
      <c r="FE208" s="27" t="s">
        <v>8</v>
      </c>
      <c r="FJ208" s="31"/>
      <c r="FP208" s="32" t="s">
        <v>7</v>
      </c>
      <c r="FR208" s="32" t="s">
        <v>7</v>
      </c>
      <c r="GD208" s="27" t="s">
        <v>7</v>
      </c>
      <c r="GE208" s="27" t="s">
        <v>8</v>
      </c>
      <c r="GF208" s="27" t="s">
        <v>7</v>
      </c>
      <c r="GG208" s="27" t="s">
        <v>8</v>
      </c>
      <c r="GH208" s="27" t="s">
        <v>7</v>
      </c>
      <c r="GI208" s="27" t="s">
        <v>8</v>
      </c>
      <c r="GJ208" s="27" t="s">
        <v>7</v>
      </c>
    </row>
    <row r="209" spans="1:197" x14ac:dyDescent="0.25">
      <c r="A209" s="30">
        <v>4.5380394939082018</v>
      </c>
      <c r="E209"/>
      <c r="DI209" s="27" t="s">
        <v>8</v>
      </c>
      <c r="DK209" s="27" t="s">
        <v>8</v>
      </c>
      <c r="EJ209" s="27" t="s">
        <v>7</v>
      </c>
      <c r="EK209" s="27" t="s">
        <v>8</v>
      </c>
      <c r="EM209" s="31"/>
      <c r="FD209" s="27" t="s">
        <v>7</v>
      </c>
      <c r="FE209" s="27" t="s">
        <v>8</v>
      </c>
      <c r="FI209" s="31"/>
      <c r="GD209" s="27" t="s">
        <v>7</v>
      </c>
      <c r="GE209" s="27" t="s">
        <v>8</v>
      </c>
      <c r="GF209" s="27" t="s">
        <v>7</v>
      </c>
      <c r="GG209" s="27" t="s">
        <v>8</v>
      </c>
      <c r="GH209" s="27" t="s">
        <v>7</v>
      </c>
      <c r="GI209" s="27" t="s">
        <v>8</v>
      </c>
      <c r="GJ209" s="27" t="s">
        <v>7</v>
      </c>
      <c r="GK209" s="27" t="s">
        <v>8</v>
      </c>
    </row>
    <row r="210" spans="1:197" x14ac:dyDescent="0.25">
      <c r="A210" s="30">
        <v>4.3219423751506678</v>
      </c>
      <c r="C210"/>
      <c r="E210"/>
      <c r="DI210" s="27" t="s">
        <v>8</v>
      </c>
      <c r="DJ210" s="27" t="s">
        <v>7</v>
      </c>
      <c r="DK210" s="27" t="s">
        <v>8</v>
      </c>
      <c r="EJ210" s="27" t="s">
        <v>7</v>
      </c>
      <c r="EK210" s="27" t="s">
        <v>8</v>
      </c>
      <c r="EL210" s="31"/>
      <c r="FD210" s="27" t="s">
        <v>7</v>
      </c>
      <c r="FE210" s="27" t="s">
        <v>8</v>
      </c>
      <c r="FH210" s="31"/>
      <c r="GD210" s="27" t="s">
        <v>7</v>
      </c>
      <c r="GE210" s="27" t="s">
        <v>8</v>
      </c>
      <c r="GF210" s="27" t="s">
        <v>7</v>
      </c>
      <c r="GH210" s="27" t="s">
        <v>7</v>
      </c>
      <c r="GI210" s="27" t="s">
        <v>8</v>
      </c>
      <c r="GJ210" s="27" t="s">
        <v>7</v>
      </c>
      <c r="GK210" s="27" t="s">
        <v>8</v>
      </c>
      <c r="GL210" s="27" t="s">
        <v>7</v>
      </c>
    </row>
    <row r="211" spans="1:197" x14ac:dyDescent="0.25">
      <c r="A211" s="30">
        <v>4.1161355953815884</v>
      </c>
      <c r="E211"/>
      <c r="DI211" s="27" t="s">
        <v>8</v>
      </c>
      <c r="DJ211" s="27" t="s">
        <v>7</v>
      </c>
      <c r="DK211" s="27" t="s">
        <v>8</v>
      </c>
      <c r="EJ211" s="27" t="s">
        <v>7</v>
      </c>
      <c r="EK211" s="31" t="s">
        <v>8</v>
      </c>
      <c r="FD211" s="18" t="s">
        <v>7</v>
      </c>
      <c r="FE211" s="27" t="s">
        <v>8</v>
      </c>
      <c r="FG211" s="31"/>
      <c r="GD211" s="27" t="s">
        <v>7</v>
      </c>
      <c r="GE211" s="27" t="s">
        <v>8</v>
      </c>
      <c r="GH211" s="27" t="s">
        <v>7</v>
      </c>
      <c r="GI211" s="27" t="s">
        <v>8</v>
      </c>
      <c r="GJ211" s="27" t="s">
        <v>7</v>
      </c>
      <c r="GK211" s="27" t="s">
        <v>8</v>
      </c>
      <c r="GL211" s="27" t="s">
        <v>7</v>
      </c>
    </row>
    <row r="212" spans="1:197" x14ac:dyDescent="0.25">
      <c r="A212" s="30">
        <v>3.9201291384586554</v>
      </c>
      <c r="E212"/>
      <c r="DE212" s="27" t="s">
        <v>8</v>
      </c>
      <c r="DI212" s="27" t="s">
        <v>8</v>
      </c>
      <c r="DJ212" s="27" t="s">
        <v>7</v>
      </c>
      <c r="EJ212" s="31" t="s">
        <v>7</v>
      </c>
      <c r="FD212" s="27" t="s">
        <v>7</v>
      </c>
      <c r="FE212" s="27" t="s">
        <v>8</v>
      </c>
      <c r="FF212" s="31"/>
      <c r="GD212" s="27" t="s">
        <v>7</v>
      </c>
      <c r="GE212" s="27" t="s">
        <v>8</v>
      </c>
      <c r="GH212" s="27" t="s">
        <v>7</v>
      </c>
      <c r="GJ212" s="27" t="s">
        <v>7</v>
      </c>
      <c r="GK212" s="27" t="s">
        <v>8</v>
      </c>
      <c r="GL212" s="27" t="s">
        <v>7</v>
      </c>
    </row>
    <row r="213" spans="1:197" x14ac:dyDescent="0.25">
      <c r="A213" s="30">
        <v>3.7334563223415764</v>
      </c>
      <c r="E213"/>
      <c r="DE213" s="27" t="s">
        <v>8</v>
      </c>
      <c r="DF213" s="27" t="s">
        <v>7</v>
      </c>
      <c r="DI213" s="27" t="s">
        <v>8</v>
      </c>
      <c r="EI213" s="31"/>
      <c r="FD213" s="27" t="s">
        <v>7</v>
      </c>
      <c r="FE213" s="31" t="s">
        <v>8</v>
      </c>
      <c r="GD213" s="27" t="s">
        <v>7</v>
      </c>
      <c r="GJ213" s="27" t="s">
        <v>7</v>
      </c>
      <c r="GL213" s="27" t="s">
        <v>7</v>
      </c>
    </row>
    <row r="214" spans="1:197" x14ac:dyDescent="0.25">
      <c r="A214" s="30">
        <v>3.5556726879443583</v>
      </c>
      <c r="E214"/>
      <c r="DE214" s="27" t="s">
        <v>8</v>
      </c>
      <c r="DF214" s="27" t="s">
        <v>7</v>
      </c>
      <c r="DI214" s="27" t="s">
        <v>8</v>
      </c>
      <c r="EH214" s="31"/>
      <c r="FD214" s="31" t="s">
        <v>7</v>
      </c>
      <c r="GL214" s="27" t="s">
        <v>7</v>
      </c>
    </row>
    <row r="215" spans="1:197" x14ac:dyDescent="0.25">
      <c r="A215" s="30">
        <v>3.3863549408993889</v>
      </c>
      <c r="E215"/>
      <c r="DE215" s="27" t="s">
        <v>8</v>
      </c>
      <c r="DF215" s="27" t="s">
        <v>7</v>
      </c>
      <c r="DG215" s="27" t="s">
        <v>8</v>
      </c>
      <c r="DI215" s="27" t="s">
        <v>8</v>
      </c>
      <c r="EG215" s="31"/>
      <c r="GL215" s="27" t="s">
        <v>7</v>
      </c>
    </row>
    <row r="216" spans="1:197" x14ac:dyDescent="0.25">
      <c r="A216" s="30">
        <v>3.2250999437137038</v>
      </c>
      <c r="E216"/>
      <c r="DE216" s="27" t="s">
        <v>8</v>
      </c>
      <c r="DF216" s="27" t="s">
        <v>7</v>
      </c>
      <c r="DG216" s="27" t="s">
        <v>8</v>
      </c>
      <c r="DH216" s="27" t="s">
        <v>7</v>
      </c>
      <c r="DI216" s="27" t="s">
        <v>8</v>
      </c>
      <c r="EF216" s="31"/>
      <c r="GL216" s="27" t="s">
        <v>7</v>
      </c>
    </row>
    <row r="217" spans="1:197" x14ac:dyDescent="0.25">
      <c r="A217" s="30">
        <v>3.0715237559178128</v>
      </c>
      <c r="E217"/>
      <c r="DE217" s="27" t="s">
        <v>8</v>
      </c>
      <c r="DF217" s="27" t="s">
        <v>7</v>
      </c>
      <c r="DG217" s="27" t="s">
        <v>8</v>
      </c>
      <c r="DH217" s="27" t="s">
        <v>7</v>
      </c>
      <c r="DI217" s="27" t="s">
        <v>8</v>
      </c>
      <c r="EE217" s="31"/>
      <c r="GL217" s="27" t="s">
        <v>7</v>
      </c>
      <c r="GO217" s="27" t="s">
        <v>8</v>
      </c>
    </row>
    <row r="218" spans="1:197" x14ac:dyDescent="0.25">
      <c r="A218" s="30">
        <v>2.9252607199217264</v>
      </c>
      <c r="E218"/>
      <c r="DE218" s="27" t="s">
        <v>8</v>
      </c>
      <c r="DF218" s="27" t="s">
        <v>7</v>
      </c>
      <c r="DG218" s="27" t="s">
        <v>8</v>
      </c>
      <c r="DH218" s="27" t="s">
        <v>7</v>
      </c>
      <c r="ED218" s="31"/>
      <c r="GL218" s="27" t="s">
        <v>7</v>
      </c>
      <c r="GM218" s="27" t="s">
        <v>8</v>
      </c>
      <c r="GO218" s="27" t="s">
        <v>8</v>
      </c>
    </row>
    <row r="219" spans="1:197" x14ac:dyDescent="0.25">
      <c r="A219" s="30">
        <v>2.7859625904016441</v>
      </c>
      <c r="E219"/>
      <c r="DE219" s="27" t="s">
        <v>8</v>
      </c>
      <c r="DF219" s="27" t="s">
        <v>7</v>
      </c>
      <c r="DG219" s="27" t="s">
        <v>8</v>
      </c>
      <c r="EC219" s="31"/>
      <c r="GL219" s="27" t="s">
        <v>7</v>
      </c>
      <c r="GM219" s="27" t="s">
        <v>8</v>
      </c>
      <c r="GN219" s="27" t="s">
        <v>7</v>
      </c>
      <c r="GO219" s="27" t="s">
        <v>8</v>
      </c>
    </row>
    <row r="220" spans="1:197" x14ac:dyDescent="0.25">
      <c r="A220" s="30">
        <v>2.6532977051444226</v>
      </c>
      <c r="E220"/>
      <c r="DE220" s="27" t="s">
        <v>8</v>
      </c>
      <c r="DF220" s="27" t="s">
        <v>7</v>
      </c>
      <c r="EB220" s="31"/>
      <c r="GL220" s="27" t="s">
        <v>7</v>
      </c>
      <c r="GM220" s="27" t="s">
        <v>8</v>
      </c>
      <c r="GN220" s="27" t="s">
        <v>7</v>
      </c>
      <c r="GO220" s="27" t="s">
        <v>8</v>
      </c>
    </row>
    <row r="221" spans="1:197" x14ac:dyDescent="0.25">
      <c r="A221" s="30">
        <v>2.5269501953756404</v>
      </c>
      <c r="E221"/>
      <c r="DC221" s="27" t="s">
        <v>8</v>
      </c>
      <c r="DE221" s="27" t="s">
        <v>8</v>
      </c>
      <c r="EA221" s="31"/>
      <c r="GL221" s="27" t="s">
        <v>7</v>
      </c>
      <c r="GM221" s="27" t="s">
        <v>8</v>
      </c>
      <c r="GN221" s="27" t="s">
        <v>7</v>
      </c>
      <c r="GO221" s="27" t="s">
        <v>8</v>
      </c>
    </row>
    <row r="222" spans="1:197" x14ac:dyDescent="0.25">
      <c r="A222" s="30">
        <v>2.4066192336910861</v>
      </c>
      <c r="E222"/>
      <c r="CQ222" s="27" t="s">
        <v>8</v>
      </c>
      <c r="DA222" s="27" t="s">
        <v>8</v>
      </c>
      <c r="DC222" s="27" t="s">
        <v>8</v>
      </c>
      <c r="DD222" s="27" t="s">
        <v>7</v>
      </c>
      <c r="DE222" s="27" t="s">
        <v>8</v>
      </c>
      <c r="DZ222" s="31"/>
      <c r="GL222" s="27" t="s">
        <v>7</v>
      </c>
      <c r="GN222" s="27" t="s">
        <v>7</v>
      </c>
      <c r="GO222" s="27" t="s">
        <v>8</v>
      </c>
    </row>
    <row r="223" spans="1:197" x14ac:dyDescent="0.25">
      <c r="A223" s="30">
        <v>2.2920183178010345</v>
      </c>
      <c r="E223"/>
      <c r="CQ223" s="27" t="s">
        <v>8</v>
      </c>
      <c r="CR223" s="27" t="s">
        <v>7</v>
      </c>
      <c r="CS223" s="27" t="s">
        <v>8</v>
      </c>
      <c r="DA223" s="34" t="s">
        <v>8</v>
      </c>
      <c r="DB223" s="27" t="s">
        <v>7</v>
      </c>
      <c r="DC223" s="27" t="s">
        <v>8</v>
      </c>
      <c r="DD223" s="27" t="s">
        <v>7</v>
      </c>
      <c r="DE223" s="27" t="s">
        <v>8</v>
      </c>
      <c r="DY223" s="31"/>
      <c r="GN223" s="27" t="s">
        <v>7</v>
      </c>
    </row>
    <row r="224" spans="1:197" x14ac:dyDescent="0.25">
      <c r="A224" s="30">
        <v>2.1828745883819374</v>
      </c>
      <c r="E224"/>
      <c r="CQ224" s="27" t="s">
        <v>8</v>
      </c>
      <c r="CR224" s="27" t="s">
        <v>7</v>
      </c>
      <c r="CS224" s="27" t="s">
        <v>8</v>
      </c>
      <c r="CT224" s="27" t="s">
        <v>7</v>
      </c>
      <c r="CU224" s="27" t="s">
        <v>8</v>
      </c>
      <c r="CW224" s="27" t="s">
        <v>8</v>
      </c>
      <c r="CY224" s="27" t="s">
        <v>8</v>
      </c>
      <c r="DA224" s="27" t="s">
        <v>8</v>
      </c>
      <c r="DB224" s="27" t="s">
        <v>7</v>
      </c>
      <c r="DC224" s="27" t="s">
        <v>8</v>
      </c>
      <c r="DD224" s="27" t="s">
        <v>7</v>
      </c>
      <c r="DX224" s="31"/>
    </row>
    <row r="225" spans="1:127" x14ac:dyDescent="0.25">
      <c r="A225" s="30">
        <v>2.0789281794113688</v>
      </c>
      <c r="E225"/>
      <c r="CQ225" s="27" t="s">
        <v>8</v>
      </c>
      <c r="CR225" s="27" t="s">
        <v>7</v>
      </c>
      <c r="CS225" s="27" t="s">
        <v>8</v>
      </c>
      <c r="CT225" s="27" t="s">
        <v>7</v>
      </c>
      <c r="CU225" s="27" t="s">
        <v>8</v>
      </c>
      <c r="CV225" s="27" t="s">
        <v>7</v>
      </c>
      <c r="CW225" s="27" t="s">
        <v>8</v>
      </c>
      <c r="CX225" s="27" t="s">
        <v>7</v>
      </c>
      <c r="CY225" s="27" t="s">
        <v>8</v>
      </c>
      <c r="CZ225" s="27" t="s">
        <v>7</v>
      </c>
      <c r="DA225" s="27" t="s">
        <v>8</v>
      </c>
      <c r="DB225" s="27" t="s">
        <v>7</v>
      </c>
      <c r="DC225" s="27" t="s">
        <v>8</v>
      </c>
      <c r="DW225" s="31"/>
    </row>
    <row r="226" spans="1:127" x14ac:dyDescent="0.25">
      <c r="A226" s="30">
        <v>1.9799315994393987</v>
      </c>
      <c r="E226"/>
      <c r="CQ226" s="27" t="s">
        <v>8</v>
      </c>
      <c r="CR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  <c r="CW226" s="27" t="s">
        <v>8</v>
      </c>
      <c r="CX226" s="27" t="s">
        <v>7</v>
      </c>
      <c r="CY226" s="27" t="s">
        <v>8</v>
      </c>
      <c r="CZ226" s="27" t="s">
        <v>7</v>
      </c>
      <c r="DA226" s="27" t="s">
        <v>8</v>
      </c>
      <c r="DB226" s="27" t="s">
        <v>7</v>
      </c>
      <c r="DC226" s="27" t="s">
        <v>8</v>
      </c>
      <c r="DV226" s="31"/>
    </row>
    <row r="227" spans="1:127" x14ac:dyDescent="0.25">
      <c r="A227" s="30">
        <v>1.8856491423232367</v>
      </c>
      <c r="E227"/>
      <c r="CQ227" s="27" t="s">
        <v>8</v>
      </c>
      <c r="CR227" s="27" t="s">
        <v>7</v>
      </c>
      <c r="CS227" s="27" t="s">
        <v>8</v>
      </c>
      <c r="CT227" s="27" t="s">
        <v>7</v>
      </c>
      <c r="CU227" s="27" t="s">
        <v>8</v>
      </c>
      <c r="CV227" s="27" t="s">
        <v>7</v>
      </c>
      <c r="CW227" s="27" t="s">
        <v>8</v>
      </c>
      <c r="CX227" s="27" t="s">
        <v>7</v>
      </c>
      <c r="CZ227" s="27" t="s">
        <v>7</v>
      </c>
      <c r="DA227" s="27" t="s">
        <v>8</v>
      </c>
      <c r="DB227" s="27" t="s">
        <v>7</v>
      </c>
      <c r="DU227" s="31"/>
    </row>
    <row r="228" spans="1:127" x14ac:dyDescent="0.25">
      <c r="A228" s="30">
        <v>1.7958563260221301</v>
      </c>
      <c r="C228" s="7"/>
      <c r="D228"/>
      <c r="E228"/>
      <c r="CQ228" s="27" t="s">
        <v>8</v>
      </c>
      <c r="CR228" s="27" t="s">
        <v>7</v>
      </c>
      <c r="CT228" s="27" t="s">
        <v>7</v>
      </c>
      <c r="CV228" s="27" t="s">
        <v>7</v>
      </c>
      <c r="CW228" s="27" t="s">
        <v>8</v>
      </c>
      <c r="CZ228" s="27" t="s">
        <v>7</v>
      </c>
      <c r="DA228" s="27" t="s">
        <v>8</v>
      </c>
      <c r="DT228" s="31"/>
    </row>
    <row r="229" spans="1:127" x14ac:dyDescent="0.25">
      <c r="A229" s="30">
        <v>1.7103393581163142</v>
      </c>
      <c r="E229"/>
      <c r="CO229" s="27" t="s">
        <v>8</v>
      </c>
      <c r="CQ229" s="27" t="s">
        <v>8</v>
      </c>
      <c r="CV229" s="27" t="s">
        <v>7</v>
      </c>
      <c r="CW229" s="27" t="s">
        <v>8</v>
      </c>
      <c r="CZ229" s="27" t="s">
        <v>7</v>
      </c>
      <c r="DA229" s="27" t="s">
        <v>8</v>
      </c>
      <c r="DS229" s="31"/>
    </row>
    <row r="230" spans="1:127" x14ac:dyDescent="0.25">
      <c r="A230" s="30">
        <v>1.628894626777442</v>
      </c>
      <c r="E230"/>
      <c r="CO230" s="27" t="s">
        <v>8</v>
      </c>
      <c r="CP230" s="27" t="s">
        <v>7</v>
      </c>
      <c r="CQ230" s="27" t="s">
        <v>8</v>
      </c>
      <c r="CV230" s="27" t="s">
        <v>7</v>
      </c>
      <c r="CW230" s="27" t="s">
        <v>8</v>
      </c>
      <c r="CZ230" s="27" t="s">
        <v>7</v>
      </c>
      <c r="DR230" s="31"/>
    </row>
    <row r="231" spans="1:127" x14ac:dyDescent="0.25">
      <c r="A231" s="30">
        <v>1.5513282159785162</v>
      </c>
      <c r="C231"/>
      <c r="D231"/>
      <c r="E231"/>
      <c r="CO231" s="27" t="s">
        <v>8</v>
      </c>
      <c r="CP231" s="27" t="s">
        <v>7</v>
      </c>
      <c r="CQ231" s="27" t="s">
        <v>8</v>
      </c>
      <c r="CV231" s="27" t="s">
        <v>7</v>
      </c>
      <c r="CW231" s="27" t="s">
        <v>8</v>
      </c>
      <c r="DQ231" s="31"/>
    </row>
    <row r="232" spans="1:127" x14ac:dyDescent="0.25">
      <c r="A232" s="30">
        <v>1.477455443789063</v>
      </c>
      <c r="E232"/>
      <c r="CO232" s="27" t="s">
        <v>8</v>
      </c>
      <c r="CP232" s="27" t="s">
        <v>7</v>
      </c>
      <c r="CQ232" s="27" t="s">
        <v>8</v>
      </c>
      <c r="CV232" s="27" t="s">
        <v>7</v>
      </c>
      <c r="DP232" s="31"/>
    </row>
    <row r="233" spans="1:127" x14ac:dyDescent="0.25">
      <c r="A233" s="30">
        <v>1.4071004226562505</v>
      </c>
      <c r="E233"/>
      <c r="CO233" s="27" t="s">
        <v>8</v>
      </c>
      <c r="CP233" s="27" t="s">
        <v>7</v>
      </c>
      <c r="CQ233" s="27" t="s">
        <v>8</v>
      </c>
      <c r="DO233" s="31"/>
    </row>
    <row r="234" spans="1:127" x14ac:dyDescent="0.25">
      <c r="A234" s="30">
        <v>1.3400956406250004</v>
      </c>
      <c r="E234"/>
      <c r="CO234" s="27" t="s">
        <v>8</v>
      </c>
      <c r="CP234" s="27" t="s">
        <v>7</v>
      </c>
      <c r="DN234" s="31"/>
    </row>
    <row r="235" spans="1:127" x14ac:dyDescent="0.25">
      <c r="A235" s="30">
        <v>1.2762815625000004</v>
      </c>
      <c r="C235"/>
      <c r="E235"/>
      <c r="CO235" s="27" t="s">
        <v>8</v>
      </c>
      <c r="DM235" s="31"/>
    </row>
    <row r="236" spans="1:127" x14ac:dyDescent="0.25">
      <c r="A236" s="30">
        <v>1.2155062500000002</v>
      </c>
      <c r="E236"/>
      <c r="CO236" s="27" t="s">
        <v>8</v>
      </c>
      <c r="DL236" s="31"/>
    </row>
    <row r="237" spans="1:12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O237" s="27" t="s">
        <v>8</v>
      </c>
      <c r="DK237" s="31"/>
    </row>
    <row r="238" spans="1:127" x14ac:dyDescent="0.25">
      <c r="A238" s="30">
        <v>1.1025</v>
      </c>
      <c r="E238"/>
      <c r="CO238" s="27" t="s">
        <v>8</v>
      </c>
      <c r="DJ238" s="31"/>
    </row>
    <row r="239" spans="1:127" x14ac:dyDescent="0.25">
      <c r="A239" s="30">
        <v>1.05</v>
      </c>
      <c r="E239"/>
      <c r="CO239" s="27" t="s">
        <v>8</v>
      </c>
      <c r="DI239" s="31"/>
    </row>
    <row r="240" spans="1:127" x14ac:dyDescent="0.25">
      <c r="A240" s="30">
        <v>1</v>
      </c>
      <c r="E240" s="29" t="s">
        <v>8</v>
      </c>
      <c r="CO240" s="27" t="s">
        <v>8</v>
      </c>
      <c r="DH240" s="31"/>
    </row>
    <row r="241" spans="1:111" x14ac:dyDescent="0.25">
      <c r="A241" s="30">
        <v>0.952380952380952</v>
      </c>
      <c r="B241"/>
      <c r="C241"/>
      <c r="D241"/>
      <c r="E241"/>
      <c r="F241" s="27" t="s">
        <v>7</v>
      </c>
      <c r="CO241" s="27" t="s">
        <v>8</v>
      </c>
      <c r="DG241" s="31"/>
    </row>
    <row r="242" spans="1:111" x14ac:dyDescent="0.25">
      <c r="A242" s="30">
        <v>0.90702947845804915</v>
      </c>
      <c r="B242"/>
      <c r="C242"/>
      <c r="D242"/>
      <c r="E242"/>
      <c r="F242" s="27" t="s">
        <v>7</v>
      </c>
      <c r="CO242" s="27" t="s">
        <v>8</v>
      </c>
      <c r="DF242" s="31"/>
    </row>
    <row r="243" spans="1:111" x14ac:dyDescent="0.25">
      <c r="A243" s="30">
        <v>0.86383759853147501</v>
      </c>
      <c r="B243"/>
      <c r="C243"/>
      <c r="D243"/>
      <c r="E243"/>
      <c r="F243" s="27" t="s">
        <v>7</v>
      </c>
      <c r="CO243" s="27" t="s">
        <v>8</v>
      </c>
      <c r="DE243" s="31"/>
    </row>
    <row r="244" spans="1:111" x14ac:dyDescent="0.25">
      <c r="A244" s="30">
        <v>0.82270247479188063</v>
      </c>
      <c r="B244"/>
      <c r="C244"/>
      <c r="D244"/>
      <c r="E244"/>
      <c r="F244" s="27" t="s">
        <v>7</v>
      </c>
      <c r="CO244" s="27" t="s">
        <v>8</v>
      </c>
      <c r="DD244" s="31"/>
    </row>
    <row r="245" spans="1:111" x14ac:dyDescent="0.25">
      <c r="A245" s="30">
        <v>0.78352616646845741</v>
      </c>
      <c r="B245"/>
      <c r="C245"/>
      <c r="D245"/>
      <c r="E245"/>
      <c r="F245" s="27" t="s">
        <v>7</v>
      </c>
      <c r="CC245" s="27" t="s">
        <v>8</v>
      </c>
      <c r="CE245" s="27" t="s">
        <v>8</v>
      </c>
      <c r="CM245" s="27" t="s">
        <v>8</v>
      </c>
      <c r="CO245" s="27" t="s">
        <v>8</v>
      </c>
      <c r="DC245" s="31"/>
    </row>
    <row r="246" spans="1:111" x14ac:dyDescent="0.25">
      <c r="A246" s="30">
        <v>0.74621539663662584</v>
      </c>
      <c r="B246"/>
      <c r="C246"/>
      <c r="D246"/>
      <c r="E246"/>
      <c r="F246" s="27" t="s">
        <v>7</v>
      </c>
      <c r="CC246" s="27" t="s">
        <v>8</v>
      </c>
      <c r="CD246" s="27" t="s">
        <v>7</v>
      </c>
      <c r="CE246" s="27" t="s">
        <v>8</v>
      </c>
      <c r="CF246" s="27" t="s">
        <v>7</v>
      </c>
      <c r="CK246" s="27" t="s">
        <v>8</v>
      </c>
      <c r="CM246" s="27" t="s">
        <v>8</v>
      </c>
      <c r="CN246" s="27" t="s">
        <v>7</v>
      </c>
      <c r="CO246" s="27" t="s">
        <v>8</v>
      </c>
      <c r="DB246" s="31"/>
    </row>
    <row r="247" spans="1:111" x14ac:dyDescent="0.25">
      <c r="A247" s="30">
        <v>0.71068133013011958</v>
      </c>
      <c r="B247"/>
      <c r="C247"/>
      <c r="D247"/>
      <c r="E247"/>
      <c r="F247" s="27" t="s">
        <v>7</v>
      </c>
      <c r="CC247" s="27" t="s">
        <v>8</v>
      </c>
      <c r="CD247" s="27" t="s">
        <v>7</v>
      </c>
      <c r="CE247" s="27" t="s">
        <v>8</v>
      </c>
      <c r="CF247" s="27" t="s">
        <v>7</v>
      </c>
      <c r="CG247" s="27" t="s">
        <v>8</v>
      </c>
      <c r="CI247" s="27" t="s">
        <v>8</v>
      </c>
      <c r="CK247" s="27" t="s">
        <v>8</v>
      </c>
      <c r="CL247" s="27" t="s">
        <v>7</v>
      </c>
      <c r="CM247" s="27" t="s">
        <v>8</v>
      </c>
      <c r="CN247" s="27" t="s">
        <v>7</v>
      </c>
      <c r="CO247" s="27" t="s">
        <v>8</v>
      </c>
      <c r="DA247" s="31"/>
    </row>
    <row r="248" spans="1:111" x14ac:dyDescent="0.25">
      <c r="A248" s="30">
        <v>0.676839362028685</v>
      </c>
      <c r="B248"/>
      <c r="C248"/>
      <c r="D248"/>
      <c r="E248"/>
      <c r="F248" s="27" t="s">
        <v>7</v>
      </c>
      <c r="CC248" s="27" t="s">
        <v>8</v>
      </c>
      <c r="CD248" s="27" t="s">
        <v>7</v>
      </c>
      <c r="CF248" s="27" t="s">
        <v>7</v>
      </c>
      <c r="CG248" s="27" t="s">
        <v>8</v>
      </c>
      <c r="CH248" s="27" t="s">
        <v>7</v>
      </c>
      <c r="CI248" s="27" t="s">
        <v>8</v>
      </c>
      <c r="CJ248" s="27" t="s">
        <v>7</v>
      </c>
      <c r="CK248" s="27" t="s">
        <v>8</v>
      </c>
      <c r="CL248" s="27" t="s">
        <v>7</v>
      </c>
      <c r="CM248" s="27" t="s">
        <v>8</v>
      </c>
      <c r="CN248" s="27" t="s">
        <v>7</v>
      </c>
      <c r="CO248" s="27" t="s">
        <v>8</v>
      </c>
      <c r="CZ248" s="31"/>
    </row>
    <row r="249" spans="1:111" x14ac:dyDescent="0.25">
      <c r="A249" s="30">
        <v>0.64460891621779492</v>
      </c>
      <c r="B249"/>
      <c r="C249"/>
      <c r="D249"/>
      <c r="E249"/>
      <c r="F249" s="27" t="s">
        <v>7</v>
      </c>
      <c r="CC249" s="27" t="s">
        <v>8</v>
      </c>
      <c r="CF249" s="27" t="s">
        <v>7</v>
      </c>
      <c r="CG249" s="27" t="s">
        <v>8</v>
      </c>
      <c r="CH249" s="27" t="s">
        <v>7</v>
      </c>
      <c r="CI249" s="27" t="s">
        <v>8</v>
      </c>
      <c r="CJ249" s="27" t="s">
        <v>7</v>
      </c>
      <c r="CK249" s="27" t="s">
        <v>8</v>
      </c>
      <c r="CL249" s="27" t="s">
        <v>7</v>
      </c>
      <c r="CM249" s="27" t="s">
        <v>8</v>
      </c>
      <c r="CN249" s="27" t="s">
        <v>7</v>
      </c>
      <c r="CY249" s="31"/>
    </row>
    <row r="250" spans="1:111" x14ac:dyDescent="0.25">
      <c r="A250" s="30">
        <v>0.61391325354075688</v>
      </c>
      <c r="B250"/>
      <c r="C250"/>
      <c r="D250"/>
      <c r="E250"/>
      <c r="F250" s="27" t="s">
        <v>7</v>
      </c>
      <c r="CC250" s="27" t="s">
        <v>8</v>
      </c>
      <c r="CF250" s="27" t="s">
        <v>7</v>
      </c>
      <c r="CG250" s="27" t="s">
        <v>8</v>
      </c>
      <c r="CH250" s="27" t="s">
        <v>7</v>
      </c>
      <c r="CI250" s="27" t="s">
        <v>8</v>
      </c>
      <c r="CJ250" s="27" t="s">
        <v>7</v>
      </c>
      <c r="CL250" s="27" t="s">
        <v>7</v>
      </c>
      <c r="CM250" s="27" t="s">
        <v>8</v>
      </c>
      <c r="CX250" s="31"/>
    </row>
    <row r="251" spans="1:111" x14ac:dyDescent="0.25">
      <c r="A251" s="30">
        <v>0.58467928908643485</v>
      </c>
      <c r="B251"/>
      <c r="C251"/>
      <c r="D251"/>
      <c r="E251"/>
      <c r="F251" s="27" t="s">
        <v>7</v>
      </c>
      <c r="BE251" s="27" t="s">
        <v>8</v>
      </c>
      <c r="BW251" s="27" t="s">
        <v>8</v>
      </c>
      <c r="CC251" s="27" t="s">
        <v>8</v>
      </c>
      <c r="CF251" s="27" t="s">
        <v>7</v>
      </c>
      <c r="CH251" s="27" t="s">
        <v>7</v>
      </c>
      <c r="CI251" s="27" t="s">
        <v>8</v>
      </c>
      <c r="CL251" s="27" t="s">
        <v>7</v>
      </c>
      <c r="CW251" s="31"/>
    </row>
    <row r="252" spans="1:111" x14ac:dyDescent="0.25">
      <c r="A252" s="30">
        <v>0.55683741817755672</v>
      </c>
      <c r="B252"/>
      <c r="C252"/>
      <c r="D252"/>
      <c r="E252"/>
      <c r="F252" s="27" t="s">
        <v>7</v>
      </c>
      <c r="BE252" s="27" t="s">
        <v>8</v>
      </c>
      <c r="BF252" s="27" t="s">
        <v>7</v>
      </c>
      <c r="BW252" s="27" t="s">
        <v>8</v>
      </c>
      <c r="BX252" s="27" t="s">
        <v>7</v>
      </c>
      <c r="CC252" s="27" t="s">
        <v>8</v>
      </c>
      <c r="CH252" s="27" t="s">
        <v>7</v>
      </c>
      <c r="CV252" s="31"/>
    </row>
    <row r="253" spans="1:111" x14ac:dyDescent="0.25">
      <c r="A253" s="30">
        <v>0.53032135064529184</v>
      </c>
      <c r="B253"/>
      <c r="C253"/>
      <c r="D253"/>
      <c r="E253"/>
      <c r="F253" s="27" t="s">
        <v>7</v>
      </c>
      <c r="BE253" s="27" t="s">
        <v>8</v>
      </c>
      <c r="BF253" s="27" t="s">
        <v>7</v>
      </c>
      <c r="BW253" s="27" t="s">
        <v>8</v>
      </c>
      <c r="BX253" s="27" t="s">
        <v>7</v>
      </c>
      <c r="BY253" s="27" t="s">
        <v>8</v>
      </c>
      <c r="CC253" s="27" t="s">
        <v>8</v>
      </c>
      <c r="CU253" s="31"/>
    </row>
    <row r="254" spans="1:111" x14ac:dyDescent="0.25">
      <c r="A254" s="30">
        <v>0.50506795299551588</v>
      </c>
      <c r="B254"/>
      <c r="C254"/>
      <c r="D254"/>
      <c r="E254"/>
      <c r="F254" s="27" t="s">
        <v>7</v>
      </c>
      <c r="BE254" s="27" t="s">
        <v>8</v>
      </c>
      <c r="BF254" s="27" t="s">
        <v>7</v>
      </c>
      <c r="BW254" s="27" t="s">
        <v>8</v>
      </c>
      <c r="BX254" s="27" t="s">
        <v>7</v>
      </c>
      <c r="BY254" s="27" t="s">
        <v>8</v>
      </c>
      <c r="BZ254" s="27" t="s">
        <v>7</v>
      </c>
      <c r="CC254" s="27" t="s">
        <v>8</v>
      </c>
      <c r="CT254" s="31"/>
    </row>
    <row r="255" spans="1:111" x14ac:dyDescent="0.25">
      <c r="A255" s="30">
        <v>0.48101709809096732</v>
      </c>
      <c r="E255"/>
      <c r="F255" s="27" t="s">
        <v>7</v>
      </c>
      <c r="BE255" s="27" t="s">
        <v>8</v>
      </c>
      <c r="BF255" s="27" t="s">
        <v>7</v>
      </c>
      <c r="BW255" s="27" t="s">
        <v>8</v>
      </c>
      <c r="BX255" s="27" t="s">
        <v>7</v>
      </c>
      <c r="BY255" s="27" t="s">
        <v>8</v>
      </c>
      <c r="BZ255" s="27" t="s">
        <v>7</v>
      </c>
      <c r="CC255" s="27" t="s">
        <v>8</v>
      </c>
      <c r="CS255" s="31"/>
    </row>
    <row r="256" spans="1:111" x14ac:dyDescent="0.25">
      <c r="A256" s="30">
        <v>0.45811152199139726</v>
      </c>
      <c r="E256"/>
      <c r="F256" s="27" t="s">
        <v>7</v>
      </c>
      <c r="BE256" s="27" t="s">
        <v>8</v>
      </c>
      <c r="BF256" s="27" t="s">
        <v>7</v>
      </c>
      <c r="BW256" s="27" t="s">
        <v>8</v>
      </c>
      <c r="BX256" s="27" t="s">
        <v>7</v>
      </c>
      <c r="BY256" s="27" t="s">
        <v>8</v>
      </c>
      <c r="BZ256" s="27" t="s">
        <v>7</v>
      </c>
      <c r="CC256" s="27" t="s">
        <v>8</v>
      </c>
      <c r="CR256" s="31"/>
    </row>
    <row r="257" spans="1:95" x14ac:dyDescent="0.25">
      <c r="A257" s="30">
        <v>0.43629668761085438</v>
      </c>
      <c r="B257"/>
      <c r="C257"/>
      <c r="D257"/>
      <c r="E257"/>
      <c r="F257" s="27" t="s">
        <v>7</v>
      </c>
      <c r="BE257" s="27" t="s">
        <v>8</v>
      </c>
      <c r="BF257" s="27" t="s">
        <v>7</v>
      </c>
      <c r="BW257" s="27" t="s">
        <v>8</v>
      </c>
      <c r="BX257" s="27" t="s">
        <v>7</v>
      </c>
      <c r="BZ257" s="27" t="s">
        <v>7</v>
      </c>
      <c r="CA257" s="27" t="s">
        <v>8</v>
      </c>
      <c r="CC257" s="27" t="s">
        <v>8</v>
      </c>
      <c r="CQ257" s="31"/>
    </row>
    <row r="258" spans="1:95" x14ac:dyDescent="0.25">
      <c r="A258" s="30">
        <v>0.41552065486748019</v>
      </c>
      <c r="B258"/>
      <c r="C258"/>
      <c r="D258"/>
      <c r="E258"/>
      <c r="F258" s="27" t="s">
        <v>7</v>
      </c>
      <c r="BE258" s="27" t="s">
        <v>8</v>
      </c>
      <c r="BF258" s="27" t="s">
        <v>7</v>
      </c>
      <c r="BW258" s="27" t="s">
        <v>8</v>
      </c>
      <c r="BZ258" s="27" t="s">
        <v>7</v>
      </c>
      <c r="CA258" s="27" t="s">
        <v>8</v>
      </c>
      <c r="CB258" s="27" t="s">
        <v>7</v>
      </c>
      <c r="CC258" s="27" t="s">
        <v>8</v>
      </c>
      <c r="CP258" s="31"/>
    </row>
    <row r="259" spans="1:95" x14ac:dyDescent="0.25">
      <c r="A259" s="30">
        <v>0.39573395701664765</v>
      </c>
      <c r="B259"/>
      <c r="C259"/>
      <c r="D259"/>
      <c r="E259"/>
      <c r="F259" s="27" t="s">
        <v>7</v>
      </c>
      <c r="BE259" s="27" t="s">
        <v>8</v>
      </c>
      <c r="BF259" s="27" t="s">
        <v>7</v>
      </c>
      <c r="BW259" s="27" t="s">
        <v>8</v>
      </c>
      <c r="BZ259" s="27" t="s">
        <v>7</v>
      </c>
      <c r="CA259" s="27" t="s">
        <v>8</v>
      </c>
      <c r="CB259" s="27" t="s">
        <v>7</v>
      </c>
      <c r="CC259" s="27" t="s">
        <v>8</v>
      </c>
      <c r="CO259" s="31"/>
    </row>
    <row r="260" spans="1:95" x14ac:dyDescent="0.25">
      <c r="A260" s="30">
        <v>0.37688948287299762</v>
      </c>
      <c r="B260"/>
      <c r="C260"/>
      <c r="D260"/>
      <c r="E260"/>
      <c r="F260" s="27" t="s">
        <v>7</v>
      </c>
      <c r="BE260" s="27" t="s">
        <v>8</v>
      </c>
      <c r="BF260" s="27" t="s">
        <v>7</v>
      </c>
      <c r="BU260" s="27" t="s">
        <v>8</v>
      </c>
      <c r="BW260" s="27" t="s">
        <v>8</v>
      </c>
      <c r="BZ260" s="27" t="s">
        <v>7</v>
      </c>
      <c r="CB260" s="27" t="s">
        <v>7</v>
      </c>
      <c r="CN260" s="31"/>
    </row>
    <row r="261" spans="1:95" x14ac:dyDescent="0.25">
      <c r="A261" s="30">
        <v>0.35894236464094997</v>
      </c>
      <c r="B261"/>
      <c r="C261"/>
      <c r="D261"/>
      <c r="E261"/>
      <c r="F261" s="27" t="s">
        <v>7</v>
      </c>
      <c r="BE261" s="27" t="s">
        <v>8</v>
      </c>
      <c r="BF261" s="27" t="s">
        <v>7</v>
      </c>
      <c r="BU261" s="27" t="s">
        <v>8</v>
      </c>
      <c r="BV261" s="27" t="s">
        <v>7</v>
      </c>
      <c r="BW261" s="27" t="s">
        <v>8</v>
      </c>
      <c r="CM261" s="31"/>
    </row>
    <row r="262" spans="1:95" x14ac:dyDescent="0.25">
      <c r="A262" s="30">
        <v>0.34184987108661891</v>
      </c>
      <c r="B262"/>
      <c r="C262"/>
      <c r="D262"/>
      <c r="E262"/>
      <c r="F262" s="27" t="s">
        <v>7</v>
      </c>
      <c r="BE262" s="27" t="s">
        <v>8</v>
      </c>
      <c r="BF262" s="27" t="s">
        <v>7</v>
      </c>
      <c r="BU262" s="27" t="s">
        <v>8</v>
      </c>
      <c r="BV262" s="27" t="s">
        <v>7</v>
      </c>
      <c r="BW262" s="27" t="s">
        <v>8</v>
      </c>
      <c r="CL262" s="31"/>
    </row>
    <row r="263" spans="1:95" x14ac:dyDescent="0.25">
      <c r="A263" s="30">
        <v>0.32557130579677979</v>
      </c>
      <c r="B263"/>
      <c r="C263"/>
      <c r="D263"/>
      <c r="E263"/>
      <c r="F263" s="27" t="s">
        <v>7</v>
      </c>
      <c r="BC263" s="27" t="s">
        <v>8</v>
      </c>
      <c r="BE263" s="27" t="s">
        <v>8</v>
      </c>
      <c r="BF263" s="27" t="s">
        <v>7</v>
      </c>
      <c r="BG263" s="27" t="s">
        <v>8</v>
      </c>
      <c r="BU263" s="27" t="s">
        <v>8</v>
      </c>
      <c r="BV263" s="27" t="s">
        <v>7</v>
      </c>
      <c r="CK263" s="31"/>
    </row>
    <row r="264" spans="1:95" x14ac:dyDescent="0.25">
      <c r="A264" s="30">
        <v>0.3100679102826473</v>
      </c>
      <c r="B264"/>
      <c r="C264"/>
      <c r="D264"/>
      <c r="E264"/>
      <c r="F264" s="27" t="s">
        <v>7</v>
      </c>
      <c r="BC264" s="27" t="s">
        <v>8</v>
      </c>
      <c r="BD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S264" s="27" t="s">
        <v>8</v>
      </c>
      <c r="BU264" s="27" t="s">
        <v>8</v>
      </c>
      <c r="CJ264" s="31"/>
    </row>
    <row r="265" spans="1:95" x14ac:dyDescent="0.25">
      <c r="A265" s="30">
        <v>0.2953027716977592</v>
      </c>
      <c r="B265"/>
      <c r="C265"/>
      <c r="D265"/>
      <c r="E265"/>
      <c r="F265" s="27" t="s">
        <v>7</v>
      </c>
      <c r="BC265" s="27" t="s">
        <v>8</v>
      </c>
      <c r="BD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K265" s="27" t="s">
        <v>8</v>
      </c>
      <c r="BS265" s="27" t="s">
        <v>8</v>
      </c>
      <c r="BT265" s="27" t="s">
        <v>7</v>
      </c>
      <c r="BU265" s="27" t="s">
        <v>8</v>
      </c>
      <c r="CI265" s="31"/>
    </row>
    <row r="266" spans="1:95" x14ac:dyDescent="0.25">
      <c r="A266" s="30">
        <v>0.28124073495024676</v>
      </c>
      <c r="B266"/>
      <c r="C266"/>
      <c r="D266"/>
      <c r="E266"/>
      <c r="F266" s="27" t="s">
        <v>7</v>
      </c>
      <c r="BC266" s="27" t="s">
        <v>8</v>
      </c>
      <c r="BD266" s="27" t="s">
        <v>7</v>
      </c>
      <c r="BE266" s="27" t="s">
        <v>8</v>
      </c>
      <c r="BF266" s="27" t="s">
        <v>7</v>
      </c>
      <c r="BH266" s="27" t="s">
        <v>7</v>
      </c>
      <c r="BI266" s="27" t="s">
        <v>8</v>
      </c>
      <c r="BK266" s="27" t="s">
        <v>8</v>
      </c>
      <c r="BL266" s="27" t="s">
        <v>7</v>
      </c>
      <c r="BQ266" s="27" t="s">
        <v>8</v>
      </c>
      <c r="BS266" s="27" t="s">
        <v>8</v>
      </c>
      <c r="BT266" s="27" t="s">
        <v>7</v>
      </c>
      <c r="BU266" s="27" t="s">
        <v>8</v>
      </c>
      <c r="CH266" s="31"/>
    </row>
    <row r="267" spans="1:95" x14ac:dyDescent="0.25">
      <c r="A267" s="30">
        <v>0.26784831900023492</v>
      </c>
      <c r="B267"/>
      <c r="C267"/>
      <c r="D267"/>
      <c r="E267"/>
      <c r="F267" s="27" t="s">
        <v>7</v>
      </c>
      <c r="BC267" s="27" t="s">
        <v>8</v>
      </c>
      <c r="BD267" s="27" t="s">
        <v>7</v>
      </c>
      <c r="BE267" s="27" t="s">
        <v>8</v>
      </c>
      <c r="BH267" s="27" t="s">
        <v>7</v>
      </c>
      <c r="BI267" s="27" t="s">
        <v>8</v>
      </c>
      <c r="BJ267" s="27" t="s">
        <v>7</v>
      </c>
      <c r="BK267" s="27" t="s">
        <v>8</v>
      </c>
      <c r="BL267" s="27" t="s">
        <v>7</v>
      </c>
      <c r="BM267" s="27" t="s">
        <v>8</v>
      </c>
      <c r="BQ267" s="27" t="s">
        <v>8</v>
      </c>
      <c r="BR267" s="27" t="s">
        <v>7</v>
      </c>
      <c r="BS267" s="27" t="s">
        <v>8</v>
      </c>
      <c r="BT267" s="27" t="s">
        <v>7</v>
      </c>
      <c r="BU267" s="27" t="s">
        <v>8</v>
      </c>
      <c r="CG267" s="31"/>
    </row>
    <row r="268" spans="1:95" x14ac:dyDescent="0.25">
      <c r="A268" s="30">
        <v>0.25509363714308075</v>
      </c>
      <c r="B268"/>
      <c r="C268"/>
      <c r="D268"/>
      <c r="E268"/>
      <c r="F268" s="27" t="s">
        <v>7</v>
      </c>
      <c r="BC268" s="27" t="s">
        <v>8</v>
      </c>
      <c r="BD268" s="27" t="s">
        <v>7</v>
      </c>
      <c r="BH268" s="27" t="s">
        <v>7</v>
      </c>
      <c r="BI268" s="27" t="s">
        <v>8</v>
      </c>
      <c r="BJ268" s="27" t="s">
        <v>7</v>
      </c>
      <c r="BK268" s="27" t="s">
        <v>8</v>
      </c>
      <c r="BL268" s="27" t="s">
        <v>7</v>
      </c>
      <c r="BM268" s="27" t="s">
        <v>8</v>
      </c>
      <c r="BN268" s="27" t="s">
        <v>7</v>
      </c>
      <c r="BO268" s="27" t="s">
        <v>8</v>
      </c>
      <c r="BQ268" s="27" t="s">
        <v>8</v>
      </c>
      <c r="BR268" s="27" t="s">
        <v>7</v>
      </c>
      <c r="BS268" s="27" t="s">
        <v>8</v>
      </c>
      <c r="BT268" s="27" t="s">
        <v>7</v>
      </c>
      <c r="CF268" s="31"/>
    </row>
    <row r="269" spans="1:95" x14ac:dyDescent="0.25">
      <c r="A269" s="30">
        <v>0.24294632108864825</v>
      </c>
      <c r="B269"/>
      <c r="C269"/>
      <c r="D269"/>
      <c r="E269"/>
      <c r="F269" s="27" t="s">
        <v>7</v>
      </c>
      <c r="BC269" s="27" t="s">
        <v>8</v>
      </c>
      <c r="BH269" s="27" t="s">
        <v>7</v>
      </c>
      <c r="BJ269" s="27" t="s">
        <v>7</v>
      </c>
      <c r="BK269" s="27" t="s">
        <v>8</v>
      </c>
      <c r="BL269" s="27" t="s">
        <v>7</v>
      </c>
      <c r="BM269" s="27" t="s">
        <v>8</v>
      </c>
      <c r="BN269" s="27" t="s">
        <v>7</v>
      </c>
      <c r="BO269" s="27" t="s">
        <v>8</v>
      </c>
      <c r="BP269" s="27" t="s">
        <v>7</v>
      </c>
      <c r="BQ269" s="27" t="s">
        <v>8</v>
      </c>
      <c r="BR269" s="27" t="s">
        <v>7</v>
      </c>
      <c r="BS269" s="27" t="s">
        <v>8</v>
      </c>
      <c r="CE269" s="31"/>
    </row>
    <row r="270" spans="1:95" x14ac:dyDescent="0.25">
      <c r="A270" s="30">
        <v>0.23137744865585538</v>
      </c>
      <c r="B270"/>
      <c r="C270"/>
      <c r="D270"/>
      <c r="E270"/>
      <c r="F270" s="27" t="s">
        <v>7</v>
      </c>
      <c r="BC270" s="27" t="s">
        <v>8</v>
      </c>
      <c r="BJ270" s="27" t="s">
        <v>7</v>
      </c>
      <c r="BL270" s="27" t="s">
        <v>7</v>
      </c>
      <c r="BM270" s="27" t="s">
        <v>8</v>
      </c>
      <c r="BN270" s="27" t="s">
        <v>7</v>
      </c>
      <c r="BO270" s="27" t="s">
        <v>8</v>
      </c>
      <c r="BP270" s="27" t="s">
        <v>7</v>
      </c>
      <c r="BQ270" s="27" t="s">
        <v>8</v>
      </c>
      <c r="BR270" s="27" t="s">
        <v>7</v>
      </c>
      <c r="BS270" s="27" t="s">
        <v>8</v>
      </c>
      <c r="CD270" s="31"/>
    </row>
    <row r="271" spans="1:95" x14ac:dyDescent="0.25">
      <c r="A271" s="30">
        <v>0.22035947491033836</v>
      </c>
      <c r="B271"/>
      <c r="C271"/>
      <c r="D271"/>
      <c r="E271"/>
      <c r="F271" s="27" t="s">
        <v>7</v>
      </c>
      <c r="BC271" s="27" t="s">
        <v>8</v>
      </c>
      <c r="BL271" s="27" t="s">
        <v>7</v>
      </c>
      <c r="BM271" s="27" t="s">
        <v>8</v>
      </c>
      <c r="BN271" s="27" t="s">
        <v>7</v>
      </c>
      <c r="BP271" s="27" t="s">
        <v>7</v>
      </c>
      <c r="BQ271" s="27" t="s">
        <v>8</v>
      </c>
      <c r="BR271" s="27" t="s">
        <v>7</v>
      </c>
      <c r="CC271" s="31"/>
    </row>
    <row r="272" spans="1:95" x14ac:dyDescent="0.25">
      <c r="A272" s="30">
        <v>0.20986616658127455</v>
      </c>
      <c r="B272"/>
      <c r="C272"/>
      <c r="D272"/>
      <c r="E272"/>
      <c r="F272" s="27" t="s">
        <v>7</v>
      </c>
      <c r="BC272" s="27" t="s">
        <v>8</v>
      </c>
      <c r="BL272" s="27" t="s">
        <v>7</v>
      </c>
      <c r="BP272" s="27" t="s">
        <v>7</v>
      </c>
      <c r="BQ272" s="27" t="s">
        <v>8</v>
      </c>
      <c r="CB272" s="31"/>
    </row>
    <row r="273" spans="1:79" x14ac:dyDescent="0.25">
      <c r="A273" s="30">
        <v>0.19987253960121379</v>
      </c>
      <c r="B273"/>
      <c r="C273"/>
      <c r="D273"/>
      <c r="E273"/>
      <c r="F273" s="27" t="s">
        <v>7</v>
      </c>
      <c r="BC273" s="27" t="s">
        <v>8</v>
      </c>
      <c r="BP273" s="27" t="s">
        <v>7</v>
      </c>
      <c r="CA273" s="31"/>
    </row>
    <row r="274" spans="1:79" x14ac:dyDescent="0.25">
      <c r="A274" s="30">
        <v>0.19035479962020352</v>
      </c>
      <c r="B274"/>
      <c r="C274"/>
      <c r="D274"/>
      <c r="E274"/>
      <c r="F274" s="27" t="s">
        <v>7</v>
      </c>
      <c r="BC274" s="27" t="s">
        <v>8</v>
      </c>
      <c r="BZ274" s="31"/>
    </row>
    <row r="275" spans="1:79" x14ac:dyDescent="0.25">
      <c r="A275" s="30">
        <v>0.18129028535257471</v>
      </c>
      <c r="B275"/>
      <c r="C275"/>
      <c r="D275"/>
      <c r="E275"/>
      <c r="F275" s="27" t="s">
        <v>7</v>
      </c>
      <c r="AK275" s="27" t="s">
        <v>8</v>
      </c>
      <c r="BC275" s="27" t="s">
        <v>8</v>
      </c>
      <c r="BY275" s="31"/>
    </row>
    <row r="276" spans="1:79" x14ac:dyDescent="0.25">
      <c r="A276" s="30">
        <v>0.17265741462149967</v>
      </c>
      <c r="B276"/>
      <c r="C276"/>
      <c r="D276"/>
      <c r="E276"/>
      <c r="F276" s="27" t="s">
        <v>7</v>
      </c>
      <c r="AK276" s="27" t="s">
        <v>8</v>
      </c>
      <c r="AL276" s="27" t="s">
        <v>7</v>
      </c>
      <c r="BC276" s="27" t="s">
        <v>8</v>
      </c>
      <c r="BX276" s="31"/>
    </row>
    <row r="277" spans="1:79" x14ac:dyDescent="0.25">
      <c r="A277" s="30">
        <v>0.16443563297285677</v>
      </c>
      <c r="B277"/>
      <c r="C277"/>
      <c r="D277"/>
      <c r="E277"/>
      <c r="F277" s="27" t="s">
        <v>7</v>
      </c>
      <c r="Q277" s="27" t="s">
        <v>8</v>
      </c>
      <c r="AK277" s="27" t="s">
        <v>8</v>
      </c>
      <c r="AL277" s="27" t="s">
        <v>7</v>
      </c>
      <c r="BA277" s="27" t="s">
        <v>8</v>
      </c>
      <c r="BC277" s="27" t="s">
        <v>8</v>
      </c>
      <c r="BW277" s="31"/>
    </row>
    <row r="278" spans="1:79" x14ac:dyDescent="0.25">
      <c r="A278" s="30">
        <v>0.15660536473605399</v>
      </c>
      <c r="B278"/>
      <c r="C278"/>
      <c r="D278"/>
      <c r="E278"/>
      <c r="F278" s="27" t="s">
        <v>7</v>
      </c>
      <c r="Q278" s="27" t="s">
        <v>8</v>
      </c>
      <c r="R278" s="27" t="s">
        <v>7</v>
      </c>
      <c r="AK278" s="27" t="s">
        <v>8</v>
      </c>
      <c r="AL278" s="27" t="s">
        <v>7</v>
      </c>
      <c r="BA278" s="27" t="s">
        <v>8</v>
      </c>
      <c r="BB278" s="27" t="s">
        <v>7</v>
      </c>
      <c r="BC278" s="27" t="s">
        <v>8</v>
      </c>
      <c r="BV278" s="31"/>
    </row>
    <row r="279" spans="1:79" x14ac:dyDescent="0.25">
      <c r="A279" s="30">
        <v>0.14914796641528946</v>
      </c>
      <c r="B279"/>
      <c r="C279"/>
      <c r="D279"/>
      <c r="E279"/>
      <c r="F279" s="27" t="s">
        <v>7</v>
      </c>
      <c r="Q279" s="27" t="s">
        <v>8</v>
      </c>
      <c r="R279" s="27" t="s">
        <v>7</v>
      </c>
      <c r="AK279" s="27" t="s">
        <v>8</v>
      </c>
      <c r="AL279" s="27" t="s">
        <v>7</v>
      </c>
      <c r="AO279" s="27" t="s">
        <v>8</v>
      </c>
      <c r="BA279" s="27" t="s">
        <v>8</v>
      </c>
      <c r="BB279" s="27" t="s">
        <v>7</v>
      </c>
      <c r="BC279" s="27" t="s">
        <v>8</v>
      </c>
      <c r="BU279" s="31"/>
    </row>
    <row r="280" spans="1:79" x14ac:dyDescent="0.25">
      <c r="A280" s="30">
        <v>0.14204568230027562</v>
      </c>
      <c r="B280"/>
      <c r="C280"/>
      <c r="D280"/>
      <c r="E280"/>
      <c r="F280" s="27" t="s">
        <v>7</v>
      </c>
      <c r="O280" s="27" t="s">
        <v>8</v>
      </c>
      <c r="Q280" s="27" t="s">
        <v>8</v>
      </c>
      <c r="R280" s="27" t="s">
        <v>7</v>
      </c>
      <c r="S280" s="27" t="s">
        <v>8</v>
      </c>
      <c r="U280" s="27" t="s">
        <v>8</v>
      </c>
      <c r="AK280" s="27" t="s">
        <v>8</v>
      </c>
      <c r="AL280" s="27" t="s">
        <v>7</v>
      </c>
      <c r="AM280" s="27" t="s">
        <v>8</v>
      </c>
      <c r="AO280" s="27" t="s">
        <v>8</v>
      </c>
      <c r="AP280" s="27" t="s">
        <v>7</v>
      </c>
      <c r="AQ280" s="27" t="s">
        <v>8</v>
      </c>
      <c r="BA280" s="27" t="s">
        <v>8</v>
      </c>
      <c r="BB280" s="27" t="s">
        <v>7</v>
      </c>
      <c r="BC280" s="27" t="s">
        <v>8</v>
      </c>
      <c r="BT280" s="31"/>
    </row>
    <row r="281" spans="1:79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O281" s="27" t="s">
        <v>8</v>
      </c>
      <c r="P281" s="27" t="s">
        <v>7</v>
      </c>
      <c r="Q281" s="27" t="s">
        <v>8</v>
      </c>
      <c r="R281" s="27" t="s">
        <v>7</v>
      </c>
      <c r="S281" s="27" t="s">
        <v>8</v>
      </c>
      <c r="T281" s="27" t="s">
        <v>7</v>
      </c>
      <c r="U281" s="27" t="s">
        <v>8</v>
      </c>
      <c r="V281" s="27" t="s">
        <v>7</v>
      </c>
      <c r="W281" s="27" t="s">
        <v>8</v>
      </c>
      <c r="AE281" s="27" t="s">
        <v>8</v>
      </c>
      <c r="AK281" s="27" t="s">
        <v>8</v>
      </c>
      <c r="AL281" s="27" t="s">
        <v>7</v>
      </c>
      <c r="AM281" s="27" t="s">
        <v>8</v>
      </c>
      <c r="AN281" s="27" t="s">
        <v>7</v>
      </c>
      <c r="AO281" s="27" t="s">
        <v>8</v>
      </c>
      <c r="AP281" s="27" t="s">
        <v>7</v>
      </c>
      <c r="AQ281" s="27" t="s">
        <v>8</v>
      </c>
      <c r="AR281" s="27" t="s">
        <v>7</v>
      </c>
      <c r="BA281" s="27" t="s">
        <v>8</v>
      </c>
      <c r="BB281" s="27" t="s">
        <v>7</v>
      </c>
      <c r="BS281" s="31"/>
    </row>
    <row r="282" spans="1:79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O282" s="27" t="s">
        <v>8</v>
      </c>
      <c r="P282" s="27" t="s">
        <v>7</v>
      </c>
      <c r="Q282" s="27" t="s">
        <v>8</v>
      </c>
      <c r="R282" s="27" t="s">
        <v>7</v>
      </c>
      <c r="S282" s="27" t="s">
        <v>8</v>
      </c>
      <c r="T282" s="27" t="s">
        <v>7</v>
      </c>
      <c r="U282" s="27" t="s">
        <v>8</v>
      </c>
      <c r="V282" s="27" t="s">
        <v>7</v>
      </c>
      <c r="W282" s="27" t="s">
        <v>8</v>
      </c>
      <c r="X282" s="27" t="s">
        <v>7</v>
      </c>
      <c r="Y282" s="27" t="s">
        <v>8</v>
      </c>
      <c r="AE282" s="27" t="s">
        <v>8</v>
      </c>
      <c r="AF282" s="27" t="s">
        <v>7</v>
      </c>
      <c r="AG282" s="27" t="s">
        <v>8</v>
      </c>
      <c r="AK282" s="27" t="s">
        <v>8</v>
      </c>
      <c r="AL282" s="27" t="s">
        <v>7</v>
      </c>
      <c r="AM282" s="27" t="s">
        <v>8</v>
      </c>
      <c r="AN282" s="27" t="s">
        <v>7</v>
      </c>
      <c r="AO282" s="27" t="s">
        <v>8</v>
      </c>
      <c r="AP282" s="27" t="s">
        <v>7</v>
      </c>
      <c r="AQ282" s="27" t="s">
        <v>8</v>
      </c>
      <c r="AR282" s="27" t="s">
        <v>7</v>
      </c>
      <c r="BA282" s="27" t="s">
        <v>8</v>
      </c>
      <c r="BR282" s="31"/>
    </row>
    <row r="283" spans="1:79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K283" s="27" t="s">
        <v>8</v>
      </c>
      <c r="M283" s="27" t="s">
        <v>8</v>
      </c>
      <c r="O283" s="27" t="s">
        <v>8</v>
      </c>
      <c r="P283" s="27" t="s">
        <v>7</v>
      </c>
      <c r="R283" s="27" t="s">
        <v>7</v>
      </c>
      <c r="T283" s="27" t="s">
        <v>7</v>
      </c>
      <c r="V283" s="27" t="s">
        <v>7</v>
      </c>
      <c r="W283" s="27" t="s">
        <v>8</v>
      </c>
      <c r="X283" s="27" t="s">
        <v>7</v>
      </c>
      <c r="Y283" s="27" t="s">
        <v>8</v>
      </c>
      <c r="Z283" s="27" t="s">
        <v>7</v>
      </c>
      <c r="AE283" s="27" t="s">
        <v>8</v>
      </c>
      <c r="AF283" s="27" t="s">
        <v>7</v>
      </c>
      <c r="AG283" s="27" t="s">
        <v>8</v>
      </c>
      <c r="AH283" s="27" t="s">
        <v>7</v>
      </c>
      <c r="AK283" s="27" t="s">
        <v>8</v>
      </c>
      <c r="AL283" s="27" t="s">
        <v>7</v>
      </c>
      <c r="AN283" s="27" t="s">
        <v>7</v>
      </c>
      <c r="AP283" s="27" t="s">
        <v>7</v>
      </c>
      <c r="AQ283" s="27" t="s">
        <v>8</v>
      </c>
      <c r="AR283" s="27" t="s">
        <v>7</v>
      </c>
      <c r="BA283" s="27" t="s">
        <v>8</v>
      </c>
      <c r="BQ283" s="31"/>
    </row>
    <row r="284" spans="1:79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K284" s="27" t="s">
        <v>8</v>
      </c>
      <c r="L284" s="27" t="s">
        <v>7</v>
      </c>
      <c r="M284" s="27" t="s">
        <v>8</v>
      </c>
      <c r="N284" s="27" t="s">
        <v>7</v>
      </c>
      <c r="O284" s="27" t="s">
        <v>8</v>
      </c>
      <c r="V284" s="27" t="s">
        <v>7</v>
      </c>
      <c r="W284" s="27" t="s">
        <v>8</v>
      </c>
      <c r="X284" s="27" t="s">
        <v>7</v>
      </c>
      <c r="Y284" s="27" t="s">
        <v>8</v>
      </c>
      <c r="Z284" s="27" t="s">
        <v>7</v>
      </c>
      <c r="AE284" s="27" t="s">
        <v>8</v>
      </c>
      <c r="AF284" s="27" t="s">
        <v>7</v>
      </c>
      <c r="AG284" s="27" t="s">
        <v>8</v>
      </c>
      <c r="AH284" s="27" t="s">
        <v>7</v>
      </c>
      <c r="AI284" s="27" t="s">
        <v>8</v>
      </c>
      <c r="AK284" s="27" t="s">
        <v>8</v>
      </c>
      <c r="AP284" s="27" t="s">
        <v>7</v>
      </c>
      <c r="AQ284" s="27" t="s">
        <v>8</v>
      </c>
      <c r="AR284" s="27" t="s">
        <v>7</v>
      </c>
      <c r="AY284" s="27" t="s">
        <v>8</v>
      </c>
      <c r="BA284" s="27" t="s">
        <v>8</v>
      </c>
      <c r="BP284" s="31"/>
    </row>
    <row r="285" spans="1:79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K285" s="27" t="s">
        <v>8</v>
      </c>
      <c r="L285" s="27" t="s">
        <v>7</v>
      </c>
      <c r="M285" s="27" t="s">
        <v>8</v>
      </c>
      <c r="N285" s="27" t="s">
        <v>7</v>
      </c>
      <c r="O285" s="27" t="s">
        <v>8</v>
      </c>
      <c r="V285" s="27" t="s">
        <v>7</v>
      </c>
      <c r="W285" s="27" t="s">
        <v>8</v>
      </c>
      <c r="X285" s="27" t="s">
        <v>7</v>
      </c>
      <c r="Y285" s="27" t="s">
        <v>8</v>
      </c>
      <c r="Z285" s="27" t="s">
        <v>7</v>
      </c>
      <c r="AA285" s="27" t="s">
        <v>8</v>
      </c>
      <c r="AE285" s="27" t="s">
        <v>8</v>
      </c>
      <c r="AF285" s="27" t="s">
        <v>7</v>
      </c>
      <c r="AG285" s="27" t="s">
        <v>8</v>
      </c>
      <c r="AH285" s="27" t="s">
        <v>7</v>
      </c>
      <c r="AI285" s="27" t="s">
        <v>8</v>
      </c>
      <c r="AJ285" s="27" t="s">
        <v>7</v>
      </c>
      <c r="AK285" s="27" t="s">
        <v>8</v>
      </c>
      <c r="AP285" s="27" t="s">
        <v>7</v>
      </c>
      <c r="AR285" s="27" t="s">
        <v>7</v>
      </c>
      <c r="AY285" s="27" t="s">
        <v>8</v>
      </c>
      <c r="AZ285" s="27" t="s">
        <v>7</v>
      </c>
      <c r="BA285" s="27" t="s">
        <v>8</v>
      </c>
      <c r="BO285" s="31"/>
    </row>
    <row r="286" spans="1:79" x14ac:dyDescent="0.25">
      <c r="A286" s="30">
        <v>0.10599667515822032</v>
      </c>
      <c r="B286"/>
      <c r="C286"/>
      <c r="D286"/>
      <c r="E286"/>
      <c r="F286" s="27" t="s">
        <v>7</v>
      </c>
      <c r="H286" s="27" t="s">
        <v>7</v>
      </c>
      <c r="I286" s="27" t="s">
        <v>8</v>
      </c>
      <c r="K286" s="27" t="s">
        <v>8</v>
      </c>
      <c r="L286" s="27" t="s">
        <v>7</v>
      </c>
      <c r="M286" s="27" t="s">
        <v>8</v>
      </c>
      <c r="N286" s="27" t="s">
        <v>7</v>
      </c>
      <c r="O286" s="27" t="s">
        <v>8</v>
      </c>
      <c r="V286" s="27" t="s">
        <v>7</v>
      </c>
      <c r="W286" s="27" t="s">
        <v>8</v>
      </c>
      <c r="X286" s="27" t="s">
        <v>7</v>
      </c>
      <c r="Z286" s="27" t="s">
        <v>7</v>
      </c>
      <c r="AA286" s="27" t="s">
        <v>8</v>
      </c>
      <c r="AB286" s="27" t="s">
        <v>7</v>
      </c>
      <c r="AE286" s="27" t="s">
        <v>8</v>
      </c>
      <c r="AF286" s="27" t="s">
        <v>7</v>
      </c>
      <c r="AG286" s="27" t="s">
        <v>8</v>
      </c>
      <c r="AH286" s="27" t="s">
        <v>7</v>
      </c>
      <c r="AI286" s="27" t="s">
        <v>8</v>
      </c>
      <c r="AJ286" s="27" t="s">
        <v>7</v>
      </c>
      <c r="AK286" s="27" t="s">
        <v>8</v>
      </c>
      <c r="AR286" s="27" t="s">
        <v>7</v>
      </c>
      <c r="AY286" s="27" t="s">
        <v>8</v>
      </c>
      <c r="AZ286" s="27" t="s">
        <v>7</v>
      </c>
      <c r="BA286" s="27" t="s">
        <v>8</v>
      </c>
      <c r="BN286" s="31"/>
    </row>
    <row r="287" spans="1:79" x14ac:dyDescent="0.25">
      <c r="A287" s="30">
        <v>0.10094921443640027</v>
      </c>
      <c r="B287"/>
      <c r="C287"/>
      <c r="D287"/>
      <c r="E287"/>
      <c r="H287" s="27" t="s">
        <v>7</v>
      </c>
      <c r="I287" s="27" t="s">
        <v>8</v>
      </c>
      <c r="J287" s="27" t="s">
        <v>7</v>
      </c>
      <c r="K287" s="27" t="s">
        <v>8</v>
      </c>
      <c r="L287" s="27" t="s">
        <v>7</v>
      </c>
      <c r="M287" s="27" t="s">
        <v>8</v>
      </c>
      <c r="N287" s="27" t="s">
        <v>7</v>
      </c>
      <c r="V287" s="27" t="s">
        <v>7</v>
      </c>
      <c r="W287" s="27" t="s">
        <v>8</v>
      </c>
      <c r="Z287" s="27" t="s">
        <v>7</v>
      </c>
      <c r="AA287" s="27" t="s">
        <v>8</v>
      </c>
      <c r="AB287" s="27" t="s">
        <v>7</v>
      </c>
      <c r="AE287" s="27" t="s">
        <v>8</v>
      </c>
      <c r="AF287" s="27" t="s">
        <v>7</v>
      </c>
      <c r="AG287" s="27" t="s">
        <v>8</v>
      </c>
      <c r="AH287" s="27" t="s">
        <v>7</v>
      </c>
      <c r="AI287" s="27" t="s">
        <v>8</v>
      </c>
      <c r="AJ287" s="27" t="s">
        <v>7</v>
      </c>
      <c r="AR287" s="27" t="s">
        <v>7</v>
      </c>
      <c r="AY287" s="27" t="s">
        <v>8</v>
      </c>
      <c r="AZ287" s="27" t="s">
        <v>7</v>
      </c>
      <c r="BA287" s="27" t="s">
        <v>8</v>
      </c>
      <c r="BM287" s="31"/>
    </row>
    <row r="288" spans="1:79" x14ac:dyDescent="0.25">
      <c r="A288" s="30">
        <v>9.6142108987047836E-2</v>
      </c>
      <c r="B288"/>
      <c r="C288"/>
      <c r="D288"/>
      <c r="E288"/>
      <c r="H288" s="27" t="s">
        <v>7</v>
      </c>
      <c r="I288" s="27" t="s">
        <v>8</v>
      </c>
      <c r="J288" s="27" t="s">
        <v>7</v>
      </c>
      <c r="K288" s="27" t="s">
        <v>8</v>
      </c>
      <c r="L288" s="27" t="s">
        <v>7</v>
      </c>
      <c r="V288" s="27" t="s">
        <v>7</v>
      </c>
      <c r="W288" s="27" t="s">
        <v>8</v>
      </c>
      <c r="Z288" s="27" t="s">
        <v>7</v>
      </c>
      <c r="AA288" s="27" t="s">
        <v>8</v>
      </c>
      <c r="AB288" s="27" t="s">
        <v>7</v>
      </c>
      <c r="AE288" s="27" t="s">
        <v>8</v>
      </c>
      <c r="AF288" s="27" t="s">
        <v>7</v>
      </c>
      <c r="AG288" s="27" t="s">
        <v>8</v>
      </c>
      <c r="AH288" s="27" t="s">
        <v>7</v>
      </c>
      <c r="AI288" s="27" t="s">
        <v>8</v>
      </c>
      <c r="AR288" s="27" t="s">
        <v>7</v>
      </c>
      <c r="AY288" s="27" t="s">
        <v>8</v>
      </c>
      <c r="AZ288" s="27" t="s">
        <v>7</v>
      </c>
      <c r="BL288" s="31"/>
    </row>
    <row r="289" spans="1:63" x14ac:dyDescent="0.25">
      <c r="A289" s="30">
        <v>9.1563913320997906E-2</v>
      </c>
      <c r="B289"/>
      <c r="C289"/>
      <c r="D289"/>
      <c r="E289"/>
      <c r="H289" s="27" t="s">
        <v>7</v>
      </c>
      <c r="J289" s="27" t="s">
        <v>7</v>
      </c>
      <c r="K289" s="27" t="s">
        <v>8</v>
      </c>
      <c r="V289" s="27" t="s">
        <v>7</v>
      </c>
      <c r="Z289" s="27" t="s">
        <v>7</v>
      </c>
      <c r="AA289" s="27" t="s">
        <v>8</v>
      </c>
      <c r="AB289" s="27" t="s">
        <v>7</v>
      </c>
      <c r="AE289" s="27" t="s">
        <v>8</v>
      </c>
      <c r="AF289" s="27" t="s">
        <v>7</v>
      </c>
      <c r="AH289" s="27" t="s">
        <v>7</v>
      </c>
      <c r="AI289" s="27" t="s">
        <v>8</v>
      </c>
      <c r="AR289" s="27" t="s">
        <v>7</v>
      </c>
      <c r="AY289" s="27" t="s">
        <v>8</v>
      </c>
      <c r="BK289" s="31"/>
    </row>
    <row r="290" spans="1:63" x14ac:dyDescent="0.25">
      <c r="A290" s="30">
        <v>8.7203726972378923E-2</v>
      </c>
      <c r="B290"/>
      <c r="C290"/>
      <c r="D290"/>
      <c r="E290"/>
      <c r="J290" s="27" t="s">
        <v>7</v>
      </c>
      <c r="K290" s="27" t="s">
        <v>8</v>
      </c>
      <c r="Z290" s="27" t="s">
        <v>7</v>
      </c>
      <c r="AA290" s="27" t="s">
        <v>8</v>
      </c>
      <c r="AB290" s="27" t="s">
        <v>7</v>
      </c>
      <c r="AC290" s="27" t="s">
        <v>8</v>
      </c>
      <c r="AE290" s="27" t="s">
        <v>8</v>
      </c>
      <c r="AH290" s="27" t="s">
        <v>7</v>
      </c>
      <c r="AI290" s="27" t="s">
        <v>8</v>
      </c>
      <c r="AR290" s="27" t="s">
        <v>7</v>
      </c>
      <c r="AW290" s="27" t="s">
        <v>8</v>
      </c>
      <c r="AY290" s="27" t="s">
        <v>8</v>
      </c>
      <c r="BJ290" s="31"/>
    </row>
    <row r="291" spans="1:63" x14ac:dyDescent="0.25">
      <c r="A291" s="30">
        <v>8.3051168545122747E-2</v>
      </c>
      <c r="B291"/>
      <c r="C291"/>
      <c r="D291"/>
      <c r="E291"/>
      <c r="J291" s="27" t="s">
        <v>7</v>
      </c>
      <c r="K291" s="27" t="s">
        <v>8</v>
      </c>
      <c r="Z291" s="27" t="s">
        <v>7</v>
      </c>
      <c r="AA291" s="27" t="s">
        <v>8</v>
      </c>
      <c r="AB291" s="27" t="s">
        <v>7</v>
      </c>
      <c r="AC291" s="27" t="s">
        <v>8</v>
      </c>
      <c r="AD291" s="27" t="s">
        <v>7</v>
      </c>
      <c r="AE291" s="27" t="s">
        <v>8</v>
      </c>
      <c r="AH291" s="27" t="s">
        <v>7</v>
      </c>
      <c r="AR291" s="27" t="s">
        <v>7</v>
      </c>
      <c r="AU291" s="27" t="s">
        <v>8</v>
      </c>
      <c r="AW291" s="27" t="s">
        <v>8</v>
      </c>
      <c r="AX291" s="27" t="s">
        <v>7</v>
      </c>
      <c r="AY291" s="27" t="s">
        <v>8</v>
      </c>
      <c r="BI291" s="31"/>
    </row>
    <row r="292" spans="1:63" x14ac:dyDescent="0.25">
      <c r="A292" s="30">
        <v>7.9096350995354961E-2</v>
      </c>
      <c r="B292"/>
      <c r="C292"/>
      <c r="D292"/>
      <c r="E292"/>
      <c r="J292" s="27" t="s">
        <v>7</v>
      </c>
      <c r="Z292" s="27" t="s">
        <v>7</v>
      </c>
      <c r="AB292" s="27" t="s">
        <v>7</v>
      </c>
      <c r="AC292" s="27" t="s">
        <v>8</v>
      </c>
      <c r="AD292" s="27" t="s">
        <v>7</v>
      </c>
      <c r="AE292" s="27" t="s">
        <v>8</v>
      </c>
      <c r="AR292" s="27" t="s">
        <v>7</v>
      </c>
      <c r="AU292" s="27" t="s">
        <v>8</v>
      </c>
      <c r="AV292" s="27" t="s">
        <v>7</v>
      </c>
      <c r="AW292" s="27" t="s">
        <v>8</v>
      </c>
      <c r="AX292" s="27" t="s">
        <v>7</v>
      </c>
      <c r="AY292" s="27" t="s">
        <v>8</v>
      </c>
      <c r="BH292" s="31"/>
    </row>
    <row r="293" spans="1:63" x14ac:dyDescent="0.25">
      <c r="A293" s="30">
        <v>7.5329858090814217E-2</v>
      </c>
      <c r="B293"/>
      <c r="C293"/>
      <c r="D293"/>
      <c r="E293"/>
      <c r="AB293" s="27" t="s">
        <v>7</v>
      </c>
      <c r="AC293" s="27" t="s">
        <v>8</v>
      </c>
      <c r="AD293" s="27" t="s">
        <v>7</v>
      </c>
      <c r="AR293" s="27" t="s">
        <v>7</v>
      </c>
      <c r="AU293" s="27" t="s">
        <v>8</v>
      </c>
      <c r="AV293" s="27" t="s">
        <v>7</v>
      </c>
      <c r="AW293" s="27" t="s">
        <v>8</v>
      </c>
      <c r="AX293" s="27" t="s">
        <v>7</v>
      </c>
      <c r="AY293" s="27" t="s">
        <v>8</v>
      </c>
      <c r="BG293" s="31"/>
    </row>
    <row r="294" spans="1:63" x14ac:dyDescent="0.25">
      <c r="A294" s="30">
        <v>7.1742721991251604E-2</v>
      </c>
      <c r="B294"/>
      <c r="C294"/>
      <c r="D294"/>
      <c r="E294"/>
      <c r="AB294" s="27" t="s">
        <v>7</v>
      </c>
      <c r="AC294" s="27" t="s">
        <v>8</v>
      </c>
      <c r="AR294" s="27" t="s">
        <v>7</v>
      </c>
      <c r="AU294" s="27" t="s">
        <v>8</v>
      </c>
      <c r="AV294" s="27" t="s">
        <v>7</v>
      </c>
      <c r="AW294" s="27" t="s">
        <v>8</v>
      </c>
      <c r="AX294" s="27" t="s">
        <v>7</v>
      </c>
      <c r="BF294" s="31"/>
    </row>
    <row r="295" spans="1:63" x14ac:dyDescent="0.25">
      <c r="A295" s="30">
        <v>6.8326401896430078E-2</v>
      </c>
      <c r="B295"/>
      <c r="C295"/>
      <c r="D295"/>
      <c r="E295"/>
      <c r="AB295" s="27" t="s">
        <v>7</v>
      </c>
      <c r="AC295" s="27" t="s">
        <v>8</v>
      </c>
      <c r="AR295" s="27" t="s">
        <v>7</v>
      </c>
      <c r="AU295" s="27" t="s">
        <v>8</v>
      </c>
      <c r="AV295" s="27" t="s">
        <v>7</v>
      </c>
      <c r="AW295" s="27" t="s">
        <v>8</v>
      </c>
      <c r="BE295" s="31"/>
    </row>
    <row r="296" spans="1:63" x14ac:dyDescent="0.25">
      <c r="A296" s="30">
        <v>6.5072763710885759E-2</v>
      </c>
      <c r="B296"/>
      <c r="C296"/>
      <c r="D296"/>
      <c r="E296"/>
      <c r="AB296" s="27" t="s">
        <v>7</v>
      </c>
      <c r="AC296" s="27" t="s">
        <v>8</v>
      </c>
      <c r="AR296" s="27" t="s">
        <v>7</v>
      </c>
      <c r="AS296" s="27" t="s">
        <v>8</v>
      </c>
      <c r="AU296" s="27" t="s">
        <v>8</v>
      </c>
      <c r="AV296" s="27" t="s">
        <v>7</v>
      </c>
      <c r="AW296" s="27" t="s">
        <v>8</v>
      </c>
      <c r="BD296" s="31"/>
    </row>
    <row r="297" spans="1:63" x14ac:dyDescent="0.25">
      <c r="A297" s="30">
        <v>6.197406067703403E-2</v>
      </c>
      <c r="B297"/>
      <c r="C297"/>
      <c r="D297"/>
      <c r="E297"/>
      <c r="AB297" s="27" t="s">
        <v>7</v>
      </c>
      <c r="AC297" s="27" t="s">
        <v>8</v>
      </c>
      <c r="AR297" s="27" t="s">
        <v>7</v>
      </c>
      <c r="AS297" s="27" t="s">
        <v>8</v>
      </c>
      <c r="AT297" s="27" t="s">
        <v>7</v>
      </c>
      <c r="AU297" s="27" t="s">
        <v>8</v>
      </c>
      <c r="AV297" s="27" t="s">
        <v>7</v>
      </c>
      <c r="BC297" s="31"/>
    </row>
    <row r="298" spans="1:63" x14ac:dyDescent="0.25">
      <c r="A298" s="30">
        <v>5.9022914930508576E-2</v>
      </c>
      <c r="B298"/>
      <c r="C298"/>
      <c r="D298"/>
      <c r="E298"/>
      <c r="AB298" s="27" t="s">
        <v>7</v>
      </c>
      <c r="AC298" s="27" t="s">
        <v>8</v>
      </c>
      <c r="AR298" s="27" t="s">
        <v>7</v>
      </c>
      <c r="AS298" s="27" t="s">
        <v>8</v>
      </c>
      <c r="AT298" s="27" t="s">
        <v>7</v>
      </c>
      <c r="AU298" s="27" t="s">
        <v>8</v>
      </c>
      <c r="BB298" s="31"/>
    </row>
    <row r="299" spans="1:63" x14ac:dyDescent="0.25">
      <c r="A299" s="30">
        <v>5.6212299933817669E-2</v>
      </c>
      <c r="B299"/>
      <c r="C299"/>
      <c r="D299"/>
      <c r="E299"/>
      <c r="AB299" s="27" t="s">
        <v>7</v>
      </c>
      <c r="AC299" s="27" t="s">
        <v>8</v>
      </c>
      <c r="AR299" s="27" t="s">
        <v>7</v>
      </c>
      <c r="AS299" s="27" t="s">
        <v>8</v>
      </c>
      <c r="AT299" s="27" t="s">
        <v>7</v>
      </c>
      <c r="AU299" s="27" t="s">
        <v>8</v>
      </c>
      <c r="BA299" s="31"/>
    </row>
    <row r="300" spans="1:63" x14ac:dyDescent="0.25">
      <c r="A300" s="30">
        <v>5.3535523746492994E-2</v>
      </c>
      <c r="B300"/>
      <c r="C300"/>
      <c r="D300"/>
      <c r="E300"/>
      <c r="AB300" s="27" t="s">
        <v>7</v>
      </c>
      <c r="AR300" s="27" t="s">
        <v>7</v>
      </c>
      <c r="AS300" s="27" t="s">
        <v>8</v>
      </c>
      <c r="AT300" s="27" t="s">
        <v>7</v>
      </c>
      <c r="AU300" s="27" t="s">
        <v>8</v>
      </c>
      <c r="AZ300" s="31"/>
    </row>
    <row r="301" spans="1:63" x14ac:dyDescent="0.25">
      <c r="A301" s="30">
        <v>5.0986213091898068E-2</v>
      </c>
      <c r="B301"/>
      <c r="C301"/>
      <c r="D301"/>
      <c r="E301"/>
      <c r="AR301" s="27" t="s">
        <v>7</v>
      </c>
      <c r="AS301" s="27" t="s">
        <v>8</v>
      </c>
      <c r="AT301" s="27" t="s">
        <v>7</v>
      </c>
      <c r="AU301" s="27" t="s">
        <v>8</v>
      </c>
      <c r="AY301" s="31"/>
    </row>
    <row r="302" spans="1:63" x14ac:dyDescent="0.25">
      <c r="A302" s="30">
        <v>4.8558298182760043E-2</v>
      </c>
      <c r="B302"/>
      <c r="C302"/>
      <c r="D302"/>
      <c r="E302"/>
      <c r="AR302" s="27" t="s">
        <v>7</v>
      </c>
      <c r="AS302" s="27" t="s">
        <v>8</v>
      </c>
      <c r="AT302" s="27" t="s">
        <v>7</v>
      </c>
      <c r="AX302" s="31"/>
    </row>
    <row r="303" spans="1:63" x14ac:dyDescent="0.25">
      <c r="A303" s="30">
        <v>4.6245998269295263E-2</v>
      </c>
      <c r="B303"/>
      <c r="C303"/>
      <c r="D303"/>
      <c r="E303"/>
      <c r="AR303" s="27" t="s">
        <v>7</v>
      </c>
      <c r="AS303" s="27" t="s">
        <v>8</v>
      </c>
      <c r="AW303" s="31"/>
    </row>
    <row r="304" spans="1:63" x14ac:dyDescent="0.25">
      <c r="A304" s="30">
        <v>4.4043807875519279E-2</v>
      </c>
      <c r="B304"/>
      <c r="C304"/>
      <c r="D304"/>
      <c r="E304"/>
      <c r="AR304" s="27" t="s">
        <v>7</v>
      </c>
      <c r="AS304" s="27" t="s">
        <v>8</v>
      </c>
      <c r="AV304" s="31"/>
    </row>
    <row r="305" spans="1:47" x14ac:dyDescent="0.25">
      <c r="A305" s="30">
        <v>4.1946483690970725E-2</v>
      </c>
      <c r="B305"/>
      <c r="C305"/>
      <c r="D305"/>
      <c r="E305"/>
      <c r="AR305" s="27" t="s">
        <v>7</v>
      </c>
      <c r="AS305" s="27" t="s">
        <v>8</v>
      </c>
      <c r="AU305" s="31"/>
    </row>
    <row r="306" spans="1:47" x14ac:dyDescent="0.25">
      <c r="A306" s="30">
        <v>3.9949032086638768E-2</v>
      </c>
      <c r="B306"/>
      <c r="C306"/>
      <c r="D306"/>
      <c r="E306"/>
      <c r="AR306" s="27" t="s">
        <v>7</v>
      </c>
      <c r="AS306" s="27" t="s">
        <v>8</v>
      </c>
      <c r="AT306" s="31"/>
    </row>
    <row r="307" spans="1:47" x14ac:dyDescent="0.25">
      <c r="A307" s="30">
        <v>3.8046697225370241E-2</v>
      </c>
      <c r="B307"/>
      <c r="C307"/>
      <c r="D307"/>
      <c r="E307"/>
      <c r="AR307" s="27" t="s">
        <v>7</v>
      </c>
      <c r="AS307" s="31" t="s">
        <v>8</v>
      </c>
    </row>
    <row r="308" spans="1:47" x14ac:dyDescent="0.25">
      <c r="A308" s="30">
        <v>3.6234949738447833E-2</v>
      </c>
      <c r="B308"/>
      <c r="C308"/>
      <c r="D308"/>
      <c r="E308"/>
      <c r="AR308" s="31" t="s">
        <v>7</v>
      </c>
    </row>
    <row r="309" spans="1:47" x14ac:dyDescent="0.25">
      <c r="A309" s="30">
        <v>3.4509475941378875E-2</v>
      </c>
      <c r="B309"/>
      <c r="C309"/>
      <c r="D309"/>
      <c r="E309"/>
    </row>
    <row r="310" spans="1:47" x14ac:dyDescent="0.25">
      <c r="A310" s="30">
        <v>3.286616756321796E-2</v>
      </c>
      <c r="B310"/>
      <c r="C310"/>
      <c r="D310"/>
      <c r="E310"/>
    </row>
    <row r="311" spans="1:47" x14ac:dyDescent="0.25">
      <c r="A311" s="30">
        <v>3.1301111964969472E-2</v>
      </c>
      <c r="B311"/>
      <c r="C311"/>
      <c r="D311"/>
      <c r="E311"/>
    </row>
    <row r="312" spans="1:47" x14ac:dyDescent="0.25">
      <c r="A312" s="30">
        <v>2.9810582823780438E-2</v>
      </c>
      <c r="B312"/>
      <c r="C312"/>
      <c r="D312"/>
      <c r="E312"/>
    </row>
    <row r="313" spans="1:47" x14ac:dyDescent="0.25">
      <c r="A313" s="30">
        <v>2.8391031260743264E-2</v>
      </c>
      <c r="B313"/>
      <c r="C313"/>
      <c r="D313"/>
      <c r="E313"/>
    </row>
    <row r="314" spans="1:47" x14ac:dyDescent="0.25">
      <c r="A314" s="30">
        <v>2.7039077391184052E-2</v>
      </c>
      <c r="B314"/>
      <c r="C314"/>
      <c r="D314"/>
      <c r="E314"/>
    </row>
    <row r="315" spans="1:47" x14ac:dyDescent="0.25">
      <c r="A315" s="30">
        <v>2.5751502277318133E-2</v>
      </c>
      <c r="B315"/>
      <c r="C315"/>
      <c r="D315"/>
      <c r="E315"/>
    </row>
    <row r="316" spans="1:47" x14ac:dyDescent="0.25">
      <c r="A316" s="30">
        <v>2.4525240264112496E-2</v>
      </c>
      <c r="B316"/>
      <c r="C316"/>
      <c r="D316"/>
      <c r="E316"/>
    </row>
    <row r="317" spans="1:47" x14ac:dyDescent="0.25">
      <c r="A317" s="30">
        <v>2.3357371680107129E-2</v>
      </c>
      <c r="B317"/>
      <c r="C317"/>
      <c r="D317"/>
      <c r="E317"/>
    </row>
    <row r="318" spans="1:47" x14ac:dyDescent="0.25">
      <c r="A318" s="30">
        <v>2.2245115885816305E-2</v>
      </c>
      <c r="B318"/>
      <c r="C318"/>
      <c r="D318"/>
      <c r="E318"/>
    </row>
    <row r="319" spans="1:47" x14ac:dyDescent="0.25">
      <c r="A319" s="30">
        <v>2.1185824653158377E-2</v>
      </c>
      <c r="B319"/>
      <c r="C319"/>
      <c r="D319"/>
      <c r="E319"/>
    </row>
    <row r="320" spans="1:47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44" operator="equal">
      <formula>$U$1</formula>
    </cfRule>
    <cfRule type="cellIs" dxfId="67" priority="1445" operator="equal">
      <formula>$S$1</formula>
    </cfRule>
  </conditionalFormatting>
  <conditionalFormatting sqref="D136">
    <cfRule type="cellIs" dxfId="66" priority="1442" operator="equal">
      <formula>$S$1</formula>
    </cfRule>
    <cfRule type="cellIs" dxfId="65" priority="1443" operator="equal">
      <formula>$U$1</formula>
    </cfRule>
  </conditionalFormatting>
  <conditionalFormatting sqref="C162">
    <cfRule type="cellIs" dxfId="64" priority="1440" operator="equal">
      <formula>$U$1</formula>
    </cfRule>
    <cfRule type="cellIs" dxfId="63" priority="1441" operator="equal">
      <formula>$S$1</formula>
    </cfRule>
  </conditionalFormatting>
  <conditionalFormatting sqref="D162">
    <cfRule type="cellIs" dxfId="62" priority="1438" operator="equal">
      <formula>$S$1</formula>
    </cfRule>
    <cfRule type="cellIs" dxfId="61" priority="1439" operator="equal">
      <formula>$U$1</formula>
    </cfRule>
  </conditionalFormatting>
  <conditionalFormatting sqref="C187">
    <cfRule type="cellIs" dxfId="60" priority="1436" operator="equal">
      <formula>$U$1</formula>
    </cfRule>
    <cfRule type="cellIs" dxfId="59" priority="1437" operator="equal">
      <formula>$S$1</formula>
    </cfRule>
  </conditionalFormatting>
  <conditionalFormatting sqref="D187">
    <cfRule type="cellIs" dxfId="58" priority="1434" operator="equal">
      <formula>$S$1</formula>
    </cfRule>
    <cfRule type="cellIs" dxfId="57" priority="1435" operator="equal">
      <formula>$U$1</formula>
    </cfRule>
  </conditionalFormatting>
  <conditionalFormatting sqref="C212">
    <cfRule type="cellIs" dxfId="56" priority="1432" operator="equal">
      <formula>$U$1</formula>
    </cfRule>
    <cfRule type="cellIs" dxfId="55" priority="1433" operator="equal">
      <formula>$S$1</formula>
    </cfRule>
  </conditionalFormatting>
  <conditionalFormatting sqref="D212">
    <cfRule type="cellIs" dxfId="54" priority="1430" operator="equal">
      <formula>$S$1</formula>
    </cfRule>
    <cfRule type="cellIs" dxfId="53" priority="1431" operator="equal">
      <formula>$U$1</formula>
    </cfRule>
  </conditionalFormatting>
  <conditionalFormatting sqref="C237">
    <cfRule type="cellIs" dxfId="52" priority="1428" operator="equal">
      <formula>$U$1</formula>
    </cfRule>
    <cfRule type="cellIs" dxfId="51" priority="1429" operator="equal">
      <formula>$S$1</formula>
    </cfRule>
  </conditionalFormatting>
  <conditionalFormatting sqref="D237">
    <cfRule type="cellIs" dxfId="50" priority="1426" operator="equal">
      <formula>$S$1</formula>
    </cfRule>
    <cfRule type="cellIs" dxfId="49" priority="1427" operator="equal">
      <formula>$U$1</formula>
    </cfRule>
  </conditionalFormatting>
  <conditionalFormatting sqref="C106">
    <cfRule type="cellIs" dxfId="48" priority="1424" operator="equal">
      <formula>$U$1</formula>
    </cfRule>
    <cfRule type="cellIs" dxfId="47" priority="1425" operator="equal">
      <formula>$S$1</formula>
    </cfRule>
  </conditionalFormatting>
  <conditionalFormatting sqref="D106">
    <cfRule type="cellIs" dxfId="46" priority="1422" operator="equal">
      <formula>$S$1</formula>
    </cfRule>
    <cfRule type="cellIs" dxfId="45" priority="1423" operator="equal">
      <formula>$U$1</formula>
    </cfRule>
  </conditionalFormatting>
  <conditionalFormatting sqref="C81">
    <cfRule type="cellIs" dxfId="44" priority="1420" operator="equal">
      <formula>$U$1</formula>
    </cfRule>
    <cfRule type="cellIs" dxfId="43" priority="1421" operator="equal">
      <formula>$S$1</formula>
    </cfRule>
  </conditionalFormatting>
  <conditionalFormatting sqref="D81">
    <cfRule type="cellIs" dxfId="42" priority="1418" operator="equal">
      <formula>$S$1</formula>
    </cfRule>
    <cfRule type="cellIs" dxfId="41" priority="1419" operator="equal">
      <formula>$U$1</formula>
    </cfRule>
  </conditionalFormatting>
  <conditionalFormatting sqref="C56">
    <cfRule type="cellIs" dxfId="40" priority="1416" operator="equal">
      <formula>$U$1</formula>
    </cfRule>
    <cfRule type="cellIs" dxfId="39" priority="1417" operator="equal">
      <formula>$S$1</formula>
    </cfRule>
  </conditionalFormatting>
  <conditionalFormatting sqref="D56">
    <cfRule type="cellIs" dxfId="38" priority="1414" operator="equal">
      <formula>$S$1</formula>
    </cfRule>
    <cfRule type="cellIs" dxfId="37" priority="1415" operator="equal">
      <formula>$U$1</formula>
    </cfRule>
  </conditionalFormatting>
  <conditionalFormatting sqref="C31">
    <cfRule type="cellIs" dxfId="36" priority="1412" operator="equal">
      <formula>$U$1</formula>
    </cfRule>
    <cfRule type="cellIs" dxfId="35" priority="1413" operator="equal">
      <formula>$S$1</formula>
    </cfRule>
  </conditionalFormatting>
  <conditionalFormatting sqref="D31">
    <cfRule type="cellIs" dxfId="34" priority="1410" operator="equal">
      <formula>$S$1</formula>
    </cfRule>
    <cfRule type="cellIs" dxfId="33" priority="141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1" zoomScale="90" zoomScaleNormal="90" workbookViewId="0">
      <pane xSplit="4" topLeftCell="G1" activePane="topRight" state="frozen"/>
      <selection activeCell="A109" sqref="A109"/>
      <selection pane="topRight" activeCell="BD112" sqref="BD11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0" x14ac:dyDescent="0.25">
      <c r="A81" s="30">
        <v>45.259255568176073</v>
      </c>
      <c r="E81"/>
    </row>
    <row r="82" spans="1:40" x14ac:dyDescent="0.25">
      <c r="A82" s="30">
        <v>41.144777789250973</v>
      </c>
      <c r="E82"/>
    </row>
    <row r="83" spans="1:40" x14ac:dyDescent="0.25">
      <c r="A83" s="30">
        <v>37.404343444773609</v>
      </c>
      <c r="E83"/>
    </row>
    <row r="84" spans="1:40" x14ac:dyDescent="0.25">
      <c r="A84" s="30">
        <v>34.003948586157826</v>
      </c>
      <c r="E84"/>
    </row>
    <row r="85" spans="1:40" x14ac:dyDescent="0.25">
      <c r="A85" s="30">
        <v>30.912680532870748</v>
      </c>
      <c r="E85"/>
    </row>
    <row r="86" spans="1:40" x14ac:dyDescent="0.25">
      <c r="A86" s="30">
        <v>28.102436848064315</v>
      </c>
      <c r="E86"/>
    </row>
    <row r="87" spans="1:40" x14ac:dyDescent="0.25">
      <c r="A87" s="30">
        <v>25.547669861876649</v>
      </c>
      <c r="E87"/>
    </row>
    <row r="88" spans="1:40" x14ac:dyDescent="0.25">
      <c r="A88" s="30">
        <v>23.225154419887861</v>
      </c>
      <c r="E88"/>
    </row>
    <row r="89" spans="1:40" x14ac:dyDescent="0.25">
      <c r="A89" s="30">
        <v>21.113776745352599</v>
      </c>
      <c r="E89"/>
    </row>
    <row r="90" spans="1:40" x14ac:dyDescent="0.25">
      <c r="A90" s="30">
        <v>19.194342495775089</v>
      </c>
      <c r="E90"/>
    </row>
    <row r="91" spans="1:40" x14ac:dyDescent="0.25">
      <c r="A91" s="30">
        <v>17.449402268886445</v>
      </c>
      <c r="E91"/>
    </row>
    <row r="92" spans="1:40" x14ac:dyDescent="0.25">
      <c r="A92" s="30">
        <v>15.863092971714948</v>
      </c>
      <c r="C92" s="1" t="s">
        <v>15</v>
      </c>
      <c r="E92"/>
      <c r="AI92" s="27" t="s">
        <v>8</v>
      </c>
    </row>
    <row r="93" spans="1:40" x14ac:dyDescent="0.25">
      <c r="A93" s="30">
        <v>14.420993610649951</v>
      </c>
      <c r="C93" s="7">
        <v>0.11167815779424731</v>
      </c>
      <c r="D93"/>
      <c r="E93"/>
      <c r="AG93" s="27" t="s">
        <v>8</v>
      </c>
      <c r="AI93" s="27" t="s">
        <v>8</v>
      </c>
      <c r="AJ93" s="27" t="s">
        <v>7</v>
      </c>
    </row>
    <row r="94" spans="1:40" x14ac:dyDescent="0.25">
      <c r="A94" s="30">
        <v>13.109994191499954</v>
      </c>
      <c r="E94"/>
      <c r="AG94" s="27" t="s">
        <v>8</v>
      </c>
      <c r="AH94" s="27" t="s">
        <v>7</v>
      </c>
      <c r="AI94" s="27" t="s">
        <v>8</v>
      </c>
      <c r="AJ94" s="27" t="s">
        <v>7</v>
      </c>
      <c r="AM94" s="34" t="s">
        <v>8</v>
      </c>
    </row>
    <row r="95" spans="1:40" x14ac:dyDescent="0.25">
      <c r="A95" s="30">
        <v>11.918176537727231</v>
      </c>
      <c r="C95" s="1" t="s">
        <v>11</v>
      </c>
      <c r="D95" s="1" t="s">
        <v>12</v>
      </c>
      <c r="E95"/>
      <c r="AG95" s="27" t="s">
        <v>8</v>
      </c>
      <c r="AH95" s="27" t="s">
        <v>7</v>
      </c>
      <c r="AI95" s="27" t="s">
        <v>8</v>
      </c>
      <c r="AJ95" s="27" t="s">
        <v>7</v>
      </c>
      <c r="AK95" s="27" t="s">
        <v>8</v>
      </c>
      <c r="AM95" s="27" t="s">
        <v>8</v>
      </c>
      <c r="AN95" s="27" t="s">
        <v>7</v>
      </c>
    </row>
    <row r="96" spans="1:40" x14ac:dyDescent="0.25">
      <c r="A96" s="30">
        <v>10.834705943388391</v>
      </c>
      <c r="C96"/>
      <c r="D96"/>
      <c r="E96"/>
      <c r="AG96" s="27" t="s">
        <v>8</v>
      </c>
      <c r="AH96" s="27" t="s">
        <v>7</v>
      </c>
      <c r="AJ96" s="27" t="s">
        <v>7</v>
      </c>
      <c r="AK96" s="27" t="s">
        <v>8</v>
      </c>
      <c r="AL96" s="27" t="s">
        <v>7</v>
      </c>
      <c r="AM96" s="27" t="s">
        <v>8</v>
      </c>
      <c r="AN96" s="27" t="s">
        <v>7</v>
      </c>
    </row>
    <row r="97" spans="1:56" x14ac:dyDescent="0.25">
      <c r="A97" s="30">
        <v>9.849732675807628</v>
      </c>
      <c r="E97"/>
      <c r="AG97" s="27" t="s">
        <v>8</v>
      </c>
      <c r="AJ97" s="33" t="s">
        <v>7</v>
      </c>
      <c r="AK97" s="27" t="s">
        <v>8</v>
      </c>
      <c r="AL97" s="27" t="s">
        <v>7</v>
      </c>
      <c r="AM97" s="27" t="s">
        <v>8</v>
      </c>
      <c r="AN97" s="27" t="s">
        <v>7</v>
      </c>
      <c r="AS97" s="32" t="s">
        <v>8</v>
      </c>
      <c r="AU97" s="32" t="s">
        <v>8</v>
      </c>
    </row>
    <row r="98" spans="1:56" x14ac:dyDescent="0.25">
      <c r="A98" s="30">
        <v>8.9543024325523888</v>
      </c>
      <c r="C98" s="1" t="s">
        <v>13</v>
      </c>
      <c r="E98"/>
      <c r="AG98" s="27" t="s">
        <v>8</v>
      </c>
      <c r="AJ98" s="27" t="s">
        <v>7</v>
      </c>
      <c r="AL98" s="27" t="s">
        <v>7</v>
      </c>
      <c r="AM98" s="27" t="s">
        <v>8</v>
      </c>
      <c r="AN98" s="27" t="s">
        <v>7</v>
      </c>
      <c r="AS98" s="34" t="s">
        <v>8</v>
      </c>
      <c r="AT98" s="27" t="s">
        <v>7</v>
      </c>
      <c r="AU98" s="27" t="s">
        <v>8</v>
      </c>
      <c r="AV98" s="31" t="s">
        <v>7</v>
      </c>
      <c r="AY98" s="27" t="s">
        <v>8</v>
      </c>
    </row>
    <row r="99" spans="1:56" x14ac:dyDescent="0.25">
      <c r="A99" s="30">
        <v>8.140274938683989</v>
      </c>
      <c r="C99" s="1">
        <f>C88</f>
        <v>0</v>
      </c>
      <c r="E99"/>
      <c r="AG99" s="27" t="s">
        <v>8</v>
      </c>
      <c r="AL99" s="27" t="s">
        <v>7</v>
      </c>
      <c r="AM99" s="27" t="s">
        <v>8</v>
      </c>
      <c r="AN99" s="27" t="s">
        <v>7</v>
      </c>
      <c r="AO99" s="32" t="s">
        <v>8</v>
      </c>
      <c r="AQ99" s="32" t="s">
        <v>8</v>
      </c>
      <c r="AS99" s="27" t="s">
        <v>8</v>
      </c>
      <c r="AT99" s="27" t="s">
        <v>7</v>
      </c>
      <c r="AU99" s="27" t="s">
        <v>8</v>
      </c>
      <c r="AV99" s="27" t="s">
        <v>7</v>
      </c>
      <c r="AW99" s="31"/>
      <c r="AY99" s="27" t="s">
        <v>8</v>
      </c>
      <c r="AZ99" s="27" t="s">
        <v>7</v>
      </c>
      <c r="BA99" s="27" t="s">
        <v>8</v>
      </c>
    </row>
    <row r="100" spans="1:56" x14ac:dyDescent="0.25">
      <c r="A100" s="30">
        <v>7.4002499442581717</v>
      </c>
      <c r="C100"/>
      <c r="D100"/>
      <c r="E100"/>
      <c r="AG100" s="27" t="s">
        <v>8</v>
      </c>
      <c r="AL100" s="27" t="s">
        <v>7</v>
      </c>
      <c r="AN100" s="27" t="s">
        <v>7</v>
      </c>
      <c r="AO100" s="27" t="s">
        <v>8</v>
      </c>
      <c r="AP100" s="27" t="s">
        <v>7</v>
      </c>
      <c r="AQ100" s="27" t="s">
        <v>8</v>
      </c>
      <c r="AR100" s="27" t="s">
        <v>7</v>
      </c>
      <c r="AS100" s="27" t="s">
        <v>8</v>
      </c>
      <c r="AT100" s="27" t="s">
        <v>7</v>
      </c>
      <c r="AV100" s="27" t="s">
        <v>7</v>
      </c>
      <c r="AW100" s="27" t="s">
        <v>8</v>
      </c>
      <c r="AX100" s="31"/>
      <c r="AY100" s="27" t="s">
        <v>8</v>
      </c>
      <c r="AZ100" s="27" t="s">
        <v>7</v>
      </c>
      <c r="BA100" s="27" t="s">
        <v>8</v>
      </c>
      <c r="BB100" s="27" t="s">
        <v>7</v>
      </c>
    </row>
    <row r="101" spans="1:56" x14ac:dyDescent="0.25">
      <c r="A101" s="30">
        <v>6.72749994932561</v>
      </c>
      <c r="C101" s="1" t="s">
        <v>14</v>
      </c>
      <c r="E101"/>
      <c r="AG101" s="27" t="s">
        <v>8</v>
      </c>
      <c r="AN101" s="33" t="s">
        <v>7</v>
      </c>
      <c r="AO101" s="27" t="s">
        <v>8</v>
      </c>
      <c r="AP101" s="27" t="s">
        <v>7</v>
      </c>
      <c r="AQ101" s="27" t="s">
        <v>8</v>
      </c>
      <c r="AR101" s="27" t="s">
        <v>7</v>
      </c>
      <c r="AS101" s="27" t="s">
        <v>8</v>
      </c>
      <c r="AV101" s="33" t="s">
        <v>7</v>
      </c>
      <c r="AW101" s="27" t="s">
        <v>8</v>
      </c>
      <c r="AX101" s="27" t="s">
        <v>7</v>
      </c>
      <c r="AY101" s="31" t="s">
        <v>8</v>
      </c>
      <c r="AZ101" s="27" t="s">
        <v>7</v>
      </c>
      <c r="BA101" s="27" t="s">
        <v>8</v>
      </c>
      <c r="BB101" s="27" t="s">
        <v>7</v>
      </c>
    </row>
    <row r="102" spans="1:5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G102" s="27" t="s">
        <v>8</v>
      </c>
      <c r="AN102" s="27" t="s">
        <v>7</v>
      </c>
      <c r="AO102" s="27" t="s">
        <v>8</v>
      </c>
      <c r="AP102" s="27" t="s">
        <v>7</v>
      </c>
      <c r="AQ102" s="27" t="s">
        <v>8</v>
      </c>
      <c r="AR102" s="27" t="s">
        <v>7</v>
      </c>
      <c r="AV102" s="27" t="s">
        <v>7</v>
      </c>
      <c r="AW102" s="27" t="s">
        <v>8</v>
      </c>
      <c r="AX102" s="27" t="s">
        <v>7</v>
      </c>
      <c r="AY102" s="27" t="s">
        <v>8</v>
      </c>
      <c r="AZ102" s="19" t="s">
        <v>7</v>
      </c>
      <c r="BA102" s="27" t="s">
        <v>8</v>
      </c>
      <c r="BB102" s="27" t="s">
        <v>7</v>
      </c>
      <c r="BC102" s="31"/>
    </row>
    <row r="103" spans="1:56" x14ac:dyDescent="0.25">
      <c r="A103" s="30">
        <v>5.5599173134922388</v>
      </c>
      <c r="E103"/>
      <c r="AG103" s="27" t="s">
        <v>8</v>
      </c>
      <c r="AN103" s="27" t="s">
        <v>7</v>
      </c>
      <c r="AO103" s="27" t="s">
        <v>8</v>
      </c>
      <c r="AP103" s="27" t="s">
        <v>7</v>
      </c>
      <c r="AQ103" s="27" t="s">
        <v>8</v>
      </c>
      <c r="AV103" s="27" t="s">
        <v>7</v>
      </c>
      <c r="AX103" s="27" t="s">
        <v>7</v>
      </c>
      <c r="AY103" s="27" t="s">
        <v>8</v>
      </c>
      <c r="AZ103" s="27" t="s">
        <v>7</v>
      </c>
      <c r="BA103" s="19" t="s">
        <v>8</v>
      </c>
      <c r="BB103" s="31" t="s">
        <v>7</v>
      </c>
      <c r="BC103" s="27" t="s">
        <v>8</v>
      </c>
    </row>
    <row r="104" spans="1:56" x14ac:dyDescent="0.25">
      <c r="A104" s="30">
        <v>5.0544702849929442</v>
      </c>
      <c r="E104"/>
      <c r="AG104" s="27" t="s">
        <v>8</v>
      </c>
      <c r="AN104" s="27" t="s">
        <v>7</v>
      </c>
      <c r="AO104" s="27" t="s">
        <v>8</v>
      </c>
      <c r="AP104" s="27" t="s">
        <v>7</v>
      </c>
      <c r="AQ104" s="27" t="s">
        <v>8</v>
      </c>
      <c r="AX104" s="27" t="s">
        <v>7</v>
      </c>
      <c r="AY104" s="27" t="s">
        <v>8</v>
      </c>
      <c r="AZ104" s="27" t="s">
        <v>7</v>
      </c>
      <c r="BA104" s="31"/>
      <c r="BB104" s="27" t="s">
        <v>7</v>
      </c>
      <c r="BC104" s="27" t="s">
        <v>8</v>
      </c>
      <c r="BD104" s="27" t="s">
        <v>7</v>
      </c>
    </row>
    <row r="105" spans="1:56" x14ac:dyDescent="0.25">
      <c r="A105" s="30">
        <v>4.594972986357222</v>
      </c>
      <c r="E105"/>
      <c r="AG105" s="27" t="s">
        <v>8</v>
      </c>
      <c r="AN105" s="27" t="s">
        <v>7</v>
      </c>
      <c r="AO105" s="27" t="s">
        <v>8</v>
      </c>
      <c r="AP105" s="27" t="s">
        <v>7</v>
      </c>
      <c r="AX105" s="27" t="s">
        <v>7</v>
      </c>
      <c r="AY105" s="27" t="s">
        <v>8</v>
      </c>
      <c r="AZ105" s="31"/>
      <c r="BB105" s="27" t="s">
        <v>7</v>
      </c>
      <c r="BC105" s="27" t="s">
        <v>8</v>
      </c>
      <c r="BD105" s="27" t="s">
        <v>7</v>
      </c>
    </row>
    <row r="106" spans="1:56" x14ac:dyDescent="0.25">
      <c r="A106" s="30">
        <v>4.1772481694156562</v>
      </c>
      <c r="E106"/>
      <c r="AG106" s="27" t="s">
        <v>8</v>
      </c>
      <c r="AN106" s="27" t="s">
        <v>7</v>
      </c>
      <c r="AX106" s="18" t="s">
        <v>7</v>
      </c>
      <c r="AY106" s="31" t="s">
        <v>8</v>
      </c>
      <c r="BB106" s="27" t="s">
        <v>7</v>
      </c>
      <c r="BC106" s="27" t="s">
        <v>8</v>
      </c>
      <c r="BD106" s="27" t="s">
        <v>7</v>
      </c>
    </row>
    <row r="107" spans="1:56" x14ac:dyDescent="0.25">
      <c r="A107" s="30">
        <v>3.7974983358324148</v>
      </c>
      <c r="E107"/>
      <c r="AE107" s="27" t="s">
        <v>8</v>
      </c>
      <c r="AG107" s="27" t="s">
        <v>8</v>
      </c>
      <c r="AX107" s="31" t="s">
        <v>7</v>
      </c>
      <c r="BB107" s="27" t="s">
        <v>7</v>
      </c>
      <c r="BD107" s="27" t="s">
        <v>7</v>
      </c>
    </row>
    <row r="108" spans="1:56" x14ac:dyDescent="0.25">
      <c r="A108" s="30">
        <v>3.4522712143931042</v>
      </c>
      <c r="E108"/>
      <c r="AE108" s="27" t="s">
        <v>8</v>
      </c>
      <c r="AF108" s="27" t="s">
        <v>7</v>
      </c>
      <c r="AG108" s="27" t="s">
        <v>8</v>
      </c>
      <c r="BD108" s="27" t="s">
        <v>7</v>
      </c>
    </row>
    <row r="109" spans="1:56" x14ac:dyDescent="0.25">
      <c r="A109" s="30">
        <v>3.1384283767210035</v>
      </c>
      <c r="E109"/>
      <c r="AE109" s="27" t="s">
        <v>8</v>
      </c>
      <c r="AF109" s="27" t="s">
        <v>7</v>
      </c>
      <c r="AG109" s="27" t="s">
        <v>8</v>
      </c>
      <c r="BD109" s="27" t="s">
        <v>7</v>
      </c>
    </row>
    <row r="110" spans="1:56" x14ac:dyDescent="0.25">
      <c r="A110" s="30">
        <v>2.8531167061100029</v>
      </c>
      <c r="E110"/>
      <c r="AE110" s="27" t="s">
        <v>8</v>
      </c>
      <c r="AF110" s="27" t="s">
        <v>7</v>
      </c>
      <c r="BD110" s="27" t="s">
        <v>7</v>
      </c>
    </row>
    <row r="111" spans="1:56" x14ac:dyDescent="0.25">
      <c r="A111" s="30">
        <v>2.5937424601000023</v>
      </c>
      <c r="C111" s="1" t="str">
        <f>ADDRESS(C121-1,1,1,1)</f>
        <v>$A$111</v>
      </c>
      <c r="D111" s="1" t="str">
        <f>ADDRESS(C121-1,D121,1,1)</f>
        <v>$BD$111</v>
      </c>
      <c r="E111"/>
      <c r="AE111" s="27" t="s">
        <v>8</v>
      </c>
      <c r="BD111" s="27" t="s">
        <v>7</v>
      </c>
    </row>
    <row r="112" spans="1:56" x14ac:dyDescent="0.25">
      <c r="A112" s="30">
        <v>2.3579476910000019</v>
      </c>
      <c r="C112" s="1" t="str">
        <f>ADDRESS(C121,1,1,1)</f>
        <v>$A$112</v>
      </c>
      <c r="D112" s="1" t="str">
        <f>ADDRESS(C121,D121-1,1,1)</f>
        <v>$BC$112</v>
      </c>
      <c r="E112"/>
      <c r="AA112" s="27" t="s">
        <v>8</v>
      </c>
      <c r="AE112" s="27" t="s">
        <v>8</v>
      </c>
      <c r="BD112" s="27" t="s">
        <v>7</v>
      </c>
    </row>
    <row r="113" spans="1:57" x14ac:dyDescent="0.25">
      <c r="A113" s="30">
        <v>2.1435888100000016</v>
      </c>
      <c r="C113" s="1" t="str">
        <f>ADDRESS(C121+1,1,1,1)</f>
        <v>$A$113</v>
      </c>
      <c r="D113" s="1" t="str">
        <f>ADDRESS(C121-1,D121+1,1,1)</f>
        <v>$BE$111</v>
      </c>
      <c r="AA113" s="27" t="s">
        <v>8</v>
      </c>
      <c r="AB113" s="27" t="s">
        <v>7</v>
      </c>
      <c r="AC113" s="27" t="s">
        <v>8</v>
      </c>
      <c r="AE113" s="27" t="s">
        <v>8</v>
      </c>
    </row>
    <row r="114" spans="1:57" x14ac:dyDescent="0.25">
      <c r="A114" s="30">
        <v>1.9487171000000014</v>
      </c>
      <c r="C114" s="1" t="str">
        <f>ADDRESS(C121,D121,1,1)</f>
        <v>$BD$112</v>
      </c>
      <c r="D114" s="1" t="str">
        <f>ADDRESS(C121+1,D121+1,1,1)</f>
        <v>$BE$113</v>
      </c>
      <c r="AA114" s="27" t="s">
        <v>8</v>
      </c>
      <c r="AB114" s="27" t="s">
        <v>7</v>
      </c>
      <c r="AC114" s="27" t="s">
        <v>8</v>
      </c>
      <c r="AD114" s="27" t="s">
        <v>7</v>
      </c>
      <c r="AE114" s="27" t="s">
        <v>8</v>
      </c>
    </row>
    <row r="115" spans="1:57" x14ac:dyDescent="0.25">
      <c r="A115" s="30">
        <v>1.7715610000000011</v>
      </c>
      <c r="C115" s="1" t="str">
        <f>ADDRESS(C121+1,D121,1,1)</f>
        <v>$BD$113</v>
      </c>
      <c r="AA115" s="27" t="s">
        <v>8</v>
      </c>
      <c r="AB115" s="27" t="s">
        <v>7</v>
      </c>
      <c r="AC115" s="27" t="s">
        <v>8</v>
      </c>
      <c r="AD115" s="27" t="s">
        <v>7</v>
      </c>
      <c r="AE115" s="27" t="s">
        <v>8</v>
      </c>
    </row>
    <row r="116" spans="1:57" x14ac:dyDescent="0.25">
      <c r="A116" s="30">
        <v>1.6105100000000008</v>
      </c>
      <c r="C116" s="1">
        <f>C117-1</f>
        <v>111</v>
      </c>
      <c r="AA116" s="27" t="s">
        <v>8</v>
      </c>
      <c r="AB116" s="27" t="s">
        <v>7</v>
      </c>
      <c r="AC116" s="27" t="s">
        <v>8</v>
      </c>
      <c r="AD116" s="27" t="s">
        <v>7</v>
      </c>
    </row>
    <row r="117" spans="1:57" x14ac:dyDescent="0.25">
      <c r="A117" s="30">
        <v>1.4641000000000006</v>
      </c>
      <c r="C117" s="1">
        <f>C121</f>
        <v>112</v>
      </c>
      <c r="D117" s="1">
        <f>D121</f>
        <v>56</v>
      </c>
      <c r="AA117" s="27" t="s">
        <v>8</v>
      </c>
      <c r="AB117" s="27" t="s">
        <v>7</v>
      </c>
      <c r="BE117" s="31"/>
    </row>
    <row r="118" spans="1:57" x14ac:dyDescent="0.25">
      <c r="A118" s="30">
        <v>1.3310000000000004</v>
      </c>
      <c r="C118" s="1">
        <f>C117+1</f>
        <v>113</v>
      </c>
      <c r="D118" s="1">
        <f>D117+1</f>
        <v>57</v>
      </c>
      <c r="AA118" s="27" t="s">
        <v>8</v>
      </c>
      <c r="BD118" s="31"/>
    </row>
    <row r="119" spans="1:57" x14ac:dyDescent="0.25">
      <c r="A119" s="30">
        <v>1.2100000000000002</v>
      </c>
      <c r="AA119" s="27" t="s">
        <v>8</v>
      </c>
      <c r="BC119" s="31"/>
    </row>
    <row r="120" spans="1:57" x14ac:dyDescent="0.25">
      <c r="A120" s="30">
        <v>1.1000000000000001</v>
      </c>
      <c r="C120" s="1" t="s">
        <v>9</v>
      </c>
      <c r="AA120" s="27" t="s">
        <v>8</v>
      </c>
      <c r="BB120" s="31"/>
    </row>
    <row r="121" spans="1:57" x14ac:dyDescent="0.25">
      <c r="A121" s="30">
        <v>1</v>
      </c>
      <c r="C121" s="18">
        <v>112</v>
      </c>
      <c r="D121" s="19">
        <v>56</v>
      </c>
      <c r="E121" s="18" t="s">
        <v>8</v>
      </c>
      <c r="AA121" s="27" t="s">
        <v>8</v>
      </c>
      <c r="BA121" s="31"/>
    </row>
    <row r="122" spans="1:57" x14ac:dyDescent="0.25">
      <c r="A122" s="30">
        <v>0.90909090909090895</v>
      </c>
      <c r="C122" s="1" t="str">
        <f>INDEX(1:1048576,C117,D117)</f>
        <v>O</v>
      </c>
      <c r="F122" s="27" t="s">
        <v>7</v>
      </c>
      <c r="AA122" s="27" t="s">
        <v>8</v>
      </c>
      <c r="AZ122" s="31"/>
    </row>
    <row r="123" spans="1:57" x14ac:dyDescent="0.25">
      <c r="A123" s="30">
        <v>0.82644628099173523</v>
      </c>
      <c r="C123" s="1" t="str">
        <f>"R"&amp;C121</f>
        <v>R112</v>
      </c>
      <c r="D123" s="1" t="str">
        <f>"C"&amp;D121</f>
        <v>C56</v>
      </c>
      <c r="F123" s="27" t="s">
        <v>7</v>
      </c>
      <c r="AA123" s="27" t="s">
        <v>8</v>
      </c>
      <c r="AY123" s="31"/>
    </row>
    <row r="124" spans="1:57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Y124" s="27" t="s">
        <v>8</v>
      </c>
      <c r="AA124" s="27" t="s">
        <v>8</v>
      </c>
      <c r="AX124" s="31"/>
    </row>
    <row r="125" spans="1:57" x14ac:dyDescent="0.25">
      <c r="A125" s="30">
        <v>0.68301345536507019</v>
      </c>
      <c r="F125" s="27" t="s">
        <v>7</v>
      </c>
      <c r="Y125" s="27" t="s">
        <v>8</v>
      </c>
      <c r="Z125" s="27" t="s">
        <v>7</v>
      </c>
      <c r="AA125" s="27" t="s">
        <v>8</v>
      </c>
      <c r="AW125" s="31"/>
    </row>
    <row r="126" spans="1:57" x14ac:dyDescent="0.25">
      <c r="A126" s="30">
        <v>0.6209213230591546</v>
      </c>
      <c r="C126" s="1" t="s">
        <v>10</v>
      </c>
      <c r="F126" s="27" t="s">
        <v>7</v>
      </c>
      <c r="Y126" s="27" t="s">
        <v>8</v>
      </c>
      <c r="Z126" s="27" t="s">
        <v>7</v>
      </c>
      <c r="AA126" s="27" t="s">
        <v>8</v>
      </c>
      <c r="AV126" s="31"/>
    </row>
    <row r="127" spans="1:57" x14ac:dyDescent="0.25">
      <c r="A127" s="30">
        <v>0.56447393005377677</v>
      </c>
      <c r="C127" s="30">
        <v>2.3579476910000019</v>
      </c>
      <c r="D127"/>
      <c r="F127" s="27" t="s">
        <v>7</v>
      </c>
      <c r="U127" s="32" t="s">
        <v>8</v>
      </c>
      <c r="W127" s="32" t="s">
        <v>8</v>
      </c>
      <c r="Y127" s="27" t="s">
        <v>8</v>
      </c>
      <c r="Z127" s="27" t="s">
        <v>7</v>
      </c>
      <c r="AU127" s="31"/>
    </row>
    <row r="128" spans="1:57" x14ac:dyDescent="0.25">
      <c r="A128" s="30">
        <v>0.51315811823070612</v>
      </c>
      <c r="F128" s="27" t="s">
        <v>7</v>
      </c>
      <c r="U128" s="27" t="s">
        <v>8</v>
      </c>
      <c r="V128" s="27" t="s">
        <v>7</v>
      </c>
      <c r="W128" s="27" t="s">
        <v>8</v>
      </c>
      <c r="X128" s="27" t="s">
        <v>7</v>
      </c>
      <c r="Y128" s="27" t="s">
        <v>8</v>
      </c>
      <c r="AT128" s="31"/>
    </row>
    <row r="129" spans="1:4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U129" s="27" t="s">
        <v>8</v>
      </c>
      <c r="V129" s="27" t="s">
        <v>7</v>
      </c>
      <c r="W129" s="27" t="s">
        <v>8</v>
      </c>
      <c r="X129" s="27" t="s">
        <v>7</v>
      </c>
      <c r="Y129" s="27" t="s">
        <v>8</v>
      </c>
      <c r="AS129" s="31"/>
    </row>
    <row r="130" spans="1:45" x14ac:dyDescent="0.25">
      <c r="A130" s="30">
        <v>0.42409761837248428</v>
      </c>
      <c r="C130" s="6"/>
      <c r="D130" s="6"/>
      <c r="E130"/>
      <c r="F130" s="27" t="s">
        <v>7</v>
      </c>
      <c r="U130" s="27" t="s">
        <v>8</v>
      </c>
      <c r="V130" s="27" t="s">
        <v>7</v>
      </c>
      <c r="W130" s="27" t="s">
        <v>8</v>
      </c>
      <c r="X130" s="27" t="s">
        <v>7</v>
      </c>
      <c r="Y130" s="27" t="s">
        <v>8</v>
      </c>
      <c r="AR130" s="31"/>
    </row>
    <row r="131" spans="1:45" x14ac:dyDescent="0.25">
      <c r="A131" s="30">
        <v>0.38554328942953109</v>
      </c>
      <c r="E131"/>
      <c r="F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AQ131" s="31"/>
    </row>
    <row r="132" spans="1:45" x14ac:dyDescent="0.25">
      <c r="A132" s="30">
        <v>0.35049389948139187</v>
      </c>
      <c r="C132" s="1" t="s">
        <v>13</v>
      </c>
      <c r="E132"/>
      <c r="F132" s="27" t="s">
        <v>7</v>
      </c>
      <c r="U132" s="27" t="s">
        <v>8</v>
      </c>
      <c r="V132" s="27" t="s">
        <v>7</v>
      </c>
      <c r="W132" s="27" t="s">
        <v>8</v>
      </c>
      <c r="AP132" s="31"/>
    </row>
    <row r="133" spans="1:45" x14ac:dyDescent="0.25">
      <c r="A133" s="30">
        <v>0.31863081771035617</v>
      </c>
      <c r="C133" s="1" t="str">
        <f>C122</f>
        <v>O</v>
      </c>
      <c r="E133"/>
      <c r="F133" s="27" t="s">
        <v>7</v>
      </c>
      <c r="U133" s="27" t="s">
        <v>8</v>
      </c>
      <c r="V133" s="27" t="s">
        <v>7</v>
      </c>
      <c r="W133" s="27" t="s">
        <v>8</v>
      </c>
      <c r="AO133" s="31"/>
    </row>
    <row r="134" spans="1:45" x14ac:dyDescent="0.25">
      <c r="A134" s="30">
        <v>0.28966437973668741</v>
      </c>
      <c r="C134"/>
      <c r="D134"/>
      <c r="E134"/>
      <c r="F134" s="27" t="s">
        <v>7</v>
      </c>
      <c r="U134" s="27" t="s">
        <v>8</v>
      </c>
      <c r="V134" s="27" t="s">
        <v>7</v>
      </c>
      <c r="W134" s="27" t="s">
        <v>8</v>
      </c>
      <c r="AN134" s="31"/>
    </row>
    <row r="135" spans="1:45" x14ac:dyDescent="0.25">
      <c r="A135" s="30">
        <v>0.2633312543060794</v>
      </c>
      <c r="C135" s="1" t="s">
        <v>14</v>
      </c>
      <c r="E135"/>
      <c r="F135" s="27" t="s">
        <v>7</v>
      </c>
      <c r="U135" s="27" t="s">
        <v>8</v>
      </c>
      <c r="V135" s="27" t="s">
        <v>7</v>
      </c>
      <c r="W135" s="27" t="s">
        <v>8</v>
      </c>
      <c r="AM135" s="31"/>
    </row>
    <row r="136" spans="1:4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U136" s="27" t="s">
        <v>8</v>
      </c>
      <c r="V136" s="27" t="s">
        <v>7</v>
      </c>
      <c r="W136" s="27" t="s">
        <v>8</v>
      </c>
      <c r="AL136" s="31"/>
    </row>
    <row r="137" spans="1:45" x14ac:dyDescent="0.25">
      <c r="A137" s="30">
        <v>0.2176291357901482</v>
      </c>
      <c r="E137"/>
      <c r="F137" s="27" t="s">
        <v>7</v>
      </c>
      <c r="U137" s="27" t="s">
        <v>8</v>
      </c>
      <c r="V137" s="27" t="s">
        <v>7</v>
      </c>
      <c r="W137" s="27" t="s">
        <v>8</v>
      </c>
      <c r="AK137" s="31"/>
    </row>
    <row r="138" spans="1:4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U138" s="27" t="s">
        <v>8</v>
      </c>
      <c r="V138" s="27" t="s">
        <v>7</v>
      </c>
      <c r="AJ138" s="31"/>
    </row>
    <row r="139" spans="1:45" x14ac:dyDescent="0.25">
      <c r="A139" s="30">
        <v>0.17985878990921333</v>
      </c>
      <c r="E139"/>
      <c r="F139" s="27" t="s">
        <v>7</v>
      </c>
      <c r="Q139" s="27" t="s">
        <v>8</v>
      </c>
      <c r="U139" s="27" t="s">
        <v>8</v>
      </c>
      <c r="AI139" s="31"/>
    </row>
    <row r="140" spans="1:45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Q140" s="27" t="s">
        <v>8</v>
      </c>
      <c r="R140" s="27" t="s">
        <v>7</v>
      </c>
      <c r="U140" s="27" t="s">
        <v>8</v>
      </c>
      <c r="AH140" s="31"/>
    </row>
    <row r="141" spans="1:45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Q141" s="27" t="s">
        <v>8</v>
      </c>
      <c r="R141" s="27" t="s">
        <v>7</v>
      </c>
      <c r="U141" s="27" t="s">
        <v>8</v>
      </c>
      <c r="AG141" s="31"/>
    </row>
    <row r="142" spans="1:45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M142" s="27" t="s">
        <v>8</v>
      </c>
      <c r="Q142" s="27" t="s">
        <v>8</v>
      </c>
      <c r="R142" s="27" t="s">
        <v>7</v>
      </c>
      <c r="U142" s="27" t="s">
        <v>8</v>
      </c>
      <c r="AF142" s="31"/>
    </row>
    <row r="143" spans="1:45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J143" s="27" t="s">
        <v>7</v>
      </c>
      <c r="M143" s="27" t="s">
        <v>8</v>
      </c>
      <c r="N143" s="27" t="s">
        <v>7</v>
      </c>
      <c r="O143" s="27" t="s">
        <v>8</v>
      </c>
      <c r="Q143" s="27" t="s">
        <v>8</v>
      </c>
      <c r="R143" s="27" t="s">
        <v>7</v>
      </c>
      <c r="U143" s="27" t="s">
        <v>8</v>
      </c>
      <c r="AE143" s="31"/>
    </row>
    <row r="144" spans="1:45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  <c r="J144" s="27" t="s">
        <v>7</v>
      </c>
      <c r="K144" s="27" t="s">
        <v>8</v>
      </c>
      <c r="M144" s="27" t="s">
        <v>8</v>
      </c>
      <c r="N144" s="27" t="s">
        <v>7</v>
      </c>
      <c r="O144" s="27" t="s">
        <v>8</v>
      </c>
      <c r="P144" s="27" t="s">
        <v>7</v>
      </c>
      <c r="Q144" s="27" t="s">
        <v>8</v>
      </c>
      <c r="R144" s="27" t="s">
        <v>7</v>
      </c>
      <c r="U144" s="27" t="s">
        <v>8</v>
      </c>
      <c r="AD144" s="31"/>
    </row>
    <row r="145" spans="1:29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  <c r="J145" s="27" t="s">
        <v>7</v>
      </c>
      <c r="K145" s="27" t="s">
        <v>8</v>
      </c>
      <c r="L145" s="27" t="s">
        <v>7</v>
      </c>
      <c r="M145" s="27" t="s">
        <v>8</v>
      </c>
      <c r="N145" s="27" t="s">
        <v>7</v>
      </c>
      <c r="O145" s="27" t="s">
        <v>8</v>
      </c>
      <c r="P145" s="27" t="s">
        <v>7</v>
      </c>
      <c r="Q145" s="27" t="s">
        <v>8</v>
      </c>
      <c r="R145" s="27" t="s">
        <v>7</v>
      </c>
      <c r="U145" s="27" t="s">
        <v>8</v>
      </c>
      <c r="AC145" s="31"/>
    </row>
    <row r="146" spans="1:29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  <c r="J146" s="27" t="s">
        <v>7</v>
      </c>
      <c r="K146" s="27" t="s">
        <v>8</v>
      </c>
      <c r="L146" s="27" t="s">
        <v>7</v>
      </c>
      <c r="M146" s="27" t="s">
        <v>8</v>
      </c>
      <c r="N146" s="27" t="s">
        <v>7</v>
      </c>
      <c r="P146" s="27" t="s">
        <v>7</v>
      </c>
      <c r="Q146" s="27" t="s">
        <v>8</v>
      </c>
      <c r="R146" s="27" t="s">
        <v>7</v>
      </c>
      <c r="U146" s="27" t="s">
        <v>8</v>
      </c>
      <c r="AB146" s="31"/>
    </row>
    <row r="147" spans="1:29" x14ac:dyDescent="0.25">
      <c r="A147" s="30">
        <v>8.3905452888239848E-2</v>
      </c>
      <c r="B147"/>
      <c r="C147"/>
      <c r="D147"/>
      <c r="E147"/>
      <c r="F147" s="27" t="s">
        <v>7</v>
      </c>
      <c r="J147" s="27" t="s">
        <v>7</v>
      </c>
      <c r="K147" s="27" t="s">
        <v>8</v>
      </c>
      <c r="L147" s="27" t="s">
        <v>7</v>
      </c>
      <c r="M147" s="27" t="s">
        <v>8</v>
      </c>
      <c r="P147" s="27" t="s">
        <v>7</v>
      </c>
      <c r="R147" s="27" t="s">
        <v>7</v>
      </c>
      <c r="S147" s="27" t="s">
        <v>8</v>
      </c>
      <c r="U147" s="27" t="s">
        <v>8</v>
      </c>
      <c r="AA147" s="31"/>
    </row>
    <row r="148" spans="1:29" x14ac:dyDescent="0.25">
      <c r="A148" s="30">
        <v>7.6277684443854396E-2</v>
      </c>
      <c r="B148"/>
      <c r="C148"/>
      <c r="D148"/>
      <c r="E148"/>
      <c r="J148" s="27" t="s">
        <v>7</v>
      </c>
      <c r="L148" s="27" t="s">
        <v>7</v>
      </c>
      <c r="M148" s="27" t="s">
        <v>8</v>
      </c>
      <c r="R148" s="27" t="s">
        <v>7</v>
      </c>
      <c r="S148" s="27" t="s">
        <v>8</v>
      </c>
      <c r="T148" s="27" t="s">
        <v>7</v>
      </c>
      <c r="U148" s="27" t="s">
        <v>8</v>
      </c>
      <c r="Z148" s="31"/>
    </row>
    <row r="149" spans="1:29" x14ac:dyDescent="0.25">
      <c r="A149" s="30">
        <v>6.9343349494413078E-2</v>
      </c>
      <c r="B149"/>
      <c r="C149"/>
      <c r="D149"/>
      <c r="E149"/>
      <c r="L149" s="27" t="s">
        <v>7</v>
      </c>
      <c r="M149" s="27" t="s">
        <v>8</v>
      </c>
      <c r="R149" s="27" t="s">
        <v>7</v>
      </c>
      <c r="S149" s="27" t="s">
        <v>8</v>
      </c>
      <c r="T149" s="27" t="s">
        <v>7</v>
      </c>
      <c r="U149" s="27" t="s">
        <v>8</v>
      </c>
      <c r="Y149" s="31"/>
    </row>
    <row r="150" spans="1:29" x14ac:dyDescent="0.25">
      <c r="A150" s="30">
        <v>6.3039408631284613E-2</v>
      </c>
      <c r="B150"/>
      <c r="C150"/>
      <c r="D150"/>
      <c r="E150"/>
      <c r="L150" s="27" t="s">
        <v>7</v>
      </c>
      <c r="M150" s="27" t="s">
        <v>8</v>
      </c>
      <c r="R150" s="27" t="s">
        <v>7</v>
      </c>
      <c r="S150" s="27" t="s">
        <v>8</v>
      </c>
      <c r="T150" s="27" t="s">
        <v>7</v>
      </c>
      <c r="X150" s="31"/>
    </row>
    <row r="151" spans="1:29" x14ac:dyDescent="0.25">
      <c r="A151" s="30">
        <v>5.7308553301167818E-2</v>
      </c>
      <c r="B151"/>
      <c r="C151"/>
      <c r="D151"/>
      <c r="E151"/>
      <c r="L151" s="27" t="s">
        <v>7</v>
      </c>
      <c r="R151" s="27" t="s">
        <v>7</v>
      </c>
      <c r="S151" s="27" t="s">
        <v>8</v>
      </c>
      <c r="W151" s="31"/>
    </row>
    <row r="152" spans="1:29" x14ac:dyDescent="0.25">
      <c r="A152" s="30">
        <v>5.2098684819243464E-2</v>
      </c>
      <c r="B152"/>
      <c r="C152"/>
      <c r="D152"/>
      <c r="E152"/>
      <c r="R152" s="27" t="s">
        <v>7</v>
      </c>
      <c r="S152" s="27" t="s">
        <v>8</v>
      </c>
      <c r="V152" s="31"/>
    </row>
    <row r="153" spans="1:29" x14ac:dyDescent="0.25">
      <c r="A153" s="30">
        <v>4.7362440744766775E-2</v>
      </c>
      <c r="B153"/>
      <c r="C153"/>
      <c r="D153"/>
      <c r="E153"/>
      <c r="R153" s="27" t="s">
        <v>7</v>
      </c>
      <c r="S153" s="27" t="s">
        <v>8</v>
      </c>
      <c r="U153" s="31"/>
    </row>
    <row r="154" spans="1:29" x14ac:dyDescent="0.25">
      <c r="A154" s="30">
        <v>4.3056764313424332E-2</v>
      </c>
      <c r="B154"/>
      <c r="C154"/>
      <c r="D154"/>
      <c r="E154"/>
      <c r="R154" s="27" t="s">
        <v>7</v>
      </c>
      <c r="S154" s="27" t="s">
        <v>8</v>
      </c>
      <c r="T154" s="31"/>
    </row>
    <row r="155" spans="1:29" x14ac:dyDescent="0.25">
      <c r="A155" s="30">
        <v>3.9142513012203929E-2</v>
      </c>
      <c r="B155"/>
      <c r="C155"/>
      <c r="D155"/>
      <c r="E155"/>
      <c r="R155" s="27" t="s">
        <v>7</v>
      </c>
      <c r="S155" s="31" t="s">
        <v>8</v>
      </c>
    </row>
    <row r="156" spans="1:29" x14ac:dyDescent="0.25">
      <c r="A156" s="30">
        <v>3.55841027383672E-2</v>
      </c>
      <c r="B156"/>
      <c r="C156"/>
      <c r="D156"/>
      <c r="E156"/>
      <c r="R156" s="31" t="s">
        <v>7</v>
      </c>
    </row>
    <row r="157" spans="1:29" x14ac:dyDescent="0.25">
      <c r="A157" s="30">
        <v>3.2349184307606541E-2</v>
      </c>
      <c r="B157"/>
      <c r="C157"/>
      <c r="D157"/>
      <c r="E157"/>
    </row>
    <row r="158" spans="1:29" x14ac:dyDescent="0.25">
      <c r="A158" s="30">
        <v>2.9408349370551395E-2</v>
      </c>
      <c r="B158"/>
      <c r="C158"/>
      <c r="D158"/>
      <c r="E158"/>
    </row>
    <row r="159" spans="1:29" x14ac:dyDescent="0.25">
      <c r="A159" s="30">
        <v>2.6734863064137627E-2</v>
      </c>
      <c r="B159"/>
      <c r="C159"/>
      <c r="D159"/>
      <c r="E159"/>
    </row>
    <row r="160" spans="1:29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28" operator="equal">
      <formula>$U$1</formula>
    </cfRule>
    <cfRule type="cellIs" dxfId="30" priority="1429" operator="equal">
      <formula>$S$1</formula>
    </cfRule>
  </conditionalFormatting>
  <conditionalFormatting sqref="D136">
    <cfRule type="cellIs" dxfId="29" priority="1426" operator="equal">
      <formula>$S$1</formula>
    </cfRule>
    <cfRule type="cellIs" dxfId="28" priority="1427" operator="equal">
      <formula>$U$1</formula>
    </cfRule>
  </conditionalFormatting>
  <conditionalFormatting sqref="C102">
    <cfRule type="cellIs" dxfId="27" priority="1424" operator="equal">
      <formula>$U$1</formula>
    </cfRule>
    <cfRule type="cellIs" dxfId="26" priority="1425" operator="equal">
      <formula>$S$1</formula>
    </cfRule>
  </conditionalFormatting>
  <conditionalFormatting sqref="D102">
    <cfRule type="cellIs" dxfId="25" priority="1422" operator="equal">
      <formula>$S$1</formula>
    </cfRule>
    <cfRule type="cellIs" dxfId="24" priority="1423" operator="equal">
      <formula>$U$1</formula>
    </cfRule>
  </conditionalFormatting>
  <conditionalFormatting sqref="C77">
    <cfRule type="cellIs" dxfId="23" priority="1420" operator="equal">
      <formula>$U$1</formula>
    </cfRule>
    <cfRule type="cellIs" dxfId="22" priority="1421" operator="equal">
      <formula>$S$1</formula>
    </cfRule>
  </conditionalFormatting>
  <conditionalFormatting sqref="D77">
    <cfRule type="cellIs" dxfId="21" priority="1418" operator="equal">
      <formula>$S$1</formula>
    </cfRule>
    <cfRule type="cellIs" dxfId="20" priority="1419" operator="equal">
      <formula>$U$1</formula>
    </cfRule>
  </conditionalFormatting>
  <conditionalFormatting sqref="C52">
    <cfRule type="cellIs" dxfId="19" priority="1416" operator="equal">
      <formula>$U$1</formula>
    </cfRule>
    <cfRule type="cellIs" dxfId="18" priority="1417" operator="equal">
      <formula>$S$1</formula>
    </cfRule>
  </conditionalFormatting>
  <conditionalFormatting sqref="D52">
    <cfRule type="cellIs" dxfId="17" priority="1414" operator="equal">
      <formula>$S$1</formula>
    </cfRule>
    <cfRule type="cellIs" dxfId="16" priority="1415" operator="equal">
      <formula>$U$1</formula>
    </cfRule>
  </conditionalFormatting>
  <conditionalFormatting sqref="C26">
    <cfRule type="cellIs" dxfId="15" priority="1412" operator="equal">
      <formula>$U$1</formula>
    </cfRule>
    <cfRule type="cellIs" dxfId="14" priority="1413" operator="equal">
      <formula>$S$1</formula>
    </cfRule>
  </conditionalFormatting>
  <conditionalFormatting sqref="D26">
    <cfRule type="cellIs" dxfId="13" priority="1410" operator="equal">
      <formula>$S$1</formula>
    </cfRule>
    <cfRule type="cellIs" dxfId="12" priority="141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3.5556726879443583</v>
      </c>
      <c r="F3" s="30">
        <v>5.7918161359718709</v>
      </c>
      <c r="G3" s="30">
        <v>8.1496669328733109</v>
      </c>
      <c r="H3" s="25">
        <f>IF(G3="","",(3*(G3-F3))+E3)</f>
        <v>10.629225078648679</v>
      </c>
      <c r="I3" s="7"/>
      <c r="J3" s="7">
        <f>(E3+G3)/2</f>
        <v>5.8526698104088348</v>
      </c>
      <c r="K3" s="7">
        <f>H3/2</f>
        <v>5.3146125393243393</v>
      </c>
      <c r="M3" s="26">
        <f>IF(OR(J3="",H3=""),"",H3/J3)</f>
        <v>1.8161327091688741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2022-01-28T01:22:02Z</dcterms:modified>
</cp:coreProperties>
</file>