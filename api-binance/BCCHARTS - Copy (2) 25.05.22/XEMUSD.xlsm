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44D71543-0931-47D9-8B9B-F3E29E6BECA0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6" i="5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122" i="5"/>
  <c r="C133" i="5" s="1"/>
  <c r="C56" i="4"/>
  <c r="D136" i="2"/>
  <c r="C136" i="2"/>
  <c r="C138" i="2"/>
  <c r="C2" i="1" l="1"/>
  <c r="D2" i="1"/>
  <c r="C122" i="4"/>
  <c r="C133" i="4" s="1"/>
  <c r="C136" i="4" s="1"/>
  <c r="C116" i="4"/>
  <c r="C118" i="4"/>
  <c r="R765" i="1"/>
  <c r="S765" i="1" s="1"/>
  <c r="T765" i="1" s="1"/>
  <c r="D136" i="5"/>
  <c r="C136" i="5"/>
  <c r="C118" i="3"/>
  <c r="C122" i="3"/>
  <c r="C133" i="3" s="1"/>
  <c r="D136" i="3" s="1"/>
  <c r="R764" i="1"/>
  <c r="C138" i="5" l="1"/>
  <c r="D136" i="4"/>
  <c r="C138" i="4" s="1"/>
  <c r="C136" i="3"/>
  <c r="C138" i="3" s="1"/>
  <c r="R763" i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S196" i="1" l="1"/>
  <c r="T196" i="1" s="1"/>
  <c r="R195" i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S172" i="1" l="1"/>
  <c r="T172" i="1" s="1"/>
  <c r="R171" i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S159" i="1" l="1"/>
  <c r="T159" i="1" s="1"/>
  <c r="R158" i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R133" i="1" l="1"/>
  <c r="S134" i="1"/>
  <c r="T134" i="1" s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S90" i="1" l="1"/>
  <c r="T90" i="1" s="1"/>
  <c r="R89" i="1"/>
  <c r="S89" i="1" l="1"/>
  <c r="T89" i="1" s="1"/>
  <c r="R88" i="1"/>
  <c r="S88" i="1" l="1"/>
  <c r="T88" i="1" s="1"/>
  <c r="R87" i="1"/>
  <c r="S87" i="1" l="1"/>
  <c r="T87" i="1" s="1"/>
  <c r="R86" i="1"/>
  <c r="S86" i="1" l="1"/>
  <c r="T86" i="1" s="1"/>
  <c r="R85" i="1"/>
  <c r="S85" i="1" l="1"/>
  <c r="T85" i="1" s="1"/>
  <c r="R84" i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S78" i="1" l="1"/>
  <c r="T78" i="1" s="1"/>
  <c r="R77" i="1"/>
  <c r="S77" i="1" l="1"/>
  <c r="T77" i="1" s="1"/>
  <c r="R76" i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R67" i="1" l="1"/>
  <c r="S68" i="1"/>
  <c r="T68" i="1" s="1"/>
  <c r="R66" i="1" l="1"/>
  <c r="S67" i="1"/>
  <c r="T67" i="1" s="1"/>
  <c r="S66" i="1" l="1"/>
  <c r="T66" i="1" s="1"/>
  <c r="R65" i="1"/>
  <c r="S65" i="1" l="1"/>
  <c r="T65" i="1" s="1"/>
  <c r="R64" i="1"/>
  <c r="S64" i="1" l="1"/>
  <c r="T64" i="1" s="1"/>
  <c r="R63" i="1"/>
  <c r="S63" i="1" l="1"/>
  <c r="T63" i="1" s="1"/>
  <c r="R62" i="1"/>
  <c r="S62" i="1" l="1"/>
  <c r="T62" i="1" s="1"/>
  <c r="R61" i="1"/>
  <c r="S61" i="1" l="1"/>
  <c r="T61" i="1" s="1"/>
  <c r="R60" i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S54" i="1" l="1"/>
  <c r="T54" i="1" s="1"/>
  <c r="R53" i="1"/>
  <c r="S53" i="1" l="1"/>
  <c r="T53" i="1" s="1"/>
  <c r="R52" i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S29" i="1" l="1"/>
  <c r="T29" i="1" s="1"/>
  <c r="R28" i="1"/>
  <c r="R27" i="1" l="1"/>
  <c r="S28" i="1"/>
  <c r="T28" i="1" s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<sst xmlns="http://schemas.openxmlformats.org/spreadsheetml/2006/main" count="4247" uniqueCount="34">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</sst>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9.5000000000000001E-2</c:v>
                </c:pt>
                <c:pt idx="1">
                  <c:v>9.7299999999999998E-2</c:v>
                </c:pt>
                <c:pt idx="2">
                  <c:v>9.6199999999999994E-2</c:v>
                </c:pt>
                <c:pt idx="3">
                  <c:v>9.8000000000000004E-2</c:v>
                </c:pt>
                <c:pt idx="4">
                  <c:v>9.7600000000000006E-2</c:v>
                </c:pt>
                <c:pt idx="5">
                  <c:v>9.4700000000000006E-2</c:v>
                </c:pt>
                <c:pt idx="6">
                  <c:v>9.6699999999999994E-2</c:v>
                </c:pt>
                <c:pt idx="7">
                  <c:v>0.10970000000000001</c:v>
                </c:pt>
                <c:pt idx="8">
                  <c:v>0.11219999999999999</c:v>
                </c:pt>
                <c:pt idx="9">
                  <c:v>0.1138</c:v>
                </c:pt>
                <c:pt idx="10">
                  <c:v>0.1147</c:v>
                </c:pt>
                <c:pt idx="11">
                  <c:v>0.11940000000000001</c:v>
                </c:pt>
                <c:pt idx="12">
                  <c:v>0.1182</c:v>
                </c:pt>
                <c:pt idx="13">
                  <c:v>0.1188</c:v>
                </c:pt>
                <c:pt idx="14">
                  <c:v>0.1144</c:v>
                </c:pt>
                <c:pt idx="15">
                  <c:v>0.11899999999999999</c:v>
                </c:pt>
                <c:pt idx="16">
                  <c:v>0.11459999999999999</c:v>
                </c:pt>
                <c:pt idx="17">
                  <c:v>0.1116</c:v>
                </c:pt>
                <c:pt idx="18">
                  <c:v>0.11509999999999999</c:v>
                </c:pt>
                <c:pt idx="19">
                  <c:v>0.1143</c:v>
                </c:pt>
                <c:pt idx="20">
                  <c:v>0.1163</c:v>
                </c:pt>
                <c:pt idx="21">
                  <c:v>0.1235</c:v>
                </c:pt>
                <c:pt idx="22">
                  <c:v>0.12970000000000001</c:v>
                </c:pt>
                <c:pt idx="23">
                  <c:v>0.12470000000000001</c:v>
                </c:pt>
                <c:pt idx="24">
                  <c:v>0.1268</c:v>
                </c:pt>
                <c:pt idx="25">
                  <c:v>0.1303</c:v>
                </c:pt>
                <c:pt idx="26">
                  <c:v>0.12640000000000001</c:v>
                </c:pt>
                <c:pt idx="27">
                  <c:v>0.1229</c:v>
                </c:pt>
                <c:pt idx="28">
                  <c:v>0.12609999999999999</c:v>
                </c:pt>
                <c:pt idx="29">
                  <c:v>0.12429999999999999</c:v>
                </c:pt>
                <c:pt idx="30">
                  <c:v>0.1273</c:v>
                </c:pt>
                <c:pt idx="31">
                  <c:v>0.1386</c:v>
                </c:pt>
                <c:pt idx="32">
                  <c:v>0.14080000000000001</c:v>
                </c:pt>
                <c:pt idx="33">
                  <c:v>0.1366</c:v>
                </c:pt>
                <c:pt idx="34">
                  <c:v>0.13589999999999999</c:v>
                </c:pt>
                <c:pt idx="35">
                  <c:v>0.1391</c:v>
                </c:pt>
                <c:pt idx="36">
                  <c:v>0.13020000000000001</c:v>
                </c:pt>
                <c:pt idx="37">
                  <c:v>0.12809999999999999</c:v>
                </c:pt>
                <c:pt idx="38">
                  <c:v>0.1246</c:v>
                </c:pt>
                <c:pt idx="39">
                  <c:v>0.12889999999999999</c:v>
                </c:pt>
                <c:pt idx="40">
                  <c:v>0.13020000000000001</c:v>
                </c:pt>
                <c:pt idx="41">
                  <c:v>0.12759999999999999</c:v>
                </c:pt>
                <c:pt idx="42">
                  <c:v>0.1263</c:v>
                </c:pt>
                <c:pt idx="43">
                  <c:v>0.1298</c:v>
                </c:pt>
                <c:pt idx="44">
                  <c:v>0.12809999999999999</c:v>
                </c:pt>
                <c:pt idx="45">
                  <c:v>0.12230000000000001</c:v>
                </c:pt>
                <c:pt idx="46">
                  <c:v>0.13469999999999999</c:v>
                </c:pt>
                <c:pt idx="47">
                  <c:v>0.13</c:v>
                </c:pt>
                <c:pt idx="48">
                  <c:v>0.129</c:v>
                </c:pt>
                <c:pt idx="49">
                  <c:v>0.13150000000000001</c:v>
                </c:pt>
                <c:pt idx="50">
                  <c:v>0.14349999999999999</c:v>
                </c:pt>
                <c:pt idx="51">
                  <c:v>0.13850000000000001</c:v>
                </c:pt>
                <c:pt idx="52">
                  <c:v>0.1356</c:v>
                </c:pt>
                <c:pt idx="53">
                  <c:v>0.12839999999999999</c:v>
                </c:pt>
                <c:pt idx="54">
                  <c:v>0.13450000000000001</c:v>
                </c:pt>
                <c:pt idx="55">
                  <c:v>0.15939999999999999</c:v>
                </c:pt>
                <c:pt idx="56">
                  <c:v>0.16750000000000001</c:v>
                </c:pt>
                <c:pt idx="57">
                  <c:v>0.1694</c:v>
                </c:pt>
                <c:pt idx="58">
                  <c:v>0.1719</c:v>
                </c:pt>
                <c:pt idx="59">
                  <c:v>0.17169999999999999</c:v>
                </c:pt>
                <c:pt idx="60">
                  <c:v>0.1663</c:v>
                </c:pt>
                <c:pt idx="61">
                  <c:v>0.16400000000000001</c:v>
                </c:pt>
                <c:pt idx="62">
                  <c:v>0.16170000000000001</c:v>
                </c:pt>
                <c:pt idx="63">
                  <c:v>0.17530000000000001</c:v>
                </c:pt>
                <c:pt idx="64">
                  <c:v>0.17069999999999999</c:v>
                </c:pt>
                <c:pt idx="65">
                  <c:v>0.17419999999999999</c:v>
                </c:pt>
                <c:pt idx="66">
                  <c:v>0.1711</c:v>
                </c:pt>
                <c:pt idx="67">
                  <c:v>0.17979999999999999</c:v>
                </c:pt>
                <c:pt idx="68">
                  <c:v>0.1807</c:v>
                </c:pt>
                <c:pt idx="69">
                  <c:v>0.1757</c:v>
                </c:pt>
                <c:pt idx="70">
                  <c:v>0.16980000000000001</c:v>
                </c:pt>
                <c:pt idx="71">
                  <c:v>0.1918</c:v>
                </c:pt>
                <c:pt idx="72">
                  <c:v>0.17910000000000001</c:v>
                </c:pt>
                <c:pt idx="73">
                  <c:v>0.19420000000000001</c:v>
                </c:pt>
                <c:pt idx="74">
                  <c:v>0.19259999999999999</c:v>
                </c:pt>
                <c:pt idx="75">
                  <c:v>0.19139999999999999</c:v>
                </c:pt>
                <c:pt idx="76">
                  <c:v>0.18940000000000001</c:v>
                </c:pt>
                <c:pt idx="77">
                  <c:v>0.1928</c:v>
                </c:pt>
                <c:pt idx="78">
                  <c:v>0.19120000000000001</c:v>
                </c:pt>
                <c:pt idx="79">
                  <c:v>0.20530000000000001</c:v>
                </c:pt>
                <c:pt idx="80">
                  <c:v>0.2046</c:v>
                </c:pt>
                <c:pt idx="81">
                  <c:v>0.21440000000000001</c:v>
                </c:pt>
                <c:pt idx="82">
                  <c:v>0.22539999999999999</c:v>
                </c:pt>
                <c:pt idx="83">
                  <c:v>0.2167</c:v>
                </c:pt>
                <c:pt idx="84">
                  <c:v>0.19950000000000001</c:v>
                </c:pt>
                <c:pt idx="85">
                  <c:v>0.2094</c:v>
                </c:pt>
                <c:pt idx="86">
                  <c:v>0.21560000000000001</c:v>
                </c:pt>
                <c:pt idx="87">
                  <c:v>0.1943</c:v>
                </c:pt>
                <c:pt idx="88">
                  <c:v>0.1923</c:v>
                </c:pt>
                <c:pt idx="89">
                  <c:v>0.18559999999999999</c:v>
                </c:pt>
                <c:pt idx="90">
                  <c:v>0.17130000000000001</c:v>
                </c:pt>
                <c:pt idx="91">
                  <c:v>0.16270000000000001</c:v>
                </c:pt>
                <c:pt idx="92">
                  <c:v>0.15340000000000001</c:v>
                </c:pt>
                <c:pt idx="93">
                  <c:v>0.1724</c:v>
                </c:pt>
                <c:pt idx="94">
                  <c:v>0.1731</c:v>
                </c:pt>
                <c:pt idx="95">
                  <c:v>0.1711</c:v>
                </c:pt>
                <c:pt idx="96">
                  <c:v>0.17510000000000001</c:v>
                </c:pt>
                <c:pt idx="97">
                  <c:v>0.1736</c:v>
                </c:pt>
                <c:pt idx="98">
                  <c:v>0.17249999999999999</c:v>
                </c:pt>
                <c:pt idx="99">
                  <c:v>0.17369999999999999</c:v>
                </c:pt>
                <c:pt idx="100">
                  <c:v>0.16700000000000001</c:v>
                </c:pt>
                <c:pt idx="101">
                  <c:v>0.1676</c:v>
                </c:pt>
                <c:pt idx="102">
                  <c:v>0.1668</c:v>
                </c:pt>
                <c:pt idx="103">
                  <c:v>0.1714</c:v>
                </c:pt>
                <c:pt idx="104">
                  <c:v>0.17230000000000001</c:v>
                </c:pt>
                <c:pt idx="105">
                  <c:v>0.1774</c:v>
                </c:pt>
                <c:pt idx="106">
                  <c:v>0.1754</c:v>
                </c:pt>
                <c:pt idx="107">
                  <c:v>0.17230000000000001</c:v>
                </c:pt>
                <c:pt idx="108">
                  <c:v>0.17829999999999999</c:v>
                </c:pt>
                <c:pt idx="109">
                  <c:v>0.17319999999999999</c:v>
                </c:pt>
                <c:pt idx="110">
                  <c:v>0.1822</c:v>
                </c:pt>
                <c:pt idx="111">
                  <c:v>0.17879999999999999</c:v>
                </c:pt>
                <c:pt idx="112">
                  <c:v>0.1731</c:v>
                </c:pt>
                <c:pt idx="113">
                  <c:v>0.1714</c:v>
                </c:pt>
                <c:pt idx="114">
                  <c:v>0.1704</c:v>
                </c:pt>
                <c:pt idx="115">
                  <c:v>0.1585</c:v>
                </c:pt>
                <c:pt idx="116">
                  <c:v>0.16220000000000001</c:v>
                </c:pt>
                <c:pt idx="117">
                  <c:v>0.15939999999999999</c:v>
                </c:pt>
                <c:pt idx="118">
                  <c:v>0.15920000000000001</c:v>
                </c:pt>
                <c:pt idx="119">
                  <c:v>0.1467</c:v>
                </c:pt>
                <c:pt idx="120">
                  <c:v>0.13789999999999999</c:v>
                </c:pt>
                <c:pt idx="121">
                  <c:v>0.1348</c:v>
                </c:pt>
                <c:pt idx="122">
                  <c:v>0.14099999999999999</c:v>
                </c:pt>
                <c:pt idx="123">
                  <c:v>0.1467</c:v>
                </c:pt>
                <c:pt idx="124">
                  <c:v>0.1472</c:v>
                </c:pt>
                <c:pt idx="125">
                  <c:v>0.1489</c:v>
                </c:pt>
                <c:pt idx="126">
                  <c:v>0.16270000000000001</c:v>
                </c:pt>
                <c:pt idx="127">
                  <c:v>0.15840000000000001</c:v>
                </c:pt>
                <c:pt idx="128">
                  <c:v>0.14219999999999999</c:v>
                </c:pt>
                <c:pt idx="129">
                  <c:v>0.16420000000000001</c:v>
                </c:pt>
                <c:pt idx="130">
                  <c:v>0.1789</c:v>
                </c:pt>
                <c:pt idx="131">
                  <c:v>0.18360000000000001</c:v>
                </c:pt>
                <c:pt idx="132">
                  <c:v>0.1825</c:v>
                </c:pt>
                <c:pt idx="133">
                  <c:v>0.19040000000000001</c:v>
                </c:pt>
                <c:pt idx="134">
                  <c:v>0.18890000000000001</c:v>
                </c:pt>
                <c:pt idx="135">
                  <c:v>0.1837</c:v>
                </c:pt>
                <c:pt idx="136">
                  <c:v>0.1779</c:v>
                </c:pt>
                <c:pt idx="137">
                  <c:v>0.1862</c:v>
                </c:pt>
                <c:pt idx="138">
                  <c:v>0.18090000000000001</c:v>
                </c:pt>
                <c:pt idx="139">
                  <c:v>0.17799999999999999</c:v>
                </c:pt>
                <c:pt idx="140">
                  <c:v>0.19089999999999999</c:v>
                </c:pt>
                <c:pt idx="141">
                  <c:v>0.18640000000000001</c:v>
                </c:pt>
                <c:pt idx="142">
                  <c:v>0.19</c:v>
                </c:pt>
                <c:pt idx="143">
                  <c:v>0.2369</c:v>
                </c:pt>
                <c:pt idx="144">
                  <c:v>0.24310000000000001</c:v>
                </c:pt>
                <c:pt idx="145">
                  <c:v>0.21729999999999999</c:v>
                </c:pt>
                <c:pt idx="146">
                  <c:v>0.2077</c:v>
                </c:pt>
                <c:pt idx="147">
                  <c:v>0.2029</c:v>
                </c:pt>
                <c:pt idx="148">
                  <c:v>0.2011</c:v>
                </c:pt>
                <c:pt idx="149">
                  <c:v>0.1923</c:v>
                </c:pt>
                <c:pt idx="150">
                  <c:v>0.1885</c:v>
                </c:pt>
                <c:pt idx="151">
                  <c:v>0.1943</c:v>
                </c:pt>
                <c:pt idx="152">
                  <c:v>0.19520000000000001</c:v>
                </c:pt>
                <c:pt idx="153">
                  <c:v>0.19980000000000001</c:v>
                </c:pt>
                <c:pt idx="154">
                  <c:v>0.19089999999999999</c:v>
                </c:pt>
                <c:pt idx="155">
                  <c:v>0.2084</c:v>
                </c:pt>
                <c:pt idx="156">
                  <c:v>0.19950000000000001</c:v>
                </c:pt>
                <c:pt idx="157">
                  <c:v>0.21410000000000001</c:v>
                </c:pt>
                <c:pt idx="158">
                  <c:v>0.20599999999999999</c:v>
                </c:pt>
                <c:pt idx="159">
                  <c:v>0.20530000000000001</c:v>
                </c:pt>
                <c:pt idx="160">
                  <c:v>0.20799999999999999</c:v>
                </c:pt>
                <c:pt idx="161">
                  <c:v>0.2011</c:v>
                </c:pt>
                <c:pt idx="162">
                  <c:v>0.19089999999999999</c:v>
                </c:pt>
                <c:pt idx="163">
                  <c:v>0.19600000000000001</c:v>
                </c:pt>
                <c:pt idx="164">
                  <c:v>0.21410000000000001</c:v>
                </c:pt>
                <c:pt idx="165">
                  <c:v>0.21790000000000001</c:v>
                </c:pt>
                <c:pt idx="166">
                  <c:v>0.21329999999999999</c:v>
                </c:pt>
                <c:pt idx="167">
                  <c:v>0.20330000000000001</c:v>
                </c:pt>
                <c:pt idx="168">
                  <c:v>0.18779999999999999</c:v>
                </c:pt>
                <c:pt idx="169">
                  <c:v>0.1953</c:v>
                </c:pt>
                <c:pt idx="170">
                  <c:v>0.189</c:v>
                </c:pt>
                <c:pt idx="171">
                  <c:v>0.183</c:v>
                </c:pt>
                <c:pt idx="172">
                  <c:v>0.17519999999999999</c:v>
                </c:pt>
                <c:pt idx="173">
                  <c:v>0.1862</c:v>
                </c:pt>
                <c:pt idx="174">
                  <c:v>0.17269999999999999</c:v>
                </c:pt>
                <c:pt idx="175">
                  <c:v>0.16869999999999999</c:v>
                </c:pt>
                <c:pt idx="176">
                  <c:v>0.16589999999999999</c:v>
                </c:pt>
                <c:pt idx="177">
                  <c:v>0.16239999999999999</c:v>
                </c:pt>
                <c:pt idx="178">
                  <c:v>0.1696</c:v>
                </c:pt>
                <c:pt idx="179">
                  <c:v>0.1694</c:v>
                </c:pt>
                <c:pt idx="180">
                  <c:v>0.17610000000000001</c:v>
                </c:pt>
                <c:pt idx="181">
                  <c:v>0.17349999999999999</c:v>
                </c:pt>
                <c:pt idx="182">
                  <c:v>0.1681</c:v>
                </c:pt>
                <c:pt idx="183">
                  <c:v>0.16120000000000001</c:v>
                </c:pt>
                <c:pt idx="184">
                  <c:v>0.15970000000000001</c:v>
                </c:pt>
                <c:pt idx="185">
                  <c:v>0.1515</c:v>
                </c:pt>
                <c:pt idx="186">
                  <c:v>0.14860000000000001</c:v>
                </c:pt>
                <c:pt idx="187">
                  <c:v>0.14560000000000001</c:v>
                </c:pt>
                <c:pt idx="188">
                  <c:v>0.14399999999999999</c:v>
                </c:pt>
                <c:pt idx="189">
                  <c:v>0.1434</c:v>
                </c:pt>
                <c:pt idx="190">
                  <c:v>0.1386</c:v>
                </c:pt>
                <c:pt idx="191">
                  <c:v>0.12920000000000001</c:v>
                </c:pt>
                <c:pt idx="192">
                  <c:v>0.13</c:v>
                </c:pt>
                <c:pt idx="193">
                  <c:v>0.1424</c:v>
                </c:pt>
                <c:pt idx="194">
                  <c:v>0.15820000000000001</c:v>
                </c:pt>
                <c:pt idx="195">
                  <c:v>0.1396</c:v>
                </c:pt>
                <c:pt idx="196">
                  <c:v>0.12189999999999999</c:v>
                </c:pt>
                <c:pt idx="197">
                  <c:v>0.1148</c:v>
                </c:pt>
                <c:pt idx="198">
                  <c:v>0.1162</c:v>
                </c:pt>
                <c:pt idx="199">
                  <c:v>0.1197</c:v>
                </c:pt>
                <c:pt idx="200">
                  <c:v>0.1225</c:v>
                </c:pt>
                <c:pt idx="201">
                  <c:v>0.1211</c:v>
                </c:pt>
                <c:pt idx="202">
                  <c:v>0.12379999999999999</c:v>
                </c:pt>
                <c:pt idx="203">
                  <c:v>0.1221</c:v>
                </c:pt>
                <c:pt idx="204">
                  <c:v>0.13239999999999999</c:v>
                </c:pt>
                <c:pt idx="205">
                  <c:v>0.13350000000000001</c:v>
                </c:pt>
                <c:pt idx="206">
                  <c:v>0.1305</c:v>
                </c:pt>
                <c:pt idx="207">
                  <c:v>0.1376</c:v>
                </c:pt>
                <c:pt idx="208">
                  <c:v>0.13469999999999999</c:v>
                </c:pt>
                <c:pt idx="209">
                  <c:v>0.13150000000000001</c:v>
                </c:pt>
                <c:pt idx="210">
                  <c:v>0.12790000000000001</c:v>
                </c:pt>
                <c:pt idx="211">
                  <c:v>0.1348</c:v>
                </c:pt>
                <c:pt idx="212">
                  <c:v>0.1285</c:v>
                </c:pt>
                <c:pt idx="213">
                  <c:v>0.11700000000000001</c:v>
                </c:pt>
                <c:pt idx="214">
                  <c:v>0.11269999999999999</c:v>
                </c:pt>
                <c:pt idx="215">
                  <c:v>0.1081</c:v>
                </c:pt>
                <c:pt idx="216">
                  <c:v>0.1057</c:v>
                </c:pt>
                <c:pt idx="217">
                  <c:v>0.1169</c:v>
                </c:pt>
                <c:pt idx="218">
                  <c:v>0.1128</c:v>
                </c:pt>
                <c:pt idx="219">
                  <c:v>9.6199999999999994E-2</c:v>
                </c:pt>
                <c:pt idx="220">
                  <c:v>0.1065</c:v>
                </c:pt>
                <c:pt idx="221">
                  <c:v>0.14219999999999999</c:v>
                </c:pt>
                <c:pt idx="222">
                  <c:v>0.14699999999999999</c:v>
                </c:pt>
                <c:pt idx="223">
                  <c:v>0.1522</c:v>
                </c:pt>
                <c:pt idx="224">
                  <c:v>0.16270000000000001</c:v>
                </c:pt>
                <c:pt idx="225">
                  <c:v>0.16500000000000001</c:v>
                </c:pt>
                <c:pt idx="226">
                  <c:v>0.17610000000000001</c:v>
                </c:pt>
                <c:pt idx="227">
                  <c:v>0.1734</c:v>
                </c:pt>
                <c:pt idx="228">
                  <c:v>0.1656</c:v>
                </c:pt>
                <c:pt idx="229">
                  <c:v>0.1573</c:v>
                </c:pt>
                <c:pt idx="230">
                  <c:v>0.1641</c:v>
                </c:pt>
                <c:pt idx="231">
                  <c:v>0.1701</c:v>
                </c:pt>
                <c:pt idx="232">
                  <c:v>0.17430000000000001</c:v>
                </c:pt>
                <c:pt idx="233">
                  <c:v>0.16450000000000001</c:v>
                </c:pt>
                <c:pt idx="234">
                  <c:v>0.17130000000000001</c:v>
                </c:pt>
                <c:pt idx="235">
                  <c:v>0.18759999999999999</c:v>
                </c:pt>
                <c:pt idx="236">
                  <c:v>0.1807</c:v>
                </c:pt>
                <c:pt idx="237">
                  <c:v>0.18720000000000001</c:v>
                </c:pt>
                <c:pt idx="238">
                  <c:v>0.2069</c:v>
                </c:pt>
                <c:pt idx="239">
                  <c:v>0.1948</c:v>
                </c:pt>
                <c:pt idx="240">
                  <c:v>0.18840000000000001</c:v>
                </c:pt>
                <c:pt idx="241">
                  <c:v>0.1951</c:v>
                </c:pt>
                <c:pt idx="242">
                  <c:v>0.182</c:v>
                </c:pt>
                <c:pt idx="243">
                  <c:v>0.1757</c:v>
                </c:pt>
                <c:pt idx="244">
                  <c:v>0.18029999999999999</c:v>
                </c:pt>
                <c:pt idx="245">
                  <c:v>0.2044</c:v>
                </c:pt>
                <c:pt idx="246">
                  <c:v>0.21429999999999999</c:v>
                </c:pt>
                <c:pt idx="247">
                  <c:v>0.1888</c:v>
                </c:pt>
                <c:pt idx="248">
                  <c:v>0.19239999999999999</c:v>
                </c:pt>
                <c:pt idx="249">
                  <c:v>0.16250000000000001</c:v>
                </c:pt>
                <c:pt idx="250">
                  <c:v>0.1933</c:v>
                </c:pt>
                <c:pt idx="251">
                  <c:v>0.2026</c:v>
                </c:pt>
                <c:pt idx="252">
                  <c:v>0.2235</c:v>
                </c:pt>
                <c:pt idx="253">
                  <c:v>0.19170000000000001</c:v>
                </c:pt>
                <c:pt idx="254">
                  <c:v>0.28860000000000002</c:v>
                </c:pt>
                <c:pt idx="255">
                  <c:v>0.27539999999999998</c:v>
                </c:pt>
                <c:pt idx="256">
                  <c:v>0.29930000000000001</c:v>
                </c:pt>
                <c:pt idx="257">
                  <c:v>0.29709999999999998</c:v>
                </c:pt>
                <c:pt idx="258">
                  <c:v>0.31940000000000002</c:v>
                </c:pt>
                <c:pt idx="259">
                  <c:v>0.30930000000000002</c:v>
                </c:pt>
                <c:pt idx="260">
                  <c:v>0.3</c:v>
                </c:pt>
                <c:pt idx="261">
                  <c:v>0.35930000000000001</c:v>
                </c:pt>
                <c:pt idx="262">
                  <c:v>0.3337</c:v>
                </c:pt>
                <c:pt idx="263">
                  <c:v>0.37669999999999998</c:v>
                </c:pt>
                <c:pt idx="264">
                  <c:v>0.38109999999999999</c:v>
                </c:pt>
                <c:pt idx="265">
                  <c:v>0.3972</c:v>
                </c:pt>
                <c:pt idx="266">
                  <c:v>0.38779999999999998</c:v>
                </c:pt>
                <c:pt idx="267">
                  <c:v>0.37140000000000001</c:v>
                </c:pt>
                <c:pt idx="268">
                  <c:v>0.3095</c:v>
                </c:pt>
                <c:pt idx="269">
                  <c:v>0.34860000000000002</c:v>
                </c:pt>
                <c:pt idx="270">
                  <c:v>0.34060000000000001</c:v>
                </c:pt>
                <c:pt idx="271">
                  <c:v>0.35110000000000002</c:v>
                </c:pt>
                <c:pt idx="272">
                  <c:v>0.35260000000000002</c:v>
                </c:pt>
                <c:pt idx="273">
                  <c:v>0.3352</c:v>
                </c:pt>
                <c:pt idx="274">
                  <c:v>0.33339999999999997</c:v>
                </c:pt>
                <c:pt idx="275">
                  <c:v>0.34699999999999998</c:v>
                </c:pt>
                <c:pt idx="276">
                  <c:v>0.314</c:v>
                </c:pt>
                <c:pt idx="277">
                  <c:v>0.27010000000000001</c:v>
                </c:pt>
                <c:pt idx="278">
                  <c:v>0.26929999999999998</c:v>
                </c:pt>
                <c:pt idx="279">
                  <c:v>0.2888</c:v>
                </c:pt>
                <c:pt idx="280">
                  <c:v>0.2984</c:v>
                </c:pt>
                <c:pt idx="281">
                  <c:v>0.35680000000000001</c:v>
                </c:pt>
                <c:pt idx="282">
                  <c:v>0.37140000000000001</c:v>
                </c:pt>
                <c:pt idx="283">
                  <c:v>0.37619999999999998</c:v>
                </c:pt>
                <c:pt idx="284">
                  <c:v>0.40360000000000001</c:v>
                </c:pt>
                <c:pt idx="285">
                  <c:v>0.47010000000000002</c:v>
                </c:pt>
                <c:pt idx="286">
                  <c:v>0.45679999999999998</c:v>
                </c:pt>
                <c:pt idx="287">
                  <c:v>0.4375</c:v>
                </c:pt>
                <c:pt idx="288">
                  <c:v>0.41760000000000003</c:v>
                </c:pt>
                <c:pt idx="289">
                  <c:v>0.42430000000000001</c:v>
                </c:pt>
                <c:pt idx="290">
                  <c:v>0.42130000000000001</c:v>
                </c:pt>
                <c:pt idx="291">
                  <c:v>0.44169999999999998</c:v>
                </c:pt>
                <c:pt idx="292">
                  <c:v>0.41560000000000002</c:v>
                </c:pt>
                <c:pt idx="293">
                  <c:v>0.40539999999999998</c:v>
                </c:pt>
                <c:pt idx="294">
                  <c:v>0.4143</c:v>
                </c:pt>
                <c:pt idx="295">
                  <c:v>0.38119999999999998</c:v>
                </c:pt>
                <c:pt idx="296">
                  <c:v>0.48430000000000001</c:v>
                </c:pt>
                <c:pt idx="297">
                  <c:v>0.4219</c:v>
                </c:pt>
                <c:pt idx="298">
                  <c:v>0.38750000000000001</c:v>
                </c:pt>
                <c:pt idx="299">
                  <c:v>0.36209999999999998</c:v>
                </c:pt>
                <c:pt idx="300">
                  <c:v>0.3599</c:v>
                </c:pt>
                <c:pt idx="301">
                  <c:v>0.3609</c:v>
                </c:pt>
                <c:pt idx="302">
                  <c:v>0.36880000000000002</c:v>
                </c:pt>
                <c:pt idx="303">
                  <c:v>0.38250000000000001</c:v>
                </c:pt>
                <c:pt idx="304">
                  <c:v>0.374</c:v>
                </c:pt>
                <c:pt idx="305">
                  <c:v>0.35820000000000002</c:v>
                </c:pt>
                <c:pt idx="306">
                  <c:v>0.34539999999999998</c:v>
                </c:pt>
                <c:pt idx="307">
                  <c:v>0.3427</c:v>
                </c:pt>
                <c:pt idx="308">
                  <c:v>0.31940000000000002</c:v>
                </c:pt>
                <c:pt idx="309">
                  <c:v>0.3301</c:v>
                </c:pt>
                <c:pt idx="310">
                  <c:v>0.35599999999999998</c:v>
                </c:pt>
                <c:pt idx="311">
                  <c:v>0.35539999999999999</c:v>
                </c:pt>
                <c:pt idx="312">
                  <c:v>0.3669</c:v>
                </c:pt>
                <c:pt idx="313">
                  <c:v>0.3629</c:v>
                </c:pt>
                <c:pt idx="314">
                  <c:v>0.378</c:v>
                </c:pt>
                <c:pt idx="315">
                  <c:v>0.37359999999999999</c:v>
                </c:pt>
                <c:pt idx="316">
                  <c:v>0.39169999999999999</c:v>
                </c:pt>
                <c:pt idx="317">
                  <c:v>0.39429999999999998</c:v>
                </c:pt>
                <c:pt idx="318">
                  <c:v>0.37240000000000001</c:v>
                </c:pt>
                <c:pt idx="319">
                  <c:v>0.33029999999999998</c:v>
                </c:pt>
                <c:pt idx="320">
                  <c:v>0.36249999999999999</c:v>
                </c:pt>
                <c:pt idx="321">
                  <c:v>0.38750000000000001</c:v>
                </c:pt>
                <c:pt idx="322">
                  <c:v>0.59130000000000005</c:v>
                </c:pt>
                <c:pt idx="323">
                  <c:v>0.61639999999999995</c:v>
                </c:pt>
                <c:pt idx="324">
                  <c:v>0.70299999999999996</c:v>
                </c:pt>
                <c:pt idx="325">
                  <c:v>0.71860000000000002</c:v>
                </c:pt>
                <c:pt idx="326">
                  <c:v>0.71619999999999995</c:v>
                </c:pt>
                <c:pt idx="327">
                  <c:v>0.73370000000000002</c:v>
                </c:pt>
                <c:pt idx="328">
                  <c:v>0.71989999999999998</c:v>
                </c:pt>
                <c:pt idx="329">
                  <c:v>0.70489999999999997</c:v>
                </c:pt>
                <c:pt idx="330">
                  <c:v>0.78810000000000002</c:v>
                </c:pt>
                <c:pt idx="331">
                  <c:v>0.76739999999999997</c:v>
                </c:pt>
                <c:pt idx="332">
                  <c:v>0.64970000000000006</c:v>
                </c:pt>
                <c:pt idx="333">
                  <c:v>0.60950000000000004</c:v>
                </c:pt>
                <c:pt idx="334">
                  <c:v>0.57540000000000002</c:v>
                </c:pt>
                <c:pt idx="335">
                  <c:v>0.51529999999999998</c:v>
                </c:pt>
                <c:pt idx="336">
                  <c:v>0.49270000000000003</c:v>
                </c:pt>
                <c:pt idx="337">
                  <c:v>0.52829999999999999</c:v>
                </c:pt>
                <c:pt idx="338">
                  <c:v>0.53390000000000004</c:v>
                </c:pt>
                <c:pt idx="339">
                  <c:v>0.7006</c:v>
                </c:pt>
                <c:pt idx="340">
                  <c:v>0.56299999999999994</c:v>
                </c:pt>
                <c:pt idx="341">
                  <c:v>0.50609999999999999</c:v>
                </c:pt>
                <c:pt idx="342">
                  <c:v>0.52559999999999996</c:v>
                </c:pt>
                <c:pt idx="343">
                  <c:v>0.43509999999999999</c:v>
                </c:pt>
                <c:pt idx="344">
                  <c:v>0.39639999999999997</c:v>
                </c:pt>
                <c:pt idx="345">
                  <c:v>0.38009999999999999</c:v>
                </c:pt>
                <c:pt idx="346">
                  <c:v>0.3826</c:v>
                </c:pt>
                <c:pt idx="347">
                  <c:v>0.36909999999999998</c:v>
                </c:pt>
                <c:pt idx="348">
                  <c:v>0.40279999999999999</c:v>
                </c:pt>
                <c:pt idx="349">
                  <c:v>0.40100000000000002</c:v>
                </c:pt>
                <c:pt idx="350">
                  <c:v>0.40060000000000001</c:v>
                </c:pt>
                <c:pt idx="351">
                  <c:v>0.37140000000000001</c:v>
                </c:pt>
                <c:pt idx="352">
                  <c:v>0.33679999999999999</c:v>
                </c:pt>
                <c:pt idx="353">
                  <c:v>0.32829999999999998</c:v>
                </c:pt>
                <c:pt idx="354">
                  <c:v>0.3105</c:v>
                </c:pt>
                <c:pt idx="355">
                  <c:v>0.27550000000000002</c:v>
                </c:pt>
                <c:pt idx="356">
                  <c:v>0.28889999999999999</c:v>
                </c:pt>
                <c:pt idx="357">
                  <c:v>0.26569999999999999</c:v>
                </c:pt>
                <c:pt idx="358">
                  <c:v>0.2868</c:v>
                </c:pt>
                <c:pt idx="359">
                  <c:v>0.27729999999999999</c:v>
                </c:pt>
                <c:pt idx="360">
                  <c:v>0.26700000000000002</c:v>
                </c:pt>
                <c:pt idx="361">
                  <c:v>0.23580000000000001</c:v>
                </c:pt>
                <c:pt idx="362">
                  <c:v>0.23200000000000001</c:v>
                </c:pt>
                <c:pt idx="363">
                  <c:v>0.23499999999999999</c:v>
                </c:pt>
                <c:pt idx="364">
                  <c:v>0.2334</c:v>
                </c:pt>
                <c:pt idx="365">
                  <c:v>0.23219999999999999</c:v>
                </c:pt>
                <c:pt idx="366">
                  <c:v>0.246</c:v>
                </c:pt>
                <c:pt idx="367">
                  <c:v>0.22120000000000001</c:v>
                </c:pt>
                <c:pt idx="368">
                  <c:v>0.21340000000000001</c:v>
                </c:pt>
                <c:pt idx="369">
                  <c:v>0.2155</c:v>
                </c:pt>
                <c:pt idx="370">
                  <c:v>0.2162</c:v>
                </c:pt>
                <c:pt idx="371">
                  <c:v>0.21129999999999999</c:v>
                </c:pt>
                <c:pt idx="372">
                  <c:v>0.23910000000000001</c:v>
                </c:pt>
                <c:pt idx="373">
                  <c:v>0.24709999999999999</c:v>
                </c:pt>
                <c:pt idx="374">
                  <c:v>0.2359</c:v>
                </c:pt>
                <c:pt idx="375">
                  <c:v>0.2233</c:v>
                </c:pt>
                <c:pt idx="376">
                  <c:v>0.21709999999999999</c:v>
                </c:pt>
                <c:pt idx="377">
                  <c:v>0.21360000000000001</c:v>
                </c:pt>
                <c:pt idx="378">
                  <c:v>0.22750000000000001</c:v>
                </c:pt>
                <c:pt idx="379">
                  <c:v>0.22900000000000001</c:v>
                </c:pt>
                <c:pt idx="380">
                  <c:v>0.21310000000000001</c:v>
                </c:pt>
                <c:pt idx="381">
                  <c:v>0.21229999999999999</c:v>
                </c:pt>
                <c:pt idx="382">
                  <c:v>0.23330000000000001</c:v>
                </c:pt>
                <c:pt idx="383">
                  <c:v>0.2389</c:v>
                </c:pt>
                <c:pt idx="384">
                  <c:v>0.23100000000000001</c:v>
                </c:pt>
                <c:pt idx="385">
                  <c:v>0.24490000000000001</c:v>
                </c:pt>
                <c:pt idx="386">
                  <c:v>0.25590000000000002</c:v>
                </c:pt>
                <c:pt idx="387">
                  <c:v>0.20480000000000001</c:v>
                </c:pt>
                <c:pt idx="388">
                  <c:v>0.20449999999999999</c:v>
                </c:pt>
                <c:pt idx="389">
                  <c:v>0.21099999999999999</c:v>
                </c:pt>
                <c:pt idx="390">
                  <c:v>0.2031</c:v>
                </c:pt>
                <c:pt idx="391">
                  <c:v>0.22170000000000001</c:v>
                </c:pt>
                <c:pt idx="392">
                  <c:v>0.20569999999999999</c:v>
                </c:pt>
                <c:pt idx="393">
                  <c:v>0.19539999999999999</c:v>
                </c:pt>
                <c:pt idx="394">
                  <c:v>0.2228</c:v>
                </c:pt>
                <c:pt idx="395">
                  <c:v>0.23</c:v>
                </c:pt>
                <c:pt idx="396">
                  <c:v>0.2356</c:v>
                </c:pt>
                <c:pt idx="397">
                  <c:v>0.2364</c:v>
                </c:pt>
                <c:pt idx="398">
                  <c:v>0.24410000000000001</c:v>
                </c:pt>
                <c:pt idx="399">
                  <c:v>0.25669999999999998</c:v>
                </c:pt>
                <c:pt idx="400">
                  <c:v>0.23280000000000001</c:v>
                </c:pt>
                <c:pt idx="401">
                  <c:v>0.2777</c:v>
                </c:pt>
                <c:pt idx="402">
                  <c:v>0.27439999999999998</c:v>
                </c:pt>
                <c:pt idx="403">
                  <c:v>0.28999999999999998</c:v>
                </c:pt>
                <c:pt idx="404">
                  <c:v>0.29770000000000002</c:v>
                </c:pt>
                <c:pt idx="405">
                  <c:v>0.30430000000000001</c:v>
                </c:pt>
                <c:pt idx="406">
                  <c:v>0.28070000000000001</c:v>
                </c:pt>
                <c:pt idx="407">
                  <c:v>0.25700000000000001</c:v>
                </c:pt>
                <c:pt idx="408">
                  <c:v>0.2465</c:v>
                </c:pt>
                <c:pt idx="409">
                  <c:v>0.24859999999999999</c:v>
                </c:pt>
                <c:pt idx="410">
                  <c:v>0.255</c:v>
                </c:pt>
                <c:pt idx="411">
                  <c:v>0.2641</c:v>
                </c:pt>
                <c:pt idx="412">
                  <c:v>0.20419999999999999</c:v>
                </c:pt>
                <c:pt idx="413">
                  <c:v>0.21729999999999999</c:v>
                </c:pt>
                <c:pt idx="414">
                  <c:v>0.217</c:v>
                </c:pt>
                <c:pt idx="415">
                  <c:v>0.22209999999999999</c:v>
                </c:pt>
                <c:pt idx="416">
                  <c:v>0.23599999999999999</c:v>
                </c:pt>
                <c:pt idx="417">
                  <c:v>0.249</c:v>
                </c:pt>
                <c:pt idx="418">
                  <c:v>0.26090000000000002</c:v>
                </c:pt>
                <c:pt idx="419">
                  <c:v>0.24179999999999999</c:v>
                </c:pt>
                <c:pt idx="420">
                  <c:v>0.21879999999999999</c:v>
                </c:pt>
                <c:pt idx="421">
                  <c:v>0.2014</c:v>
                </c:pt>
                <c:pt idx="422">
                  <c:v>0.18990000000000001</c:v>
                </c:pt>
                <c:pt idx="423">
                  <c:v>0.18920000000000001</c:v>
                </c:pt>
                <c:pt idx="424">
                  <c:v>0.1787</c:v>
                </c:pt>
                <c:pt idx="425">
                  <c:v>0.18179999999999999</c:v>
                </c:pt>
                <c:pt idx="426">
                  <c:v>0.17449999999999999</c:v>
                </c:pt>
                <c:pt idx="427">
                  <c:v>0.159</c:v>
                </c:pt>
                <c:pt idx="428">
                  <c:v>0.18310000000000001</c:v>
                </c:pt>
                <c:pt idx="429">
                  <c:v>0.16569999999999999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E7-47E0-A105-2EFA88E1EF4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25.541838791458613</c:v>
                </c:pt>
                <c:pt idx="1">
                  <c:v>25.558133316791945</c:v>
                </c:pt>
                <c:pt idx="2">
                  <c:v>25.729589335839563</c:v>
                </c:pt>
                <c:pt idx="3">
                  <c:v>25.740479700203199</c:v>
                </c:pt>
                <c:pt idx="4">
                  <c:v>25.442256796763203</c:v>
                </c:pt>
                <c:pt idx="5">
                  <c:v>25.347462542217745</c:v>
                </c:pt>
                <c:pt idx="6">
                  <c:v>25.284013431468924</c:v>
                </c:pt>
                <c:pt idx="7">
                  <c:v>25.59054894672304</c:v>
                </c:pt>
                <c:pt idx="8">
                  <c:v>25.722830663590514</c:v>
                </c:pt>
                <c:pt idx="9">
                  <c:v>25.699954977827801</c:v>
                </c:pt>
                <c:pt idx="10">
                  <c:v>25.686264639366264</c:v>
                </c:pt>
                <c:pt idx="11">
                  <c:v>25.731207524366265</c:v>
                </c:pt>
                <c:pt idx="12">
                  <c:v>25.714532345542736</c:v>
                </c:pt>
                <c:pt idx="13">
                  <c:v>25.768833343128943</c:v>
                </c:pt>
                <c:pt idx="14">
                  <c:v>25.722343568636187</c:v>
                </c:pt>
                <c:pt idx="15">
                  <c:v>25.845819737284838</c:v>
                </c:pt>
                <c:pt idx="16">
                  <c:v>25.76498051961817</c:v>
                </c:pt>
                <c:pt idx="17">
                  <c:v>25.646017482031958</c:v>
                </c:pt>
                <c:pt idx="18">
                  <c:v>25.625579473365292</c:v>
                </c:pt>
                <c:pt idx="19">
                  <c:v>25.640144640031959</c:v>
                </c:pt>
                <c:pt idx="20">
                  <c:v>25.699908472863815</c:v>
                </c:pt>
                <c:pt idx="21">
                  <c:v>25.787476258081206</c:v>
                </c:pt>
                <c:pt idx="22">
                  <c:v>25.868863937795489</c:v>
                </c:pt>
                <c:pt idx="23">
                  <c:v>25.983834100971457</c:v>
                </c:pt>
                <c:pt idx="24">
                  <c:v>26.096154158571455</c:v>
                </c:pt>
                <c:pt idx="25">
                  <c:v>26.144934215527975</c:v>
                </c:pt>
                <c:pt idx="26">
                  <c:v>26.095997624641896</c:v>
                </c:pt>
                <c:pt idx="27">
                  <c:v>25.955118124641896</c:v>
                </c:pt>
                <c:pt idx="28">
                  <c:v>26.072573133607413</c:v>
                </c:pt>
                <c:pt idx="29">
                  <c:v>26.000446204274077</c:v>
                </c:pt>
                <c:pt idx="30">
                  <c:v>26.113964834586579</c:v>
                </c:pt>
                <c:pt idx="31">
                  <c:v>26.387600249958474</c:v>
                </c:pt>
                <c:pt idx="32">
                  <c:v>26.562499030742789</c:v>
                </c:pt>
                <c:pt idx="33">
                  <c:v>26.437328534909454</c:v>
                </c:pt>
                <c:pt idx="34">
                  <c:v>26.399173319284454</c:v>
                </c:pt>
                <c:pt idx="35">
                  <c:v>26.551605424794658</c:v>
                </c:pt>
                <c:pt idx="36">
                  <c:v>26.324072095237138</c:v>
                </c:pt>
                <c:pt idx="37">
                  <c:v>26.31540959316817</c:v>
                </c:pt>
                <c:pt idx="38">
                  <c:v>26.226761037531805</c:v>
                </c:pt>
                <c:pt idx="39">
                  <c:v>26.260492328134212</c:v>
                </c:pt>
                <c:pt idx="40">
                  <c:v>26.35280089540694</c:v>
                </c:pt>
                <c:pt idx="41">
                  <c:v>26.284027055406941</c:v>
                </c:pt>
                <c:pt idx="42">
                  <c:v>26.191913805406941</c:v>
                </c:pt>
                <c:pt idx="43">
                  <c:v>26.354495487820735</c:v>
                </c:pt>
                <c:pt idx="44">
                  <c:v>26.223538763496411</c:v>
                </c:pt>
                <c:pt idx="45">
                  <c:v>25.862480248344895</c:v>
                </c:pt>
                <c:pt idx="46">
                  <c:v>26.036150431599332</c:v>
                </c:pt>
                <c:pt idx="47">
                  <c:v>25.985892500220022</c:v>
                </c:pt>
                <c:pt idx="48">
                  <c:v>25.973990451272652</c:v>
                </c:pt>
                <c:pt idx="49">
                  <c:v>26.279448664055259</c:v>
                </c:pt>
                <c:pt idx="50">
                  <c:v>26.554652607338845</c:v>
                </c:pt>
                <c:pt idx="51">
                  <c:v>26.494979575505511</c:v>
                </c:pt>
                <c:pt idx="52">
                  <c:v>26.396733912279704</c:v>
                </c:pt>
                <c:pt idx="53">
                  <c:v>26.023562499593137</c:v>
                </c:pt>
                <c:pt idx="54">
                  <c:v>26.128318490093136</c:v>
                </c:pt>
                <c:pt idx="55">
                  <c:v>26.051735565642144</c:v>
                </c:pt>
                <c:pt idx="56">
                  <c:v>26.122042320336021</c:v>
                </c:pt>
                <c:pt idx="57">
                  <c:v>26.10420245746246</c:v>
                </c:pt>
                <c:pt idx="58">
                  <c:v>26.268113469636372</c:v>
                </c:pt>
                <c:pt idx="59">
                  <c:v>26.282838110044537</c:v>
                </c:pt>
                <c:pt idx="60">
                  <c:v>26.327519368044538</c:v>
                </c:pt>
                <c:pt idx="61">
                  <c:v>26.03430327804454</c:v>
                </c:pt>
                <c:pt idx="62">
                  <c:v>25.994547646933427</c:v>
                </c:pt>
                <c:pt idx="63">
                  <c:v>26.297290003172741</c:v>
                </c:pt>
                <c:pt idx="64">
                  <c:v>26.048048159437801</c:v>
                </c:pt>
                <c:pt idx="65">
                  <c:v>26.075363910072717</c:v>
                </c:pt>
                <c:pt idx="66">
                  <c:v>25.918015992072718</c:v>
                </c:pt>
                <c:pt idx="67">
                  <c:v>26.205646312628271</c:v>
                </c:pt>
                <c:pt idx="68">
                  <c:v>26.393937898082818</c:v>
                </c:pt>
                <c:pt idx="69">
                  <c:v>26.1078565651041</c:v>
                </c:pt>
                <c:pt idx="70">
                  <c:v>25.818659809691258</c:v>
                </c:pt>
                <c:pt idx="71">
                  <c:v>26.463072404994776</c:v>
                </c:pt>
                <c:pt idx="72">
                  <c:v>25.709871337494771</c:v>
                </c:pt>
                <c:pt idx="73">
                  <c:v>25.801427069570249</c:v>
                </c:pt>
                <c:pt idx="74">
                  <c:v>25.806137407224565</c:v>
                </c:pt>
                <c:pt idx="75">
                  <c:v>25.648066250860932</c:v>
                </c:pt>
                <c:pt idx="76">
                  <c:v>25.643743348283611</c:v>
                </c:pt>
                <c:pt idx="77">
                  <c:v>25.649638651327091</c:v>
                </c:pt>
                <c:pt idx="78">
                  <c:v>25.641221776761871</c:v>
                </c:pt>
                <c:pt idx="79">
                  <c:v>25.636486933370055</c:v>
                </c:pt>
                <c:pt idx="80">
                  <c:v>25.297110258164579</c:v>
                </c:pt>
                <c:pt idx="81">
                  <c:v>25.559988757193146</c:v>
                </c:pt>
                <c:pt idx="82">
                  <c:v>25.903044341540973</c:v>
                </c:pt>
                <c:pt idx="83">
                  <c:v>24.534799710290972</c:v>
                </c:pt>
                <c:pt idx="84">
                  <c:v>24.640151035828726</c:v>
                </c:pt>
                <c:pt idx="85">
                  <c:v>24.951262241428729</c:v>
                </c:pt>
                <c:pt idx="86">
                  <c:v>25.412956077880338</c:v>
                </c:pt>
                <c:pt idx="87">
                  <c:v>24.450483998349089</c:v>
                </c:pt>
                <c:pt idx="88">
                  <c:v>24.095562137625684</c:v>
                </c:pt>
                <c:pt idx="89">
                  <c:v>23.320049217908174</c:v>
                </c:pt>
                <c:pt idx="90">
                  <c:v>22.53478601914529</c:v>
                </c:pt>
                <c:pt idx="91">
                  <c:v>22.3172869208402</c:v>
                </c:pt>
                <c:pt idx="92">
                  <c:v>21.988553613147893</c:v>
                </c:pt>
                <c:pt idx="93">
                  <c:v>22.355617142244668</c:v>
                </c:pt>
                <c:pt idx="94">
                  <c:v>22.758514792929599</c:v>
                </c:pt>
                <c:pt idx="95">
                  <c:v>22.522486716262932</c:v>
                </c:pt>
                <c:pt idx="96">
                  <c:v>22.620721232391961</c:v>
                </c:pt>
                <c:pt idx="97">
                  <c:v>22.47255148039196</c:v>
                </c:pt>
                <c:pt idx="98">
                  <c:v>22.522216356236115</c:v>
                </c:pt>
                <c:pt idx="99">
                  <c:v>22.82323972845834</c:v>
                </c:pt>
                <c:pt idx="100">
                  <c:v>22.519527897833338</c:v>
                </c:pt>
                <c:pt idx="101">
                  <c:v>22.460577852833339</c:v>
                </c:pt>
                <c:pt idx="102">
                  <c:v>22.323470163776733</c:v>
                </c:pt>
                <c:pt idx="103">
                  <c:v>22.3469620508499</c:v>
                </c:pt>
                <c:pt idx="104">
                  <c:v>22.557163147320491</c:v>
                </c:pt>
                <c:pt idx="105">
                  <c:v>22.715578909180955</c:v>
                </c:pt>
                <c:pt idx="106">
                  <c:v>22.711281495702696</c:v>
                </c:pt>
                <c:pt idx="107">
                  <c:v>22.458680478461318</c:v>
                </c:pt>
                <c:pt idx="108">
                  <c:v>22.49616398053028</c:v>
                </c:pt>
                <c:pt idx="109">
                  <c:v>22.720357183756089</c:v>
                </c:pt>
                <c:pt idx="110">
                  <c:v>23.101750979821663</c:v>
                </c:pt>
                <c:pt idx="111">
                  <c:v>22.99243580121297</c:v>
                </c:pt>
                <c:pt idx="112">
                  <c:v>22.696393176212972</c:v>
                </c:pt>
                <c:pt idx="113">
                  <c:v>22.396556045921713</c:v>
                </c:pt>
                <c:pt idx="114">
                  <c:v>21.970360276065595</c:v>
                </c:pt>
                <c:pt idx="115">
                  <c:v>21.353507228798517</c:v>
                </c:pt>
                <c:pt idx="116">
                  <c:v>21.193331739609327</c:v>
                </c:pt>
                <c:pt idx="117">
                  <c:v>21.091544250009324</c:v>
                </c:pt>
                <c:pt idx="118">
                  <c:v>21.119532442334908</c:v>
                </c:pt>
                <c:pt idx="119">
                  <c:v>20.755975428895418</c:v>
                </c:pt>
                <c:pt idx="120">
                  <c:v>20.508082665433879</c:v>
                </c:pt>
                <c:pt idx="121">
                  <c:v>20.484282987252058</c:v>
                </c:pt>
                <c:pt idx="122">
                  <c:v>20.757849596046061</c:v>
                </c:pt>
                <c:pt idx="123">
                  <c:v>21.073517442468081</c:v>
                </c:pt>
                <c:pt idx="124">
                  <c:v>20.844281172778423</c:v>
                </c:pt>
                <c:pt idx="125">
                  <c:v>20.814068954055021</c:v>
                </c:pt>
                <c:pt idx="126">
                  <c:v>20.920251864805021</c:v>
                </c:pt>
                <c:pt idx="127">
                  <c:v>20.562006446409956</c:v>
                </c:pt>
                <c:pt idx="128">
                  <c:v>20.108098133884706</c:v>
                </c:pt>
                <c:pt idx="129">
                  <c:v>20.473298433667964</c:v>
                </c:pt>
                <c:pt idx="130">
                  <c:v>20.705486386963418</c:v>
                </c:pt>
                <c:pt idx="131">
                  <c:v>20.829980672963419</c:v>
                </c:pt>
                <c:pt idx="132">
                  <c:v>20.836106773518971</c:v>
                </c:pt>
                <c:pt idx="133">
                  <c:v>21.016652705951408</c:v>
                </c:pt>
                <c:pt idx="134">
                  <c:v>20.789791560168272</c:v>
                </c:pt>
                <c:pt idx="135">
                  <c:v>20.579170696768273</c:v>
                </c:pt>
                <c:pt idx="136">
                  <c:v>20.355168160246532</c:v>
                </c:pt>
                <c:pt idx="137">
                  <c:v>20.328344204690978</c:v>
                </c:pt>
                <c:pt idx="138">
                  <c:v>20.16511189040526</c:v>
                </c:pt>
                <c:pt idx="139">
                  <c:v>20.121977297361784</c:v>
                </c:pt>
                <c:pt idx="140">
                  <c:v>20.383661991670728</c:v>
                </c:pt>
                <c:pt idx="141">
                  <c:v>20.086694575374434</c:v>
                </c:pt>
                <c:pt idx="142">
                  <c:v>19.652941643461389</c:v>
                </c:pt>
                <c:pt idx="143">
                  <c:v>20.011900710536132</c:v>
                </c:pt>
                <c:pt idx="144">
                  <c:v>19.584999595536129</c:v>
                </c:pt>
                <c:pt idx="145">
                  <c:v>18.338758130253556</c:v>
                </c:pt>
                <c:pt idx="146">
                  <c:v>18.003421498627027</c:v>
                </c:pt>
                <c:pt idx="147">
                  <c:v>17.664567096407549</c:v>
                </c:pt>
                <c:pt idx="148">
                  <c:v>17.557756028775017</c:v>
                </c:pt>
                <c:pt idx="149">
                  <c:v>17.103222500717465</c:v>
                </c:pt>
                <c:pt idx="150">
                  <c:v>16.950682128431747</c:v>
                </c:pt>
                <c:pt idx="151">
                  <c:v>17.254811482850357</c:v>
                </c:pt>
                <c:pt idx="152">
                  <c:v>17.166953328827368</c:v>
                </c:pt>
                <c:pt idx="153">
                  <c:v>17.437639361412629</c:v>
                </c:pt>
                <c:pt idx="154">
                  <c:v>16.836668572034014</c:v>
                </c:pt>
                <c:pt idx="155">
                  <c:v>17.178070037098397</c:v>
                </c:pt>
                <c:pt idx="156">
                  <c:v>16.63880158157367</c:v>
                </c:pt>
                <c:pt idx="157">
                  <c:v>17.059527951923261</c:v>
                </c:pt>
                <c:pt idx="158">
                  <c:v>16.45383689720326</c:v>
                </c:pt>
                <c:pt idx="159">
                  <c:v>16.412831170127141</c:v>
                </c:pt>
                <c:pt idx="160">
                  <c:v>16.516390515407942</c:v>
                </c:pt>
                <c:pt idx="161">
                  <c:v>15.99216651539024</c:v>
                </c:pt>
                <c:pt idx="162">
                  <c:v>15.360313855588997</c:v>
                </c:pt>
                <c:pt idx="163">
                  <c:v>15.328633433350346</c:v>
                </c:pt>
                <c:pt idx="164">
                  <c:v>15.976963331017012</c:v>
                </c:pt>
                <c:pt idx="165">
                  <c:v>16.690862841191429</c:v>
                </c:pt>
                <c:pt idx="166">
                  <c:v>16.145659971301491</c:v>
                </c:pt>
                <c:pt idx="167">
                  <c:v>15.464515766773191</c:v>
                </c:pt>
                <c:pt idx="168">
                  <c:v>14.995426855309454</c:v>
                </c:pt>
                <c:pt idx="169">
                  <c:v>15.252408975811148</c:v>
                </c:pt>
                <c:pt idx="170">
                  <c:v>15.393808153481736</c:v>
                </c:pt>
                <c:pt idx="171">
                  <c:v>15.010667820306059</c:v>
                </c:pt>
                <c:pt idx="172">
                  <c:v>14.790235474956059</c:v>
                </c:pt>
                <c:pt idx="173">
                  <c:v>15.109375507156059</c:v>
                </c:pt>
                <c:pt idx="174">
                  <c:v>14.474444608124809</c:v>
                </c:pt>
                <c:pt idx="175">
                  <c:v>14.237123446178494</c:v>
                </c:pt>
                <c:pt idx="176">
                  <c:v>13.964091022933211</c:v>
                </c:pt>
                <c:pt idx="177">
                  <c:v>13.804935803588256</c:v>
                </c:pt>
                <c:pt idx="178">
                  <c:v>13.920065854679805</c:v>
                </c:pt>
                <c:pt idx="179">
                  <c:v>13.887597123670716</c:v>
                </c:pt>
                <c:pt idx="180">
                  <c:v>14.375013509526896</c:v>
                </c:pt>
                <c:pt idx="181">
                  <c:v>14.076899661263258</c:v>
                </c:pt>
                <c:pt idx="182">
                  <c:v>13.486894898110172</c:v>
                </c:pt>
                <c:pt idx="183">
                  <c:v>12.982097144738081</c:v>
                </c:pt>
                <c:pt idx="184">
                  <c:v>12.959785325578078</c:v>
                </c:pt>
                <c:pt idx="185">
                  <c:v>12.600427630985674</c:v>
                </c:pt>
                <c:pt idx="186">
                  <c:v>13.498560065021966</c:v>
                </c:pt>
                <c:pt idx="187">
                  <c:v>13.164622018504316</c:v>
                </c:pt>
                <c:pt idx="188">
                  <c:v>13.016507650870103</c:v>
                </c:pt>
                <c:pt idx="189">
                  <c:v>12.690851655510103</c:v>
                </c:pt>
                <c:pt idx="190">
                  <c:v>12.252670371995139</c:v>
                </c:pt>
                <c:pt idx="191">
                  <c:v>11.304877316838395</c:v>
                </c:pt>
                <c:pt idx="192">
                  <c:v>10.238363288235826</c:v>
                </c:pt>
                <c:pt idx="193">
                  <c:v>12.061985030768563</c:v>
                </c:pt>
                <c:pt idx="194">
                  <c:v>13.980141990334319</c:v>
                </c:pt>
                <c:pt idx="195">
                  <c:v>12.833445749662577</c:v>
                </c:pt>
                <c:pt idx="196">
                  <c:v>11.366081374523338</c:v>
                </c:pt>
                <c:pt idx="197">
                  <c:v>10.90363682888003</c:v>
                </c:pt>
                <c:pt idx="198">
                  <c:v>10.737985200263838</c:v>
                </c:pt>
                <c:pt idx="199">
                  <c:v>10.799314739174797</c:v>
                </c:pt>
                <c:pt idx="200">
                  <c:v>10.902407389008131</c:v>
                </c:pt>
                <c:pt idx="201">
                  <c:v>10.712139870076554</c:v>
                </c:pt>
                <c:pt idx="202">
                  <c:v>10.783006395935375</c:v>
                </c:pt>
                <c:pt idx="203">
                  <c:v>10.468769976551165</c:v>
                </c:pt>
                <c:pt idx="204">
                  <c:v>10.806466023250325</c:v>
                </c:pt>
                <c:pt idx="205">
                  <c:v>10.974624967850328</c:v>
                </c:pt>
                <c:pt idx="206">
                  <c:v>10.944504830850326</c:v>
                </c:pt>
                <c:pt idx="207">
                  <c:v>11.047415136625936</c:v>
                </c:pt>
                <c:pt idx="208">
                  <c:v>10.85314195979165</c:v>
                </c:pt>
                <c:pt idx="209">
                  <c:v>10.669500081404593</c:v>
                </c:pt>
                <c:pt idx="210">
                  <c:v>10.220016115952211</c:v>
                </c:pt>
                <c:pt idx="211">
                  <c:v>10.446660712085542</c:v>
                </c:pt>
                <c:pt idx="212">
                  <c:v>9.4547265843141162</c:v>
                </c:pt>
                <c:pt idx="213">
                  <c:v>9.1485265238729383</c:v>
                </c:pt>
                <c:pt idx="214">
                  <c:v>8.6711090748479371</c:v>
                </c:pt>
                <c:pt idx="215">
                  <c:v>8.3125333613223553</c:v>
                </c:pt>
                <c:pt idx="216">
                  <c:v>7.9712991068400028</c:v>
                </c:pt>
                <c:pt idx="217">
                  <c:v>8.7464841661068995</c:v>
                </c:pt>
                <c:pt idx="218">
                  <c:v>8.287312056223028</c:v>
                </c:pt>
                <c:pt idx="219">
                  <c:v>7.5883872014169222</c:v>
                </c:pt>
                <c:pt idx="220">
                  <c:v>7.9049700107079</c:v>
                </c:pt>
                <c:pt idx="221">
                  <c:v>9.2845142885153873</c:v>
                </c:pt>
                <c:pt idx="222">
                  <c:v>9.0767054242313883</c:v>
                </c:pt>
                <c:pt idx="223">
                  <c:v>9.4142562194551989</c:v>
                </c:pt>
                <c:pt idx="224">
                  <c:v>9.5868030590218662</c:v>
                </c:pt>
                <c:pt idx="225">
                  <c:v>9.6748151510111526</c:v>
                </c:pt>
                <c:pt idx="226">
                  <c:v>10.076936669100933</c:v>
                </c:pt>
                <c:pt idx="227">
                  <c:v>9.9509989502460936</c:v>
                </c:pt>
                <c:pt idx="228">
                  <c:v>9.4483954461872717</c:v>
                </c:pt>
                <c:pt idx="229">
                  <c:v>9.19645720037947</c:v>
                </c:pt>
                <c:pt idx="230">
                  <c:v>9.2940108433408728</c:v>
                </c:pt>
                <c:pt idx="231">
                  <c:v>9.5963463232981372</c:v>
                </c:pt>
                <c:pt idx="232">
                  <c:v>9.738225993978137</c:v>
                </c:pt>
                <c:pt idx="233">
                  <c:v>9.1781595971109056</c:v>
                </c:pt>
                <c:pt idx="234">
                  <c:v>9.1038456685478284</c:v>
                </c:pt>
                <c:pt idx="235">
                  <c:v>9.6062067962592188</c:v>
                </c:pt>
                <c:pt idx="236">
                  <c:v>9.3396079760092192</c:v>
                </c:pt>
                <c:pt idx="237">
                  <c:v>9.70558772320922</c:v>
                </c:pt>
                <c:pt idx="238">
                  <c:v>10.000763835093837</c:v>
                </c:pt>
                <c:pt idx="239">
                  <c:v>9.3672052249363347</c:v>
                </c:pt>
                <c:pt idx="240">
                  <c:v>9.102281867995158</c:v>
                </c:pt>
                <c:pt idx="241">
                  <c:v>9.1582792725871816</c:v>
                </c:pt>
                <c:pt idx="242">
                  <c:v>8.693675588615756</c:v>
                </c:pt>
                <c:pt idx="243">
                  <c:v>8.4263944694429842</c:v>
                </c:pt>
                <c:pt idx="244">
                  <c:v>8.6152648133946776</c:v>
                </c:pt>
                <c:pt idx="245">
                  <c:v>9.2129706604380015</c:v>
                </c:pt>
                <c:pt idx="246">
                  <c:v>9.3710936422380016</c:v>
                </c:pt>
                <c:pt idx="247">
                  <c:v>8.2745541521777284</c:v>
                </c:pt>
                <c:pt idx="248">
                  <c:v>7.8318994705289837</c:v>
                </c:pt>
                <c:pt idx="249">
                  <c:v>6.4341394366117077</c:v>
                </c:pt>
                <c:pt idx="250">
                  <c:v>6.6164745909096467</c:v>
                </c:pt>
                <c:pt idx="251">
                  <c:v>6.9706869620577061</c:v>
                </c:pt>
                <c:pt idx="252">
                  <c:v>7.2450192583732687</c:v>
                </c:pt>
                <c:pt idx="253">
                  <c:v>6.652505080878532</c:v>
                </c:pt>
                <c:pt idx="254">
                  <c:v>8.0175756135357137</c:v>
                </c:pt>
                <c:pt idx="255">
                  <c:v>7.409947783562445</c:v>
                </c:pt>
                <c:pt idx="256">
                  <c:v>7.6250102860477549</c:v>
                </c:pt>
                <c:pt idx="257">
                  <c:v>7.8789143281750276</c:v>
                </c:pt>
                <c:pt idx="258">
                  <c:v>8.7938736740338133</c:v>
                </c:pt>
                <c:pt idx="259">
                  <c:v>8.5587596853545307</c:v>
                </c:pt>
                <c:pt idx="260">
                  <c:v>7.9471413971366411</c:v>
                </c:pt>
                <c:pt idx="261">
                  <c:v>9.23857706452557</c:v>
                </c:pt>
                <c:pt idx="262">
                  <c:v>8.1743837734868539</c:v>
                </c:pt>
                <c:pt idx="263">
                  <c:v>9.0741104262873975</c:v>
                </c:pt>
                <c:pt idx="264">
                  <c:v>8.6877289292207323</c:v>
                </c:pt>
                <c:pt idx="265">
                  <c:v>9.6840487152452912</c:v>
                </c:pt>
                <c:pt idx="266">
                  <c:v>9.4734848665505407</c:v>
                </c:pt>
                <c:pt idx="267">
                  <c:v>8.6448173706239029</c:v>
                </c:pt>
                <c:pt idx="268">
                  <c:v>7.0195558862711982</c:v>
                </c:pt>
                <c:pt idx="269">
                  <c:v>7.904037595248413</c:v>
                </c:pt>
                <c:pt idx="270">
                  <c:v>8.0375003535869887</c:v>
                </c:pt>
                <c:pt idx="271">
                  <c:v>8.029471406844646</c:v>
                </c:pt>
                <c:pt idx="272">
                  <c:v>7.2465027412104988</c:v>
                </c:pt>
                <c:pt idx="273">
                  <c:v>6.3785034449887288</c:v>
                </c:pt>
                <c:pt idx="274">
                  <c:v>6.3418414777650804</c:v>
                </c:pt>
                <c:pt idx="275">
                  <c:v>6.339054461744178</c:v>
                </c:pt>
                <c:pt idx="276">
                  <c:v>5.3473479553420953</c:v>
                </c:pt>
                <c:pt idx="277">
                  <c:v>4.0464107376705547</c:v>
                </c:pt>
                <c:pt idx="278">
                  <c:v>4.2955615243681153</c:v>
                </c:pt>
                <c:pt idx="279">
                  <c:v>5.0286171029060709</c:v>
                </c:pt>
                <c:pt idx="280">
                  <c:v>2.5768705180682523</c:v>
                </c:pt>
                <c:pt idx="281">
                  <c:v>4.3496634493407074</c:v>
                </c:pt>
                <c:pt idx="282">
                  <c:v>5.2218013579688956</c:v>
                </c:pt>
                <c:pt idx="283">
                  <c:v>4.6309585165901082</c:v>
                </c:pt>
                <c:pt idx="284">
                  <c:v>5.7522414449671579</c:v>
                </c:pt>
                <c:pt idx="285">
                  <c:v>6.0790981899783185</c:v>
                </c:pt>
                <c:pt idx="286">
                  <c:v>7.2744126533479667</c:v>
                </c:pt>
                <c:pt idx="287">
                  <c:v>5.0693372930224365</c:v>
                </c:pt>
                <c:pt idx="288">
                  <c:v>4.3683095741525211</c:v>
                </c:pt>
                <c:pt idx="289">
                  <c:v>4.1063914491857156</c:v>
                </c:pt>
                <c:pt idx="290">
                  <c:v>3.2728481965979528</c:v>
                </c:pt>
                <c:pt idx="291">
                  <c:v>3.6911226931923782</c:v>
                </c:pt>
                <c:pt idx="292">
                  <c:v>3.050074926987937</c:v>
                </c:pt>
                <c:pt idx="293">
                  <c:v>2.8221291960879347</c:v>
                </c:pt>
                <c:pt idx="294">
                  <c:v>3.2682326065671568</c:v>
                </c:pt>
                <c:pt idx="295">
                  <c:v>1.9612417103439015</c:v>
                </c:pt>
                <c:pt idx="296">
                  <c:v>4.1687729238461753</c:v>
                </c:pt>
                <c:pt idx="297">
                  <c:v>-0.36744324055340022</c:v>
                </c:pt>
                <c:pt idx="298">
                  <c:v>-2.2370243706600257</c:v>
                </c:pt>
                <c:pt idx="299">
                  <c:v>-3.0737494901485309</c:v>
                </c:pt>
                <c:pt idx="300">
                  <c:v>-1.063035006471331</c:v>
                </c:pt>
                <c:pt idx="301">
                  <c:v>-0.80081160166504639</c:v>
                </c:pt>
                <c:pt idx="302">
                  <c:v>-0.48455741158504739</c:v>
                </c:pt>
                <c:pt idx="303">
                  <c:v>-0.74861147361706815</c:v>
                </c:pt>
                <c:pt idx="304">
                  <c:v>-0.51619799648193132</c:v>
                </c:pt>
                <c:pt idx="305">
                  <c:v>-1.257061549662418</c:v>
                </c:pt>
                <c:pt idx="306">
                  <c:v>-1.7132256361624194</c:v>
                </c:pt>
                <c:pt idx="307">
                  <c:v>-2.0693073117511371</c:v>
                </c:pt>
                <c:pt idx="308">
                  <c:v>-2.7191666994141519</c:v>
                </c:pt>
                <c:pt idx="309">
                  <c:v>-2.3324003430510363</c:v>
                </c:pt>
                <c:pt idx="310">
                  <c:v>-1.8599183087908957</c:v>
                </c:pt>
                <c:pt idx="311">
                  <c:v>-1.8380432262269664</c:v>
                </c:pt>
                <c:pt idx="312">
                  <c:v>-0.76712917146004223</c:v>
                </c:pt>
                <c:pt idx="313">
                  <c:v>-1.4525784413090486</c:v>
                </c:pt>
                <c:pt idx="314">
                  <c:v>-0.43495193554671779</c:v>
                </c:pt>
                <c:pt idx="315">
                  <c:v>-0.55742271143467181</c:v>
                </c:pt>
                <c:pt idx="316">
                  <c:v>0.55311720610022042</c:v>
                </c:pt>
                <c:pt idx="317">
                  <c:v>-0.13524653137393833</c:v>
                </c:pt>
                <c:pt idx="318">
                  <c:v>-1.7753792290625341</c:v>
                </c:pt>
                <c:pt idx="319">
                  <c:v>-5.9537481938591714</c:v>
                </c:pt>
                <c:pt idx="320">
                  <c:v>-2.8126399345591726</c:v>
                </c:pt>
                <c:pt idx="321">
                  <c:v>-0.36501681545189024</c:v>
                </c:pt>
                <c:pt idx="322">
                  <c:v>8.2352556866585438</c:v>
                </c:pt>
                <c:pt idx="323">
                  <c:v>8.8657943290895069</c:v>
                </c:pt>
                <c:pt idx="324">
                  <c:v>9.5573462389053905</c:v>
                </c:pt>
                <c:pt idx="325">
                  <c:v>10.355030504434804</c:v>
                </c:pt>
                <c:pt idx="326">
                  <c:v>9.5961487860094188</c:v>
                </c:pt>
                <c:pt idx="327">
                  <c:v>10.323313350128981</c:v>
                </c:pt>
                <c:pt idx="328">
                  <c:v>10.894480659737432</c:v>
                </c:pt>
                <c:pt idx="329">
                  <c:v>10.26810673690556</c:v>
                </c:pt>
                <c:pt idx="330">
                  <c:v>11.129062521899757</c:v>
                </c:pt>
                <c:pt idx="331">
                  <c:v>12.140646596775793</c:v>
                </c:pt>
                <c:pt idx="332">
                  <c:v>10.100959203918652</c:v>
                </c:pt>
                <c:pt idx="333">
                  <c:v>9.5190251874642371</c:v>
                </c:pt>
                <c:pt idx="334">
                  <c:v>8.0173028116437592</c:v>
                </c:pt>
                <c:pt idx="335">
                  <c:v>7.6716226860468621</c:v>
                </c:pt>
                <c:pt idx="336">
                  <c:v>7.2311650418015807</c:v>
                </c:pt>
                <c:pt idx="337">
                  <c:v>7.7742741104547752</c:v>
                </c:pt>
                <c:pt idx="338">
                  <c:v>7.6117640558119195</c:v>
                </c:pt>
                <c:pt idx="339">
                  <c:v>9.6046338838807959</c:v>
                </c:pt>
                <c:pt idx="340">
                  <c:v>7.9863206518722745</c:v>
                </c:pt>
                <c:pt idx="341">
                  <c:v>7.6088600790459084</c:v>
                </c:pt>
                <c:pt idx="342">
                  <c:v>7.7142595193723764</c:v>
                </c:pt>
                <c:pt idx="343">
                  <c:v>6.8003189923295206</c:v>
                </c:pt>
                <c:pt idx="344">
                  <c:v>6.2298235820112975</c:v>
                </c:pt>
                <c:pt idx="345">
                  <c:v>5.9523065065064085</c:v>
                </c:pt>
                <c:pt idx="346">
                  <c:v>5.988511123329439</c:v>
                </c:pt>
                <c:pt idx="347">
                  <c:v>5.6909845738823277</c:v>
                </c:pt>
                <c:pt idx="348">
                  <c:v>6.0331341863782217</c:v>
                </c:pt>
                <c:pt idx="349">
                  <c:v>5.9443157550168877</c:v>
                </c:pt>
                <c:pt idx="350">
                  <c:v>5.8140454689517389</c:v>
                </c:pt>
                <c:pt idx="351">
                  <c:v>5.391312589374099</c:v>
                </c:pt>
                <c:pt idx="352">
                  <c:v>4.7018216569789288</c:v>
                </c:pt>
                <c:pt idx="353">
                  <c:v>4.3787428011901399</c:v>
                </c:pt>
                <c:pt idx="354">
                  <c:v>4.695607538671287</c:v>
                </c:pt>
                <c:pt idx="355">
                  <c:v>4.1956952694050154</c:v>
                </c:pt>
                <c:pt idx="356">
                  <c:v>4.4278746008114132</c:v>
                </c:pt>
                <c:pt idx="357">
                  <c:v>3.9518287371912484</c:v>
                </c:pt>
                <c:pt idx="358">
                  <c:v>4.3351325084099166</c:v>
                </c:pt>
                <c:pt idx="359">
                  <c:v>3.9089528127647557</c:v>
                </c:pt>
                <c:pt idx="360">
                  <c:v>3.7319606174379212</c:v>
                </c:pt>
                <c:pt idx="361">
                  <c:v>3.069572924125163</c:v>
                </c:pt>
                <c:pt idx="362">
                  <c:v>2.95991278459379</c:v>
                </c:pt>
                <c:pt idx="363">
                  <c:v>2.801868284267353</c:v>
                </c:pt>
                <c:pt idx="364">
                  <c:v>3.0775666659866365</c:v>
                </c:pt>
                <c:pt idx="365">
                  <c:v>3.0612997226649585</c:v>
                </c:pt>
                <c:pt idx="366">
                  <c:v>3.3746506082541483</c:v>
                </c:pt>
                <c:pt idx="367">
                  <c:v>2.5416290401208141</c:v>
                </c:pt>
                <c:pt idx="368">
                  <c:v>2.5281913246977368</c:v>
                </c:pt>
                <c:pt idx="369">
                  <c:v>2.6728594767238238</c:v>
                </c:pt>
                <c:pt idx="370">
                  <c:v>2.7575772079531817</c:v>
                </c:pt>
                <c:pt idx="371">
                  <c:v>2.6015639954525223</c:v>
                </c:pt>
                <c:pt idx="372">
                  <c:v>2.8776554763033055</c:v>
                </c:pt>
                <c:pt idx="373">
                  <c:v>2.6003036960456125</c:v>
                </c:pt>
                <c:pt idx="374">
                  <c:v>2.5647370293041503</c:v>
                </c:pt>
                <c:pt idx="375">
                  <c:v>2.2228369775652377</c:v>
                </c:pt>
                <c:pt idx="376">
                  <c:v>2.2164730119717797</c:v>
                </c:pt>
                <c:pt idx="377">
                  <c:v>2.4177753470212853</c:v>
                </c:pt>
                <c:pt idx="378">
                  <c:v>2.6378270094811302</c:v>
                </c:pt>
                <c:pt idx="379">
                  <c:v>2.4817379952036647</c:v>
                </c:pt>
                <c:pt idx="380">
                  <c:v>1.6538770177951525</c:v>
                </c:pt>
                <c:pt idx="381">
                  <c:v>1.7291490311303581</c:v>
                </c:pt>
                <c:pt idx="382">
                  <c:v>1.6891640181108891</c:v>
                </c:pt>
                <c:pt idx="383">
                  <c:v>1.6879889982459453</c:v>
                </c:pt>
                <c:pt idx="384">
                  <c:v>1.5559431089790252</c:v>
                </c:pt>
                <c:pt idx="385">
                  <c:v>1.888826556007327</c:v>
                </c:pt>
                <c:pt idx="386">
                  <c:v>2.3779274864190922</c:v>
                </c:pt>
                <c:pt idx="387">
                  <c:v>1.9851504190234661</c:v>
                </c:pt>
                <c:pt idx="388">
                  <c:v>1.9616263310741269</c:v>
                </c:pt>
                <c:pt idx="389">
                  <c:v>1.8776812822973832</c:v>
                </c:pt>
                <c:pt idx="390">
                  <c:v>1.6148606689648757</c:v>
                </c:pt>
                <c:pt idx="391">
                  <c:v>1.8205896977887055</c:v>
                </c:pt>
                <c:pt idx="392">
                  <c:v>1.9438968521695408</c:v>
                </c:pt>
                <c:pt idx="393">
                  <c:v>1.4032993307585651</c:v>
                </c:pt>
                <c:pt idx="394">
                  <c:v>1.6584192568883527</c:v>
                </c:pt>
                <c:pt idx="395">
                  <c:v>1.6472084000728051</c:v>
                </c:pt>
                <c:pt idx="396">
                  <c:v>1.8232921757686662</c:v>
                </c:pt>
                <c:pt idx="397">
                  <c:v>1.6248310837511659</c:v>
                </c:pt>
                <c:pt idx="398">
                  <c:v>1.784057239058036</c:v>
                </c:pt>
                <c:pt idx="399">
                  <c:v>2.0024906310650246</c:v>
                </c:pt>
                <c:pt idx="400">
                  <c:v>1.1896617513617644</c:v>
                </c:pt>
                <c:pt idx="401">
                  <c:v>1.3530359182440035</c:v>
                </c:pt>
                <c:pt idx="402">
                  <c:v>1.1807424018360184</c:v>
                </c:pt>
                <c:pt idx="403">
                  <c:v>1.3209643966167879</c:v>
                </c:pt>
                <c:pt idx="404">
                  <c:v>1.3130609816920391</c:v>
                </c:pt>
                <c:pt idx="405">
                  <c:v>1.5956588364220381</c:v>
                </c:pt>
                <c:pt idx="406">
                  <c:v>1.2604521825364954</c:v>
                </c:pt>
                <c:pt idx="407">
                  <c:v>1.0702275519003164</c:v>
                </c:pt>
                <c:pt idx="408">
                  <c:v>0.88652548113016694</c:v>
                </c:pt>
                <c:pt idx="409">
                  <c:v>0.87878052277084495</c:v>
                </c:pt>
                <c:pt idx="410">
                  <c:v>0.8623202606348741</c:v>
                </c:pt>
                <c:pt idx="411">
                  <c:v>1.0982022000277043</c:v>
                </c:pt>
                <c:pt idx="412">
                  <c:v>0.36795860103337713</c:v>
                </c:pt>
                <c:pt idx="413">
                  <c:v>0.40589526705521145</c:v>
                </c:pt>
                <c:pt idx="414">
                  <c:v>0.48201001258721177</c:v>
                </c:pt>
                <c:pt idx="415">
                  <c:v>0.35961385250943406</c:v>
                </c:pt>
                <c:pt idx="416">
                  <c:v>0.33997683650943405</c:v>
                </c:pt>
                <c:pt idx="417">
                  <c:v>0.38921382439111596</c:v>
                </c:pt>
                <c:pt idx="418">
                  <c:v>0.35778978157821295</c:v>
                </c:pt>
                <c:pt idx="419">
                  <c:v>0.2673559871533201</c:v>
                </c:pt>
                <c:pt idx="420">
                  <c:v>0.30630534590164293</c:v>
                </c:pt>
                <c:pt idx="421">
                  <c:v>0.17583596674030971</c:v>
                </c:pt>
                <c:pt idx="422">
                  <c:v>0.13249607179396825</c:v>
                </c:pt>
                <c:pt idx="423">
                  <c:v>8.0029823592861135E-2</c:v>
                </c:pt>
                <c:pt idx="424">
                  <c:v>5.7175557943536359E-3</c:v>
                </c:pt>
                <c:pt idx="425">
                  <c:v>-2.0012174667573953E-3</c:v>
                </c:pt>
                <c:pt idx="426">
                  <c:v>-2.9448899491757323E-2</c:v>
                </c:pt>
                <c:pt idx="427">
                  <c:v>-0.12890247719175732</c:v>
                </c:pt>
                <c:pt idx="428">
                  <c:v>-1.8048181087454384E-2</c:v>
                </c:pt>
                <c:pt idx="429">
                  <c:v>-1.1378361152930757E-2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E7-47E0-A105-2EFA88E1E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0967103"/>
        <c:axId val="1900965855"/>
      </c:lineChart>
      <c:dateAx>
        <c:axId val="190096710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965855"/>
        <c:crosses val="autoZero"/>
        <c:auto val="1"/>
        <c:lblOffset val="100"/>
        <c:baseTimeUnit val="days"/>
      </c:dateAx>
      <c:valAx>
        <c:axId val="190096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0967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6CBD9F2-C493-410C-AA0D-243DD91DC9AF}">
  <sheetPr codeName="Chart1"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075874-3800-464B-998C-6E3E3792B10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0.86450000000000005</v>
      </c>
      <c r="D2" s="4">
        <f>MIN(D3:D1912)</f>
        <v>8.5199999999999998E-2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9.7299999999999998E-2</v>
      </c>
      <c r="C5">
        <v>9.7900000000000001E-2</v>
      </c>
      <c r="D5">
        <v>9.4899999999999998E-2</v>
      </c>
      <c r="E5">
        <v>9.5000000000000001E-2</v>
      </c>
      <c r="F5">
        <v>1745842</v>
      </c>
      <c r="G5">
        <v>9.5000000000000001E-2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-0.93333333333333146</v>
      </c>
      <c r="Q5">
        <f t="shared" ref="Q5" si="1">F5*P5</f>
        <v>-1629452.5333333299</v>
      </c>
      <c r="R5">
        <f t="shared" ref="R5" si="2">R6+Q5</f>
        <v>2554183879.1458611</v>
      </c>
      <c r="S5">
        <f t="shared" ref="S5" si="3">R5/100000</f>
        <v>25541.838791458613</v>
      </c>
      <c r="T5">
        <f t="shared" ref="T5" si="4">S5/1000</f>
        <v>25.541838791458613</v>
      </c>
    </row>
    <row r="6" spans="1:20" x14ac:dyDescent="0.25">
      <c r="A6" s="5">
        <v>44587</v>
      </c>
      <c r="B6">
        <v>9.6299999999999997E-2</v>
      </c>
      <c r="C6">
        <v>0.10349999999999999</v>
      </c>
      <c r="D6">
        <v>9.5100000000000004E-2</v>
      </c>
      <c r="E6">
        <v>9.7299999999999998E-2</v>
      </c>
      <c r="F6">
        <v>36005764</v>
      </c>
      <c r="G6">
        <v>9.7299999999999998E-2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-0.47619047619047711</v>
      </c>
      <c r="Q6">
        <f t="shared" ref="Q6" si="6">F6*P6</f>
        <v>-17145601.904761937</v>
      </c>
      <c r="R6">
        <f t="shared" ref="R6" si="7">R7+Q6</f>
        <v>2555813331.6791945</v>
      </c>
      <c r="S6">
        <f t="shared" ref="S6" si="8">R6/100000</f>
        <v>25558.133316791944</v>
      </c>
      <c r="T6">
        <f t="shared" ref="T6" si="9">S6/1000</f>
        <v>25.558133316791945</v>
      </c>
    </row>
    <row r="7" spans="1:20" x14ac:dyDescent="0.25">
      <c r="A7" s="5">
        <v>44586</v>
      </c>
      <c r="B7">
        <v>9.8000000000000004E-2</v>
      </c>
      <c r="C7">
        <v>9.9099999999999994E-2</v>
      </c>
      <c r="D7">
        <v>9.3600000000000003E-2</v>
      </c>
      <c r="E7">
        <v>9.6199999999999994E-2</v>
      </c>
      <c r="F7">
        <v>19965668</v>
      </c>
      <c r="G7">
        <v>9.6199999999999994E-2</v>
      </c>
      <c r="L7" t="s">
        <v>8</v>
      </c>
      <c r="M7" t="s">
        <v>7</v>
      </c>
      <c r="N7" t="s">
        <v>7</v>
      </c>
      <c r="P7">
        <f t="shared" ref="P7" si="10">IF(C7=D7,0,((E7-D7)-(C7-E7))/(C7-D7))</f>
        <v>-5.4545454545456194E-2</v>
      </c>
      <c r="Q7">
        <f t="shared" ref="Q7" si="11">F7*P7</f>
        <v>-1089036.4363636693</v>
      </c>
      <c r="R7">
        <f t="shared" ref="R7" si="12">R8+Q7</f>
        <v>2572958933.5839562</v>
      </c>
      <c r="S7">
        <f t="shared" ref="S7" si="13">R7/100000</f>
        <v>25729.589335839562</v>
      </c>
      <c r="T7">
        <f t="shared" ref="T7" si="14">S7/1000</f>
        <v>25.729589335839563</v>
      </c>
    </row>
    <row r="8" spans="1:20" x14ac:dyDescent="0.25">
      <c r="A8" s="5">
        <v>44585</v>
      </c>
      <c r="B8">
        <v>9.7699999999999995E-2</v>
      </c>
      <c r="C8">
        <v>9.9299999999999999E-2</v>
      </c>
      <c r="D8">
        <v>8.6800000000000002E-2</v>
      </c>
      <c r="E8">
        <v>9.8000000000000004E-2</v>
      </c>
      <c r="F8">
        <v>37654407</v>
      </c>
      <c r="G8">
        <v>9.8000000000000004E-2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0.7920000000000007</v>
      </c>
      <c r="Q8">
        <f t="shared" ref="Q8" si="16">F8*P8</f>
        <v>29822290.344000027</v>
      </c>
      <c r="R8">
        <f t="shared" ref="R8" si="17">R9+Q8</f>
        <v>2574047970.0203199</v>
      </c>
      <c r="S8">
        <f t="shared" ref="S8" si="18">R8/100000</f>
        <v>25740.479700203199</v>
      </c>
      <c r="T8">
        <f t="shared" ref="T8" si="19">S8/1000</f>
        <v>25.740479700203199</v>
      </c>
    </row>
    <row r="9" spans="1:20" x14ac:dyDescent="0.25">
      <c r="A9" s="5">
        <v>44584</v>
      </c>
      <c r="B9">
        <v>9.4600000000000004E-2</v>
      </c>
      <c r="C9">
        <v>9.9500000000000005E-2</v>
      </c>
      <c r="D9">
        <v>9.2899999999999996E-2</v>
      </c>
      <c r="E9">
        <v>9.7600000000000006E-2</v>
      </c>
      <c r="F9">
        <v>22344360</v>
      </c>
      <c r="G9">
        <v>9.7600000000000006E-2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0.42424242424242531</v>
      </c>
      <c r="Q9">
        <f t="shared" ref="Q9" si="21">F9*P9</f>
        <v>9479425.4545454793</v>
      </c>
      <c r="R9">
        <f t="shared" ref="R9" si="22">R10+Q9</f>
        <v>2544225679.6763201</v>
      </c>
      <c r="S9">
        <f t="shared" ref="S9" si="23">R9/100000</f>
        <v>25442.256796763202</v>
      </c>
      <c r="T9">
        <f t="shared" ref="T9" si="24">S9/1000</f>
        <v>25.442256796763203</v>
      </c>
    </row>
    <row r="10" spans="1:20" x14ac:dyDescent="0.25">
      <c r="A10" s="5">
        <v>44583</v>
      </c>
      <c r="B10">
        <v>9.6600000000000005E-2</v>
      </c>
      <c r="C10">
        <v>0.10050000000000001</v>
      </c>
      <c r="D10">
        <v>8.7800000000000003E-2</v>
      </c>
      <c r="E10">
        <v>9.4700000000000006E-2</v>
      </c>
      <c r="F10">
        <v>73254882.409999996</v>
      </c>
      <c r="G10">
        <v>9.4700000000000006E-2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8.6614173228346733E-2</v>
      </c>
      <c r="Q10">
        <f t="shared" ref="Q10" si="26">F10*P10</f>
        <v>6344911.0748819094</v>
      </c>
      <c r="R10">
        <f t="shared" ref="R10" si="27">R11+Q10</f>
        <v>2534746254.2217746</v>
      </c>
      <c r="S10">
        <f t="shared" ref="S10" si="28">R10/100000</f>
        <v>25347.462542217745</v>
      </c>
      <c r="T10">
        <f t="shared" ref="T10" si="29">S10/1000</f>
        <v>25.347462542217745</v>
      </c>
    </row>
    <row r="11" spans="1:20" x14ac:dyDescent="0.25">
      <c r="A11" s="5">
        <v>44582</v>
      </c>
      <c r="B11">
        <v>0.1096</v>
      </c>
      <c r="C11">
        <v>0.111</v>
      </c>
      <c r="D11">
        <v>9.4E-2</v>
      </c>
      <c r="E11">
        <v>9.6699999999999994E-2</v>
      </c>
      <c r="F11">
        <v>44923308.270000003</v>
      </c>
      <c r="G11">
        <v>9.6699999999999994E-2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-0.68235294117647127</v>
      </c>
      <c r="Q11">
        <f t="shared" ref="Q11" si="31">F11*P11</f>
        <v>-30653551.5254118</v>
      </c>
      <c r="R11">
        <f t="shared" ref="R11" si="32">R12+Q11</f>
        <v>2528401343.1468925</v>
      </c>
      <c r="S11">
        <f t="shared" ref="S11" si="33">R11/100000</f>
        <v>25284.013431468924</v>
      </c>
      <c r="T11">
        <f t="shared" ref="T11" si="34">S11/1000</f>
        <v>25.284013431468924</v>
      </c>
    </row>
    <row r="12" spans="1:20" x14ac:dyDescent="0.25">
      <c r="A12" s="5">
        <v>44581</v>
      </c>
      <c r="B12">
        <v>0.11219999999999999</v>
      </c>
      <c r="C12">
        <v>0.11749999999999999</v>
      </c>
      <c r="D12">
        <v>0.10920000000000001</v>
      </c>
      <c r="E12">
        <v>0.10970000000000001</v>
      </c>
      <c r="F12">
        <v>15040250</v>
      </c>
      <c r="G12">
        <v>0.10970000000000001</v>
      </c>
      <c r="L12" t="s">
        <v>8</v>
      </c>
      <c r="M12" t="s">
        <v>7</v>
      </c>
      <c r="N12" t="s">
        <v>7</v>
      </c>
      <c r="P12">
        <f t="shared" ref="P12" si="35">IF(C12=D12,0,((E12-D12)-(C12-E12))/(C12-D12))</f>
        <v>-0.87951807228915635</v>
      </c>
      <c r="Q12">
        <f t="shared" ref="Q12" si="36">F12*P12</f>
        <v>-13228171.686746983</v>
      </c>
      <c r="R12">
        <f t="shared" ref="R12" si="37">R13+Q12</f>
        <v>2559054894.6723042</v>
      </c>
      <c r="S12">
        <f t="shared" ref="S12" si="38">R12/100000</f>
        <v>25590.54894672304</v>
      </c>
      <c r="T12">
        <f t="shared" ref="T12" si="39">S12/1000</f>
        <v>25.59054894672304</v>
      </c>
    </row>
    <row r="13" spans="1:20" x14ac:dyDescent="0.25">
      <c r="A13" s="5">
        <v>44580</v>
      </c>
      <c r="B13">
        <v>0.1138</v>
      </c>
      <c r="C13">
        <v>0.1145</v>
      </c>
      <c r="D13">
        <v>0.1086</v>
      </c>
      <c r="E13">
        <v>0.11219999999999999</v>
      </c>
      <c r="F13">
        <v>10382042</v>
      </c>
      <c r="G13">
        <v>0.11219999999999999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0.22033898305084426</v>
      </c>
      <c r="Q13">
        <f t="shared" ref="Q13" si="41">F13*P13</f>
        <v>2287568.5762711531</v>
      </c>
      <c r="R13">
        <f t="shared" ref="R13" si="42">R14+Q13</f>
        <v>2572283066.3590512</v>
      </c>
      <c r="S13">
        <f t="shared" ref="S13" si="43">R13/100000</f>
        <v>25722.830663590514</v>
      </c>
      <c r="T13">
        <f t="shared" ref="T13" si="44">S13/1000</f>
        <v>25.722830663590514</v>
      </c>
    </row>
    <row r="14" spans="1:20" x14ac:dyDescent="0.25">
      <c r="A14" s="5">
        <v>44579</v>
      </c>
      <c r="B14">
        <v>0.1147</v>
      </c>
      <c r="C14">
        <v>0.11600000000000001</v>
      </c>
      <c r="D14">
        <v>0.1108</v>
      </c>
      <c r="E14">
        <v>0.1138</v>
      </c>
      <c r="F14">
        <v>8898720</v>
      </c>
      <c r="G14">
        <v>0.1138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0.15384615384615261</v>
      </c>
      <c r="Q14">
        <f t="shared" ref="Q14" si="46">F14*P14</f>
        <v>1369033.8461538351</v>
      </c>
      <c r="R14">
        <f t="shared" ref="R14" si="47">R15+Q14</f>
        <v>2569995497.7827802</v>
      </c>
      <c r="S14">
        <f t="shared" ref="S14" si="48">R14/100000</f>
        <v>25699.954977827801</v>
      </c>
      <c r="T14">
        <f t="shared" ref="T14" si="49">S14/1000</f>
        <v>25.699954977827801</v>
      </c>
    </row>
    <row r="15" spans="1:20" x14ac:dyDescent="0.25">
      <c r="A15" s="5">
        <v>44578</v>
      </c>
      <c r="B15">
        <v>0.11940000000000001</v>
      </c>
      <c r="C15">
        <v>0.1198</v>
      </c>
      <c r="D15">
        <v>0.113</v>
      </c>
      <c r="E15">
        <v>0.1147</v>
      </c>
      <c r="F15">
        <v>8988577</v>
      </c>
      <c r="G15">
        <v>0.1147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-0.500000000000002</v>
      </c>
      <c r="Q15">
        <f t="shared" ref="Q15" si="51">F15*P15</f>
        <v>-4494288.5000000177</v>
      </c>
      <c r="R15">
        <f t="shared" ref="R15" si="52">R16+Q15</f>
        <v>2568626463.9366264</v>
      </c>
      <c r="S15">
        <f t="shared" ref="S15" si="53">R15/100000</f>
        <v>25686.264639366265</v>
      </c>
      <c r="T15">
        <f t="shared" ref="T15" si="54">S15/1000</f>
        <v>25.686264639366264</v>
      </c>
    </row>
    <row r="16" spans="1:20" x14ac:dyDescent="0.25">
      <c r="A16" s="5">
        <v>44577</v>
      </c>
      <c r="B16">
        <v>0.1183</v>
      </c>
      <c r="C16">
        <v>0.1215</v>
      </c>
      <c r="D16">
        <v>0.1164</v>
      </c>
      <c r="E16">
        <v>0.11940000000000001</v>
      </c>
      <c r="F16">
        <v>9449268</v>
      </c>
      <c r="G16">
        <v>0.11940000000000001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0.17647058823529668</v>
      </c>
      <c r="Q16">
        <f t="shared" ref="Q16" si="56">F16*P16</f>
        <v>1667517.8823529654</v>
      </c>
      <c r="R16">
        <f t="shared" ref="R16" si="57">R17+Q16</f>
        <v>2573120752.4366264</v>
      </c>
      <c r="S16">
        <f t="shared" ref="S16" si="58">R16/100000</f>
        <v>25731.207524366266</v>
      </c>
      <c r="T16">
        <f t="shared" ref="T16" si="59">S16/1000</f>
        <v>25.731207524366265</v>
      </c>
    </row>
    <row r="17" spans="1:20" x14ac:dyDescent="0.25">
      <c r="A17" s="5">
        <v>44576</v>
      </c>
      <c r="B17">
        <v>0.11890000000000001</v>
      </c>
      <c r="C17">
        <v>0.1206</v>
      </c>
      <c r="D17">
        <v>0.1177</v>
      </c>
      <c r="E17">
        <v>0.1182</v>
      </c>
      <c r="F17">
        <v>8288047</v>
      </c>
      <c r="G17">
        <v>0.1182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-0.65517241379310309</v>
      </c>
      <c r="Q17">
        <f t="shared" ref="Q17" si="61">F17*P17</f>
        <v>-5430099.7586206868</v>
      </c>
      <c r="R17">
        <f t="shared" ref="R17" si="62">R18+Q17</f>
        <v>2571453234.5542736</v>
      </c>
      <c r="S17">
        <f t="shared" ref="S17" si="63">R17/100000</f>
        <v>25714.532345542735</v>
      </c>
      <c r="T17">
        <f t="shared" ref="T17" si="64">S17/1000</f>
        <v>25.714532345542736</v>
      </c>
    </row>
    <row r="18" spans="1:20" x14ac:dyDescent="0.25">
      <c r="A18" s="5">
        <v>44575</v>
      </c>
      <c r="B18">
        <v>0.1144</v>
      </c>
      <c r="C18">
        <v>0.1207</v>
      </c>
      <c r="D18">
        <v>0.1138</v>
      </c>
      <c r="E18">
        <v>0.1188</v>
      </c>
      <c r="F18">
        <v>10347724</v>
      </c>
      <c r="G18">
        <v>0.1188</v>
      </c>
      <c r="L18" t="s">
        <v>8</v>
      </c>
      <c r="M18" t="s">
        <v>7</v>
      </c>
      <c r="N18" t="s">
        <v>7</v>
      </c>
      <c r="P18">
        <f t="shared" ref="P18" si="65">IF(C18=D18,0,((E18-D18)-(C18-E18))/(C18-D18))</f>
        <v>0.44927536231884119</v>
      </c>
      <c r="Q18">
        <f t="shared" ref="Q18" si="66">F18*P18</f>
        <v>4648977.4492753688</v>
      </c>
      <c r="R18">
        <f t="shared" ref="R18" si="67">R19+Q18</f>
        <v>2576883334.3128943</v>
      </c>
      <c r="S18">
        <f t="shared" ref="S18" si="68">R18/100000</f>
        <v>25768.833343128943</v>
      </c>
      <c r="T18">
        <f t="shared" ref="T18" si="69">S18/1000</f>
        <v>25.768833343128943</v>
      </c>
    </row>
    <row r="19" spans="1:20" x14ac:dyDescent="0.25">
      <c r="A19" s="5">
        <v>44574</v>
      </c>
      <c r="B19">
        <v>0.11890000000000001</v>
      </c>
      <c r="C19">
        <v>0.12130000000000001</v>
      </c>
      <c r="D19">
        <v>0.1139</v>
      </c>
      <c r="E19">
        <v>0.1144</v>
      </c>
      <c r="F19">
        <v>14276932</v>
      </c>
      <c r="G19">
        <v>0.1144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-0.8648648648648648</v>
      </c>
      <c r="Q19">
        <f t="shared" ref="Q19" si="71">F19*P19</f>
        <v>-12347616.864864863</v>
      </c>
      <c r="R19">
        <f t="shared" ref="R19" si="72">R20+Q19</f>
        <v>2572234356.8636189</v>
      </c>
      <c r="S19">
        <f t="shared" ref="S19" si="73">R19/100000</f>
        <v>25722.343568636188</v>
      </c>
      <c r="T19">
        <f t="shared" ref="T19" si="74">S19/1000</f>
        <v>25.722343568636187</v>
      </c>
    </row>
    <row r="20" spans="1:20" x14ac:dyDescent="0.25">
      <c r="A20" s="5">
        <v>44573</v>
      </c>
      <c r="B20">
        <v>0.11459999999999999</v>
      </c>
      <c r="C20">
        <v>0.1201</v>
      </c>
      <c r="D20">
        <v>0.11409999999999999</v>
      </c>
      <c r="E20">
        <v>0.11899999999999999</v>
      </c>
      <c r="F20">
        <v>12764087</v>
      </c>
      <c r="G20">
        <v>0.11899999999999999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0.63333333333333242</v>
      </c>
      <c r="Q20">
        <f t="shared" ref="Q20" si="76">F20*P20</f>
        <v>8083921.7666666545</v>
      </c>
      <c r="R20">
        <f t="shared" ref="R20" si="77">R21+Q20</f>
        <v>2584581973.7284837</v>
      </c>
      <c r="S20">
        <f t="shared" ref="S20" si="78">R20/100000</f>
        <v>25845.819737284837</v>
      </c>
      <c r="T20">
        <f t="shared" ref="T20" si="79">S20/1000</f>
        <v>25.845819737284838</v>
      </c>
    </row>
    <row r="21" spans="1:20" x14ac:dyDescent="0.25">
      <c r="A21" s="5">
        <v>44572</v>
      </c>
      <c r="B21">
        <v>0.11169999999999999</v>
      </c>
      <c r="C21">
        <v>0.1154</v>
      </c>
      <c r="D21">
        <v>0.1096</v>
      </c>
      <c r="E21">
        <v>0.11459999999999999</v>
      </c>
      <c r="F21">
        <v>16428229</v>
      </c>
      <c r="G21">
        <v>0.11459999999999999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0.72413793103447965</v>
      </c>
      <c r="Q21">
        <f t="shared" ref="Q21" si="81">F21*P21</f>
        <v>11896303.758620638</v>
      </c>
      <c r="R21">
        <f t="shared" ref="R21" si="82">R22+Q21</f>
        <v>2576498051.9618168</v>
      </c>
      <c r="S21">
        <f t="shared" ref="S21" si="83">R21/100000</f>
        <v>25764.98051961817</v>
      </c>
      <c r="T21">
        <f t="shared" ref="T21" si="84">S21/1000</f>
        <v>25.76498051961817</v>
      </c>
    </row>
    <row r="22" spans="1:20" x14ac:dyDescent="0.25">
      <c r="A22" s="5">
        <v>44571</v>
      </c>
      <c r="B22">
        <v>0.1152</v>
      </c>
      <c r="C22">
        <v>0.1179</v>
      </c>
      <c r="D22">
        <v>0.10440000000000001</v>
      </c>
      <c r="E22">
        <v>0.1116</v>
      </c>
      <c r="F22">
        <v>30657013</v>
      </c>
      <c r="G22">
        <v>0.1116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6.6666666666666527E-2</v>
      </c>
      <c r="Q22">
        <f t="shared" ref="Q22" si="86">F22*P22</f>
        <v>2043800.8666666623</v>
      </c>
      <c r="R22">
        <f t="shared" ref="R22" si="87">R23+Q22</f>
        <v>2564601748.203196</v>
      </c>
      <c r="S22">
        <f t="shared" ref="S22" si="88">R22/100000</f>
        <v>25646.017482031959</v>
      </c>
      <c r="T22">
        <f t="shared" ref="T22" si="89">S22/1000</f>
        <v>25.646017482031958</v>
      </c>
    </row>
    <row r="23" spans="1:20" x14ac:dyDescent="0.25">
      <c r="A23" s="5">
        <v>44570</v>
      </c>
      <c r="B23">
        <v>0.1142</v>
      </c>
      <c r="C23">
        <v>0.1181</v>
      </c>
      <c r="D23">
        <v>0.11269999999999999</v>
      </c>
      <c r="E23">
        <v>0.11509999999999999</v>
      </c>
      <c r="F23">
        <v>13108650</v>
      </c>
      <c r="G23">
        <v>0.11509999999999999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-0.11111111111111169</v>
      </c>
      <c r="Q23">
        <f t="shared" ref="Q23" si="91">F23*P23</f>
        <v>-1456516.6666666742</v>
      </c>
      <c r="R23">
        <f t="shared" ref="R23" si="92">R24+Q23</f>
        <v>2562557947.3365293</v>
      </c>
      <c r="S23">
        <f t="shared" ref="S23" si="93">R23/100000</f>
        <v>25625.579473365291</v>
      </c>
      <c r="T23">
        <f t="shared" ref="T23" si="94">S23/1000</f>
        <v>25.625579473365292</v>
      </c>
    </row>
    <row r="24" spans="1:20" x14ac:dyDescent="0.25">
      <c r="A24" s="5">
        <v>44569</v>
      </c>
      <c r="B24">
        <v>0.11650000000000001</v>
      </c>
      <c r="C24">
        <v>0.1215</v>
      </c>
      <c r="D24">
        <v>0.11020000000000001</v>
      </c>
      <c r="E24">
        <v>0.1143</v>
      </c>
      <c r="F24">
        <v>21784881</v>
      </c>
      <c r="G24">
        <v>0.1143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-0.27433628318584141</v>
      </c>
      <c r="Q24">
        <f t="shared" ref="Q24" si="96">F24*P24</f>
        <v>-5976383.2831858564</v>
      </c>
      <c r="R24">
        <f t="shared" ref="R24" si="97">R25+Q24</f>
        <v>2564014464.0031958</v>
      </c>
      <c r="S24">
        <f t="shared" ref="S24" si="98">R24/100000</f>
        <v>25640.144640031958</v>
      </c>
      <c r="T24">
        <f t="shared" ref="T24" si="99">S24/1000</f>
        <v>25.640144640031959</v>
      </c>
    </row>
    <row r="25" spans="1:20" x14ac:dyDescent="0.25">
      <c r="A25" s="5">
        <v>44568</v>
      </c>
      <c r="B25">
        <v>0.1234</v>
      </c>
      <c r="C25">
        <v>0.124</v>
      </c>
      <c r="D25">
        <v>0.1125</v>
      </c>
      <c r="E25">
        <v>0.1163</v>
      </c>
      <c r="F25">
        <v>25821270</v>
      </c>
      <c r="G25">
        <v>0.1163</v>
      </c>
      <c r="L25" t="s">
        <v>7</v>
      </c>
      <c r="M25" t="s">
        <v>7</v>
      </c>
      <c r="N25" t="s">
        <v>8</v>
      </c>
      <c r="P25">
        <f t="shared" ref="P25" si="100">IF(C25=D25,0,((E25-D25)-(C25-E25))/(C25-D25))</f>
        <v>-0.33913043478260885</v>
      </c>
      <c r="Q25">
        <f t="shared" ref="Q25" si="101">F25*P25</f>
        <v>-8756778.5217391346</v>
      </c>
      <c r="R25">
        <f t="shared" ref="R25" si="102">R26+Q25</f>
        <v>2569990847.2863817</v>
      </c>
      <c r="S25">
        <f t="shared" ref="S25" si="103">R25/100000</f>
        <v>25699.908472863815</v>
      </c>
      <c r="T25">
        <f t="shared" ref="T25" si="104">S25/1000</f>
        <v>25.699908472863815</v>
      </c>
    </row>
    <row r="26" spans="1:20" x14ac:dyDescent="0.25">
      <c r="A26" s="5">
        <v>44567</v>
      </c>
      <c r="B26">
        <v>0.12959999999999999</v>
      </c>
      <c r="C26">
        <v>0.13020000000000001</v>
      </c>
      <c r="D26">
        <v>0.1197</v>
      </c>
      <c r="E26">
        <v>0.1235</v>
      </c>
      <c r="F26">
        <v>29467953</v>
      </c>
      <c r="G26">
        <v>0.1235</v>
      </c>
      <c r="L26" t="s">
        <v>8</v>
      </c>
      <c r="M26" t="s">
        <v>7</v>
      </c>
      <c r="N26" t="s">
        <v>8</v>
      </c>
      <c r="P26">
        <f t="shared" ref="P26" si="105">IF(C26=D26,0,((E26-D26)-(C26-E26))/(C26-D26))</f>
        <v>-0.27619047619047726</v>
      </c>
      <c r="Q26">
        <f t="shared" ref="Q26" si="106">F26*P26</f>
        <v>-8138767.9714286029</v>
      </c>
      <c r="R26">
        <f t="shared" ref="R26" si="107">R27+Q26</f>
        <v>2578747625.8081207</v>
      </c>
      <c r="S26">
        <f t="shared" ref="S26" si="108">R26/100000</f>
        <v>25787.476258081206</v>
      </c>
      <c r="T26">
        <f t="shared" ref="T26" si="109">S26/1000</f>
        <v>25.787476258081206</v>
      </c>
    </row>
    <row r="27" spans="1:20" x14ac:dyDescent="0.25">
      <c r="A27" s="5">
        <v>44566</v>
      </c>
      <c r="B27">
        <v>0.1246</v>
      </c>
      <c r="C27">
        <v>0.14249999999999999</v>
      </c>
      <c r="D27">
        <v>0.1192</v>
      </c>
      <c r="E27">
        <v>0.12970000000000001</v>
      </c>
      <c r="F27">
        <v>116469774</v>
      </c>
      <c r="G27">
        <v>0.12970000000000001</v>
      </c>
      <c r="L27" t="s">
        <v>7</v>
      </c>
      <c r="M27" t="s">
        <v>8</v>
      </c>
      <c r="N27" t="s">
        <v>8</v>
      </c>
      <c r="P27">
        <f t="shared" ref="P27" si="110">IF(C27=D27,0,((E27-D27)-(C27-E27))/(C27-D27))</f>
        <v>-9.8712446351930036E-2</v>
      </c>
      <c r="Q27">
        <f t="shared" ref="Q27" si="111">F27*P27</f>
        <v>-11497016.317596415</v>
      </c>
      <c r="R27">
        <f t="shared" ref="R27" si="112">R28+Q27</f>
        <v>2586886393.7795491</v>
      </c>
      <c r="S27">
        <f t="shared" ref="S27" si="113">R27/100000</f>
        <v>25868.86393779549</v>
      </c>
      <c r="T27">
        <f t="shared" ref="T27" si="114">S27/1000</f>
        <v>25.868863937795489</v>
      </c>
    </row>
    <row r="28" spans="1:20" x14ac:dyDescent="0.25">
      <c r="A28" s="5">
        <v>44565</v>
      </c>
      <c r="B28">
        <v>0.1268</v>
      </c>
      <c r="C28">
        <v>0.129</v>
      </c>
      <c r="D28">
        <v>0.124</v>
      </c>
      <c r="E28">
        <v>0.12470000000000001</v>
      </c>
      <c r="F28">
        <v>15600008</v>
      </c>
      <c r="G28">
        <v>0.12470000000000001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-0.71999999999999775</v>
      </c>
      <c r="Q28">
        <f t="shared" ref="Q28" si="116">F28*P28</f>
        <v>-11232005.759999964</v>
      </c>
      <c r="R28">
        <f t="shared" ref="R28" si="117">R29+Q28</f>
        <v>2598383410.0971456</v>
      </c>
      <c r="S28">
        <f t="shared" ref="S28" si="118">R28/100000</f>
        <v>25983.834100971457</v>
      </c>
      <c r="T28">
        <f t="shared" ref="T28" si="119">S28/1000</f>
        <v>25.983834100971457</v>
      </c>
    </row>
    <row r="29" spans="1:20" x14ac:dyDescent="0.25">
      <c r="A29" s="5">
        <v>44564</v>
      </c>
      <c r="B29">
        <v>0.1303</v>
      </c>
      <c r="C29">
        <v>0.1313</v>
      </c>
      <c r="D29">
        <v>0.1244</v>
      </c>
      <c r="E29">
        <v>0.1268</v>
      </c>
      <c r="F29">
        <v>16027733</v>
      </c>
      <c r="G29">
        <v>0.1268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-0.30434782608695704</v>
      </c>
      <c r="Q29">
        <f t="shared" ref="Q29" si="121">F29*P29</f>
        <v>-4878005.6956521822</v>
      </c>
      <c r="R29">
        <f t="shared" ref="R29" si="122">R30+Q29</f>
        <v>2609615415.8571453</v>
      </c>
      <c r="S29">
        <f t="shared" ref="S29" si="123">R29/100000</f>
        <v>26096.154158571455</v>
      </c>
      <c r="T29">
        <f t="shared" ref="T29" si="124">S29/1000</f>
        <v>26.096154158571455</v>
      </c>
    </row>
    <row r="30" spans="1:20" x14ac:dyDescent="0.25">
      <c r="A30" s="5">
        <v>44563</v>
      </c>
      <c r="B30">
        <v>0.1265</v>
      </c>
      <c r="C30">
        <v>0.13289999999999999</v>
      </c>
      <c r="D30">
        <v>0.125</v>
      </c>
      <c r="E30">
        <v>0.1303</v>
      </c>
      <c r="F30">
        <v>14318484</v>
      </c>
      <c r="G30">
        <v>0.1303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0.34177215189873561</v>
      </c>
      <c r="Q30">
        <f t="shared" ref="Q30" si="126">F30*P30</f>
        <v>4893659.0886076158</v>
      </c>
      <c r="R30">
        <f t="shared" ref="R30" si="127">R31+Q30</f>
        <v>2614493421.5527973</v>
      </c>
      <c r="S30">
        <f t="shared" ref="S30" si="128">R30/100000</f>
        <v>26144.934215527974</v>
      </c>
      <c r="T30">
        <f t="shared" ref="T30" si="129">S30/1000</f>
        <v>26.144934215527975</v>
      </c>
    </row>
    <row r="31" spans="1:20" x14ac:dyDescent="0.25">
      <c r="A31" s="5">
        <v>44562</v>
      </c>
      <c r="B31">
        <v>0.123</v>
      </c>
      <c r="C31">
        <v>0.12640000000000001</v>
      </c>
      <c r="D31">
        <v>0.1225</v>
      </c>
      <c r="E31">
        <v>0.12640000000000001</v>
      </c>
      <c r="F31">
        <v>14087950</v>
      </c>
      <c r="G31">
        <v>0.12640000000000001</v>
      </c>
      <c r="L31" t="s">
        <v>7</v>
      </c>
      <c r="M31" t="s">
        <v>7</v>
      </c>
      <c r="N31" t="s">
        <v>8</v>
      </c>
      <c r="P31">
        <f t="shared" ref="P31" si="130">IF(C31=D31,0,((E31-D31)-(C31-E31))/(C31-D31))</f>
        <v>1</v>
      </c>
      <c r="Q31">
        <f t="shared" ref="Q31" si="131">F31*P31</f>
        <v>14087950</v>
      </c>
      <c r="R31">
        <f t="shared" ref="R31" si="132">R32+Q31</f>
        <v>2609599762.4641895</v>
      </c>
      <c r="S31">
        <f t="shared" ref="S31" si="133">R31/100000</f>
        <v>26095.997624641896</v>
      </c>
      <c r="T31">
        <f t="shared" ref="T31" si="134">S31/1000</f>
        <v>26.095997624641896</v>
      </c>
    </row>
    <row r="32" spans="1:20" x14ac:dyDescent="0.25">
      <c r="A32" s="5">
        <v>44561</v>
      </c>
      <c r="B32">
        <v>0.12590000000000001</v>
      </c>
      <c r="C32">
        <v>0.1313</v>
      </c>
      <c r="D32">
        <v>0.1197</v>
      </c>
      <c r="E32">
        <v>0.1229</v>
      </c>
      <c r="F32">
        <v>26201502</v>
      </c>
      <c r="G32">
        <v>0.1229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-0.44827586206896641</v>
      </c>
      <c r="Q32">
        <f t="shared" ref="Q32" si="136">F32*P32</f>
        <v>-11745500.896551747</v>
      </c>
      <c r="R32">
        <f t="shared" ref="R32" si="137">R33+Q32</f>
        <v>2595511812.4641895</v>
      </c>
      <c r="S32">
        <f t="shared" ref="S32" si="138">R32/100000</f>
        <v>25955.118124641896</v>
      </c>
      <c r="T32">
        <f t="shared" ref="T32" si="139">S32/1000</f>
        <v>25.955118124641896</v>
      </c>
    </row>
    <row r="33" spans="1:20" x14ac:dyDescent="0.25">
      <c r="A33" s="5">
        <v>44560</v>
      </c>
      <c r="B33">
        <v>0.1242</v>
      </c>
      <c r="C33">
        <v>0.1278</v>
      </c>
      <c r="D33">
        <v>0.12180000000000001</v>
      </c>
      <c r="E33">
        <v>0.12609999999999999</v>
      </c>
      <c r="F33">
        <v>16644676</v>
      </c>
      <c r="G33">
        <v>0.12609999999999999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0.43333333333333018</v>
      </c>
      <c r="Q33">
        <f t="shared" ref="Q33" si="141">F33*P33</f>
        <v>7212692.9333332805</v>
      </c>
      <c r="R33">
        <f t="shared" ref="R33" si="142">R34+Q33</f>
        <v>2607257313.3607411</v>
      </c>
      <c r="S33">
        <f t="shared" ref="S33" si="143">R33/100000</f>
        <v>26072.573133607413</v>
      </c>
      <c r="T33">
        <f t="shared" ref="T33" si="144">S33/1000</f>
        <v>26.072573133607413</v>
      </c>
    </row>
    <row r="34" spans="1:20" x14ac:dyDescent="0.25">
      <c r="A34" s="5">
        <v>44559</v>
      </c>
      <c r="B34">
        <v>0.12720000000000001</v>
      </c>
      <c r="C34">
        <v>0.12959999999999999</v>
      </c>
      <c r="D34">
        <v>0.1232</v>
      </c>
      <c r="E34">
        <v>0.12429999999999999</v>
      </c>
      <c r="F34">
        <v>17298077</v>
      </c>
      <c r="G34">
        <v>0.12429999999999999</v>
      </c>
      <c r="L34" t="s">
        <v>7</v>
      </c>
      <c r="M34" t="s">
        <v>8</v>
      </c>
      <c r="N34" t="s">
        <v>8</v>
      </c>
      <c r="P34">
        <f t="shared" ref="P34" si="145">IF(C34=D34,0,((E34-D34)-(C34-E34))/(C34-D34))</f>
        <v>-0.65625000000000255</v>
      </c>
      <c r="Q34">
        <f t="shared" ref="Q34" si="146">F34*P34</f>
        <v>-11351863.031250045</v>
      </c>
      <c r="R34">
        <f t="shared" ref="R34" si="147">R35+Q34</f>
        <v>2600044620.4274077</v>
      </c>
      <c r="S34">
        <f t="shared" ref="S34" si="148">R34/100000</f>
        <v>26000.446204274078</v>
      </c>
      <c r="T34">
        <f t="shared" ref="T34" si="149">S34/1000</f>
        <v>26.000446204274077</v>
      </c>
    </row>
    <row r="35" spans="1:20" x14ac:dyDescent="0.25">
      <c r="A35" s="5">
        <v>44558</v>
      </c>
      <c r="B35">
        <v>0.13850000000000001</v>
      </c>
      <c r="C35">
        <v>0.13869999999999999</v>
      </c>
      <c r="D35">
        <v>0.12659999999999999</v>
      </c>
      <c r="E35">
        <v>0.1273</v>
      </c>
      <c r="F35">
        <v>30943818</v>
      </c>
      <c r="G35">
        <v>0.1273</v>
      </c>
      <c r="L35" t="s">
        <v>7</v>
      </c>
      <c r="M35" t="s">
        <v>8</v>
      </c>
      <c r="N35" t="s">
        <v>8</v>
      </c>
      <c r="P35">
        <f t="shared" ref="P35" si="150">IF(C35=D35,0,((E35-D35)-(C35-E35))/(C35-D35))</f>
        <v>-0.88429752066115597</v>
      </c>
      <c r="Q35">
        <f t="shared" ref="Q35" si="151">F35*P35</f>
        <v>-27363541.53719005</v>
      </c>
      <c r="R35">
        <f t="shared" ref="R35" si="152">R36+Q35</f>
        <v>2611396483.4586577</v>
      </c>
      <c r="S35">
        <f t="shared" ref="S35" si="153">R35/100000</f>
        <v>26113.964834586579</v>
      </c>
      <c r="T35">
        <f t="shared" ref="T35" si="154">S35/1000</f>
        <v>26.113964834586579</v>
      </c>
    </row>
    <row r="36" spans="1:20" x14ac:dyDescent="0.25">
      <c r="A36" s="5">
        <v>44557</v>
      </c>
      <c r="B36">
        <v>0.1409</v>
      </c>
      <c r="C36">
        <v>0.14319999999999999</v>
      </c>
      <c r="D36">
        <v>0.1381</v>
      </c>
      <c r="E36">
        <v>0.1386</v>
      </c>
      <c r="F36">
        <v>21755702</v>
      </c>
      <c r="G36">
        <v>0.1386</v>
      </c>
      <c r="L36" t="s">
        <v>7</v>
      </c>
      <c r="M36" t="s">
        <v>8</v>
      </c>
      <c r="N36" t="s">
        <v>8</v>
      </c>
      <c r="P36">
        <f t="shared" ref="P36" si="155">IF(C36=D36,0,((E36-D36)-(C36-E36))/(C36-D36))</f>
        <v>-0.80392156862745057</v>
      </c>
      <c r="Q36">
        <f t="shared" ref="Q36" si="156">F36*P36</f>
        <v>-17489878.078431364</v>
      </c>
      <c r="R36">
        <f t="shared" ref="R36" si="157">R37+Q36</f>
        <v>2638760024.9958477</v>
      </c>
      <c r="S36">
        <f t="shared" ref="S36" si="158">R36/100000</f>
        <v>26387.600249958476</v>
      </c>
      <c r="T36">
        <f t="shared" ref="T36" si="159">S36/1000</f>
        <v>26.387600249958474</v>
      </c>
    </row>
    <row r="37" spans="1:20" x14ac:dyDescent="0.25">
      <c r="A37" s="5">
        <v>44556</v>
      </c>
      <c r="B37">
        <v>0.13650000000000001</v>
      </c>
      <c r="C37">
        <v>0.14249999999999999</v>
      </c>
      <c r="D37">
        <v>0.1353</v>
      </c>
      <c r="E37">
        <v>0.14080000000000001</v>
      </c>
      <c r="F37">
        <v>23716515</v>
      </c>
      <c r="G37">
        <v>0.14080000000000001</v>
      </c>
      <c r="L37" t="s">
        <v>7</v>
      </c>
      <c r="M37" t="s">
        <v>8</v>
      </c>
      <c r="N37" t="s">
        <v>8</v>
      </c>
      <c r="P37">
        <f t="shared" ref="P37" si="160">IF(C37=D37,0,((E37-D37)-(C37-E37))/(C37-D37))</f>
        <v>0.52777777777778245</v>
      </c>
      <c r="Q37">
        <f t="shared" ref="Q37" si="161">F37*P37</f>
        <v>12517049.583333444</v>
      </c>
      <c r="R37">
        <f t="shared" ref="R37" si="162">R38+Q37</f>
        <v>2656249903.0742788</v>
      </c>
      <c r="S37">
        <f t="shared" ref="S37" si="163">R37/100000</f>
        <v>26562.499030742787</v>
      </c>
      <c r="T37">
        <f t="shared" ref="T37" si="164">S37/1000</f>
        <v>26.562499030742789</v>
      </c>
    </row>
    <row r="38" spans="1:20" x14ac:dyDescent="0.25">
      <c r="A38" s="5">
        <v>44555</v>
      </c>
      <c r="B38">
        <v>0.13600000000000001</v>
      </c>
      <c r="C38">
        <v>0.13769999999999999</v>
      </c>
      <c r="D38">
        <v>0.13450000000000001</v>
      </c>
      <c r="E38">
        <v>0.1366</v>
      </c>
      <c r="F38">
        <v>12209669</v>
      </c>
      <c r="G38">
        <v>0.1366</v>
      </c>
      <c r="L38" t="s">
        <v>7</v>
      </c>
      <c r="M38" t="s">
        <v>8</v>
      </c>
      <c r="N38" t="s">
        <v>8</v>
      </c>
      <c r="P38">
        <f t="shared" ref="P38" si="165">IF(C38=D38,0,((E38-D38)-(C38-E38))/(C38-D38))</f>
        <v>0.31250000000000216</v>
      </c>
      <c r="Q38">
        <f t="shared" ref="Q38" si="166">F38*P38</f>
        <v>3815521.5625000265</v>
      </c>
      <c r="R38">
        <f t="shared" ref="R38" si="167">R39+Q38</f>
        <v>2643732853.4909453</v>
      </c>
      <c r="S38">
        <f t="shared" ref="S38" si="168">R38/100000</f>
        <v>26437.328534909455</v>
      </c>
      <c r="T38">
        <f t="shared" ref="T38" si="169">S38/1000</f>
        <v>26.437328534909454</v>
      </c>
    </row>
    <row r="39" spans="1:20" x14ac:dyDescent="0.25">
      <c r="A39" s="5">
        <v>44554</v>
      </c>
      <c r="B39">
        <v>0.13919999999999999</v>
      </c>
      <c r="C39">
        <v>0.1439</v>
      </c>
      <c r="D39">
        <v>0.1341</v>
      </c>
      <c r="E39">
        <v>0.13589999999999999</v>
      </c>
      <c r="F39">
        <v>24094107</v>
      </c>
      <c r="G39">
        <v>0.13589999999999999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-0.63265306122449072</v>
      </c>
      <c r="Q39">
        <f t="shared" ref="Q39" si="171">F39*P39</f>
        <v>-15243210.55102043</v>
      </c>
      <c r="R39">
        <f t="shared" ref="R39" si="172">R40+Q39</f>
        <v>2639917331.9284453</v>
      </c>
      <c r="S39">
        <f t="shared" ref="S39" si="173">R39/100000</f>
        <v>26399.173319284455</v>
      </c>
      <c r="T39">
        <f t="shared" ref="T39" si="174">S39/1000</f>
        <v>26.399173319284454</v>
      </c>
    </row>
    <row r="40" spans="1:20" x14ac:dyDescent="0.25">
      <c r="A40" s="5">
        <v>44553</v>
      </c>
      <c r="B40">
        <v>0.13020000000000001</v>
      </c>
      <c r="C40">
        <v>0.13980000000000001</v>
      </c>
      <c r="D40">
        <v>0.1285</v>
      </c>
      <c r="E40">
        <v>0.1391</v>
      </c>
      <c r="F40">
        <v>25970976</v>
      </c>
      <c r="G40">
        <v>0.1391</v>
      </c>
      <c r="L40" t="s">
        <v>8</v>
      </c>
      <c r="M40" t="s">
        <v>7</v>
      </c>
      <c r="N40" t="s">
        <v>8</v>
      </c>
      <c r="P40">
        <f t="shared" ref="P40" si="175">IF(C40=D40,0,((E40-D40)-(C40-E40))/(C40-D40))</f>
        <v>0.87610619469026441</v>
      </c>
      <c r="Q40">
        <f t="shared" ref="Q40" si="176">F40*P40</f>
        <v>22753332.955752183</v>
      </c>
      <c r="R40">
        <f t="shared" ref="R40" si="177">R41+Q40</f>
        <v>2655160542.479466</v>
      </c>
      <c r="S40">
        <f t="shared" ref="S40" si="178">R40/100000</f>
        <v>26551.605424794659</v>
      </c>
      <c r="T40">
        <f t="shared" ref="T40" si="179">S40/1000</f>
        <v>26.551605424794658</v>
      </c>
    </row>
    <row r="41" spans="1:20" x14ac:dyDescent="0.25">
      <c r="A41" s="5">
        <v>44552</v>
      </c>
      <c r="B41">
        <v>0.12790000000000001</v>
      </c>
      <c r="C41">
        <v>0.13300000000000001</v>
      </c>
      <c r="D41">
        <v>0.12720000000000001</v>
      </c>
      <c r="E41">
        <v>0.13020000000000001</v>
      </c>
      <c r="F41">
        <v>25121256</v>
      </c>
      <c r="G41">
        <v>0.13020000000000001</v>
      </c>
      <c r="L41" t="s">
        <v>8</v>
      </c>
      <c r="M41" t="s">
        <v>7</v>
      </c>
      <c r="N41" t="s">
        <v>8</v>
      </c>
      <c r="P41">
        <f t="shared" ref="P41" si="180">IF(C41=D41,0,((E41-D41)-(C41-E41))/(C41-D41))</f>
        <v>3.4482758620690647E-2</v>
      </c>
      <c r="Q41">
        <f t="shared" ref="Q41" si="181">F41*P41</f>
        <v>866250.20689657668</v>
      </c>
      <c r="R41">
        <f t="shared" ref="R41" si="182">R42+Q41</f>
        <v>2632407209.5237136</v>
      </c>
      <c r="S41">
        <f t="shared" ref="S41" si="183">R41/100000</f>
        <v>26324.072095237138</v>
      </c>
      <c r="T41">
        <f t="shared" ref="T41" si="184">S41/1000</f>
        <v>26.324072095237138</v>
      </c>
    </row>
    <row r="42" spans="1:20" x14ac:dyDescent="0.25">
      <c r="A42" s="5">
        <v>44551</v>
      </c>
      <c r="B42">
        <v>0.12479999999999999</v>
      </c>
      <c r="C42">
        <v>0.129</v>
      </c>
      <c r="D42">
        <v>0.1235</v>
      </c>
      <c r="E42">
        <v>0.12809999999999999</v>
      </c>
      <c r="F42">
        <v>13177488</v>
      </c>
      <c r="G42">
        <v>0.12809999999999999</v>
      </c>
      <c r="L42" t="s">
        <v>7</v>
      </c>
      <c r="M42" t="s">
        <v>7</v>
      </c>
      <c r="N42" t="s">
        <v>8</v>
      </c>
      <c r="P42">
        <f t="shared" ref="P42" si="185">IF(C42=D42,0,((E42-D42)-(C42-E42))/(C42-D42))</f>
        <v>0.67272727272726873</v>
      </c>
      <c r="Q42">
        <f t="shared" ref="Q42" si="186">F42*P42</f>
        <v>8864855.5636363104</v>
      </c>
      <c r="R42">
        <f t="shared" ref="R42" si="187">R43+Q42</f>
        <v>2631540959.3168168</v>
      </c>
      <c r="S42">
        <f t="shared" ref="S42" si="188">R42/100000</f>
        <v>26315.40959316817</v>
      </c>
      <c r="T42">
        <f t="shared" ref="T42" si="189">S42/1000</f>
        <v>26.31540959316817</v>
      </c>
    </row>
    <row r="43" spans="1:20" x14ac:dyDescent="0.25">
      <c r="A43" s="5">
        <v>44550</v>
      </c>
      <c r="B43">
        <v>0.12870000000000001</v>
      </c>
      <c r="C43">
        <v>0.12970000000000001</v>
      </c>
      <c r="D43">
        <v>0.12139999999999999</v>
      </c>
      <c r="E43">
        <v>0.1246</v>
      </c>
      <c r="F43">
        <v>14735248</v>
      </c>
      <c r="G43">
        <v>0.1246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-0.22891566265060184</v>
      </c>
      <c r="Q43">
        <f t="shared" ref="Q43" si="191">F43*P43</f>
        <v>-3373129.0602409556</v>
      </c>
      <c r="R43">
        <f t="shared" ref="R43" si="192">R44+Q43</f>
        <v>2622676103.7531805</v>
      </c>
      <c r="S43">
        <f t="shared" ref="S43" si="193">R43/100000</f>
        <v>26226.761037531804</v>
      </c>
      <c r="T43">
        <f t="shared" ref="T43" si="194">S43/1000</f>
        <v>26.226761037531805</v>
      </c>
    </row>
    <row r="44" spans="1:20" x14ac:dyDescent="0.25">
      <c r="A44" s="5">
        <v>44549</v>
      </c>
      <c r="B44">
        <v>0.13020000000000001</v>
      </c>
      <c r="C44">
        <v>0.13270000000000001</v>
      </c>
      <c r="D44">
        <v>0.1283</v>
      </c>
      <c r="E44">
        <v>0.12889999999999999</v>
      </c>
      <c r="F44">
        <v>12692428</v>
      </c>
      <c r="G44">
        <v>0.12889999999999999</v>
      </c>
      <c r="L44" t="s">
        <v>8</v>
      </c>
      <c r="M44" t="s">
        <v>7</v>
      </c>
      <c r="N44" t="s">
        <v>8</v>
      </c>
      <c r="P44">
        <f t="shared" ref="P44" si="195">IF(C44=D44,0,((E44-D44)-(C44-E44))/(C44-D44))</f>
        <v>-0.72727272727273296</v>
      </c>
      <c r="Q44">
        <f t="shared" ref="Q44" si="196">F44*P44</f>
        <v>-9230856.7272727992</v>
      </c>
      <c r="R44">
        <f t="shared" ref="R44" si="197">R45+Q44</f>
        <v>2626049232.8134212</v>
      </c>
      <c r="S44">
        <f t="shared" ref="S44" si="198">R44/100000</f>
        <v>26260.492328134213</v>
      </c>
      <c r="T44">
        <f t="shared" ref="T44" si="199">S44/1000</f>
        <v>26.260492328134212</v>
      </c>
    </row>
    <row r="45" spans="1:20" x14ac:dyDescent="0.25">
      <c r="A45" s="5">
        <v>44548</v>
      </c>
      <c r="B45">
        <v>0.1275</v>
      </c>
      <c r="C45">
        <v>0.13200000000000001</v>
      </c>
      <c r="D45">
        <v>0.12479999999999999</v>
      </c>
      <c r="E45">
        <v>0.13020000000000001</v>
      </c>
      <c r="F45">
        <v>13754768</v>
      </c>
      <c r="G45">
        <v>0.13020000000000001</v>
      </c>
      <c r="L45" t="s">
        <v>8</v>
      </c>
      <c r="M45" t="s">
        <v>7</v>
      </c>
      <c r="N45" t="s">
        <v>8</v>
      </c>
      <c r="P45">
        <f t="shared" ref="P45" si="200">IF(C45=D45,0,((E45-D45)-(C45-E45))/(C45-D45))</f>
        <v>0.50000000000000189</v>
      </c>
      <c r="Q45">
        <f t="shared" ref="Q45" si="201">F45*P45</f>
        <v>6877384.0000000261</v>
      </c>
      <c r="R45">
        <f t="shared" ref="R45" si="202">R46+Q45</f>
        <v>2635280089.5406942</v>
      </c>
      <c r="S45">
        <f t="shared" ref="S45" si="203">R45/100000</f>
        <v>26352.800895406941</v>
      </c>
      <c r="T45">
        <f t="shared" ref="T45" si="204">S45/1000</f>
        <v>26.35280089540694</v>
      </c>
    </row>
    <row r="46" spans="1:20" x14ac:dyDescent="0.25">
      <c r="A46" s="5">
        <v>44547</v>
      </c>
      <c r="B46">
        <v>0.1265</v>
      </c>
      <c r="C46">
        <v>0.1295</v>
      </c>
      <c r="D46">
        <v>0.12189999999999999</v>
      </c>
      <c r="E46">
        <v>0.12759999999999999</v>
      </c>
      <c r="F46">
        <v>18422650</v>
      </c>
      <c r="G46">
        <v>0.12759999999999999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0.49999999999999728</v>
      </c>
      <c r="Q46">
        <f t="shared" ref="Q46" si="206">F46*P46</f>
        <v>9211324.9999999497</v>
      </c>
      <c r="R46">
        <f t="shared" ref="R46" si="207">R47+Q46</f>
        <v>2628402705.5406942</v>
      </c>
      <c r="S46">
        <f t="shared" ref="S46" si="208">R46/100000</f>
        <v>26284.027055406943</v>
      </c>
      <c r="T46">
        <f t="shared" ref="T46" si="209">S46/1000</f>
        <v>26.284027055406941</v>
      </c>
    </row>
    <row r="47" spans="1:20" x14ac:dyDescent="0.25">
      <c r="A47" s="5">
        <v>44546</v>
      </c>
      <c r="B47">
        <v>0.1298</v>
      </c>
      <c r="C47">
        <v>0.13189999999999999</v>
      </c>
      <c r="D47">
        <v>0.12609999999999999</v>
      </c>
      <c r="E47">
        <v>0.1263</v>
      </c>
      <c r="F47">
        <v>17462477</v>
      </c>
      <c r="G47">
        <v>0.1263</v>
      </c>
      <c r="L47" t="s">
        <v>8</v>
      </c>
      <c r="M47" t="s">
        <v>7</v>
      </c>
      <c r="N47" t="s">
        <v>8</v>
      </c>
      <c r="P47">
        <f t="shared" ref="P47" si="210">IF(C47=D47,0,((E47-D47)-(C47-E47))/(C47-D47))</f>
        <v>-0.93103448275861866</v>
      </c>
      <c r="Q47">
        <f t="shared" ref="Q47" si="211">F47*P47</f>
        <v>-16258168.241379274</v>
      </c>
      <c r="R47">
        <f t="shared" ref="R47" si="212">R48+Q47</f>
        <v>2619191380.5406942</v>
      </c>
      <c r="S47">
        <f t="shared" ref="S47" si="213">R47/100000</f>
        <v>26191.913805406941</v>
      </c>
      <c r="T47">
        <f t="shared" ref="T47" si="214">S47/1000</f>
        <v>26.191913805406941</v>
      </c>
    </row>
    <row r="48" spans="1:20" x14ac:dyDescent="0.25">
      <c r="A48" s="5">
        <v>44545</v>
      </c>
      <c r="B48">
        <v>0.12809999999999999</v>
      </c>
      <c r="C48">
        <v>0.1326</v>
      </c>
      <c r="D48">
        <v>0.1215</v>
      </c>
      <c r="E48">
        <v>0.1298</v>
      </c>
      <c r="F48">
        <v>26429448</v>
      </c>
      <c r="G48">
        <v>0.1298</v>
      </c>
      <c r="L48" t="s">
        <v>8</v>
      </c>
      <c r="M48" t="s">
        <v>7</v>
      </c>
      <c r="N48" t="s">
        <v>8</v>
      </c>
      <c r="P48">
        <f t="shared" ref="P48" si="215">IF(C48=D48,0,((E48-D48)-(C48-E48))/(C48-D48))</f>
        <v>0.49549549549549599</v>
      </c>
      <c r="Q48">
        <f t="shared" ref="Q48" si="216">F48*P48</f>
        <v>13095672.432432445</v>
      </c>
      <c r="R48">
        <f t="shared" ref="R48" si="217">R49+Q48</f>
        <v>2635449548.7820735</v>
      </c>
      <c r="S48">
        <f t="shared" ref="S48" si="218">R48/100000</f>
        <v>26354.495487820735</v>
      </c>
      <c r="T48">
        <f t="shared" ref="T48" si="219">S48/1000</f>
        <v>26.354495487820735</v>
      </c>
    </row>
    <row r="49" spans="1:20" x14ac:dyDescent="0.25">
      <c r="A49" s="5">
        <v>44544</v>
      </c>
      <c r="B49">
        <v>0.1222</v>
      </c>
      <c r="C49">
        <v>0.1293</v>
      </c>
      <c r="D49">
        <v>0.11940000000000001</v>
      </c>
      <c r="E49">
        <v>0.12809999999999999</v>
      </c>
      <c r="F49">
        <v>47659724</v>
      </c>
      <c r="G49">
        <v>0.12809999999999999</v>
      </c>
      <c r="L49" t="s">
        <v>8</v>
      </c>
      <c r="M49" t="s">
        <v>7</v>
      </c>
      <c r="N49" t="s">
        <v>8</v>
      </c>
      <c r="P49">
        <f t="shared" ref="P49" si="220">IF(C49=D49,0,((E49-D49)-(C49-E49))/(C49-D49))</f>
        <v>0.75757575757575601</v>
      </c>
      <c r="Q49">
        <f t="shared" ref="Q49" si="221">F49*P49</f>
        <v>36105851.515151441</v>
      </c>
      <c r="R49">
        <f t="shared" ref="R49" si="222">R50+Q49</f>
        <v>2622353876.3496408</v>
      </c>
      <c r="S49">
        <f t="shared" ref="S49" si="223">R49/100000</f>
        <v>26223.53876349641</v>
      </c>
      <c r="T49">
        <f t="shared" ref="T49" si="224">S49/1000</f>
        <v>26.223538763496411</v>
      </c>
    </row>
    <row r="50" spans="1:20" x14ac:dyDescent="0.25">
      <c r="A50" s="5">
        <v>44543</v>
      </c>
      <c r="B50">
        <v>0.13469999999999999</v>
      </c>
      <c r="C50">
        <v>0.1356</v>
      </c>
      <c r="D50">
        <v>0.1187</v>
      </c>
      <c r="E50">
        <v>0.12230000000000001</v>
      </c>
      <c r="F50">
        <v>30258001</v>
      </c>
      <c r="G50">
        <v>0.12230000000000001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-0.57396449704141939</v>
      </c>
      <c r="Q50">
        <f t="shared" ref="Q50" si="226">F50*P50</f>
        <v>-17367018.325443763</v>
      </c>
      <c r="R50">
        <f t="shared" ref="R50" si="227">R51+Q50</f>
        <v>2586248024.8344893</v>
      </c>
      <c r="S50">
        <f t="shared" ref="S50" si="228">R50/100000</f>
        <v>25862.480248344895</v>
      </c>
      <c r="T50">
        <f t="shared" ref="T50" si="229">S50/1000</f>
        <v>25.862480248344895</v>
      </c>
    </row>
    <row r="51" spans="1:20" x14ac:dyDescent="0.25">
      <c r="A51" s="5">
        <v>44542</v>
      </c>
      <c r="B51">
        <v>0.13569999999999999</v>
      </c>
      <c r="C51">
        <v>0.13689999999999999</v>
      </c>
      <c r="D51">
        <v>0.13109999999999999</v>
      </c>
      <c r="E51">
        <v>0.13469999999999999</v>
      </c>
      <c r="F51">
        <v>20821143</v>
      </c>
      <c r="G51">
        <v>0.13469999999999999</v>
      </c>
      <c r="L51" t="s">
        <v>8</v>
      </c>
      <c r="M51" t="s">
        <v>8</v>
      </c>
      <c r="N51" t="s">
        <v>8</v>
      </c>
      <c r="P51">
        <f t="shared" ref="P51" si="230">IF(C51=D51,0,((E51-D51)-(C51-E51))/(C51-D51))</f>
        <v>0.24137931034482493</v>
      </c>
      <c r="Q51">
        <f t="shared" ref="Q51" si="231">F51*P51</f>
        <v>5025793.137930979</v>
      </c>
      <c r="R51">
        <f t="shared" ref="R51" si="232">R52+Q51</f>
        <v>2603615043.1599331</v>
      </c>
      <c r="S51">
        <f t="shared" ref="S51" si="233">R51/100000</f>
        <v>26036.15043159933</v>
      </c>
      <c r="T51">
        <f t="shared" ref="T51" si="234">S51/1000</f>
        <v>26.036150431599332</v>
      </c>
    </row>
    <row r="52" spans="1:20" x14ac:dyDescent="0.25">
      <c r="A52" s="5">
        <v>44541</v>
      </c>
      <c r="B52">
        <v>0.12909999999999999</v>
      </c>
      <c r="C52">
        <v>0.13020000000000001</v>
      </c>
      <c r="D52">
        <v>0.12640000000000001</v>
      </c>
      <c r="E52">
        <v>0.13</v>
      </c>
      <c r="F52">
        <v>1330229</v>
      </c>
      <c r="G52">
        <v>0.13</v>
      </c>
      <c r="L52" t="s">
        <v>7</v>
      </c>
      <c r="M52" t="s">
        <v>8</v>
      </c>
      <c r="N52" t="s">
        <v>8</v>
      </c>
      <c r="P52">
        <f t="shared" ref="P52" si="235">IF(C52=D52,0,((E52-D52)-(C52-E52))/(C52-D52))</f>
        <v>0.89473684210526006</v>
      </c>
      <c r="Q52">
        <f t="shared" ref="Q52" si="236">F52*P52</f>
        <v>1190204.8947368381</v>
      </c>
      <c r="R52">
        <f t="shared" ref="R52" si="237">R53+Q52</f>
        <v>2598589250.0220022</v>
      </c>
      <c r="S52">
        <f t="shared" ref="S52" si="238">R52/100000</f>
        <v>25985.892500220023</v>
      </c>
      <c r="T52">
        <f t="shared" ref="T52" si="239">S52/1000</f>
        <v>25.985892500220022</v>
      </c>
    </row>
    <row r="53" spans="1:20" x14ac:dyDescent="0.25">
      <c r="A53" s="5">
        <v>44540</v>
      </c>
      <c r="B53">
        <v>0.13139999999999999</v>
      </c>
      <c r="C53">
        <v>0.1401</v>
      </c>
      <c r="D53">
        <v>0.12859999999999999</v>
      </c>
      <c r="E53">
        <v>0.129</v>
      </c>
      <c r="F53">
        <v>32829621</v>
      </c>
      <c r="G53">
        <v>0.129</v>
      </c>
      <c r="L53" t="s">
        <v>7</v>
      </c>
      <c r="M53" t="s">
        <v>8</v>
      </c>
      <c r="N53" t="s">
        <v>8</v>
      </c>
      <c r="P53">
        <f t="shared" ref="P53" si="240">IF(C53=D53,0,((E53-D53)-(C53-E53))/(C53-D53))</f>
        <v>-0.93043478260869372</v>
      </c>
      <c r="Q53">
        <f t="shared" ref="Q53" si="241">F53*P53</f>
        <v>-30545821.278260805</v>
      </c>
      <c r="R53">
        <f t="shared" ref="R53" si="242">R54+Q53</f>
        <v>2597399045.1272655</v>
      </c>
      <c r="S53">
        <f t="shared" ref="S53" si="243">R53/100000</f>
        <v>25973.990451272653</v>
      </c>
      <c r="T53">
        <f t="shared" ref="T53" si="244">S53/1000</f>
        <v>25.973990451272652</v>
      </c>
    </row>
    <row r="54" spans="1:20" x14ac:dyDescent="0.25">
      <c r="A54" s="5">
        <v>44539</v>
      </c>
      <c r="B54">
        <v>0.14360000000000001</v>
      </c>
      <c r="C54">
        <v>0.14480000000000001</v>
      </c>
      <c r="D54">
        <v>0.13139999999999999</v>
      </c>
      <c r="E54">
        <v>0.13150000000000001</v>
      </c>
      <c r="F54">
        <v>27937370</v>
      </c>
      <c r="G54">
        <v>0.13150000000000001</v>
      </c>
      <c r="L54" t="s">
        <v>7</v>
      </c>
      <c r="M54" t="s">
        <v>8</v>
      </c>
      <c r="N54" t="s">
        <v>8</v>
      </c>
      <c r="P54">
        <f t="shared" ref="P54" si="245">IF(C54=D54,0,((E54-D54)-(C54-E54))/(C54-D54))</f>
        <v>-0.98507462686566916</v>
      </c>
      <c r="Q54">
        <f t="shared" ref="Q54" si="246">F54*P54</f>
        <v>-27520394.32835814</v>
      </c>
      <c r="R54">
        <f t="shared" ref="R54" si="247">R55+Q54</f>
        <v>2627944866.4055262</v>
      </c>
      <c r="S54">
        <f t="shared" ref="S54" si="248">R54/100000</f>
        <v>26279.44866405526</v>
      </c>
      <c r="T54">
        <f t="shared" ref="T54" si="249">S54/1000</f>
        <v>26.279448664055259</v>
      </c>
    </row>
    <row r="55" spans="1:20" x14ac:dyDescent="0.25">
      <c r="A55" s="5">
        <v>44538</v>
      </c>
      <c r="B55">
        <v>0.13850000000000001</v>
      </c>
      <c r="C55">
        <v>0.14879999999999999</v>
      </c>
      <c r="D55">
        <v>0.1368</v>
      </c>
      <c r="E55">
        <v>0.14349999999999999</v>
      </c>
      <c r="F55">
        <v>51148313</v>
      </c>
      <c r="G55">
        <v>0.14349999999999999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0.11666666666666554</v>
      </c>
      <c r="Q55">
        <f t="shared" ref="Q55" si="251">F55*P55</f>
        <v>5967303.1833332758</v>
      </c>
      <c r="R55">
        <f t="shared" ref="R55" si="252">R56+Q55</f>
        <v>2655465260.7338843</v>
      </c>
      <c r="S55">
        <f t="shared" ref="S55" si="253">R55/100000</f>
        <v>26554.652607338845</v>
      </c>
      <c r="T55">
        <f t="shared" ref="T55" si="254">S55/1000</f>
        <v>26.554652607338845</v>
      </c>
    </row>
    <row r="56" spans="1:20" x14ac:dyDescent="0.25">
      <c r="A56" s="5">
        <v>44537</v>
      </c>
      <c r="B56">
        <v>0.1353</v>
      </c>
      <c r="C56">
        <v>0.14030000000000001</v>
      </c>
      <c r="D56">
        <v>0.1341</v>
      </c>
      <c r="E56">
        <v>0.13850000000000001</v>
      </c>
      <c r="F56">
        <v>23427812</v>
      </c>
      <c r="G56">
        <v>0.13850000000000001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0.41935483870967971</v>
      </c>
      <c r="Q56">
        <f t="shared" ref="Q56" si="256">F56*P56</f>
        <v>9824566.3225806989</v>
      </c>
      <c r="R56">
        <f t="shared" ref="R56" si="257">R57+Q56</f>
        <v>2649497957.5505509</v>
      </c>
      <c r="S56">
        <f t="shared" ref="S56" si="258">R56/100000</f>
        <v>26494.979575505509</v>
      </c>
      <c r="T56">
        <f t="shared" ref="T56" si="259">S56/1000</f>
        <v>26.494979575505511</v>
      </c>
    </row>
    <row r="57" spans="1:20" x14ac:dyDescent="0.25">
      <c r="A57" s="5">
        <v>44536</v>
      </c>
      <c r="B57">
        <v>0.12859999999999999</v>
      </c>
      <c r="C57">
        <v>0.13739999999999999</v>
      </c>
      <c r="D57">
        <v>0.1173</v>
      </c>
      <c r="E57">
        <v>0.1356</v>
      </c>
      <c r="F57">
        <v>45459063</v>
      </c>
      <c r="G57">
        <v>0.1356</v>
      </c>
      <c r="L57" t="s">
        <v>7</v>
      </c>
      <c r="M57" t="s">
        <v>8</v>
      </c>
      <c r="N57" t="s">
        <v>7</v>
      </c>
      <c r="P57">
        <f t="shared" ref="P57" si="260">IF(C57=D57,0,((E57-D57)-(C57-E57))/(C57-D57))</f>
        <v>0.82089552238806007</v>
      </c>
      <c r="Q57">
        <f t="shared" ref="Q57" si="261">F57*P57</f>
        <v>37317141.268656731</v>
      </c>
      <c r="R57">
        <f t="shared" ref="R57" si="262">R58+Q57</f>
        <v>2639673391.2279701</v>
      </c>
      <c r="S57">
        <f t="shared" ref="S57" si="263">R57/100000</f>
        <v>26396.733912279702</v>
      </c>
      <c r="T57">
        <f t="shared" ref="T57" si="264">S57/1000</f>
        <v>26.396733912279704</v>
      </c>
    </row>
    <row r="58" spans="1:20" x14ac:dyDescent="0.25">
      <c r="A58" s="5">
        <v>44535</v>
      </c>
      <c r="B58">
        <v>0.13439999999999999</v>
      </c>
      <c r="C58">
        <v>0.13850000000000001</v>
      </c>
      <c r="D58">
        <v>0.1225</v>
      </c>
      <c r="E58">
        <v>0.12839999999999999</v>
      </c>
      <c r="F58">
        <v>39907044</v>
      </c>
      <c r="G58">
        <v>0.12839999999999999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-0.26250000000000207</v>
      </c>
      <c r="Q58">
        <f t="shared" ref="Q58" si="266">F58*P58</f>
        <v>-10475599.050000083</v>
      </c>
      <c r="R58">
        <f t="shared" ref="R58" si="267">R59+Q58</f>
        <v>2602356249.9593134</v>
      </c>
      <c r="S58">
        <f t="shared" ref="S58" si="268">R58/100000</f>
        <v>26023.562499593136</v>
      </c>
      <c r="T58">
        <f t="shared" ref="T58" si="269">S58/1000</f>
        <v>26.023562499593137</v>
      </c>
    </row>
    <row r="59" spans="1:20" x14ac:dyDescent="0.25">
      <c r="A59" s="5">
        <v>44534</v>
      </c>
      <c r="B59">
        <v>0.1593</v>
      </c>
      <c r="C59">
        <v>0.1595</v>
      </c>
      <c r="D59">
        <v>0.1042</v>
      </c>
      <c r="E59">
        <v>0.13450000000000001</v>
      </c>
      <c r="F59">
        <v>79906334.379999995</v>
      </c>
      <c r="G59">
        <v>0.13450000000000001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9.5840867992766962E-2</v>
      </c>
      <c r="Q59">
        <f t="shared" ref="Q59" si="271">F59*P59</f>
        <v>7658292.4450994758</v>
      </c>
      <c r="R59">
        <f t="shared" ref="R59" si="272">R60+Q59</f>
        <v>2612831849.0093136</v>
      </c>
      <c r="S59">
        <f t="shared" ref="S59" si="273">R59/100000</f>
        <v>26128.318490093137</v>
      </c>
      <c r="T59">
        <f t="shared" ref="T59" si="274">S59/1000</f>
        <v>26.128318490093136</v>
      </c>
    </row>
    <row r="60" spans="1:20" x14ac:dyDescent="0.25">
      <c r="A60" s="5">
        <v>44533</v>
      </c>
      <c r="B60">
        <v>0.1676</v>
      </c>
      <c r="C60">
        <v>0.1711</v>
      </c>
      <c r="D60">
        <v>0.1515</v>
      </c>
      <c r="E60">
        <v>0.15939999999999999</v>
      </c>
      <c r="F60">
        <v>36263484</v>
      </c>
      <c r="G60">
        <v>0.15939999999999999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-0.19387755102040941</v>
      </c>
      <c r="Q60">
        <f t="shared" ref="Q60" si="276">F60*P60</f>
        <v>-7030675.4693878004</v>
      </c>
      <c r="R60">
        <f t="shared" ref="R60" si="277">R61+Q60</f>
        <v>2605173556.5642142</v>
      </c>
      <c r="S60">
        <f t="shared" ref="S60" si="278">R60/100000</f>
        <v>26051.735565642142</v>
      </c>
      <c r="T60">
        <f t="shared" ref="T60" si="279">S60/1000</f>
        <v>26.051735565642144</v>
      </c>
    </row>
    <row r="61" spans="1:20" x14ac:dyDescent="0.25">
      <c r="A61" s="5">
        <v>44532</v>
      </c>
      <c r="B61">
        <v>0.1694</v>
      </c>
      <c r="C61">
        <v>0.17150000000000001</v>
      </c>
      <c r="D61">
        <v>0.1628</v>
      </c>
      <c r="E61">
        <v>0.16750000000000001</v>
      </c>
      <c r="F61">
        <v>22172401</v>
      </c>
      <c r="G61">
        <v>0.16750000000000001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8.045977011494311E-2</v>
      </c>
      <c r="Q61">
        <f t="shared" ref="Q61" si="281">F61*P61</f>
        <v>1783986.2873563347</v>
      </c>
      <c r="R61">
        <f t="shared" ref="R61" si="282">R62+Q61</f>
        <v>2612204232.0336022</v>
      </c>
      <c r="S61">
        <f t="shared" ref="S61" si="283">R61/100000</f>
        <v>26122.042320336022</v>
      </c>
      <c r="T61">
        <f t="shared" ref="T61" si="284">S61/1000</f>
        <v>26.122042320336021</v>
      </c>
    </row>
    <row r="62" spans="1:20" x14ac:dyDescent="0.25">
      <c r="A62" s="5">
        <v>44531</v>
      </c>
      <c r="B62">
        <v>0.17180000000000001</v>
      </c>
      <c r="C62">
        <v>0.1749</v>
      </c>
      <c r="D62">
        <v>0.16800000000000001</v>
      </c>
      <c r="E62">
        <v>0.1694</v>
      </c>
      <c r="F62">
        <v>27585024</v>
      </c>
      <c r="G62">
        <v>0.1694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-0.5942028985507285</v>
      </c>
      <c r="Q62">
        <f t="shared" ref="Q62" si="286">F62*P62</f>
        <v>-16391101.217391411</v>
      </c>
      <c r="R62">
        <f t="shared" ref="R62" si="287">R63+Q62</f>
        <v>2610420245.7462459</v>
      </c>
      <c r="S62">
        <f t="shared" ref="S62" si="288">R62/100000</f>
        <v>26104.202457462459</v>
      </c>
      <c r="T62">
        <f t="shared" ref="T62" si="289">S62/1000</f>
        <v>26.10420245746246</v>
      </c>
    </row>
    <row r="63" spans="1:20" x14ac:dyDescent="0.25">
      <c r="A63" s="5">
        <v>44530</v>
      </c>
      <c r="B63">
        <v>0.17199999999999999</v>
      </c>
      <c r="C63">
        <v>0.17699999999999999</v>
      </c>
      <c r="D63">
        <v>0.16719999999999999</v>
      </c>
      <c r="E63">
        <v>0.1719</v>
      </c>
      <c r="F63">
        <v>36075369</v>
      </c>
      <c r="G63">
        <v>0.1719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-4.0816326530610569E-2</v>
      </c>
      <c r="Q63">
        <f t="shared" ref="Q63" si="291">F63*P63</f>
        <v>-1472464.0408162661</v>
      </c>
      <c r="R63">
        <f t="shared" ref="R63" si="292">R64+Q63</f>
        <v>2626811346.9636374</v>
      </c>
      <c r="S63">
        <f t="shared" ref="S63" si="293">R63/100000</f>
        <v>26268.113469636373</v>
      </c>
      <c r="T63">
        <f t="shared" ref="T63" si="294">S63/1000</f>
        <v>26.268113469636372</v>
      </c>
    </row>
    <row r="64" spans="1:20" x14ac:dyDescent="0.25">
      <c r="A64" s="5">
        <v>44529</v>
      </c>
      <c r="B64">
        <v>0.1663</v>
      </c>
      <c r="C64">
        <v>0.1797</v>
      </c>
      <c r="D64">
        <v>0.16470000000000001</v>
      </c>
      <c r="E64">
        <v>0.17169999999999999</v>
      </c>
      <c r="F64">
        <v>67021887</v>
      </c>
      <c r="G64">
        <v>0.17169999999999999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-6.6666666666668636E-2</v>
      </c>
      <c r="Q64">
        <f t="shared" ref="Q64" si="296">F64*P64</f>
        <v>-4468125.8000001321</v>
      </c>
      <c r="R64">
        <f t="shared" ref="R64" si="297">R65+Q64</f>
        <v>2628283811.0044537</v>
      </c>
      <c r="S64">
        <f t="shared" ref="S64" si="298">R64/100000</f>
        <v>26282.838110044537</v>
      </c>
      <c r="T64">
        <f t="shared" ref="T64" si="299">S64/1000</f>
        <v>26.282838110044537</v>
      </c>
    </row>
    <row r="65" spans="1:20" x14ac:dyDescent="0.25">
      <c r="A65" s="5">
        <v>44528</v>
      </c>
      <c r="B65">
        <v>0.16400000000000001</v>
      </c>
      <c r="C65">
        <v>0.1663</v>
      </c>
      <c r="D65">
        <v>0.1535</v>
      </c>
      <c r="E65">
        <v>0.1663</v>
      </c>
      <c r="F65">
        <v>29321609</v>
      </c>
      <c r="G65">
        <v>0.1663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1</v>
      </c>
      <c r="Q65">
        <f t="shared" ref="Q65" si="301">F65*P65</f>
        <v>29321609</v>
      </c>
      <c r="R65">
        <f t="shared" ref="R65" si="302">R66+Q65</f>
        <v>2632751936.8044538</v>
      </c>
      <c r="S65">
        <f t="shared" ref="S65" si="303">R65/100000</f>
        <v>26327.519368044537</v>
      </c>
      <c r="T65">
        <f t="shared" ref="T65" si="304">S65/1000</f>
        <v>26.327519368044538</v>
      </c>
    </row>
    <row r="66" spans="1:20" x14ac:dyDescent="0.25">
      <c r="A66" s="5">
        <v>44527</v>
      </c>
      <c r="B66">
        <v>0.1618</v>
      </c>
      <c r="C66">
        <v>0.1663</v>
      </c>
      <c r="D66">
        <v>0.16089999999999999</v>
      </c>
      <c r="E66">
        <v>0.16400000000000001</v>
      </c>
      <c r="F66">
        <v>26835051</v>
      </c>
      <c r="G66">
        <v>0.16400000000000001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0.14814814814815194</v>
      </c>
      <c r="Q66">
        <f t="shared" ref="Q66" si="306">F66*P66</f>
        <v>3975563.111111213</v>
      </c>
      <c r="R66">
        <f t="shared" ref="R66" si="307">R67+Q66</f>
        <v>2603430327.8044538</v>
      </c>
      <c r="S66">
        <f t="shared" ref="S66" si="308">R66/100000</f>
        <v>26034.303278044539</v>
      </c>
      <c r="T66">
        <f t="shared" ref="T66" si="309">S66/1000</f>
        <v>26.03430327804454</v>
      </c>
    </row>
    <row r="67" spans="1:20" x14ac:dyDescent="0.25">
      <c r="A67" s="5">
        <v>44526</v>
      </c>
      <c r="B67">
        <v>0.1754</v>
      </c>
      <c r="C67">
        <v>0.17979999999999999</v>
      </c>
      <c r="D67">
        <v>0.15640000000000001</v>
      </c>
      <c r="E67">
        <v>0.16170000000000001</v>
      </c>
      <c r="F67">
        <v>55345087</v>
      </c>
      <c r="G67">
        <v>0.16170000000000001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-0.54700854700854662</v>
      </c>
      <c r="Q67">
        <f t="shared" ref="Q67" si="311">F67*P67</f>
        <v>-30274235.623931602</v>
      </c>
      <c r="R67">
        <f t="shared" ref="R67" si="312">R68+Q67</f>
        <v>2599454764.6933427</v>
      </c>
      <c r="S67">
        <f t="shared" ref="S67" si="313">R67/100000</f>
        <v>25994.547646933428</v>
      </c>
      <c r="T67">
        <f t="shared" ref="T67" si="314">S67/1000</f>
        <v>25.994547646933427</v>
      </c>
    </row>
    <row r="68" spans="1:20" x14ac:dyDescent="0.25">
      <c r="A68" s="5">
        <v>44525</v>
      </c>
      <c r="B68">
        <v>0.1704</v>
      </c>
      <c r="C68">
        <v>0.17710000000000001</v>
      </c>
      <c r="D68">
        <v>0.16880000000000001</v>
      </c>
      <c r="E68">
        <v>0.17530000000000001</v>
      </c>
      <c r="F68">
        <v>44015049</v>
      </c>
      <c r="G68">
        <v>0.17530000000000001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0.5662650602409649</v>
      </c>
      <c r="Q68">
        <f t="shared" ref="Q68" si="316">F68*P68</f>
        <v>24924184.373494022</v>
      </c>
      <c r="R68">
        <f t="shared" ref="R68" si="317">R69+Q68</f>
        <v>2629729000.3172741</v>
      </c>
      <c r="S68">
        <f t="shared" ref="S68" si="318">R68/100000</f>
        <v>26297.29000317274</v>
      </c>
      <c r="T68">
        <f t="shared" ref="T68" si="319">S68/1000</f>
        <v>26.297290003172741</v>
      </c>
    </row>
    <row r="69" spans="1:20" x14ac:dyDescent="0.25">
      <c r="A69" s="5">
        <v>44524</v>
      </c>
      <c r="B69">
        <v>0.17399999999999999</v>
      </c>
      <c r="C69">
        <v>0.17449999999999999</v>
      </c>
      <c r="D69">
        <v>0.16819999999999999</v>
      </c>
      <c r="E69">
        <v>0.17069999999999999</v>
      </c>
      <c r="F69">
        <v>13237633</v>
      </c>
      <c r="G69">
        <v>0.17069999999999999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-0.20634920634920564</v>
      </c>
      <c r="Q69">
        <f t="shared" ref="Q69" si="321">F69*P69</f>
        <v>-2731575.0634920541</v>
      </c>
      <c r="R69">
        <f t="shared" ref="R69" si="322">R70+Q69</f>
        <v>2604804815.9437799</v>
      </c>
      <c r="S69">
        <f t="shared" ref="S69" si="323">R69/100000</f>
        <v>26048.0481594378</v>
      </c>
      <c r="T69">
        <f t="shared" ref="T69" si="324">S69/1000</f>
        <v>26.048048159437801</v>
      </c>
    </row>
    <row r="70" spans="1:20" x14ac:dyDescent="0.25">
      <c r="A70" s="5">
        <v>44523</v>
      </c>
      <c r="B70">
        <v>0.1711</v>
      </c>
      <c r="C70">
        <v>0.17599999999999999</v>
      </c>
      <c r="D70">
        <v>0.16850000000000001</v>
      </c>
      <c r="E70">
        <v>0.17419999999999999</v>
      </c>
      <c r="F70">
        <v>30259215</v>
      </c>
      <c r="G70">
        <v>0.17419999999999999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0.51999999999999968</v>
      </c>
      <c r="Q70">
        <f t="shared" ref="Q70" si="326">F70*P70</f>
        <v>15734791.79999999</v>
      </c>
      <c r="R70">
        <f t="shared" ref="R70" si="327">R71+Q70</f>
        <v>2607536391.0072718</v>
      </c>
      <c r="S70">
        <f t="shared" ref="S70" si="328">R70/100000</f>
        <v>26075.363910072716</v>
      </c>
      <c r="T70">
        <f t="shared" ref="T70" si="329">S70/1000</f>
        <v>26.075363910072717</v>
      </c>
    </row>
    <row r="71" spans="1:20" x14ac:dyDescent="0.25">
      <c r="A71" s="5">
        <v>44522</v>
      </c>
      <c r="B71">
        <v>0.1802</v>
      </c>
      <c r="C71">
        <v>0.18079999999999999</v>
      </c>
      <c r="D71">
        <v>0.17</v>
      </c>
      <c r="E71">
        <v>0.1711</v>
      </c>
      <c r="F71">
        <v>36121017</v>
      </c>
      <c r="G71">
        <v>0.1711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-0.79629629629629772</v>
      </c>
      <c r="Q71">
        <f t="shared" ref="Q71" si="331">F71*P71</f>
        <v>-28763032.055555608</v>
      </c>
      <c r="R71">
        <f t="shared" ref="R71" si="332">R72+Q71</f>
        <v>2591801599.2072716</v>
      </c>
      <c r="S71">
        <f t="shared" ref="S71" si="333">R71/100000</f>
        <v>25918.015992072716</v>
      </c>
      <c r="T71">
        <f t="shared" ref="T71" si="334">S71/1000</f>
        <v>25.918015992072718</v>
      </c>
    </row>
    <row r="72" spans="1:20" x14ac:dyDescent="0.25">
      <c r="A72" s="5">
        <v>44521</v>
      </c>
      <c r="B72">
        <v>0.18090000000000001</v>
      </c>
      <c r="C72">
        <v>0.18490000000000001</v>
      </c>
      <c r="D72">
        <v>0.17829999999999999</v>
      </c>
      <c r="E72">
        <v>0.17979999999999999</v>
      </c>
      <c r="F72">
        <v>34520124</v>
      </c>
      <c r="G72">
        <v>0.17979999999999999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-0.54545454545454664</v>
      </c>
      <c r="Q72">
        <f t="shared" ref="Q72" si="336">F72*P72</f>
        <v>-18829158.545454588</v>
      </c>
      <c r="R72">
        <f t="shared" ref="R72" si="337">R73+Q72</f>
        <v>2620564631.2628274</v>
      </c>
      <c r="S72">
        <f t="shared" ref="S72" si="338">R72/100000</f>
        <v>26205.646312628272</v>
      </c>
      <c r="T72">
        <f t="shared" ref="T72" si="339">S72/1000</f>
        <v>26.205646312628271</v>
      </c>
    </row>
    <row r="73" spans="1:20" x14ac:dyDescent="0.25">
      <c r="A73" s="5">
        <v>44520</v>
      </c>
      <c r="B73">
        <v>0.17580000000000001</v>
      </c>
      <c r="C73">
        <v>0.18110000000000001</v>
      </c>
      <c r="D73">
        <v>0.17169999999999999</v>
      </c>
      <c r="E73">
        <v>0.1807</v>
      </c>
      <c r="F73">
        <v>31269355</v>
      </c>
      <c r="G73">
        <v>0.1807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0.91489361702127436</v>
      </c>
      <c r="Q73">
        <f t="shared" ref="Q73" si="341">F73*P73</f>
        <v>28608133.297872271</v>
      </c>
      <c r="R73">
        <f t="shared" ref="R73" si="342">R74+Q73</f>
        <v>2639393789.8082819</v>
      </c>
      <c r="S73">
        <f t="shared" ref="S73" si="343">R73/100000</f>
        <v>26393.937898082819</v>
      </c>
      <c r="T73">
        <f t="shared" ref="T73" si="344">S73/1000</f>
        <v>26.393937898082818</v>
      </c>
    </row>
    <row r="74" spans="1:20" x14ac:dyDescent="0.25">
      <c r="A74" s="5">
        <v>44519</v>
      </c>
      <c r="B74">
        <v>0.16969999999999999</v>
      </c>
      <c r="C74">
        <v>0.17730000000000001</v>
      </c>
      <c r="D74">
        <v>0.16639999999999999</v>
      </c>
      <c r="E74">
        <v>0.1757</v>
      </c>
      <c r="F74">
        <v>40938242</v>
      </c>
      <c r="G74">
        <v>0.1757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0.70642201834862106</v>
      </c>
      <c r="Q74">
        <f t="shared" ref="Q74" si="346">F74*P74</f>
        <v>28919675.541284289</v>
      </c>
      <c r="R74">
        <f t="shared" ref="R74" si="347">R75+Q74</f>
        <v>2610785656.5104098</v>
      </c>
      <c r="S74">
        <f t="shared" ref="S74" si="348">R74/100000</f>
        <v>26107.856565104099</v>
      </c>
      <c r="T74">
        <f t="shared" ref="T74" si="349">S74/1000</f>
        <v>26.1078565651041</v>
      </c>
    </row>
    <row r="75" spans="1:20" x14ac:dyDescent="0.25">
      <c r="A75" s="5">
        <v>44518</v>
      </c>
      <c r="B75">
        <v>0.19189999999999999</v>
      </c>
      <c r="C75">
        <v>0.1988</v>
      </c>
      <c r="D75">
        <v>0.16750000000000001</v>
      </c>
      <c r="E75">
        <v>0.16980000000000001</v>
      </c>
      <c r="F75">
        <v>75543499</v>
      </c>
      <c r="G75">
        <v>0.16980000000000001</v>
      </c>
      <c r="L75" t="s">
        <v>8</v>
      </c>
      <c r="M75" t="s">
        <v>7</v>
      </c>
      <c r="N75" t="s">
        <v>7</v>
      </c>
      <c r="P75">
        <f t="shared" ref="P75" si="350">IF(C75=D75,0,((E75-D75)-(C75-E75))/(C75-D75))</f>
        <v>-0.85303514376996825</v>
      </c>
      <c r="Q75">
        <f t="shared" ref="Q75" si="351">F75*P75</f>
        <v>-64441259.530351453</v>
      </c>
      <c r="R75">
        <f t="shared" ref="R75" si="352">R76+Q75</f>
        <v>2581865980.9691257</v>
      </c>
      <c r="S75">
        <f t="shared" ref="S75" si="353">R75/100000</f>
        <v>25818.659809691257</v>
      </c>
      <c r="T75">
        <f t="shared" ref="T75" si="354">S75/1000</f>
        <v>25.818659809691258</v>
      </c>
    </row>
    <row r="76" spans="1:20" x14ac:dyDescent="0.25">
      <c r="A76" s="5">
        <v>44517</v>
      </c>
      <c r="B76">
        <v>0.17910000000000001</v>
      </c>
      <c r="C76">
        <v>0.1925</v>
      </c>
      <c r="D76">
        <v>0.17730000000000001</v>
      </c>
      <c r="E76">
        <v>0.1918</v>
      </c>
      <c r="F76">
        <v>82961277</v>
      </c>
      <c r="G76">
        <v>0.1918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0.90789473684210442</v>
      </c>
      <c r="Q76">
        <f t="shared" ref="Q76" si="356">F76*P76</f>
        <v>75320106.749999925</v>
      </c>
      <c r="R76">
        <f t="shared" ref="R76" si="357">R77+Q76</f>
        <v>2646307240.4994774</v>
      </c>
      <c r="S76">
        <f t="shared" ref="S76" si="358">R76/100000</f>
        <v>26463.072404994775</v>
      </c>
      <c r="T76">
        <f t="shared" ref="T76" si="359">S76/1000</f>
        <v>26.463072404994776</v>
      </c>
    </row>
    <row r="77" spans="1:20" x14ac:dyDescent="0.25">
      <c r="A77" s="5">
        <v>44516</v>
      </c>
      <c r="B77">
        <v>0.19409999999999999</v>
      </c>
      <c r="C77">
        <v>0.19420000000000001</v>
      </c>
      <c r="D77">
        <v>0.16769999999999999</v>
      </c>
      <c r="E77">
        <v>0.17910000000000001</v>
      </c>
      <c r="F77">
        <v>65573700</v>
      </c>
      <c r="G77">
        <v>0.17910000000000001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-0.13962264150943313</v>
      </c>
      <c r="Q77">
        <f t="shared" ref="Q77" si="361">F77*P77</f>
        <v>-9155573.2075471152</v>
      </c>
      <c r="R77">
        <f t="shared" ref="R77" si="362">R78+Q77</f>
        <v>2570987133.7494774</v>
      </c>
      <c r="S77">
        <f t="shared" ref="S77" si="363">R77/100000</f>
        <v>25709.871337494773</v>
      </c>
      <c r="T77">
        <f t="shared" ref="T77" si="364">S77/1000</f>
        <v>25.709871337494771</v>
      </c>
    </row>
    <row r="78" spans="1:20" x14ac:dyDescent="0.25">
      <c r="A78" s="5">
        <v>44515</v>
      </c>
      <c r="B78">
        <v>0.1925</v>
      </c>
      <c r="C78">
        <v>0.1983</v>
      </c>
      <c r="D78">
        <v>0.19020000000000001</v>
      </c>
      <c r="E78">
        <v>0.19420000000000001</v>
      </c>
      <c r="F78">
        <v>38153735</v>
      </c>
      <c r="G78">
        <v>0.19420000000000001</v>
      </c>
      <c r="L78" t="s">
        <v>8</v>
      </c>
      <c r="M78" t="s">
        <v>7</v>
      </c>
      <c r="N78" t="s">
        <v>7</v>
      </c>
      <c r="P78">
        <f t="shared" ref="P78" si="365">IF(C78=D78,0,((E78-D78)-(C78-E78))/(C78-D78))</f>
        <v>-1.2345679012344325E-2</v>
      </c>
      <c r="Q78">
        <f t="shared" ref="Q78" si="366">F78*P78</f>
        <v>-471033.76543204713</v>
      </c>
      <c r="R78">
        <f t="shared" ref="R78" si="367">R79+Q78</f>
        <v>2580142706.9570246</v>
      </c>
      <c r="S78">
        <f t="shared" ref="S78" si="368">R78/100000</f>
        <v>25801.427069570247</v>
      </c>
      <c r="T78">
        <f t="shared" ref="T78" si="369">S78/1000</f>
        <v>25.801427069570249</v>
      </c>
    </row>
    <row r="79" spans="1:20" x14ac:dyDescent="0.25">
      <c r="A79" s="5">
        <v>44514</v>
      </c>
      <c r="B79">
        <v>0.19139999999999999</v>
      </c>
      <c r="C79">
        <v>0.19409999999999999</v>
      </c>
      <c r="D79">
        <v>0.1875</v>
      </c>
      <c r="E79">
        <v>0.19259999999999999</v>
      </c>
      <c r="F79">
        <v>28979712</v>
      </c>
      <c r="G79">
        <v>0.19259999999999999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0.54545454545454464</v>
      </c>
      <c r="Q79">
        <f t="shared" ref="Q79" si="371">F79*P79</f>
        <v>15807115.636363612</v>
      </c>
      <c r="R79">
        <f t="shared" ref="R79" si="372">R80+Q79</f>
        <v>2580613740.7224565</v>
      </c>
      <c r="S79">
        <f t="shared" ref="S79" si="373">R79/100000</f>
        <v>25806.137407224564</v>
      </c>
      <c r="T79">
        <f t="shared" ref="T79" si="374">S79/1000</f>
        <v>25.806137407224565</v>
      </c>
    </row>
    <row r="80" spans="1:20" x14ac:dyDescent="0.25">
      <c r="A80" s="5">
        <v>44513</v>
      </c>
      <c r="B80">
        <v>0.1893</v>
      </c>
      <c r="C80">
        <v>0.19620000000000001</v>
      </c>
      <c r="D80">
        <v>0.1865</v>
      </c>
      <c r="E80">
        <v>0.19139999999999999</v>
      </c>
      <c r="F80">
        <v>41932155</v>
      </c>
      <c r="G80">
        <v>0.19139999999999999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1.0309278350511451E-2</v>
      </c>
      <c r="Q80">
        <f t="shared" ref="Q80" si="376">F80*P80</f>
        <v>432290.25773179048</v>
      </c>
      <c r="R80">
        <f t="shared" ref="R80" si="377">R81+Q80</f>
        <v>2564806625.0860929</v>
      </c>
      <c r="S80">
        <f t="shared" ref="S80" si="378">R80/100000</f>
        <v>25648.066250860931</v>
      </c>
      <c r="T80">
        <f t="shared" ref="T80" si="379">S80/1000</f>
        <v>25.648066250860932</v>
      </c>
    </row>
    <row r="81" spans="1:20" x14ac:dyDescent="0.25">
      <c r="A81" s="5">
        <v>44512</v>
      </c>
      <c r="B81">
        <v>0.19270000000000001</v>
      </c>
      <c r="C81">
        <v>0.19639999999999999</v>
      </c>
      <c r="D81">
        <v>0.18260000000000001</v>
      </c>
      <c r="E81">
        <v>0.18940000000000001</v>
      </c>
      <c r="F81">
        <v>40677591</v>
      </c>
      <c r="G81">
        <v>0.18940000000000001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-1.4492753623186833E-2</v>
      </c>
      <c r="Q81">
        <f t="shared" ref="Q81" si="381">F81*P81</f>
        <v>-589530.30434776214</v>
      </c>
      <c r="R81">
        <f t="shared" ref="R81" si="382">R82+Q81</f>
        <v>2564374334.828361</v>
      </c>
      <c r="S81">
        <f t="shared" ref="S81" si="383">R81/100000</f>
        <v>25643.74334828361</v>
      </c>
      <c r="T81">
        <f t="shared" ref="T81" si="384">S81/1000</f>
        <v>25.643743348283611</v>
      </c>
    </row>
    <row r="82" spans="1:20" x14ac:dyDescent="0.25">
      <c r="A82" s="5">
        <v>44511</v>
      </c>
      <c r="B82">
        <v>0.19109999999999999</v>
      </c>
      <c r="C82">
        <v>0.1973</v>
      </c>
      <c r="D82">
        <v>0.18809999999999999</v>
      </c>
      <c r="E82">
        <v>0.1928</v>
      </c>
      <c r="F82">
        <v>38717623</v>
      </c>
      <c r="G82">
        <v>0.1928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2.1739130434783198E-2</v>
      </c>
      <c r="Q82">
        <f t="shared" ref="Q82" si="386">F82*P82</f>
        <v>841687.45652176195</v>
      </c>
      <c r="R82">
        <f t="shared" ref="R82" si="387">R83+Q82</f>
        <v>2564963865.132709</v>
      </c>
      <c r="S82">
        <f t="shared" ref="S82" si="388">R82/100000</f>
        <v>25649.638651327092</v>
      </c>
      <c r="T82">
        <f t="shared" ref="T82" si="389">S82/1000</f>
        <v>25.649638651327091</v>
      </c>
    </row>
    <row r="83" spans="1:20" x14ac:dyDescent="0.25">
      <c r="A83" s="5">
        <v>44510</v>
      </c>
      <c r="B83">
        <v>0.20530000000000001</v>
      </c>
      <c r="C83">
        <v>0.2082</v>
      </c>
      <c r="D83">
        <v>0.17399999999999999</v>
      </c>
      <c r="E83">
        <v>0.19120000000000001</v>
      </c>
      <c r="F83">
        <v>80965822</v>
      </c>
      <c r="G83">
        <v>0.19120000000000001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5.8479532163752471E-3</v>
      </c>
      <c r="Q83">
        <f t="shared" ref="Q83" si="391">F83*P83</f>
        <v>473484.33918136574</v>
      </c>
      <c r="R83">
        <f t="shared" ref="R83" si="392">R84+Q83</f>
        <v>2564122177.676187</v>
      </c>
      <c r="S83">
        <f t="shared" ref="S83" si="393">R83/100000</f>
        <v>25641.221776761871</v>
      </c>
      <c r="T83">
        <f t="shared" ref="T83" si="394">S83/1000</f>
        <v>25.641221776761871</v>
      </c>
    </row>
    <row r="84" spans="1:20" x14ac:dyDescent="0.25">
      <c r="A84" s="5">
        <v>44509</v>
      </c>
      <c r="B84">
        <v>0.2046</v>
      </c>
      <c r="C84">
        <v>0.2097</v>
      </c>
      <c r="D84">
        <v>0.1951</v>
      </c>
      <c r="E84">
        <v>0.20530000000000001</v>
      </c>
      <c r="F84">
        <v>85429301</v>
      </c>
      <c r="G84">
        <v>0.20530000000000001</v>
      </c>
      <c r="L84" t="s">
        <v>7</v>
      </c>
      <c r="M84" t="s">
        <v>7</v>
      </c>
      <c r="N84" t="s">
        <v>8</v>
      </c>
      <c r="P84">
        <f t="shared" ref="P84" si="395">IF(C84=D84,0,((E84-D84)-(C84-E84))/(C84-D84))</f>
        <v>0.39726027397260455</v>
      </c>
      <c r="Q84">
        <f t="shared" ref="Q84" si="396">F84*P84</f>
        <v>33937667.520548098</v>
      </c>
      <c r="R84">
        <f t="shared" ref="R84" si="397">R85+Q84</f>
        <v>2563648693.3370056</v>
      </c>
      <c r="S84">
        <f t="shared" ref="S84" si="398">R84/100000</f>
        <v>25636.486933370055</v>
      </c>
      <c r="T84">
        <f t="shared" ref="T84" si="399">S84/1000</f>
        <v>25.636486933370055</v>
      </c>
    </row>
    <row r="85" spans="1:20" x14ac:dyDescent="0.25">
      <c r="A85" s="5">
        <v>44508</v>
      </c>
      <c r="B85">
        <v>0.21440000000000001</v>
      </c>
      <c r="C85">
        <v>0.21479999999999999</v>
      </c>
      <c r="D85">
        <v>0.1973</v>
      </c>
      <c r="E85">
        <v>0.2046</v>
      </c>
      <c r="F85">
        <v>158633577</v>
      </c>
      <c r="G85">
        <v>0.2046</v>
      </c>
      <c r="L85" t="s">
        <v>7</v>
      </c>
      <c r="M85" t="s">
        <v>7</v>
      </c>
      <c r="N85" t="s">
        <v>8</v>
      </c>
      <c r="P85">
        <f t="shared" ref="P85" si="400">IF(C85=D85,0,((E85-D85)-(C85-E85))/(C85-D85))</f>
        <v>-0.16571428571428504</v>
      </c>
      <c r="Q85">
        <f t="shared" ref="Q85" si="401">F85*P85</f>
        <v>-26287849.902857035</v>
      </c>
      <c r="R85">
        <f t="shared" ref="R85" si="402">R86+Q85</f>
        <v>2529711025.8164577</v>
      </c>
      <c r="S85">
        <f t="shared" ref="S85" si="403">R85/100000</f>
        <v>25297.110258164579</v>
      </c>
      <c r="T85">
        <f t="shared" ref="T85" si="404">S85/1000</f>
        <v>25.297110258164579</v>
      </c>
    </row>
    <row r="86" spans="1:20" x14ac:dyDescent="0.25">
      <c r="A86" s="5">
        <v>44507</v>
      </c>
      <c r="B86">
        <v>0.2253</v>
      </c>
      <c r="C86">
        <v>0.22570000000000001</v>
      </c>
      <c r="D86">
        <v>0.21190000000000001</v>
      </c>
      <c r="E86">
        <v>0.21440000000000001</v>
      </c>
      <c r="F86">
        <v>53797353</v>
      </c>
      <c r="G86">
        <v>0.21440000000000001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-0.63768115942028969</v>
      </c>
      <c r="Q86">
        <f t="shared" ref="Q86" si="406">F86*P86</f>
        <v>-34305558.434782602</v>
      </c>
      <c r="R86">
        <f t="shared" ref="R86" si="407">R87+Q86</f>
        <v>2555998875.7193146</v>
      </c>
      <c r="S86">
        <f t="shared" ref="S86" si="408">R86/100000</f>
        <v>25559.988757193147</v>
      </c>
      <c r="T86">
        <f t="shared" ref="T86" si="409">S86/1000</f>
        <v>25.559988757193146</v>
      </c>
    </row>
    <row r="87" spans="1:20" x14ac:dyDescent="0.25">
      <c r="A87" s="5">
        <v>44506</v>
      </c>
      <c r="B87">
        <v>0.2167</v>
      </c>
      <c r="C87">
        <v>0.2266</v>
      </c>
      <c r="D87">
        <v>0.2074</v>
      </c>
      <c r="E87">
        <v>0.22539999999999999</v>
      </c>
      <c r="F87">
        <v>156370815</v>
      </c>
      <c r="G87">
        <v>0.22539999999999999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0.87499999999999922</v>
      </c>
      <c r="Q87">
        <f t="shared" ref="Q87" si="411">F87*P87</f>
        <v>136824463.12499988</v>
      </c>
      <c r="R87">
        <f t="shared" ref="R87" si="412">R88+Q87</f>
        <v>2590304434.1540971</v>
      </c>
      <c r="S87">
        <f t="shared" ref="S87" si="413">R87/100000</f>
        <v>25903.044341540972</v>
      </c>
      <c r="T87">
        <f t="shared" ref="T87" si="414">S87/1000</f>
        <v>25.903044341540973</v>
      </c>
    </row>
    <row r="88" spans="1:20" x14ac:dyDescent="0.25">
      <c r="A88" s="5">
        <v>44505</v>
      </c>
      <c r="B88">
        <v>0.19939999999999999</v>
      </c>
      <c r="C88">
        <v>0.2394</v>
      </c>
      <c r="D88">
        <v>0.19570000000000001</v>
      </c>
      <c r="E88">
        <v>0.2167</v>
      </c>
      <c r="F88">
        <v>270814878</v>
      </c>
      <c r="G88">
        <v>0.2167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-3.8901601830663789E-2</v>
      </c>
      <c r="Q88">
        <f t="shared" ref="Q88" si="416">F88*P88</f>
        <v>-10535132.553775791</v>
      </c>
      <c r="R88">
        <f t="shared" ref="R88" si="417">R89+Q88</f>
        <v>2453479971.0290971</v>
      </c>
      <c r="S88">
        <f t="shared" ref="S88" si="418">R88/100000</f>
        <v>24534.799710290972</v>
      </c>
      <c r="T88">
        <f t="shared" ref="T88" si="419">S88/1000</f>
        <v>24.534799710290972</v>
      </c>
    </row>
    <row r="89" spans="1:20" x14ac:dyDescent="0.25">
      <c r="A89" s="5">
        <v>44504</v>
      </c>
      <c r="B89">
        <v>0.20960000000000001</v>
      </c>
      <c r="C89">
        <v>0.2147</v>
      </c>
      <c r="D89">
        <v>0.19470000000000001</v>
      </c>
      <c r="E89">
        <v>0.19950000000000001</v>
      </c>
      <c r="F89">
        <v>59829078</v>
      </c>
      <c r="G89">
        <v>0.19950000000000001</v>
      </c>
      <c r="L89" t="s">
        <v>7</v>
      </c>
      <c r="M89" t="s">
        <v>8</v>
      </c>
      <c r="N89" t="s">
        <v>8</v>
      </c>
      <c r="P89">
        <f t="shared" ref="P89" si="420">IF(C89=D89,0,((E89-D89)-(C89-E89))/(C89-D89))</f>
        <v>-0.51999999999999991</v>
      </c>
      <c r="Q89">
        <f t="shared" ref="Q89" si="421">F89*P89</f>
        <v>-31111120.559999995</v>
      </c>
      <c r="R89">
        <f t="shared" ref="R89" si="422">R90+Q89</f>
        <v>2464015103.5828729</v>
      </c>
      <c r="S89">
        <f t="shared" ref="S89" si="423">R89/100000</f>
        <v>24640.151035828727</v>
      </c>
      <c r="T89">
        <f t="shared" ref="T89" si="424">S89/1000</f>
        <v>24.640151035828726</v>
      </c>
    </row>
    <row r="90" spans="1:20" x14ac:dyDescent="0.25">
      <c r="A90" s="5">
        <v>44503</v>
      </c>
      <c r="B90">
        <v>0.2157</v>
      </c>
      <c r="C90">
        <v>0.23</v>
      </c>
      <c r="D90">
        <v>0.19900000000000001</v>
      </c>
      <c r="E90">
        <v>0.2094</v>
      </c>
      <c r="F90">
        <v>140318715</v>
      </c>
      <c r="G90">
        <v>0.2094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-0.32903225806451658</v>
      </c>
      <c r="Q90">
        <f t="shared" ref="Q90" si="426">F90*P90</f>
        <v>-46169383.645161353</v>
      </c>
      <c r="R90">
        <f t="shared" ref="R90" si="427">R91+Q90</f>
        <v>2495126224.1428728</v>
      </c>
      <c r="S90">
        <f t="shared" ref="S90" si="428">R90/100000</f>
        <v>24951.262241428729</v>
      </c>
      <c r="T90">
        <f t="shared" ref="T90" si="429">S90/1000</f>
        <v>24.951262241428729</v>
      </c>
    </row>
    <row r="91" spans="1:20" x14ac:dyDescent="0.25">
      <c r="A91" s="5">
        <v>44502</v>
      </c>
      <c r="B91">
        <v>0.19420000000000001</v>
      </c>
      <c r="C91">
        <v>0.21709999999999999</v>
      </c>
      <c r="D91">
        <v>0.1915</v>
      </c>
      <c r="E91">
        <v>0.21560000000000001</v>
      </c>
      <c r="F91">
        <v>109023386</v>
      </c>
      <c r="G91">
        <v>0.21560000000000001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0.882812500000002</v>
      </c>
      <c r="Q91">
        <f t="shared" ref="Q91" si="431">F91*P91</f>
        <v>96247207.953125224</v>
      </c>
      <c r="R91">
        <f t="shared" ref="R91" si="432">R92+Q91</f>
        <v>2541295607.788034</v>
      </c>
      <c r="S91">
        <f t="shared" ref="S91" si="433">R91/100000</f>
        <v>25412.956077880339</v>
      </c>
      <c r="T91">
        <f t="shared" ref="T91" si="434">S91/1000</f>
        <v>25.412956077880338</v>
      </c>
    </row>
    <row r="92" spans="1:20" x14ac:dyDescent="0.25">
      <c r="A92" s="5">
        <v>44501</v>
      </c>
      <c r="B92">
        <v>0.19239999999999999</v>
      </c>
      <c r="C92">
        <v>0.20250000000000001</v>
      </c>
      <c r="D92">
        <v>0.17899999999999999</v>
      </c>
      <c r="E92">
        <v>0.1943</v>
      </c>
      <c r="F92">
        <v>117474137</v>
      </c>
      <c r="G92">
        <v>0.1943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0.30212765957446763</v>
      </c>
      <c r="Q92">
        <f t="shared" ref="Q92" si="436">F92*P92</f>
        <v>35492186.072340369</v>
      </c>
      <c r="R92">
        <f t="shared" ref="R92" si="437">R93+Q92</f>
        <v>2445048399.834909</v>
      </c>
      <c r="S92">
        <f t="shared" ref="S92" si="438">R92/100000</f>
        <v>24450.483998349089</v>
      </c>
      <c r="T92">
        <f t="shared" ref="T92" si="439">S92/1000</f>
        <v>24.450483998349089</v>
      </c>
    </row>
    <row r="93" spans="1:20" x14ac:dyDescent="0.25">
      <c r="A93" s="5">
        <v>44500</v>
      </c>
      <c r="B93">
        <v>0.18559999999999999</v>
      </c>
      <c r="C93">
        <v>0.1951</v>
      </c>
      <c r="D93">
        <v>0.1774</v>
      </c>
      <c r="E93">
        <v>0.1923</v>
      </c>
      <c r="F93">
        <v>113442799</v>
      </c>
      <c r="G93">
        <v>0.1923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0.6836158192090398</v>
      </c>
      <c r="Q93">
        <f t="shared" ref="Q93" si="441">F93*P93</f>
        <v>77551291.971751437</v>
      </c>
      <c r="R93">
        <f t="shared" ref="R93" si="442">R94+Q93</f>
        <v>2409556213.7625685</v>
      </c>
      <c r="S93">
        <f t="shared" ref="S93" si="443">R93/100000</f>
        <v>24095.562137625686</v>
      </c>
      <c r="T93">
        <f t="shared" ref="T93" si="444">S93/1000</f>
        <v>24.095562137625684</v>
      </c>
    </row>
    <row r="94" spans="1:20" x14ac:dyDescent="0.25">
      <c r="A94" s="5">
        <v>44499</v>
      </c>
      <c r="B94">
        <v>0.17169999999999999</v>
      </c>
      <c r="C94">
        <v>0.186</v>
      </c>
      <c r="D94">
        <v>0.1666</v>
      </c>
      <c r="E94">
        <v>0.18559999999999999</v>
      </c>
      <c r="F94">
        <v>81903796</v>
      </c>
      <c r="G94">
        <v>0.18559999999999999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0.95876288659793696</v>
      </c>
      <c r="Q94">
        <f t="shared" ref="Q94" si="446">F94*P94</f>
        <v>78526319.876288563</v>
      </c>
      <c r="R94">
        <f t="shared" ref="R94" si="447">R95+Q94</f>
        <v>2332004921.7908173</v>
      </c>
      <c r="S94">
        <f t="shared" ref="S94" si="448">R94/100000</f>
        <v>23320.049217908174</v>
      </c>
      <c r="T94">
        <f t="shared" ref="T94" si="449">S94/1000</f>
        <v>23.320049217908174</v>
      </c>
    </row>
    <row r="95" spans="1:20" x14ac:dyDescent="0.25">
      <c r="A95" s="5">
        <v>44498</v>
      </c>
      <c r="B95">
        <v>0.16259999999999999</v>
      </c>
      <c r="C95">
        <v>0.17319999999999999</v>
      </c>
      <c r="D95">
        <v>0.16139999999999999</v>
      </c>
      <c r="E95">
        <v>0.17130000000000001</v>
      </c>
      <c r="F95">
        <v>32081117</v>
      </c>
      <c r="G95">
        <v>0.17130000000000001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0.67796610169491789</v>
      </c>
      <c r="Q95">
        <f t="shared" ref="Q95" si="451">F95*P95</f>
        <v>21749909.83050856</v>
      </c>
      <c r="R95">
        <f t="shared" ref="R95" si="452">R96+Q95</f>
        <v>2253478601.9145288</v>
      </c>
      <c r="S95">
        <f t="shared" ref="S95" si="453">R95/100000</f>
        <v>22534.786019145289</v>
      </c>
      <c r="T95">
        <f t="shared" ref="T95" si="454">S95/1000</f>
        <v>22.53478601914529</v>
      </c>
    </row>
    <row r="96" spans="1:20" x14ac:dyDescent="0.25">
      <c r="A96" s="5">
        <v>44497</v>
      </c>
      <c r="B96">
        <v>0.1535</v>
      </c>
      <c r="C96">
        <v>0.16420000000000001</v>
      </c>
      <c r="D96">
        <v>0.1512</v>
      </c>
      <c r="E96">
        <v>0.16270000000000001</v>
      </c>
      <c r="F96">
        <v>42735330</v>
      </c>
      <c r="G96">
        <v>0.16270000000000001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0.76923076923076927</v>
      </c>
      <c r="Q96">
        <f t="shared" ref="Q96" si="456">F96*P96</f>
        <v>32873330.769230772</v>
      </c>
      <c r="R96">
        <f t="shared" ref="R96" si="457">R97+Q96</f>
        <v>2231728692.0840201</v>
      </c>
      <c r="S96">
        <f t="shared" ref="S96" si="458">R96/100000</f>
        <v>22317.286920840201</v>
      </c>
      <c r="T96">
        <f t="shared" ref="T96" si="459">S96/1000</f>
        <v>22.3172869208402</v>
      </c>
    </row>
    <row r="97" spans="1:20" x14ac:dyDescent="0.25">
      <c r="A97" s="5">
        <v>44496</v>
      </c>
      <c r="B97">
        <v>0.17249999999999999</v>
      </c>
      <c r="C97">
        <v>0.17499999999999999</v>
      </c>
      <c r="D97">
        <v>0.14399999999999999</v>
      </c>
      <c r="E97">
        <v>0.15340000000000001</v>
      </c>
      <c r="F97">
        <v>93270241</v>
      </c>
      <c r="G97">
        <v>0.15340000000000001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-0.39354838709677292</v>
      </c>
      <c r="Q97">
        <f t="shared" ref="Q97" si="461">F97*P97</f>
        <v>-36706352.909677304</v>
      </c>
      <c r="R97">
        <f t="shared" ref="R97" si="462">R98+Q97</f>
        <v>2198855361.3147893</v>
      </c>
      <c r="S97">
        <f t="shared" ref="S97" si="463">R97/100000</f>
        <v>21988.553613147891</v>
      </c>
      <c r="T97">
        <f t="shared" ref="T97" si="464">S97/1000</f>
        <v>21.988553613147893</v>
      </c>
    </row>
    <row r="98" spans="1:20" x14ac:dyDescent="0.25">
      <c r="A98" s="5">
        <v>44495</v>
      </c>
      <c r="B98">
        <v>0.17319999999999999</v>
      </c>
      <c r="C98">
        <v>0.1787</v>
      </c>
      <c r="D98">
        <v>0.1714</v>
      </c>
      <c r="E98">
        <v>0.1724</v>
      </c>
      <c r="F98">
        <v>55493450</v>
      </c>
      <c r="G98">
        <v>0.1724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-0.72602739726027377</v>
      </c>
      <c r="Q98">
        <f t="shared" ref="Q98" si="466">F98*P98</f>
        <v>-40289765.068493143</v>
      </c>
      <c r="R98">
        <f t="shared" ref="R98" si="467">R99+Q98</f>
        <v>2235561714.2244668</v>
      </c>
      <c r="S98">
        <f t="shared" ref="S98" si="468">R98/100000</f>
        <v>22355.617142244668</v>
      </c>
      <c r="T98">
        <f t="shared" ref="T98" si="469">S98/1000</f>
        <v>22.355617142244668</v>
      </c>
    </row>
    <row r="99" spans="1:20" x14ac:dyDescent="0.25">
      <c r="A99" s="5">
        <v>44494</v>
      </c>
      <c r="B99">
        <v>0.17100000000000001</v>
      </c>
      <c r="C99">
        <v>0.17349999999999999</v>
      </c>
      <c r="D99">
        <v>0.1699</v>
      </c>
      <c r="E99">
        <v>0.1731</v>
      </c>
      <c r="F99">
        <v>30346467</v>
      </c>
      <c r="G99">
        <v>0.1731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0.77777777777778634</v>
      </c>
      <c r="Q99">
        <f t="shared" ref="Q99" si="471">F99*P99</f>
        <v>23602807.666666925</v>
      </c>
      <c r="R99">
        <f t="shared" ref="R99" si="472">R100+Q99</f>
        <v>2275851479.2929602</v>
      </c>
      <c r="S99">
        <f t="shared" ref="S99" si="473">R99/100000</f>
        <v>22758.5147929296</v>
      </c>
      <c r="T99">
        <f t="shared" ref="T99" si="474">S99/1000</f>
        <v>22.758514792929599</v>
      </c>
    </row>
    <row r="100" spans="1:20" x14ac:dyDescent="0.25">
      <c r="A100" s="5">
        <v>44493</v>
      </c>
      <c r="B100">
        <v>0.17510000000000001</v>
      </c>
      <c r="C100">
        <v>0.17699999999999999</v>
      </c>
      <c r="D100">
        <v>0.16769999999999999</v>
      </c>
      <c r="E100">
        <v>0.1711</v>
      </c>
      <c r="F100">
        <v>36543240</v>
      </c>
      <c r="G100">
        <v>0.1711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-0.26881720430107242</v>
      </c>
      <c r="Q100">
        <f t="shared" ref="Q100" si="476">F100*P100</f>
        <v>-9823451.6129031219</v>
      </c>
      <c r="R100">
        <f t="shared" ref="R100" si="477">R101+Q100</f>
        <v>2252248671.6262932</v>
      </c>
      <c r="S100">
        <f t="shared" ref="S100" si="478">R100/100000</f>
        <v>22522.486716262931</v>
      </c>
      <c r="T100">
        <f t="shared" ref="T100" si="479">S100/1000</f>
        <v>22.522486716262932</v>
      </c>
    </row>
    <row r="101" spans="1:20" x14ac:dyDescent="0.25">
      <c r="A101" s="5">
        <v>44492</v>
      </c>
      <c r="B101">
        <v>0.1739</v>
      </c>
      <c r="C101">
        <v>0.17519999999999999</v>
      </c>
      <c r="D101">
        <v>0.17119999999999999</v>
      </c>
      <c r="E101">
        <v>0.17510000000000001</v>
      </c>
      <c r="F101">
        <v>15596816</v>
      </c>
      <c r="G101">
        <v>0.17510000000000001</v>
      </c>
      <c r="L101" t="s">
        <v>8</v>
      </c>
      <c r="M101" t="s">
        <v>7</v>
      </c>
      <c r="N101" t="s">
        <v>8</v>
      </c>
      <c r="P101">
        <f t="shared" ref="P101" si="480">IF(C101=D101,0,((E101-D101)-(C101-E101))/(C101-D101))</f>
        <v>0.95000000000000551</v>
      </c>
      <c r="Q101">
        <f t="shared" ref="Q101" si="481">F101*P101</f>
        <v>14816975.200000087</v>
      </c>
      <c r="R101">
        <f t="shared" ref="R101" si="482">R102+Q101</f>
        <v>2262072123.2391963</v>
      </c>
      <c r="S101">
        <f t="shared" ref="S101" si="483">R101/100000</f>
        <v>22620.721232391963</v>
      </c>
      <c r="T101">
        <f t="shared" ref="T101" si="484">S101/1000</f>
        <v>22.620721232391961</v>
      </c>
    </row>
    <row r="102" spans="1:20" x14ac:dyDescent="0.25">
      <c r="A102" s="5">
        <v>44491</v>
      </c>
      <c r="B102">
        <v>0.17249999999999999</v>
      </c>
      <c r="C102">
        <v>0.17810000000000001</v>
      </c>
      <c r="D102">
        <v>0.1704</v>
      </c>
      <c r="E102">
        <v>0.1736</v>
      </c>
      <c r="F102">
        <v>29416888</v>
      </c>
      <c r="G102">
        <v>0.1736</v>
      </c>
      <c r="L102" t="s">
        <v>8</v>
      </c>
      <c r="M102" t="s">
        <v>7</v>
      </c>
      <c r="N102" t="s">
        <v>8</v>
      </c>
      <c r="P102">
        <f t="shared" ref="P102" si="485">IF(C102=D102,0,((E102-D102)-(C102-E102))/(C102-D102))</f>
        <v>-0.168831168831168</v>
      </c>
      <c r="Q102">
        <f t="shared" ref="Q102" si="486">F102*P102</f>
        <v>-4966487.5844155597</v>
      </c>
      <c r="R102">
        <f t="shared" ref="R102" si="487">R103+Q102</f>
        <v>2247255148.039196</v>
      </c>
      <c r="S102">
        <f t="shared" ref="S102" si="488">R102/100000</f>
        <v>22472.551480391961</v>
      </c>
      <c r="T102">
        <f t="shared" ref="T102" si="489">S102/1000</f>
        <v>22.47255148039196</v>
      </c>
    </row>
    <row r="103" spans="1:20" x14ac:dyDescent="0.25">
      <c r="A103" s="5">
        <v>44490</v>
      </c>
      <c r="B103">
        <v>0.1736</v>
      </c>
      <c r="C103">
        <v>0.1812</v>
      </c>
      <c r="D103">
        <v>0.1704</v>
      </c>
      <c r="E103">
        <v>0.17249999999999999</v>
      </c>
      <c r="F103">
        <v>49258370</v>
      </c>
      <c r="G103">
        <v>0.17249999999999999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-0.61111111111111294</v>
      </c>
      <c r="Q103">
        <f t="shared" ref="Q103" si="491">F103*P103</f>
        <v>-30102337.222222313</v>
      </c>
      <c r="R103">
        <f t="shared" ref="R103" si="492">R104+Q103</f>
        <v>2252221635.6236115</v>
      </c>
      <c r="S103">
        <f t="shared" ref="S103" si="493">R103/100000</f>
        <v>22522.216356236113</v>
      </c>
      <c r="T103">
        <f t="shared" ref="T103" si="494">S103/1000</f>
        <v>22.522216356236115</v>
      </c>
    </row>
    <row r="104" spans="1:20" x14ac:dyDescent="0.25">
      <c r="A104" s="5">
        <v>44489</v>
      </c>
      <c r="B104">
        <v>0.16689999999999999</v>
      </c>
      <c r="C104">
        <v>0.1744</v>
      </c>
      <c r="D104">
        <v>0.1648</v>
      </c>
      <c r="E104">
        <v>0.17369999999999999</v>
      </c>
      <c r="F104">
        <v>35556507</v>
      </c>
      <c r="G104">
        <v>0.17369999999999999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0.8541666666666653</v>
      </c>
      <c r="Q104">
        <f t="shared" ref="Q104" si="496">F104*P104</f>
        <v>30371183.062499952</v>
      </c>
      <c r="R104">
        <f t="shared" ref="R104" si="497">R105+Q104</f>
        <v>2282323972.8458338</v>
      </c>
      <c r="S104">
        <f t="shared" ref="S104" si="498">R104/100000</f>
        <v>22823.239728458339</v>
      </c>
      <c r="T104">
        <f t="shared" ref="T104" si="499">S104/1000</f>
        <v>22.82323972845834</v>
      </c>
    </row>
    <row r="105" spans="1:20" x14ac:dyDescent="0.25">
      <c r="A105" s="5">
        <v>44488</v>
      </c>
      <c r="B105">
        <v>0.16739999999999999</v>
      </c>
      <c r="C105">
        <v>0.16930000000000001</v>
      </c>
      <c r="D105">
        <v>0.16289999999999999</v>
      </c>
      <c r="E105">
        <v>0.16700000000000001</v>
      </c>
      <c r="F105">
        <v>20960016</v>
      </c>
      <c r="G105">
        <v>0.16700000000000001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0.281250000000003</v>
      </c>
      <c r="Q105">
        <f t="shared" ref="Q105" si="501">F105*P105</f>
        <v>5895004.5000000624</v>
      </c>
      <c r="R105">
        <f t="shared" ref="R105" si="502">R106+Q105</f>
        <v>2251952789.7833338</v>
      </c>
      <c r="S105">
        <f t="shared" ref="S105" si="503">R105/100000</f>
        <v>22519.527897833337</v>
      </c>
      <c r="T105">
        <f t="shared" ref="T105" si="504">S105/1000</f>
        <v>22.519527897833338</v>
      </c>
    </row>
    <row r="106" spans="1:20" x14ac:dyDescent="0.25">
      <c r="A106" s="5">
        <v>44487</v>
      </c>
      <c r="B106">
        <v>0.1668</v>
      </c>
      <c r="C106">
        <v>0.16869999999999999</v>
      </c>
      <c r="D106">
        <v>0.16339999999999999</v>
      </c>
      <c r="E106">
        <v>0.1676</v>
      </c>
      <c r="F106">
        <v>23440992</v>
      </c>
      <c r="G106">
        <v>0.1676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0.58490566037736225</v>
      </c>
      <c r="Q106">
        <f t="shared" ref="Q106" si="506">F106*P106</f>
        <v>13710768.905660465</v>
      </c>
      <c r="R106">
        <f t="shared" ref="R106" si="507">R107+Q106</f>
        <v>2246057785.2833338</v>
      </c>
      <c r="S106">
        <f t="shared" ref="S106" si="508">R106/100000</f>
        <v>22460.577852833339</v>
      </c>
      <c r="T106">
        <f t="shared" ref="T106" si="509">S106/1000</f>
        <v>22.460577852833339</v>
      </c>
    </row>
    <row r="107" spans="1:20" x14ac:dyDescent="0.25">
      <c r="A107" s="5">
        <v>44486</v>
      </c>
      <c r="B107">
        <v>0.17169999999999999</v>
      </c>
      <c r="C107">
        <v>0.1734</v>
      </c>
      <c r="D107">
        <v>0.16109999999999999</v>
      </c>
      <c r="E107">
        <v>0.1668</v>
      </c>
      <c r="F107">
        <v>32105579</v>
      </c>
      <c r="G107">
        <v>0.1668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-7.317073170731575E-2</v>
      </c>
      <c r="Q107">
        <f t="shared" ref="Q107" si="511">F107*P107</f>
        <v>-2349188.7073170305</v>
      </c>
      <c r="R107">
        <f t="shared" ref="R107" si="512">R108+Q107</f>
        <v>2232347016.3776731</v>
      </c>
      <c r="S107">
        <f t="shared" ref="S107" si="513">R107/100000</f>
        <v>22323.470163776732</v>
      </c>
      <c r="T107">
        <f t="shared" ref="T107" si="514">S107/1000</f>
        <v>22.323470163776733</v>
      </c>
    </row>
    <row r="108" spans="1:20" x14ac:dyDescent="0.25">
      <c r="A108" s="5">
        <v>44485</v>
      </c>
      <c r="B108">
        <v>0.1724</v>
      </c>
      <c r="C108">
        <v>0.17560000000000001</v>
      </c>
      <c r="D108">
        <v>0.17050000000000001</v>
      </c>
      <c r="E108">
        <v>0.1714</v>
      </c>
      <c r="F108">
        <v>32485624</v>
      </c>
      <c r="G108">
        <v>0.1714</v>
      </c>
      <c r="L108" t="s">
        <v>7</v>
      </c>
      <c r="M108" t="s">
        <v>8</v>
      </c>
      <c r="N108" t="s">
        <v>8</v>
      </c>
      <c r="P108">
        <f t="shared" ref="P108" si="515">IF(C108=D108,0,((E108-D108)-(C108-E108))/(C108-D108))</f>
        <v>-0.64705882352941757</v>
      </c>
      <c r="Q108">
        <f t="shared" ref="Q108" si="516">F108*P108</f>
        <v>-21020109.647059012</v>
      </c>
      <c r="R108">
        <f t="shared" ref="R108" si="517">R109+Q108</f>
        <v>2234696205.08499</v>
      </c>
      <c r="S108">
        <f t="shared" ref="S108" si="518">R108/100000</f>
        <v>22346.962050849899</v>
      </c>
      <c r="T108">
        <f t="shared" ref="T108" si="519">S108/1000</f>
        <v>22.3469620508499</v>
      </c>
    </row>
    <row r="109" spans="1:20" x14ac:dyDescent="0.25">
      <c r="A109" s="5">
        <v>44484</v>
      </c>
      <c r="B109">
        <v>0.1772</v>
      </c>
      <c r="C109">
        <v>0.18079999999999999</v>
      </c>
      <c r="D109">
        <v>0.16789999999999999</v>
      </c>
      <c r="E109">
        <v>0.17230000000000001</v>
      </c>
      <c r="F109">
        <v>49843008</v>
      </c>
      <c r="G109">
        <v>0.17230000000000001</v>
      </c>
      <c r="L109" t="s">
        <v>7</v>
      </c>
      <c r="M109" t="s">
        <v>8</v>
      </c>
      <c r="N109" t="s">
        <v>8</v>
      </c>
      <c r="P109">
        <f t="shared" ref="P109" si="520">IF(C109=D109,0,((E109-D109)-(C109-E109))/(C109-D109))</f>
        <v>-0.31782945736433849</v>
      </c>
      <c r="Q109">
        <f t="shared" ref="Q109" si="521">F109*P109</f>
        <v>-15841576.186046382</v>
      </c>
      <c r="R109">
        <f t="shared" ref="R109" si="522">R110+Q109</f>
        <v>2255716314.732049</v>
      </c>
      <c r="S109">
        <f t="shared" ref="S109" si="523">R109/100000</f>
        <v>22557.163147320491</v>
      </c>
      <c r="T109">
        <f t="shared" ref="T109" si="524">S109/1000</f>
        <v>22.557163147320491</v>
      </c>
    </row>
    <row r="110" spans="1:20" x14ac:dyDescent="0.25">
      <c r="A110" s="5">
        <v>44483</v>
      </c>
      <c r="B110">
        <v>0.1754</v>
      </c>
      <c r="C110">
        <v>0.18079999999999999</v>
      </c>
      <c r="D110">
        <v>0.1739</v>
      </c>
      <c r="E110">
        <v>0.1774</v>
      </c>
      <c r="F110">
        <v>29652153</v>
      </c>
      <c r="G110">
        <v>0.1774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1.4492753623190854E-2</v>
      </c>
      <c r="Q110">
        <f t="shared" ref="Q110" si="526">F110*P110</f>
        <v>429741.34782615956</v>
      </c>
      <c r="R110">
        <f t="shared" ref="R110" si="527">R111+Q110</f>
        <v>2271557890.9180956</v>
      </c>
      <c r="S110">
        <f t="shared" ref="S110" si="528">R110/100000</f>
        <v>22715.578909180957</v>
      </c>
      <c r="T110">
        <f t="shared" ref="T110" si="529">S110/1000</f>
        <v>22.715578909180955</v>
      </c>
    </row>
    <row r="111" spans="1:20" x14ac:dyDescent="0.25">
      <c r="A111" s="5">
        <v>44482</v>
      </c>
      <c r="B111">
        <v>0.1724</v>
      </c>
      <c r="C111">
        <v>0.17599999999999999</v>
      </c>
      <c r="D111">
        <v>0.1673</v>
      </c>
      <c r="E111">
        <v>0.1754</v>
      </c>
      <c r="F111">
        <v>29301718</v>
      </c>
      <c r="G111">
        <v>0.1754</v>
      </c>
      <c r="L111" t="s">
        <v>7</v>
      </c>
      <c r="M111" t="s">
        <v>8</v>
      </c>
      <c r="N111" t="s">
        <v>8</v>
      </c>
      <c r="P111">
        <f t="shared" ref="P111" si="530">IF(C111=D111,0,((E111-D111)-(C111-E111))/(C111-D111))</f>
        <v>0.86206896551724355</v>
      </c>
      <c r="Q111">
        <f t="shared" ref="Q111" si="531">F111*P111</f>
        <v>25260101.724137995</v>
      </c>
      <c r="R111">
        <f t="shared" ref="R111" si="532">R112+Q111</f>
        <v>2271128149.5702696</v>
      </c>
      <c r="S111">
        <f t="shared" ref="S111" si="533">R111/100000</f>
        <v>22711.281495702697</v>
      </c>
      <c r="T111">
        <f t="shared" ref="T111" si="534">S111/1000</f>
        <v>22.711281495702696</v>
      </c>
    </row>
    <row r="112" spans="1:20" x14ac:dyDescent="0.25">
      <c r="A112" s="5">
        <v>44481</v>
      </c>
      <c r="B112">
        <v>0.17849999999999999</v>
      </c>
      <c r="C112">
        <v>0.17849999999999999</v>
      </c>
      <c r="D112">
        <v>0.16689999999999999</v>
      </c>
      <c r="E112">
        <v>0.17230000000000001</v>
      </c>
      <c r="F112">
        <v>54351078</v>
      </c>
      <c r="G112">
        <v>0.17230000000000001</v>
      </c>
      <c r="L112" t="s">
        <v>7</v>
      </c>
      <c r="M112" t="s">
        <v>8</v>
      </c>
      <c r="N112" t="s">
        <v>8</v>
      </c>
      <c r="P112">
        <f t="shared" ref="P112" si="535">IF(C112=D112,0,((E112-D112)-(C112-E112))/(C112-D112))</f>
        <v>-6.8965517241376506E-2</v>
      </c>
      <c r="Q112">
        <f t="shared" ref="Q112" si="536">F112*P112</f>
        <v>-3748350.2068963991</v>
      </c>
      <c r="R112">
        <f t="shared" ref="R112" si="537">R113+Q112</f>
        <v>2245868047.8461318</v>
      </c>
      <c r="S112">
        <f t="shared" ref="S112" si="538">R112/100000</f>
        <v>22458.68047846132</v>
      </c>
      <c r="T112">
        <f t="shared" ref="T112" si="539">S112/1000</f>
        <v>22.458680478461318</v>
      </c>
    </row>
    <row r="113" spans="1:20" x14ac:dyDescent="0.25">
      <c r="A113" s="5">
        <v>44480</v>
      </c>
      <c r="B113">
        <v>0.1731</v>
      </c>
      <c r="C113">
        <v>0.19170000000000001</v>
      </c>
      <c r="D113">
        <v>0.17</v>
      </c>
      <c r="E113">
        <v>0.17829999999999999</v>
      </c>
      <c r="F113">
        <v>95392010</v>
      </c>
      <c r="G113">
        <v>0.17829999999999999</v>
      </c>
      <c r="L113" t="s">
        <v>8</v>
      </c>
      <c r="M113" t="s">
        <v>8</v>
      </c>
      <c r="N113" t="s">
        <v>8</v>
      </c>
      <c r="P113">
        <f t="shared" ref="P113" si="540">IF(C113=D113,0,((E113-D113)-(C113-E113))/(C113-D113))</f>
        <v>-0.23502304147465666</v>
      </c>
      <c r="Q113">
        <f t="shared" ref="Q113" si="541">F113*P113</f>
        <v>-22419320.322580863</v>
      </c>
      <c r="R113">
        <f t="shared" ref="R113" si="542">R114+Q113</f>
        <v>2249616398.0530281</v>
      </c>
      <c r="S113">
        <f t="shared" ref="S113" si="543">R113/100000</f>
        <v>22496.16398053028</v>
      </c>
      <c r="T113">
        <f t="shared" ref="T113" si="544">S113/1000</f>
        <v>22.49616398053028</v>
      </c>
    </row>
    <row r="114" spans="1:20" x14ac:dyDescent="0.25">
      <c r="A114" s="5">
        <v>44479</v>
      </c>
      <c r="B114">
        <v>0.18240000000000001</v>
      </c>
      <c r="C114">
        <v>0.1837</v>
      </c>
      <c r="D114">
        <v>0.17150000000000001</v>
      </c>
      <c r="E114">
        <v>0.17319999999999999</v>
      </c>
      <c r="F114">
        <v>52875049</v>
      </c>
      <c r="G114">
        <v>0.17319999999999999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-0.7213114754098392</v>
      </c>
      <c r="Q114">
        <f t="shared" ref="Q114" si="546">F114*P114</f>
        <v>-38139379.606557541</v>
      </c>
      <c r="R114">
        <f t="shared" ref="R114" si="547">R115+Q114</f>
        <v>2272035718.3756089</v>
      </c>
      <c r="S114">
        <f t="shared" ref="S114" si="548">R114/100000</f>
        <v>22720.357183756088</v>
      </c>
      <c r="T114">
        <f t="shared" ref="T114" si="549">S114/1000</f>
        <v>22.720357183756089</v>
      </c>
    </row>
    <row r="115" spans="1:20" x14ac:dyDescent="0.25">
      <c r="A115" s="5">
        <v>44478</v>
      </c>
      <c r="B115">
        <v>0.17879999999999999</v>
      </c>
      <c r="C115">
        <v>0.18690000000000001</v>
      </c>
      <c r="D115">
        <v>0.1754</v>
      </c>
      <c r="E115">
        <v>0.1822</v>
      </c>
      <c r="F115">
        <v>59863074</v>
      </c>
      <c r="G115">
        <v>0.1822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0.18260869565217294</v>
      </c>
      <c r="Q115">
        <f t="shared" ref="Q115" si="551">F115*P115</f>
        <v>10931517.860869506</v>
      </c>
      <c r="R115">
        <f t="shared" ref="R115" si="552">R116+Q115</f>
        <v>2310175097.9821663</v>
      </c>
      <c r="S115">
        <f t="shared" ref="S115" si="553">R115/100000</f>
        <v>23101.750979821663</v>
      </c>
      <c r="T115">
        <f t="shared" ref="T115" si="554">S115/1000</f>
        <v>23.101750979821663</v>
      </c>
    </row>
    <row r="116" spans="1:20" x14ac:dyDescent="0.25">
      <c r="A116" s="5">
        <v>44477</v>
      </c>
      <c r="B116">
        <v>0.17330000000000001</v>
      </c>
      <c r="C116">
        <v>0.18110000000000001</v>
      </c>
      <c r="D116">
        <v>0.17150000000000001</v>
      </c>
      <c r="E116">
        <v>0.17879999999999999</v>
      </c>
      <c r="F116">
        <v>56840184</v>
      </c>
      <c r="G116">
        <v>0.17879999999999999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0.52083333333332815</v>
      </c>
      <c r="Q116">
        <f t="shared" ref="Q116" si="556">F116*P116</f>
        <v>29604262.499999706</v>
      </c>
      <c r="R116">
        <f t="shared" ref="R116" si="557">R117+Q116</f>
        <v>2299243580.1212969</v>
      </c>
      <c r="S116">
        <f t="shared" ref="S116" si="558">R116/100000</f>
        <v>22992.435801212971</v>
      </c>
      <c r="T116">
        <f t="shared" ref="T116" si="559">S116/1000</f>
        <v>22.99243580121297</v>
      </c>
    </row>
    <row r="117" spans="1:20" x14ac:dyDescent="0.25">
      <c r="A117" s="5">
        <v>44476</v>
      </c>
      <c r="B117">
        <v>0.1714</v>
      </c>
      <c r="C117">
        <v>0.1757</v>
      </c>
      <c r="D117">
        <v>0.16539999999999999</v>
      </c>
      <c r="E117">
        <v>0.1731</v>
      </c>
      <c r="F117">
        <v>60555342</v>
      </c>
      <c r="G117">
        <v>0.1731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0.49514563106796305</v>
      </c>
      <c r="Q117">
        <f t="shared" ref="Q117" si="561">F117*P117</f>
        <v>29983713.029126327</v>
      </c>
      <c r="R117">
        <f t="shared" ref="R117" si="562">R118+Q117</f>
        <v>2269639317.6212974</v>
      </c>
      <c r="S117">
        <f t="shared" ref="S117" si="563">R117/100000</f>
        <v>22696.393176212972</v>
      </c>
      <c r="T117">
        <f t="shared" ref="T117" si="564">S117/1000</f>
        <v>22.696393176212972</v>
      </c>
    </row>
    <row r="118" spans="1:20" x14ac:dyDescent="0.25">
      <c r="A118" s="5">
        <v>44475</v>
      </c>
      <c r="B118">
        <v>0.17050000000000001</v>
      </c>
      <c r="C118">
        <v>0.1749</v>
      </c>
      <c r="D118">
        <v>0.161</v>
      </c>
      <c r="E118">
        <v>0.1714</v>
      </c>
      <c r="F118">
        <v>85856829</v>
      </c>
      <c r="G118">
        <v>0.1714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0.49640287769784114</v>
      </c>
      <c r="Q118">
        <f t="shared" ref="Q118" si="566">F118*P118</f>
        <v>42619576.985611461</v>
      </c>
      <c r="R118">
        <f t="shared" ref="R118" si="567">R119+Q118</f>
        <v>2239655604.5921712</v>
      </c>
      <c r="S118">
        <f t="shared" ref="S118" si="568">R118/100000</f>
        <v>22396.556045921712</v>
      </c>
      <c r="T118">
        <f t="shared" ref="T118" si="569">S118/1000</f>
        <v>22.396556045921713</v>
      </c>
    </row>
    <row r="119" spans="1:20" x14ac:dyDescent="0.25">
      <c r="A119" s="5">
        <v>44474</v>
      </c>
      <c r="B119">
        <v>0.1583</v>
      </c>
      <c r="C119">
        <v>0.1724</v>
      </c>
      <c r="D119">
        <v>0.15629999999999999</v>
      </c>
      <c r="E119">
        <v>0.1704</v>
      </c>
      <c r="F119">
        <v>82077141</v>
      </c>
      <c r="G119">
        <v>0.1704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0.75155279503105576</v>
      </c>
      <c r="Q119">
        <f t="shared" ref="Q119" si="571">F119*P119</f>
        <v>61685304.726708062</v>
      </c>
      <c r="R119">
        <f t="shared" ref="R119" si="572">R120+Q119</f>
        <v>2197036027.6065598</v>
      </c>
      <c r="S119">
        <f t="shared" ref="S119" si="573">R119/100000</f>
        <v>21970.360276065596</v>
      </c>
      <c r="T119">
        <f t="shared" ref="T119" si="574">S119/1000</f>
        <v>21.970360276065595</v>
      </c>
    </row>
    <row r="120" spans="1:20" x14ac:dyDescent="0.25">
      <c r="A120" s="5">
        <v>44473</v>
      </c>
      <c r="B120">
        <v>0.16220000000000001</v>
      </c>
      <c r="C120">
        <v>0.16239999999999999</v>
      </c>
      <c r="D120">
        <v>0.15129999999999999</v>
      </c>
      <c r="E120">
        <v>0.1585</v>
      </c>
      <c r="F120">
        <v>53877210</v>
      </c>
      <c r="G120">
        <v>0.1585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0.29729729729729959</v>
      </c>
      <c r="Q120">
        <f t="shared" ref="Q120" si="576">F120*P120</f>
        <v>16017548.918919042</v>
      </c>
      <c r="R120">
        <f t="shared" ref="R120" si="577">R121+Q120</f>
        <v>2135350722.8798516</v>
      </c>
      <c r="S120">
        <f t="shared" ref="S120" si="578">R120/100000</f>
        <v>21353.507228798517</v>
      </c>
      <c r="T120">
        <f t="shared" ref="T120" si="579">S120/1000</f>
        <v>21.353507228798517</v>
      </c>
    </row>
    <row r="121" spans="1:20" x14ac:dyDescent="0.25">
      <c r="A121" s="5">
        <v>44472</v>
      </c>
      <c r="B121">
        <v>0.1593</v>
      </c>
      <c r="C121">
        <v>0.16600000000000001</v>
      </c>
      <c r="D121">
        <v>0.156</v>
      </c>
      <c r="E121">
        <v>0.16220000000000001</v>
      </c>
      <c r="F121">
        <v>42411454</v>
      </c>
      <c r="G121">
        <v>0.16220000000000001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0.2400000000000011</v>
      </c>
      <c r="Q121">
        <f t="shared" ref="Q121" si="581">F121*P121</f>
        <v>10178748.960000047</v>
      </c>
      <c r="R121">
        <f t="shared" ref="R121" si="582">R122+Q121</f>
        <v>2119333173.9609325</v>
      </c>
      <c r="S121">
        <f t="shared" ref="S121" si="583">R121/100000</f>
        <v>21193.331739609326</v>
      </c>
      <c r="T121">
        <f t="shared" ref="T121" si="584">S121/1000</f>
        <v>21.193331739609327</v>
      </c>
    </row>
    <row r="122" spans="1:20" x14ac:dyDescent="0.25">
      <c r="A122" s="5">
        <v>44471</v>
      </c>
      <c r="B122">
        <v>0.1593</v>
      </c>
      <c r="C122">
        <v>0.16400000000000001</v>
      </c>
      <c r="D122">
        <v>0.15540000000000001</v>
      </c>
      <c r="E122">
        <v>0.15939999999999999</v>
      </c>
      <c r="F122">
        <v>40116409</v>
      </c>
      <c r="G122">
        <v>0.15939999999999999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-6.9767441860470375E-2</v>
      </c>
      <c r="Q122">
        <f t="shared" ref="Q122" si="586">F122*P122</f>
        <v>-2798819.2325583505</v>
      </c>
      <c r="R122">
        <f t="shared" ref="R122" si="587">R123+Q122</f>
        <v>2109154425.0009325</v>
      </c>
      <c r="S122">
        <f t="shared" ref="S122" si="588">R122/100000</f>
        <v>21091.544250009323</v>
      </c>
      <c r="T122">
        <f t="shared" ref="T122" si="589">S122/1000</f>
        <v>21.091544250009324</v>
      </c>
    </row>
    <row r="123" spans="1:20" x14ac:dyDescent="0.25">
      <c r="A123" s="5">
        <v>44470</v>
      </c>
      <c r="B123">
        <v>0.1467</v>
      </c>
      <c r="C123">
        <v>0.16</v>
      </c>
      <c r="D123">
        <v>0.14430000000000001</v>
      </c>
      <c r="E123">
        <v>0.15920000000000001</v>
      </c>
      <c r="F123">
        <v>40481171</v>
      </c>
      <c r="G123">
        <v>0.15920000000000001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0.89808917197452287</v>
      </c>
      <c r="Q123">
        <f t="shared" ref="Q123" si="591">F123*P123</f>
        <v>36355701.343949065</v>
      </c>
      <c r="R123">
        <f t="shared" ref="R123" si="592">R124+Q123</f>
        <v>2111953244.2334907</v>
      </c>
      <c r="S123">
        <f t="shared" ref="S123" si="593">R123/100000</f>
        <v>21119.532442334908</v>
      </c>
      <c r="T123">
        <f t="shared" ref="T123" si="594">S123/1000</f>
        <v>21.119532442334908</v>
      </c>
    </row>
    <row r="124" spans="1:20" x14ac:dyDescent="0.25">
      <c r="A124" s="5">
        <v>44469</v>
      </c>
      <c r="B124">
        <v>0.13789999999999999</v>
      </c>
      <c r="C124">
        <v>0.1477</v>
      </c>
      <c r="D124">
        <v>0.13730000000000001</v>
      </c>
      <c r="E124">
        <v>0.1467</v>
      </c>
      <c r="F124">
        <v>30691485</v>
      </c>
      <c r="G124">
        <v>0.1467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0.80769230769230738</v>
      </c>
      <c r="Q124">
        <f t="shared" ref="Q124" si="596">F124*P124</f>
        <v>24789276.346153837</v>
      </c>
      <c r="R124">
        <f t="shared" ref="R124" si="597">R125+Q124</f>
        <v>2075597542.8895416</v>
      </c>
      <c r="S124">
        <f t="shared" ref="S124" si="598">R124/100000</f>
        <v>20755.975428895417</v>
      </c>
      <c r="T124">
        <f t="shared" ref="T124" si="599">S124/1000</f>
        <v>20.755975428895418</v>
      </c>
    </row>
    <row r="125" spans="1:20" x14ac:dyDescent="0.25">
      <c r="A125" s="5">
        <v>44468</v>
      </c>
      <c r="B125">
        <v>0.13469999999999999</v>
      </c>
      <c r="C125">
        <v>0.1419</v>
      </c>
      <c r="D125">
        <v>0.1331</v>
      </c>
      <c r="E125">
        <v>0.13789999999999999</v>
      </c>
      <c r="F125">
        <v>26179646</v>
      </c>
      <c r="G125">
        <v>0.13789999999999999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9.0909090909090329E-2</v>
      </c>
      <c r="Q125">
        <f t="shared" ref="Q125" si="601">F125*P125</f>
        <v>2379967.818181803</v>
      </c>
      <c r="R125">
        <f t="shared" ref="R125" si="602">R126+Q125</f>
        <v>2050808266.5433879</v>
      </c>
      <c r="S125">
        <f t="shared" ref="S125" si="603">R125/100000</f>
        <v>20508.082665433878</v>
      </c>
      <c r="T125">
        <f t="shared" ref="T125" si="604">S125/1000</f>
        <v>20.508082665433879</v>
      </c>
    </row>
    <row r="126" spans="1:20" x14ac:dyDescent="0.25">
      <c r="A126" s="5">
        <v>44467</v>
      </c>
      <c r="B126">
        <v>0.1409</v>
      </c>
      <c r="C126">
        <v>0.14410000000000001</v>
      </c>
      <c r="D126">
        <v>0.1341</v>
      </c>
      <c r="E126">
        <v>0.1348</v>
      </c>
      <c r="F126">
        <v>31810070.789999999</v>
      </c>
      <c r="G126">
        <v>0.1348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-0.85999999999999888</v>
      </c>
      <c r="Q126">
        <f t="shared" ref="Q126" si="606">F126*P126</f>
        <v>-27356660.879399963</v>
      </c>
      <c r="R126">
        <f t="shared" ref="R126" si="607">R127+Q126</f>
        <v>2048428298.7252061</v>
      </c>
      <c r="S126">
        <f t="shared" ref="S126" si="608">R126/100000</f>
        <v>20484.28298725206</v>
      </c>
      <c r="T126">
        <f t="shared" ref="T126" si="609">S126/1000</f>
        <v>20.484282987252058</v>
      </c>
    </row>
    <row r="127" spans="1:20" x14ac:dyDescent="0.25">
      <c r="A127" s="5">
        <v>44466</v>
      </c>
      <c r="B127">
        <v>0.14630000000000001</v>
      </c>
      <c r="C127">
        <v>0.15179999999999999</v>
      </c>
      <c r="D127">
        <v>0.1409</v>
      </c>
      <c r="E127">
        <v>0.14099999999999999</v>
      </c>
      <c r="F127">
        <v>32156818</v>
      </c>
      <c r="G127">
        <v>0.14099999999999999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-0.98165137614679099</v>
      </c>
      <c r="Q127">
        <f t="shared" ref="Q127" si="611">F127*P127</f>
        <v>-31566784.6422019</v>
      </c>
      <c r="R127">
        <f t="shared" ref="R127" si="612">R128+Q127</f>
        <v>2075784959.6046062</v>
      </c>
      <c r="S127">
        <f t="shared" ref="S127" si="613">R127/100000</f>
        <v>20757.84959604606</v>
      </c>
      <c r="T127">
        <f t="shared" ref="T127" si="614">S127/1000</f>
        <v>20.757849596046061</v>
      </c>
    </row>
    <row r="128" spans="1:20" x14ac:dyDescent="0.25">
      <c r="A128" s="5">
        <v>44465</v>
      </c>
      <c r="B128">
        <v>0.1472</v>
      </c>
      <c r="C128">
        <v>0.1502</v>
      </c>
      <c r="D128">
        <v>0.13569999999999999</v>
      </c>
      <c r="E128">
        <v>0.1467</v>
      </c>
      <c r="F128">
        <v>44319012.140000001</v>
      </c>
      <c r="G128">
        <v>0.1467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0.51724137931034486</v>
      </c>
      <c r="Q128">
        <f t="shared" ref="Q128" si="616">F128*P128</f>
        <v>22923626.968965519</v>
      </c>
      <c r="R128">
        <f t="shared" ref="R128" si="617">R129+Q128</f>
        <v>2107351744.2468081</v>
      </c>
      <c r="S128">
        <f t="shared" ref="S128" si="618">R128/100000</f>
        <v>21073.517442468081</v>
      </c>
      <c r="T128">
        <f t="shared" ref="T128" si="619">S128/1000</f>
        <v>21.073517442468081</v>
      </c>
    </row>
    <row r="129" spans="1:20" x14ac:dyDescent="0.25">
      <c r="A129" s="5">
        <v>44464</v>
      </c>
      <c r="B129">
        <v>0.14899999999999999</v>
      </c>
      <c r="C129">
        <v>0.1515</v>
      </c>
      <c r="D129">
        <v>0.1421</v>
      </c>
      <c r="E129">
        <v>0.1472</v>
      </c>
      <c r="F129">
        <v>35499357</v>
      </c>
      <c r="G129">
        <v>0.1472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8.5106382978722958E-2</v>
      </c>
      <c r="Q129">
        <f t="shared" ref="Q129" si="621">F129*P129</f>
        <v>3021221.8723404096</v>
      </c>
      <c r="R129">
        <f t="shared" ref="R129" si="622">R130+Q129</f>
        <v>2084428117.2778425</v>
      </c>
      <c r="S129">
        <f t="shared" ref="S129" si="623">R129/100000</f>
        <v>20844.281172778425</v>
      </c>
      <c r="T129">
        <f t="shared" ref="T129" si="624">S129/1000</f>
        <v>20.844281172778423</v>
      </c>
    </row>
    <row r="130" spans="1:20" x14ac:dyDescent="0.25">
      <c r="A130" s="5">
        <v>44463</v>
      </c>
      <c r="B130">
        <v>0.16270000000000001</v>
      </c>
      <c r="C130">
        <v>0.16300000000000001</v>
      </c>
      <c r="D130">
        <v>0.13900000000000001</v>
      </c>
      <c r="E130">
        <v>0.1489</v>
      </c>
      <c r="F130">
        <v>60675949</v>
      </c>
      <c r="G130">
        <v>0.1489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-0.17500000000000043</v>
      </c>
      <c r="Q130">
        <f t="shared" ref="Q130" si="626">F130*P130</f>
        <v>-10618291.075000027</v>
      </c>
      <c r="R130">
        <f t="shared" ref="R130" si="627">R131+Q130</f>
        <v>2081406895.4055021</v>
      </c>
      <c r="S130">
        <f t="shared" ref="S130" si="628">R130/100000</f>
        <v>20814.068954055019</v>
      </c>
      <c r="T130">
        <f t="shared" ref="T130" si="629">S130/1000</f>
        <v>20.814068954055021</v>
      </c>
    </row>
    <row r="131" spans="1:20" x14ac:dyDescent="0.25">
      <c r="A131" s="5">
        <v>44462</v>
      </c>
      <c r="B131">
        <v>0.15840000000000001</v>
      </c>
      <c r="C131">
        <v>0.16289999999999999</v>
      </c>
      <c r="D131">
        <v>0.15479999999999999</v>
      </c>
      <c r="E131">
        <v>0.16270000000000001</v>
      </c>
      <c r="F131">
        <v>37685557</v>
      </c>
      <c r="G131">
        <v>0.16270000000000001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0.95061728395062273</v>
      </c>
      <c r="Q131">
        <f t="shared" ref="Q131" si="631">F131*P131</f>
        <v>35824541.83950638</v>
      </c>
      <c r="R131">
        <f t="shared" ref="R131" si="632">R132+Q131</f>
        <v>2092025186.4805021</v>
      </c>
      <c r="S131">
        <f t="shared" ref="S131" si="633">R131/100000</f>
        <v>20920.251864805021</v>
      </c>
      <c r="T131">
        <f t="shared" ref="T131" si="634">S131/1000</f>
        <v>20.920251864805021</v>
      </c>
    </row>
    <row r="132" spans="1:20" x14ac:dyDescent="0.25">
      <c r="A132" s="5">
        <v>44461</v>
      </c>
      <c r="B132">
        <v>0.14219999999999999</v>
      </c>
      <c r="C132">
        <v>0.1585</v>
      </c>
      <c r="D132">
        <v>0.13869999999999999</v>
      </c>
      <c r="E132">
        <v>0.15840000000000001</v>
      </c>
      <c r="F132">
        <v>45854003</v>
      </c>
      <c r="G132">
        <v>0.15840000000000001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0.98989898989899106</v>
      </c>
      <c r="Q132">
        <f t="shared" ref="Q132" si="636">F132*P132</f>
        <v>45390831.252525307</v>
      </c>
      <c r="R132">
        <f t="shared" ref="R132" si="637">R133+Q132</f>
        <v>2056200644.6409957</v>
      </c>
      <c r="S132">
        <f t="shared" ref="S132" si="638">R132/100000</f>
        <v>20562.006446409956</v>
      </c>
      <c r="T132">
        <f t="shared" ref="T132" si="639">S132/1000</f>
        <v>20.562006446409956</v>
      </c>
    </row>
    <row r="133" spans="1:20" x14ac:dyDescent="0.25">
      <c r="A133" s="5">
        <v>44460</v>
      </c>
      <c r="B133">
        <v>0.15409999999999999</v>
      </c>
      <c r="C133">
        <v>0.1598</v>
      </c>
      <c r="D133">
        <v>0.13769999999999999</v>
      </c>
      <c r="E133">
        <v>0.14219999999999999</v>
      </c>
      <c r="F133">
        <v>61610126.909999996</v>
      </c>
      <c r="G133">
        <v>0.14219999999999999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-0.59276018099547489</v>
      </c>
      <c r="Q133">
        <f t="shared" ref="Q133" si="641">F133*P133</f>
        <v>-36520029.978325777</v>
      </c>
      <c r="R133">
        <f t="shared" ref="R133" si="642">R134+Q133</f>
        <v>2010809813.3884704</v>
      </c>
      <c r="S133">
        <f t="shared" ref="S133" si="643">R133/100000</f>
        <v>20108.098133884705</v>
      </c>
      <c r="T133">
        <f t="shared" ref="T133" si="644">S133/1000</f>
        <v>20.108098133884706</v>
      </c>
    </row>
    <row r="134" spans="1:20" x14ac:dyDescent="0.25">
      <c r="A134" s="5">
        <v>44459</v>
      </c>
      <c r="B134">
        <v>0.17899999999999999</v>
      </c>
      <c r="C134">
        <v>0.17929999999999999</v>
      </c>
      <c r="D134">
        <v>0.16170000000000001</v>
      </c>
      <c r="E134">
        <v>0.16420000000000001</v>
      </c>
      <c r="F134">
        <v>32432603</v>
      </c>
      <c r="G134">
        <v>0.16420000000000001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-0.71590909090909027</v>
      </c>
      <c r="Q134">
        <f t="shared" ref="Q134" si="646">F134*P134</f>
        <v>-23218795.329545435</v>
      </c>
      <c r="R134">
        <f t="shared" ref="R134" si="647">R135+Q134</f>
        <v>2047329843.3667963</v>
      </c>
      <c r="S134">
        <f t="shared" ref="S134" si="648">R134/100000</f>
        <v>20473.298433667962</v>
      </c>
      <c r="T134">
        <f t="shared" ref="T134" si="649">S134/1000</f>
        <v>20.473298433667964</v>
      </c>
    </row>
    <row r="135" spans="1:20" x14ac:dyDescent="0.25">
      <c r="A135" s="5">
        <v>44458</v>
      </c>
      <c r="B135">
        <v>0.18360000000000001</v>
      </c>
      <c r="C135">
        <v>0.1847</v>
      </c>
      <c r="D135">
        <v>0.1772</v>
      </c>
      <c r="E135">
        <v>0.1789</v>
      </c>
      <c r="F135">
        <v>22773345</v>
      </c>
      <c r="G135">
        <v>0.1789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-0.54666666666666519</v>
      </c>
      <c r="Q135">
        <f t="shared" ref="Q135" si="651">F135*P135</f>
        <v>-12449428.599999966</v>
      </c>
      <c r="R135">
        <f t="shared" ref="R135" si="652">R136+Q135</f>
        <v>2070548638.6963418</v>
      </c>
      <c r="S135">
        <f t="shared" ref="S135" si="653">R135/100000</f>
        <v>20705.486386963417</v>
      </c>
      <c r="T135">
        <f t="shared" ref="T135" si="654">S135/1000</f>
        <v>20.705486386963418</v>
      </c>
    </row>
    <row r="136" spans="1:20" x14ac:dyDescent="0.25">
      <c r="A136" s="5">
        <v>44457</v>
      </c>
      <c r="B136">
        <v>0.1825</v>
      </c>
      <c r="C136">
        <v>0.18729999999999999</v>
      </c>
      <c r="D136">
        <v>0.18010000000000001</v>
      </c>
      <c r="E136">
        <v>0.18360000000000001</v>
      </c>
      <c r="F136">
        <v>22053962</v>
      </c>
      <c r="G136">
        <v>0.18360000000000001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-2.7777777777774779E-2</v>
      </c>
      <c r="Q136">
        <f t="shared" ref="Q136" si="656">F136*P136</f>
        <v>-612610.05555548938</v>
      </c>
      <c r="R136">
        <f t="shared" ref="R136" si="657">R137+Q136</f>
        <v>2082998067.2963417</v>
      </c>
      <c r="S136">
        <f t="shared" ref="S136" si="658">R136/100000</f>
        <v>20829.980672963418</v>
      </c>
      <c r="T136">
        <f t="shared" ref="T136" si="659">S136/1000</f>
        <v>20.829980672963419</v>
      </c>
    </row>
    <row r="137" spans="1:20" x14ac:dyDescent="0.25">
      <c r="A137" s="5">
        <v>44456</v>
      </c>
      <c r="B137">
        <v>0.1903</v>
      </c>
      <c r="C137">
        <v>0.19070000000000001</v>
      </c>
      <c r="D137">
        <v>0.17960000000000001</v>
      </c>
      <c r="E137">
        <v>0.1825</v>
      </c>
      <c r="F137">
        <v>37812450</v>
      </c>
      <c r="G137">
        <v>0.1825</v>
      </c>
      <c r="L137" t="s">
        <v>8</v>
      </c>
      <c r="M137" t="s">
        <v>8</v>
      </c>
      <c r="N137" t="s">
        <v>7</v>
      </c>
      <c r="P137">
        <f t="shared" ref="P137" si="660">IF(C137=D137,0,((E137-D137)-(C137-E137))/(C137-D137))</f>
        <v>-0.47747747747747993</v>
      </c>
      <c r="Q137">
        <f t="shared" ref="Q137" si="661">F137*P137</f>
        <v>-18054593.243243337</v>
      </c>
      <c r="R137">
        <f t="shared" ref="R137" si="662">R138+Q137</f>
        <v>2083610677.3518972</v>
      </c>
      <c r="S137">
        <f t="shared" ref="S137" si="663">R137/100000</f>
        <v>20836.106773518972</v>
      </c>
      <c r="T137">
        <f t="shared" ref="T137" si="664">S137/1000</f>
        <v>20.836106773518971</v>
      </c>
    </row>
    <row r="138" spans="1:20" x14ac:dyDescent="0.25">
      <c r="A138" s="5">
        <v>44455</v>
      </c>
      <c r="B138">
        <v>0.1888</v>
      </c>
      <c r="C138">
        <v>0.1923</v>
      </c>
      <c r="D138">
        <v>0.184</v>
      </c>
      <c r="E138">
        <v>0.19040000000000001</v>
      </c>
      <c r="F138">
        <v>41843278</v>
      </c>
      <c r="G138">
        <v>0.19040000000000001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0.54216867469879892</v>
      </c>
      <c r="Q138">
        <f t="shared" ref="Q138" si="666">F138*P138</f>
        <v>22686114.57831341</v>
      </c>
      <c r="R138">
        <f t="shared" ref="R138" si="667">R139+Q138</f>
        <v>2101665270.5951407</v>
      </c>
      <c r="S138">
        <f t="shared" ref="S138" si="668">R138/100000</f>
        <v>21016.652705951408</v>
      </c>
      <c r="T138">
        <f t="shared" ref="T138" si="669">S138/1000</f>
        <v>21.016652705951408</v>
      </c>
    </row>
    <row r="139" spans="1:20" x14ac:dyDescent="0.25">
      <c r="A139" s="5">
        <v>44454</v>
      </c>
      <c r="B139">
        <v>0.1837</v>
      </c>
      <c r="C139">
        <v>0.1908</v>
      </c>
      <c r="D139">
        <v>0.18079999999999999</v>
      </c>
      <c r="E139">
        <v>0.18890000000000001</v>
      </c>
      <c r="F139">
        <v>33971107</v>
      </c>
      <c r="G139">
        <v>0.18890000000000001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0.62000000000000333</v>
      </c>
      <c r="Q139">
        <f t="shared" ref="Q139" si="671">F139*P139</f>
        <v>21062086.340000112</v>
      </c>
      <c r="R139">
        <f t="shared" ref="R139" si="672">R140+Q139</f>
        <v>2078979156.0168273</v>
      </c>
      <c r="S139">
        <f t="shared" ref="S139" si="673">R139/100000</f>
        <v>20789.791560168273</v>
      </c>
      <c r="T139">
        <f t="shared" ref="T139" si="674">S139/1000</f>
        <v>20.789791560168272</v>
      </c>
    </row>
    <row r="140" spans="1:20" x14ac:dyDescent="0.25">
      <c r="A140" s="5">
        <v>44453</v>
      </c>
      <c r="B140">
        <v>0.1779</v>
      </c>
      <c r="C140">
        <v>0.18440000000000001</v>
      </c>
      <c r="D140">
        <v>0.17519999999999999</v>
      </c>
      <c r="E140">
        <v>0.1837</v>
      </c>
      <c r="F140">
        <v>26420812</v>
      </c>
      <c r="G140">
        <v>0.1837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0.84782608695652062</v>
      </c>
      <c r="Q140">
        <f t="shared" ref="Q140" si="676">F140*P140</f>
        <v>22400253.652173884</v>
      </c>
      <c r="R140">
        <f t="shared" ref="R140" si="677">R141+Q140</f>
        <v>2057917069.6768272</v>
      </c>
      <c r="S140">
        <f t="shared" ref="S140" si="678">R140/100000</f>
        <v>20579.170696768273</v>
      </c>
      <c r="T140">
        <f t="shared" ref="T140" si="679">S140/1000</f>
        <v>20.579170696768273</v>
      </c>
    </row>
    <row r="141" spans="1:20" x14ac:dyDescent="0.25">
      <c r="A141" s="5">
        <v>44452</v>
      </c>
      <c r="B141">
        <v>0.1862</v>
      </c>
      <c r="C141">
        <v>0.18729999999999999</v>
      </c>
      <c r="D141">
        <v>0.16750000000000001</v>
      </c>
      <c r="E141">
        <v>0.1779</v>
      </c>
      <c r="F141">
        <v>53111432</v>
      </c>
      <c r="G141">
        <v>0.1779</v>
      </c>
      <c r="L141" t="s">
        <v>7</v>
      </c>
      <c r="M141" t="s">
        <v>8</v>
      </c>
      <c r="N141" t="s">
        <v>7</v>
      </c>
      <c r="P141">
        <f t="shared" ref="P141" si="680">IF(C141=D141,0,((E141-D141)-(C141-E141))/(C141-D141))</f>
        <v>5.0505050505050587E-2</v>
      </c>
      <c r="Q141">
        <f t="shared" ref="Q141" si="681">F141*P141</f>
        <v>2682395.5555555602</v>
      </c>
      <c r="R141">
        <f t="shared" ref="R141" si="682">R142+Q141</f>
        <v>2035516816.0246532</v>
      </c>
      <c r="S141">
        <f t="shared" ref="S141" si="683">R141/100000</f>
        <v>20355.168160246532</v>
      </c>
      <c r="T141">
        <f t="shared" ref="T141" si="684">S141/1000</f>
        <v>20.355168160246532</v>
      </c>
    </row>
    <row r="142" spans="1:20" x14ac:dyDescent="0.25">
      <c r="A142" s="5">
        <v>44451</v>
      </c>
      <c r="B142">
        <v>0.18099999999999999</v>
      </c>
      <c r="C142">
        <v>0.18859999999999999</v>
      </c>
      <c r="D142">
        <v>0.1774</v>
      </c>
      <c r="E142">
        <v>0.1862</v>
      </c>
      <c r="F142">
        <v>28565655</v>
      </c>
      <c r="G142">
        <v>0.1862</v>
      </c>
      <c r="L142" t="s">
        <v>7</v>
      </c>
      <c r="M142" t="s">
        <v>8</v>
      </c>
      <c r="N142" t="s">
        <v>7</v>
      </c>
      <c r="P142">
        <f t="shared" ref="P142" si="685">IF(C142=D142,0,((E142-D142)-(C142-E142))/(C142-D142))</f>
        <v>0.57142857142857351</v>
      </c>
      <c r="Q142">
        <f t="shared" ref="Q142" si="686">F142*P142</f>
        <v>16323231.428571489</v>
      </c>
      <c r="R142">
        <f t="shared" ref="R142" si="687">R143+Q142</f>
        <v>2032834420.4690976</v>
      </c>
      <c r="S142">
        <f t="shared" ref="S142" si="688">R142/100000</f>
        <v>20328.344204690977</v>
      </c>
      <c r="T142">
        <f t="shared" ref="T142" si="689">S142/1000</f>
        <v>20.328344204690978</v>
      </c>
    </row>
    <row r="143" spans="1:20" x14ac:dyDescent="0.25">
      <c r="A143" s="5">
        <v>44450</v>
      </c>
      <c r="B143">
        <v>0.17810000000000001</v>
      </c>
      <c r="C143">
        <v>0.1847</v>
      </c>
      <c r="D143">
        <v>0.17549999999999999</v>
      </c>
      <c r="E143">
        <v>0.18090000000000001</v>
      </c>
      <c r="F143">
        <v>24802391</v>
      </c>
      <c r="G143">
        <v>0.18090000000000001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0.17391304347826259</v>
      </c>
      <c r="Q143">
        <f t="shared" ref="Q143" si="691">F143*P143</f>
        <v>4313459.304347869</v>
      </c>
      <c r="R143">
        <f t="shared" ref="R143" si="692">R144+Q143</f>
        <v>2016511189.0405262</v>
      </c>
      <c r="S143">
        <f t="shared" ref="S143" si="693">R143/100000</f>
        <v>20165.11189040526</v>
      </c>
      <c r="T143">
        <f t="shared" ref="T143" si="694">S143/1000</f>
        <v>20.16511189040526</v>
      </c>
    </row>
    <row r="144" spans="1:20" x14ac:dyDescent="0.25">
      <c r="A144" s="5">
        <v>44449</v>
      </c>
      <c r="B144">
        <v>0.19109999999999999</v>
      </c>
      <c r="C144">
        <v>0.1968</v>
      </c>
      <c r="D144">
        <v>0.17219999999999999</v>
      </c>
      <c r="E144">
        <v>0.17799999999999999</v>
      </c>
      <c r="F144">
        <v>49518796</v>
      </c>
      <c r="G144">
        <v>0.17799999999999999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-0.52845528455284574</v>
      </c>
      <c r="Q144">
        <f t="shared" ref="Q144" si="696">F144*P144</f>
        <v>-26168469.430894319</v>
      </c>
      <c r="R144">
        <f t="shared" ref="R144" si="697">R145+Q144</f>
        <v>2012197729.7361784</v>
      </c>
      <c r="S144">
        <f t="shared" ref="S144" si="698">R144/100000</f>
        <v>20121.977297361784</v>
      </c>
      <c r="T144">
        <f t="shared" ref="T144" si="699">S144/1000</f>
        <v>20.121977297361784</v>
      </c>
    </row>
    <row r="145" spans="1:20" x14ac:dyDescent="0.25">
      <c r="A145" s="5">
        <v>44448</v>
      </c>
      <c r="B145">
        <v>0.18640000000000001</v>
      </c>
      <c r="C145">
        <v>0.19320000000000001</v>
      </c>
      <c r="D145">
        <v>0.18240000000000001</v>
      </c>
      <c r="E145">
        <v>0.19089999999999999</v>
      </c>
      <c r="F145">
        <v>51729808</v>
      </c>
      <c r="G145">
        <v>0.19089999999999999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0.57407407407406974</v>
      </c>
      <c r="Q145">
        <f t="shared" ref="Q145" si="701">F145*P145</f>
        <v>29696741.629629407</v>
      </c>
      <c r="R145">
        <f t="shared" ref="R145" si="702">R146+Q145</f>
        <v>2038366199.1670728</v>
      </c>
      <c r="S145">
        <f t="shared" ref="S145" si="703">R145/100000</f>
        <v>20383.661991670728</v>
      </c>
      <c r="T145">
        <f t="shared" ref="T145" si="704">S145/1000</f>
        <v>20.383661991670728</v>
      </c>
    </row>
    <row r="146" spans="1:20" x14ac:dyDescent="0.25">
      <c r="A146" s="5">
        <v>44447</v>
      </c>
      <c r="B146">
        <v>0.19</v>
      </c>
      <c r="C146">
        <v>0.192</v>
      </c>
      <c r="D146">
        <v>0.16900000000000001</v>
      </c>
      <c r="E146">
        <v>0.18640000000000001</v>
      </c>
      <c r="F146">
        <v>84545063</v>
      </c>
      <c r="G146">
        <v>0.18640000000000001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0.51304347826086993</v>
      </c>
      <c r="Q146">
        <f t="shared" ref="Q146" si="706">F146*P146</f>
        <v>43375293.191304378</v>
      </c>
      <c r="R146">
        <f t="shared" ref="R146" si="707">R147+Q146</f>
        <v>2008669457.5374434</v>
      </c>
      <c r="S146">
        <f t="shared" ref="S146" si="708">R146/100000</f>
        <v>20086.694575374433</v>
      </c>
      <c r="T146">
        <f t="shared" ref="T146" si="709">S146/1000</f>
        <v>20.086694575374434</v>
      </c>
    </row>
    <row r="147" spans="1:20" x14ac:dyDescent="0.25">
      <c r="A147" s="5">
        <v>44446</v>
      </c>
      <c r="B147">
        <v>0.23699999999999999</v>
      </c>
      <c r="C147">
        <v>0.23730000000000001</v>
      </c>
      <c r="D147">
        <v>0.15970000000000001</v>
      </c>
      <c r="E147">
        <v>0.19</v>
      </c>
      <c r="F147">
        <v>163854256.5</v>
      </c>
      <c r="G147">
        <v>0.19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-0.2190721649484538</v>
      </c>
      <c r="Q147">
        <f t="shared" ref="Q147" si="711">F147*P147</f>
        <v>-35895906.707474262</v>
      </c>
      <c r="R147">
        <f t="shared" ref="R147" si="712">R148+Q147</f>
        <v>1965294164.346139</v>
      </c>
      <c r="S147">
        <f t="shared" ref="S147" si="713">R147/100000</f>
        <v>19652.941643461389</v>
      </c>
      <c r="T147">
        <f t="shared" ref="T147" si="714">S147/1000</f>
        <v>19.652941643461389</v>
      </c>
    </row>
    <row r="148" spans="1:20" x14ac:dyDescent="0.25">
      <c r="A148" s="5">
        <v>44445</v>
      </c>
      <c r="B148">
        <v>0.24299999999999999</v>
      </c>
      <c r="C148">
        <v>0.2432</v>
      </c>
      <c r="D148">
        <v>0.218</v>
      </c>
      <c r="E148">
        <v>0.2369</v>
      </c>
      <c r="F148">
        <v>85380223</v>
      </c>
      <c r="G148">
        <v>0.2369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0.5</v>
      </c>
      <c r="Q148">
        <f t="shared" ref="Q148" si="716">F148*P148</f>
        <v>42690111.5</v>
      </c>
      <c r="R148">
        <f t="shared" ref="R148" si="717">R149+Q148</f>
        <v>2001190071.0536132</v>
      </c>
      <c r="S148">
        <f t="shared" ref="S148" si="718">R148/100000</f>
        <v>20011.900710536131</v>
      </c>
      <c r="T148">
        <f t="shared" ref="T148" si="719">S148/1000</f>
        <v>20.011900710536132</v>
      </c>
    </row>
    <row r="149" spans="1:20" x14ac:dyDescent="0.25">
      <c r="A149" s="5">
        <v>44444</v>
      </c>
      <c r="B149">
        <v>0.21729999999999999</v>
      </c>
      <c r="C149">
        <v>0.24360000000000001</v>
      </c>
      <c r="D149">
        <v>0.2172</v>
      </c>
      <c r="E149">
        <v>0.24310000000000001</v>
      </c>
      <c r="F149">
        <v>129530608.98999999</v>
      </c>
      <c r="G149">
        <v>0.24310000000000001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0.96212121212121204</v>
      </c>
      <c r="Q149">
        <f t="shared" ref="Q149" si="721">F149*P149</f>
        <v>124624146.52825756</v>
      </c>
      <c r="R149">
        <f t="shared" ref="R149" si="722">R150+Q149</f>
        <v>1958499959.5536132</v>
      </c>
      <c r="S149">
        <f t="shared" ref="S149" si="723">R149/100000</f>
        <v>19584.99959553613</v>
      </c>
      <c r="T149">
        <f t="shared" ref="T149" si="724">S149/1000</f>
        <v>19.584999595536129</v>
      </c>
    </row>
    <row r="150" spans="1:20" x14ac:dyDescent="0.25">
      <c r="A150" s="5">
        <v>44443</v>
      </c>
      <c r="B150">
        <v>0.20760000000000001</v>
      </c>
      <c r="C150">
        <v>0.22120000000000001</v>
      </c>
      <c r="D150">
        <v>0.20649999999999999</v>
      </c>
      <c r="E150">
        <v>0.21729999999999999</v>
      </c>
      <c r="F150">
        <v>71441282.390000001</v>
      </c>
      <c r="G150">
        <v>0.21729999999999999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0.46938775510203951</v>
      </c>
      <c r="Q150">
        <f t="shared" ref="Q150" si="726">F150*P150</f>
        <v>33533663.162652969</v>
      </c>
      <c r="R150">
        <f t="shared" ref="R150" si="727">R151+Q150</f>
        <v>1833875813.0253556</v>
      </c>
      <c r="S150">
        <f t="shared" ref="S150" si="728">R150/100000</f>
        <v>18338.758130253555</v>
      </c>
      <c r="T150">
        <f t="shared" ref="T150" si="729">S150/1000</f>
        <v>18.338758130253556</v>
      </c>
    </row>
    <row r="151" spans="1:20" x14ac:dyDescent="0.25">
      <c r="A151" s="5">
        <v>44442</v>
      </c>
      <c r="B151">
        <v>0.20280000000000001</v>
      </c>
      <c r="C151">
        <v>0.2117</v>
      </c>
      <c r="D151">
        <v>0.1963</v>
      </c>
      <c r="E151">
        <v>0.2077</v>
      </c>
      <c r="F151">
        <v>70518348.569999993</v>
      </c>
      <c r="G151">
        <v>0.2077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0.48051948051947996</v>
      </c>
      <c r="Q151">
        <f t="shared" ref="Q151" si="731">F151*P151</f>
        <v>33885440.221948005</v>
      </c>
      <c r="R151">
        <f t="shared" ref="R151" si="732">R152+Q151</f>
        <v>1800342149.8627026</v>
      </c>
      <c r="S151">
        <f t="shared" ref="S151" si="733">R151/100000</f>
        <v>18003.421498627027</v>
      </c>
      <c r="T151">
        <f t="shared" ref="T151" si="734">S151/1000</f>
        <v>18.003421498627027</v>
      </c>
    </row>
    <row r="152" spans="1:20" x14ac:dyDescent="0.25">
      <c r="A152" s="5">
        <v>44441</v>
      </c>
      <c r="B152">
        <v>0.2011</v>
      </c>
      <c r="C152">
        <v>0.20610000000000001</v>
      </c>
      <c r="D152">
        <v>0.1978</v>
      </c>
      <c r="E152">
        <v>0.2029</v>
      </c>
      <c r="F152">
        <v>46659571.649999999</v>
      </c>
      <c r="G152">
        <v>0.2029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0.22891566265060057</v>
      </c>
      <c r="Q152">
        <f t="shared" ref="Q152" si="736">F152*P152</f>
        <v>10681106.763252925</v>
      </c>
      <c r="R152">
        <f t="shared" ref="R152" si="737">R153+Q152</f>
        <v>1766456709.6407547</v>
      </c>
      <c r="S152">
        <f t="shared" ref="S152" si="738">R152/100000</f>
        <v>17664.567096407547</v>
      </c>
      <c r="T152">
        <f t="shared" ref="T152" si="739">S152/1000</f>
        <v>17.664567096407549</v>
      </c>
    </row>
    <row r="153" spans="1:20" x14ac:dyDescent="0.25">
      <c r="A153" s="5">
        <v>44440</v>
      </c>
      <c r="B153">
        <v>0.1923</v>
      </c>
      <c r="C153">
        <v>0.2014</v>
      </c>
      <c r="D153">
        <v>0.1875</v>
      </c>
      <c r="E153">
        <v>0.2011</v>
      </c>
      <c r="F153">
        <v>47503880</v>
      </c>
      <c r="G153">
        <v>0.2011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0.95683453237410143</v>
      </c>
      <c r="Q153">
        <f t="shared" ref="Q153" si="741">F153*P153</f>
        <v>45453352.805755429</v>
      </c>
      <c r="R153">
        <f t="shared" ref="R153" si="742">R154+Q153</f>
        <v>1755775602.8775017</v>
      </c>
      <c r="S153">
        <f t="shared" ref="S153" si="743">R153/100000</f>
        <v>17557.756028775017</v>
      </c>
      <c r="T153">
        <f t="shared" ref="T153" si="744">S153/1000</f>
        <v>17.557756028775017</v>
      </c>
    </row>
    <row r="154" spans="1:20" x14ac:dyDescent="0.25">
      <c r="A154" s="5">
        <v>44439</v>
      </c>
      <c r="B154">
        <v>0.1885</v>
      </c>
      <c r="C154">
        <v>0.19589999999999999</v>
      </c>
      <c r="D154">
        <v>0.18540000000000001</v>
      </c>
      <c r="E154">
        <v>0.1923</v>
      </c>
      <c r="F154">
        <v>48535573</v>
      </c>
      <c r="G154">
        <v>0.1923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0.31428571428571461</v>
      </c>
      <c r="Q154">
        <f t="shared" ref="Q154" si="746">F154*P154</f>
        <v>15254037.228571445</v>
      </c>
      <c r="R154">
        <f t="shared" ref="R154" si="747">R155+Q154</f>
        <v>1710322250.0717463</v>
      </c>
      <c r="S154">
        <f t="shared" ref="S154" si="748">R154/100000</f>
        <v>17103.222500717464</v>
      </c>
      <c r="T154">
        <f t="shared" ref="T154" si="749">S154/1000</f>
        <v>17.103222500717465</v>
      </c>
    </row>
    <row r="155" spans="1:20" x14ac:dyDescent="0.25">
      <c r="A155" s="5">
        <v>44438</v>
      </c>
      <c r="B155">
        <v>0.1943</v>
      </c>
      <c r="C155">
        <v>0.19600000000000001</v>
      </c>
      <c r="D155">
        <v>0.18740000000000001</v>
      </c>
      <c r="E155">
        <v>0.1885</v>
      </c>
      <c r="F155">
        <v>40867382</v>
      </c>
      <c r="G155">
        <v>0.1885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-0.74418604651163012</v>
      </c>
      <c r="Q155">
        <f t="shared" ref="Q155" si="751">F155*P155</f>
        <v>-30412935.441860557</v>
      </c>
      <c r="R155">
        <f t="shared" ref="R155" si="752">R156+Q155</f>
        <v>1695068212.8431749</v>
      </c>
      <c r="S155">
        <f t="shared" ref="S155" si="753">R155/100000</f>
        <v>16950.682128431748</v>
      </c>
      <c r="T155">
        <f t="shared" ref="T155" si="754">S155/1000</f>
        <v>16.950682128431747</v>
      </c>
    </row>
    <row r="156" spans="1:20" x14ac:dyDescent="0.25">
      <c r="A156" s="5">
        <v>44437</v>
      </c>
      <c r="B156">
        <v>0.1951</v>
      </c>
      <c r="C156">
        <v>0.19800000000000001</v>
      </c>
      <c r="D156">
        <v>0.1893</v>
      </c>
      <c r="E156">
        <v>0.1943</v>
      </c>
      <c r="F156">
        <v>58797380</v>
      </c>
      <c r="G156">
        <v>0.1943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0.1494252873563211</v>
      </c>
      <c r="Q156">
        <f t="shared" ref="Q156" si="756">F156*P156</f>
        <v>8785815.4022988081</v>
      </c>
      <c r="R156">
        <f t="shared" ref="R156" si="757">R157+Q156</f>
        <v>1725481148.2850356</v>
      </c>
      <c r="S156">
        <f t="shared" ref="S156" si="758">R156/100000</f>
        <v>17254.811482850357</v>
      </c>
      <c r="T156">
        <f t="shared" ref="T156" si="759">S156/1000</f>
        <v>17.254811482850357</v>
      </c>
    </row>
    <row r="157" spans="1:20" x14ac:dyDescent="0.25">
      <c r="A157" s="5">
        <v>44436</v>
      </c>
      <c r="B157">
        <v>0.19980000000000001</v>
      </c>
      <c r="C157">
        <v>0.2026</v>
      </c>
      <c r="D157">
        <v>0.19309999999999999</v>
      </c>
      <c r="E157">
        <v>0.19520000000000001</v>
      </c>
      <c r="F157">
        <v>48519194.520000003</v>
      </c>
      <c r="G157">
        <v>0.19520000000000001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-0.55789473684210178</v>
      </c>
      <c r="Q157">
        <f t="shared" ref="Q157" si="761">F157*P157</f>
        <v>-27068603.25852615</v>
      </c>
      <c r="R157">
        <f t="shared" ref="R157" si="762">R158+Q157</f>
        <v>1716695332.8827367</v>
      </c>
      <c r="S157">
        <f t="shared" ref="S157" si="763">R157/100000</f>
        <v>17166.953328827367</v>
      </c>
      <c r="T157">
        <f t="shared" ref="T157" si="764">S157/1000</f>
        <v>17.166953328827368</v>
      </c>
    </row>
    <row r="158" spans="1:20" x14ac:dyDescent="0.25">
      <c r="A158" s="5">
        <v>44435</v>
      </c>
      <c r="B158">
        <v>0.1908</v>
      </c>
      <c r="C158">
        <v>0.19989999999999999</v>
      </c>
      <c r="D158">
        <v>0.18260000000000001</v>
      </c>
      <c r="E158">
        <v>0.19980000000000001</v>
      </c>
      <c r="F158">
        <v>60799968.75</v>
      </c>
      <c r="G158">
        <v>0.19980000000000001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0.98843930635838273</v>
      </c>
      <c r="Q158">
        <f t="shared" ref="Q158" si="766">F158*P158</f>
        <v>60097078.937861346</v>
      </c>
      <c r="R158">
        <f t="shared" ref="R158" si="767">R159+Q158</f>
        <v>1743763936.1412628</v>
      </c>
      <c r="S158">
        <f t="shared" ref="S158" si="768">R158/100000</f>
        <v>17437.639361412628</v>
      </c>
      <c r="T158">
        <f t="shared" ref="T158" si="769">S158/1000</f>
        <v>17.437639361412629</v>
      </c>
    </row>
    <row r="159" spans="1:20" x14ac:dyDescent="0.25">
      <c r="A159" s="5">
        <v>44434</v>
      </c>
      <c r="B159">
        <v>0.2084</v>
      </c>
      <c r="C159">
        <v>0.20880000000000001</v>
      </c>
      <c r="D159">
        <v>0.18690000000000001</v>
      </c>
      <c r="E159">
        <v>0.19089999999999999</v>
      </c>
      <c r="F159">
        <v>53789151.689999998</v>
      </c>
      <c r="G159">
        <v>0.19089999999999999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-0.6347031963470342</v>
      </c>
      <c r="Q159">
        <f t="shared" ref="Q159" si="771">F159*P159</f>
        <v>-34140146.506438479</v>
      </c>
      <c r="R159">
        <f t="shared" ref="R159" si="772">R160+Q159</f>
        <v>1683666857.2034013</v>
      </c>
      <c r="S159">
        <f t="shared" ref="S159" si="773">R159/100000</f>
        <v>16836.668572034014</v>
      </c>
      <c r="T159">
        <f t="shared" ref="T159" si="774">S159/1000</f>
        <v>16.836668572034014</v>
      </c>
    </row>
    <row r="160" spans="1:20" x14ac:dyDescent="0.25">
      <c r="A160" s="5">
        <v>44433</v>
      </c>
      <c r="B160">
        <v>0.19919999999999999</v>
      </c>
      <c r="C160">
        <v>0.2094</v>
      </c>
      <c r="D160">
        <v>0.1908</v>
      </c>
      <c r="E160">
        <v>0.2084</v>
      </c>
      <c r="F160">
        <v>60424055.859999999</v>
      </c>
      <c r="G160">
        <v>0.2084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0.89247311827956988</v>
      </c>
      <c r="Q160">
        <f t="shared" ref="Q160" si="776">F160*P160</f>
        <v>53926845.55247312</v>
      </c>
      <c r="R160">
        <f t="shared" ref="R160" si="777">R161+Q160</f>
        <v>1717807003.7098398</v>
      </c>
      <c r="S160">
        <f t="shared" ref="S160" si="778">R160/100000</f>
        <v>17178.070037098398</v>
      </c>
      <c r="T160">
        <f t="shared" ref="T160" si="779">S160/1000</f>
        <v>17.178070037098397</v>
      </c>
    </row>
    <row r="161" spans="1:20" x14ac:dyDescent="0.25">
      <c r="A161" s="5">
        <v>44432</v>
      </c>
      <c r="B161">
        <v>0.2137</v>
      </c>
      <c r="C161">
        <v>0.218</v>
      </c>
      <c r="D161">
        <v>0.19339999999999999</v>
      </c>
      <c r="E161">
        <v>0.19950000000000001</v>
      </c>
      <c r="F161">
        <v>83466683.150000006</v>
      </c>
      <c r="G161">
        <v>0.19950000000000001</v>
      </c>
      <c r="L161" t="s">
        <v>8</v>
      </c>
      <c r="M161" t="s">
        <v>7</v>
      </c>
      <c r="N161" t="s">
        <v>8</v>
      </c>
      <c r="P161">
        <f t="shared" ref="P161" si="780">IF(C161=D161,0,((E161-D161)-(C161-E161))/(C161-D161))</f>
        <v>-0.50406504065040492</v>
      </c>
      <c r="Q161">
        <f t="shared" ref="Q161" si="781">F161*P161</f>
        <v>-42072637.034959219</v>
      </c>
      <c r="R161">
        <f t="shared" ref="R161" si="782">R162+Q161</f>
        <v>1663880158.1573668</v>
      </c>
      <c r="S161">
        <f t="shared" ref="S161" si="783">R161/100000</f>
        <v>16638.801581573669</v>
      </c>
      <c r="T161">
        <f t="shared" ref="T161" si="784">S161/1000</f>
        <v>16.63880158157367</v>
      </c>
    </row>
    <row r="162" spans="1:20" x14ac:dyDescent="0.25">
      <c r="A162" s="5">
        <v>44431</v>
      </c>
      <c r="B162">
        <v>0.2044</v>
      </c>
      <c r="C162">
        <v>0.2157</v>
      </c>
      <c r="D162">
        <v>0.20319999999999999</v>
      </c>
      <c r="E162">
        <v>0.21410000000000001</v>
      </c>
      <c r="F162">
        <v>81410088</v>
      </c>
      <c r="G162">
        <v>0.21410000000000001</v>
      </c>
      <c r="L162" t="s">
        <v>8</v>
      </c>
      <c r="M162" t="s">
        <v>7</v>
      </c>
      <c r="N162" t="s">
        <v>8</v>
      </c>
      <c r="P162">
        <f t="shared" ref="P162" si="785">IF(C162=D162,0,((E162-D162)-(C162-E162))/(C162-D162))</f>
        <v>0.74400000000000177</v>
      </c>
      <c r="Q162">
        <f t="shared" ref="Q162" si="786">F162*P162</f>
        <v>60569105.472000144</v>
      </c>
      <c r="R162">
        <f t="shared" ref="R162" si="787">R163+Q162</f>
        <v>1705952795.1923261</v>
      </c>
      <c r="S162">
        <f t="shared" ref="S162" si="788">R162/100000</f>
        <v>17059.527951923261</v>
      </c>
      <c r="T162">
        <f t="shared" ref="T162" si="789">S162/1000</f>
        <v>17.059527951923261</v>
      </c>
    </row>
    <row r="163" spans="1:20" x14ac:dyDescent="0.25">
      <c r="A163" s="5">
        <v>44430</v>
      </c>
      <c r="B163">
        <v>0.2054</v>
      </c>
      <c r="C163">
        <v>0.20780000000000001</v>
      </c>
      <c r="D163">
        <v>0.2011</v>
      </c>
      <c r="E163">
        <v>0.20599999999999999</v>
      </c>
      <c r="F163">
        <v>8862528.1099999994</v>
      </c>
      <c r="G163">
        <v>0.20599999999999999</v>
      </c>
      <c r="L163" t="s">
        <v>8</v>
      </c>
      <c r="M163" t="s">
        <v>7</v>
      </c>
      <c r="N163" t="s">
        <v>8</v>
      </c>
      <c r="P163">
        <f t="shared" ref="P163" si="790">IF(C163=D163,0,((E163-D163)-(C163-E163))/(C163-D163))</f>
        <v>0.46268656716417295</v>
      </c>
      <c r="Q163">
        <f t="shared" ref="Q163" si="791">F163*P163</f>
        <v>4100572.7076118854</v>
      </c>
      <c r="R163">
        <f t="shared" ref="R163" si="792">R164+Q163</f>
        <v>1645383689.7203259</v>
      </c>
      <c r="S163">
        <f t="shared" ref="S163" si="793">R163/100000</f>
        <v>16453.836897203259</v>
      </c>
      <c r="T163">
        <f t="shared" ref="T163" si="794">S163/1000</f>
        <v>16.45383689720326</v>
      </c>
    </row>
    <row r="164" spans="1:20" x14ac:dyDescent="0.25">
      <c r="A164" s="5">
        <v>44429</v>
      </c>
      <c r="B164">
        <v>0.2079</v>
      </c>
      <c r="C164">
        <v>0.2127</v>
      </c>
      <c r="D164">
        <v>0.20019999999999999</v>
      </c>
      <c r="E164">
        <v>0.20530000000000001</v>
      </c>
      <c r="F164">
        <v>56282252.869999997</v>
      </c>
      <c r="G164">
        <v>0.20530000000000001</v>
      </c>
      <c r="L164" t="s">
        <v>8</v>
      </c>
      <c r="M164" t="s">
        <v>7</v>
      </c>
      <c r="N164" t="s">
        <v>8</v>
      </c>
      <c r="P164">
        <f t="shared" ref="P164" si="795">IF(C164=D164,0,((E164-D164)-(C164-E164))/(C164-D164))</f>
        <v>-0.18399999999999733</v>
      </c>
      <c r="Q164">
        <f t="shared" ref="Q164" si="796">F164*P164</f>
        <v>-10355934.528079849</v>
      </c>
      <c r="R164">
        <f t="shared" ref="R164" si="797">R165+Q164</f>
        <v>1641283117.0127141</v>
      </c>
      <c r="S164">
        <f t="shared" ref="S164" si="798">R164/100000</f>
        <v>16412.831170127141</v>
      </c>
      <c r="T164">
        <f t="shared" ref="T164" si="799">S164/1000</f>
        <v>16.412831170127141</v>
      </c>
    </row>
    <row r="165" spans="1:20" x14ac:dyDescent="0.25">
      <c r="A165" s="5">
        <v>44428</v>
      </c>
      <c r="B165">
        <v>0.2011</v>
      </c>
      <c r="C165">
        <v>0.20849999999999999</v>
      </c>
      <c r="D165">
        <v>0.19719999999999999</v>
      </c>
      <c r="E165">
        <v>0.20799999999999999</v>
      </c>
      <c r="F165">
        <v>57511953.399999999</v>
      </c>
      <c r="G165">
        <v>0.20799999999999999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0.91150442477876104</v>
      </c>
      <c r="Q165">
        <f t="shared" ref="Q165" si="801">F165*P165</f>
        <v>52422400.001769908</v>
      </c>
      <c r="R165">
        <f t="shared" ref="R165" si="802">R166+Q165</f>
        <v>1651639051.5407939</v>
      </c>
      <c r="S165">
        <f t="shared" ref="S165" si="803">R165/100000</f>
        <v>16516.39051540794</v>
      </c>
      <c r="T165">
        <f t="shared" ref="T165" si="804">S165/1000</f>
        <v>16.516390515407942</v>
      </c>
    </row>
    <row r="166" spans="1:20" x14ac:dyDescent="0.25">
      <c r="A166" s="5">
        <v>44427</v>
      </c>
      <c r="B166">
        <v>0.1908</v>
      </c>
      <c r="C166">
        <v>0.20119999999999999</v>
      </c>
      <c r="D166">
        <v>0.18509999999999999</v>
      </c>
      <c r="E166">
        <v>0.2011</v>
      </c>
      <c r="F166">
        <v>63980049.200000003</v>
      </c>
      <c r="G166">
        <v>0.2011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0.98757763975155421</v>
      </c>
      <c r="Q166">
        <f t="shared" ref="Q166" si="806">F166*P166</f>
        <v>63185265.980124317</v>
      </c>
      <c r="R166">
        <f t="shared" ref="R166" si="807">R167+Q166</f>
        <v>1599216651.5390239</v>
      </c>
      <c r="S166">
        <f t="shared" ref="S166" si="808">R166/100000</f>
        <v>15992.16651539024</v>
      </c>
      <c r="T166">
        <f t="shared" ref="T166" si="809">S166/1000</f>
        <v>15.99216651539024</v>
      </c>
    </row>
    <row r="167" spans="1:20" x14ac:dyDescent="0.25">
      <c r="A167" s="5">
        <v>44426</v>
      </c>
      <c r="B167">
        <v>0.1961</v>
      </c>
      <c r="C167">
        <v>0.19869999999999999</v>
      </c>
      <c r="D167">
        <v>0.18240000000000001</v>
      </c>
      <c r="E167">
        <v>0.19089999999999999</v>
      </c>
      <c r="F167">
        <v>73770126.069999993</v>
      </c>
      <c r="G167">
        <v>0.19089999999999999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4.2944785276072345E-2</v>
      </c>
      <c r="Q167">
        <f t="shared" ref="Q167" si="811">F167*P167</f>
        <v>3168042.2238649363</v>
      </c>
      <c r="R167">
        <f t="shared" ref="R167" si="812">R168+Q167</f>
        <v>1536031385.5588996</v>
      </c>
      <c r="S167">
        <f t="shared" ref="S167" si="813">R167/100000</f>
        <v>15360.313855588996</v>
      </c>
      <c r="T167">
        <f t="shared" ref="T167" si="814">S167/1000</f>
        <v>15.360313855588997</v>
      </c>
    </row>
    <row r="168" spans="1:20" x14ac:dyDescent="0.25">
      <c r="A168" s="5">
        <v>44425</v>
      </c>
      <c r="B168">
        <v>0.21410000000000001</v>
      </c>
      <c r="C168">
        <v>0.21690000000000001</v>
      </c>
      <c r="D168">
        <v>0.19409999999999999</v>
      </c>
      <c r="E168">
        <v>0.19600000000000001</v>
      </c>
      <c r="F168">
        <v>77799587.719999999</v>
      </c>
      <c r="G168">
        <v>0.19600000000000001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-0.83333333333333237</v>
      </c>
      <c r="Q168">
        <f t="shared" ref="Q168" si="816">F168*P168</f>
        <v>-64832989.766666591</v>
      </c>
      <c r="R168">
        <f t="shared" ref="R168" si="817">R169+Q168</f>
        <v>1532863343.3350346</v>
      </c>
      <c r="S168">
        <f t="shared" ref="S168" si="818">R168/100000</f>
        <v>15328.633433350346</v>
      </c>
      <c r="T168">
        <f t="shared" ref="T168" si="819">S168/1000</f>
        <v>15.328633433350346</v>
      </c>
    </row>
    <row r="169" spans="1:20" x14ac:dyDescent="0.25">
      <c r="A169" s="5">
        <v>44424</v>
      </c>
      <c r="B169">
        <v>0.2177</v>
      </c>
      <c r="C169">
        <v>0.22939999999999999</v>
      </c>
      <c r="D169">
        <v>0.2122</v>
      </c>
      <c r="E169">
        <v>0.21410000000000001</v>
      </c>
      <c r="F169">
        <v>91634862.5</v>
      </c>
      <c r="G169">
        <v>0.21410000000000001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-0.77906976744185885</v>
      </c>
      <c r="Q169">
        <f t="shared" ref="Q169" si="821">F169*P169</f>
        <v>-71389951.01744172</v>
      </c>
      <c r="R169">
        <f t="shared" ref="R169" si="822">R170+Q169</f>
        <v>1597696333.1017013</v>
      </c>
      <c r="S169">
        <f t="shared" ref="S169" si="823">R169/100000</f>
        <v>15976.963331017012</v>
      </c>
      <c r="T169">
        <f t="shared" ref="T169" si="824">S169/1000</f>
        <v>15.976963331017012</v>
      </c>
    </row>
    <row r="170" spans="1:20" x14ac:dyDescent="0.25">
      <c r="A170" s="5">
        <v>44423</v>
      </c>
      <c r="B170">
        <v>0.21329999999999999</v>
      </c>
      <c r="C170">
        <v>0.21959999999999999</v>
      </c>
      <c r="D170">
        <v>0.20369999999999999</v>
      </c>
      <c r="E170">
        <v>0.21790000000000001</v>
      </c>
      <c r="F170">
        <v>69349805.049999997</v>
      </c>
      <c r="G170">
        <v>0.21790000000000001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0.78616352201258122</v>
      </c>
      <c r="Q170">
        <f t="shared" ref="Q170" si="826">F170*P170</f>
        <v>54520286.988993891</v>
      </c>
      <c r="R170">
        <f t="shared" ref="R170" si="827">R171+Q170</f>
        <v>1669086284.119143</v>
      </c>
      <c r="S170">
        <f t="shared" ref="S170" si="828">R170/100000</f>
        <v>16690.862841191429</v>
      </c>
      <c r="T170">
        <f t="shared" ref="T170" si="829">S170/1000</f>
        <v>16.690862841191429</v>
      </c>
    </row>
    <row r="171" spans="1:20" x14ac:dyDescent="0.25">
      <c r="A171" s="5">
        <v>44422</v>
      </c>
      <c r="B171">
        <v>0.2031</v>
      </c>
      <c r="C171">
        <v>0.21590000000000001</v>
      </c>
      <c r="D171">
        <v>0.19470000000000001</v>
      </c>
      <c r="E171">
        <v>0.21329999999999999</v>
      </c>
      <c r="F171">
        <v>90251607.099999994</v>
      </c>
      <c r="G171">
        <v>0.21329999999999999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0.75471698113207364</v>
      </c>
      <c r="Q171">
        <f t="shared" ref="Q171" si="831">F171*P171</f>
        <v>68114420.452830017</v>
      </c>
      <c r="R171">
        <f t="shared" ref="R171" si="832">R172+Q171</f>
        <v>1614565997.1301491</v>
      </c>
      <c r="S171">
        <f t="shared" ref="S171" si="833">R171/100000</f>
        <v>16145.659971301491</v>
      </c>
      <c r="T171">
        <f t="shared" ref="T171" si="834">S171/1000</f>
        <v>16.145659971301491</v>
      </c>
    </row>
    <row r="172" spans="1:20" x14ac:dyDescent="0.25">
      <c r="A172" s="5">
        <v>44421</v>
      </c>
      <c r="B172">
        <v>0.18779999999999999</v>
      </c>
      <c r="C172">
        <v>0.2036</v>
      </c>
      <c r="D172">
        <v>0.18540000000000001</v>
      </c>
      <c r="E172">
        <v>0.20330000000000001</v>
      </c>
      <c r="F172">
        <v>48508057.890000001</v>
      </c>
      <c r="G172">
        <v>0.20330000000000001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0.96703296703296759</v>
      </c>
      <c r="Q172">
        <f t="shared" ref="Q172" si="836">F172*P172</f>
        <v>46908891.146373652</v>
      </c>
      <c r="R172">
        <f t="shared" ref="R172" si="837">R173+Q172</f>
        <v>1546451576.677319</v>
      </c>
      <c r="S172">
        <f t="shared" ref="S172" si="838">R172/100000</f>
        <v>15464.515766773191</v>
      </c>
      <c r="T172">
        <f t="shared" ref="T172" si="839">S172/1000</f>
        <v>15.464515766773191</v>
      </c>
    </row>
    <row r="173" spans="1:20" x14ac:dyDescent="0.25">
      <c r="A173" s="5">
        <v>44420</v>
      </c>
      <c r="B173">
        <v>0.19520000000000001</v>
      </c>
      <c r="C173">
        <v>0.20430000000000001</v>
      </c>
      <c r="D173">
        <v>0.1807</v>
      </c>
      <c r="E173">
        <v>0.18779999999999999</v>
      </c>
      <c r="F173">
        <v>64518915.359999999</v>
      </c>
      <c r="G173">
        <v>0.18779999999999999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-0.39830508474576337</v>
      </c>
      <c r="Q173">
        <f t="shared" ref="Q173" si="841">F173*P173</f>
        <v>-25698212.050169535</v>
      </c>
      <c r="R173">
        <f t="shared" ref="R173" si="842">R174+Q173</f>
        <v>1499542685.5309453</v>
      </c>
      <c r="S173">
        <f t="shared" ref="S173" si="843">R173/100000</f>
        <v>14995.426855309453</v>
      </c>
      <c r="T173">
        <f t="shared" ref="T173" si="844">S173/1000</f>
        <v>14.995426855309454</v>
      </c>
    </row>
    <row r="174" spans="1:20" x14ac:dyDescent="0.25">
      <c r="A174" s="5">
        <v>44419</v>
      </c>
      <c r="B174">
        <v>0.18890000000000001</v>
      </c>
      <c r="C174">
        <v>0.20499999999999999</v>
      </c>
      <c r="D174">
        <v>0.188</v>
      </c>
      <c r="E174">
        <v>0.1953</v>
      </c>
      <c r="F174">
        <v>100157750.84999999</v>
      </c>
      <c r="G174">
        <v>0.1953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-0.14117647058823454</v>
      </c>
      <c r="Q174">
        <f t="shared" ref="Q174" si="846">F174*P174</f>
        <v>-14139917.767058747</v>
      </c>
      <c r="R174">
        <f t="shared" ref="R174" si="847">R175+Q174</f>
        <v>1525240897.5811148</v>
      </c>
      <c r="S174">
        <f t="shared" ref="S174" si="848">R174/100000</f>
        <v>15252.408975811148</v>
      </c>
      <c r="T174">
        <f t="shared" ref="T174" si="849">S174/1000</f>
        <v>15.252408975811148</v>
      </c>
    </row>
    <row r="175" spans="1:20" x14ac:dyDescent="0.25">
      <c r="A175" s="5">
        <v>44418</v>
      </c>
      <c r="B175">
        <v>0.18290000000000001</v>
      </c>
      <c r="C175">
        <v>0.19220000000000001</v>
      </c>
      <c r="D175">
        <v>0.1774</v>
      </c>
      <c r="E175">
        <v>0.189</v>
      </c>
      <c r="F175">
        <v>67505677.75</v>
      </c>
      <c r="G175">
        <v>0.189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0.56756756756756666</v>
      </c>
      <c r="Q175">
        <f t="shared" ref="Q175" si="851">F175*P175</f>
        <v>38314033.317567505</v>
      </c>
      <c r="R175">
        <f t="shared" ref="R175" si="852">R176+Q175</f>
        <v>1539380815.3481736</v>
      </c>
      <c r="S175">
        <f t="shared" ref="S175" si="853">R175/100000</f>
        <v>15393.808153481736</v>
      </c>
      <c r="T175">
        <f t="shared" ref="T175" si="854">S175/1000</f>
        <v>15.393808153481736</v>
      </c>
    </row>
    <row r="176" spans="1:20" x14ac:dyDescent="0.25">
      <c r="A176" s="5">
        <v>44417</v>
      </c>
      <c r="B176">
        <v>0.1754</v>
      </c>
      <c r="C176">
        <v>0.18759999999999999</v>
      </c>
      <c r="D176">
        <v>0.16919999999999999</v>
      </c>
      <c r="E176">
        <v>0.183</v>
      </c>
      <c r="F176">
        <v>44086469.07</v>
      </c>
      <c r="G176">
        <v>0.183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0.50000000000000078</v>
      </c>
      <c r="Q176">
        <f t="shared" ref="Q176" si="856">F176*P176</f>
        <v>22043234.535000034</v>
      </c>
      <c r="R176">
        <f t="shared" ref="R176" si="857">R177+Q176</f>
        <v>1501066782.030606</v>
      </c>
      <c r="S176">
        <f t="shared" ref="S176" si="858">R176/100000</f>
        <v>15010.66782030606</v>
      </c>
      <c r="T176">
        <f t="shared" ref="T176" si="859">S176/1000</f>
        <v>15.010667820306059</v>
      </c>
    </row>
    <row r="177" spans="1:20" x14ac:dyDescent="0.25">
      <c r="A177" s="5">
        <v>44416</v>
      </c>
      <c r="B177">
        <v>0.18629999999999999</v>
      </c>
      <c r="C177">
        <v>0.189</v>
      </c>
      <c r="D177">
        <v>0.17280000000000001</v>
      </c>
      <c r="E177">
        <v>0.17519999999999999</v>
      </c>
      <c r="F177">
        <v>45351478.259999998</v>
      </c>
      <c r="G177">
        <v>0.17519999999999999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-0.70370370370370539</v>
      </c>
      <c r="Q177">
        <f t="shared" ref="Q177" si="861">F177*P177</f>
        <v>-31914003.220000073</v>
      </c>
      <c r="R177">
        <f t="shared" ref="R177" si="862">R178+Q177</f>
        <v>1479023547.4956059</v>
      </c>
      <c r="S177">
        <f t="shared" ref="S177" si="863">R177/100000</f>
        <v>14790.23547495606</v>
      </c>
      <c r="T177">
        <f t="shared" ref="T177" si="864">S177/1000</f>
        <v>14.790235474956059</v>
      </c>
    </row>
    <row r="178" spans="1:20" x14ac:dyDescent="0.25">
      <c r="A178" s="5">
        <v>44415</v>
      </c>
      <c r="B178">
        <v>0.17269999999999999</v>
      </c>
      <c r="C178">
        <v>0.18709999999999999</v>
      </c>
      <c r="D178">
        <v>0.1711</v>
      </c>
      <c r="E178">
        <v>0.1862</v>
      </c>
      <c r="F178">
        <v>71541509.75</v>
      </c>
      <c r="G178">
        <v>0.1862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0.88750000000000184</v>
      </c>
      <c r="Q178">
        <f t="shared" ref="Q178" si="866">F178*P178</f>
        <v>63493089.90312513</v>
      </c>
      <c r="R178">
        <f t="shared" ref="R178" si="867">R179+Q178</f>
        <v>1510937550.715606</v>
      </c>
      <c r="S178">
        <f t="shared" ref="S178" si="868">R178/100000</f>
        <v>15109.375507156059</v>
      </c>
      <c r="T178">
        <f t="shared" ref="T178" si="869">S178/1000</f>
        <v>15.109375507156059</v>
      </c>
    </row>
    <row r="179" spans="1:20" x14ac:dyDescent="0.25">
      <c r="A179" s="5">
        <v>44414</v>
      </c>
      <c r="B179">
        <v>0.16880000000000001</v>
      </c>
      <c r="C179">
        <v>0.1744</v>
      </c>
      <c r="D179">
        <v>0.16489999999999999</v>
      </c>
      <c r="E179">
        <v>0.17269999999999999</v>
      </c>
      <c r="F179">
        <v>36959853.090000004</v>
      </c>
      <c r="G179">
        <v>0.17269999999999999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0.64210526315789351</v>
      </c>
      <c r="Q179">
        <f t="shared" ref="Q179" si="871">F179*P179</f>
        <v>23732116.194631536</v>
      </c>
      <c r="R179">
        <f t="shared" ref="R179" si="872">R180+Q179</f>
        <v>1447444460.8124809</v>
      </c>
      <c r="S179">
        <f t="shared" ref="S179" si="873">R179/100000</f>
        <v>14474.44460812481</v>
      </c>
      <c r="T179">
        <f t="shared" ref="T179" si="874">S179/1000</f>
        <v>14.474444608124809</v>
      </c>
    </row>
    <row r="180" spans="1:20" x14ac:dyDescent="0.25">
      <c r="A180" s="5">
        <v>44413</v>
      </c>
      <c r="B180">
        <v>0.16600000000000001</v>
      </c>
      <c r="C180">
        <v>0.17</v>
      </c>
      <c r="D180">
        <v>0.15939999999999999</v>
      </c>
      <c r="E180">
        <v>0.16869999999999999</v>
      </c>
      <c r="F180">
        <v>36176796.079999998</v>
      </c>
      <c r="G180">
        <v>0.16869999999999999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0.75471698113207164</v>
      </c>
      <c r="Q180">
        <f t="shared" ref="Q180" si="876">F180*P180</f>
        <v>27303242.324528161</v>
      </c>
      <c r="R180">
        <f t="shared" ref="R180" si="877">R181+Q180</f>
        <v>1423712344.6178493</v>
      </c>
      <c r="S180">
        <f t="shared" ref="S180" si="878">R180/100000</f>
        <v>14237.123446178493</v>
      </c>
      <c r="T180">
        <f t="shared" ref="T180" si="879">S180/1000</f>
        <v>14.237123446178494</v>
      </c>
    </row>
    <row r="181" spans="1:20" x14ac:dyDescent="0.25">
      <c r="A181" s="5">
        <v>44412</v>
      </c>
      <c r="B181">
        <v>0.16250000000000001</v>
      </c>
      <c r="C181">
        <v>0.16819999999999999</v>
      </c>
      <c r="D181">
        <v>0.1573</v>
      </c>
      <c r="E181">
        <v>0.16589999999999999</v>
      </c>
      <c r="F181">
        <v>27536379.219999999</v>
      </c>
      <c r="G181">
        <v>0.16589999999999999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0.57798165137614721</v>
      </c>
      <c r="Q181">
        <f t="shared" ref="Q181" si="881">F181*P181</f>
        <v>15915521.934495423</v>
      </c>
      <c r="R181">
        <f t="shared" ref="R181" si="882">R182+Q181</f>
        <v>1396409102.2933211</v>
      </c>
      <c r="S181">
        <f t="shared" ref="S181" si="883">R181/100000</f>
        <v>13964.091022933211</v>
      </c>
      <c r="T181">
        <f t="shared" ref="T181" si="884">S181/1000</f>
        <v>13.964091022933211</v>
      </c>
    </row>
    <row r="182" spans="1:20" x14ac:dyDescent="0.25">
      <c r="A182" s="5">
        <v>44411</v>
      </c>
      <c r="B182">
        <v>0.1696</v>
      </c>
      <c r="C182">
        <v>0.17199999999999999</v>
      </c>
      <c r="D182">
        <v>0.1578</v>
      </c>
      <c r="E182">
        <v>0.16239999999999999</v>
      </c>
      <c r="F182">
        <v>32696934.510000002</v>
      </c>
      <c r="G182">
        <v>0.16239999999999999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-0.35211267605633856</v>
      </c>
      <c r="Q182">
        <f t="shared" ref="Q182" si="886">F182*P182</f>
        <v>-11513005.109154947</v>
      </c>
      <c r="R182">
        <f t="shared" ref="R182" si="887">R183+Q182</f>
        <v>1380493580.3588257</v>
      </c>
      <c r="S182">
        <f t="shared" ref="S182" si="888">R182/100000</f>
        <v>13804.935803588256</v>
      </c>
      <c r="T182">
        <f t="shared" ref="T182" si="889">S182/1000</f>
        <v>13.804935803588256</v>
      </c>
    </row>
    <row r="183" spans="1:20" x14ac:dyDescent="0.25">
      <c r="A183" s="5">
        <v>44410</v>
      </c>
      <c r="B183">
        <v>0.1691</v>
      </c>
      <c r="C183">
        <v>0.1736</v>
      </c>
      <c r="D183">
        <v>0.1648</v>
      </c>
      <c r="E183">
        <v>0.1696</v>
      </c>
      <c r="F183">
        <v>35715604.109999999</v>
      </c>
      <c r="G183">
        <v>0.1696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9.0909090909090329E-2</v>
      </c>
      <c r="Q183">
        <f t="shared" ref="Q183" si="891">F183*P183</f>
        <v>3246873.1009090701</v>
      </c>
      <c r="R183">
        <f t="shared" ref="R183" si="892">R184+Q183</f>
        <v>1392006585.4679806</v>
      </c>
      <c r="S183">
        <f t="shared" ref="S183" si="893">R183/100000</f>
        <v>13920.065854679806</v>
      </c>
      <c r="T183">
        <f t="shared" ref="T183" si="894">S183/1000</f>
        <v>13.920065854679805</v>
      </c>
    </row>
    <row r="184" spans="1:20" x14ac:dyDescent="0.25">
      <c r="A184" s="5">
        <v>44409</v>
      </c>
      <c r="B184">
        <v>0.17610000000000001</v>
      </c>
      <c r="C184">
        <v>0.18540000000000001</v>
      </c>
      <c r="D184">
        <v>0.1676</v>
      </c>
      <c r="E184">
        <v>0.1694</v>
      </c>
      <c r="F184">
        <v>61098673.719999999</v>
      </c>
      <c r="G184">
        <v>0.1694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-0.79775280898876455</v>
      </c>
      <c r="Q184">
        <f t="shared" ref="Q184" si="896">F184*P184</f>
        <v>-48741638.585618004</v>
      </c>
      <c r="R184">
        <f t="shared" ref="R184" si="897">R185+Q184</f>
        <v>1388759712.3670716</v>
      </c>
      <c r="S184">
        <f t="shared" ref="S184" si="898">R184/100000</f>
        <v>13887.597123670716</v>
      </c>
      <c r="T184">
        <f t="shared" ref="T184" si="899">S184/1000</f>
        <v>13.887597123670716</v>
      </c>
    </row>
    <row r="185" spans="1:20" x14ac:dyDescent="0.25">
      <c r="A185" s="5">
        <v>44408</v>
      </c>
      <c r="B185">
        <v>0.1734</v>
      </c>
      <c r="C185">
        <v>0.17899999999999999</v>
      </c>
      <c r="D185">
        <v>0.16689999999999999</v>
      </c>
      <c r="E185">
        <v>0.17610000000000001</v>
      </c>
      <c r="F185">
        <v>57256786.729999997</v>
      </c>
      <c r="G185">
        <v>0.17610000000000001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0.52066115702479565</v>
      </c>
      <c r="Q185">
        <f t="shared" ref="Q185" si="901">F185*P185</f>
        <v>29811384.826363765</v>
      </c>
      <c r="R185">
        <f t="shared" ref="R185" si="902">R186+Q185</f>
        <v>1437501350.9526896</v>
      </c>
      <c r="S185">
        <f t="shared" ref="S185" si="903">R185/100000</f>
        <v>14375.013509526896</v>
      </c>
      <c r="T185">
        <f t="shared" ref="T185" si="904">S185/1000</f>
        <v>14.375013509526896</v>
      </c>
    </row>
    <row r="186" spans="1:20" x14ac:dyDescent="0.25">
      <c r="A186" s="5">
        <v>44407</v>
      </c>
      <c r="B186">
        <v>0.16819999999999999</v>
      </c>
      <c r="C186">
        <v>0.17369999999999999</v>
      </c>
      <c r="D186">
        <v>0.1575</v>
      </c>
      <c r="E186">
        <v>0.17349999999999999</v>
      </c>
      <c r="F186">
        <v>60494159.259999998</v>
      </c>
      <c r="G186">
        <v>0.17349999999999999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0.97530864197530798</v>
      </c>
      <c r="Q186">
        <f t="shared" ref="Q186" si="906">F186*P186</f>
        <v>59000476.315308601</v>
      </c>
      <c r="R186">
        <f t="shared" ref="R186" si="907">R187+Q186</f>
        <v>1407689966.1263258</v>
      </c>
      <c r="S186">
        <f t="shared" ref="S186" si="908">R186/100000</f>
        <v>14076.899661263258</v>
      </c>
      <c r="T186">
        <f t="shared" ref="T186" si="909">S186/1000</f>
        <v>14.076899661263258</v>
      </c>
    </row>
    <row r="187" spans="1:20" x14ac:dyDescent="0.25">
      <c r="A187" s="5">
        <v>44406</v>
      </c>
      <c r="B187">
        <v>0.16120000000000001</v>
      </c>
      <c r="C187">
        <v>0.16930000000000001</v>
      </c>
      <c r="D187">
        <v>0.15640000000000001</v>
      </c>
      <c r="E187">
        <v>0.1681</v>
      </c>
      <c r="F187">
        <v>62018009.700000003</v>
      </c>
      <c r="G187">
        <v>0.1681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0.81395348837209192</v>
      </c>
      <c r="Q187">
        <f t="shared" ref="Q187" si="911">F187*P187</f>
        <v>50479775.33720924</v>
      </c>
      <c r="R187">
        <f t="shared" ref="R187" si="912">R188+Q187</f>
        <v>1348689489.8110173</v>
      </c>
      <c r="S187">
        <f t="shared" ref="S187" si="913">R187/100000</f>
        <v>13486.894898110173</v>
      </c>
      <c r="T187">
        <f t="shared" ref="T187" si="914">S187/1000</f>
        <v>13.486894898110172</v>
      </c>
    </row>
    <row r="188" spans="1:20" x14ac:dyDescent="0.25">
      <c r="A188" s="5">
        <v>44405</v>
      </c>
      <c r="B188">
        <v>0.15970000000000001</v>
      </c>
      <c r="C188">
        <v>0.16700000000000001</v>
      </c>
      <c r="D188">
        <v>0.155</v>
      </c>
      <c r="E188">
        <v>0.16120000000000001</v>
      </c>
      <c r="F188">
        <v>66935457.479999997</v>
      </c>
      <c r="G188">
        <v>0.16120000000000001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3.3333333333334256E-2</v>
      </c>
      <c r="Q188">
        <f t="shared" ref="Q188" si="916">F188*P188</f>
        <v>2231181.9160000617</v>
      </c>
      <c r="R188">
        <f t="shared" ref="R188" si="917">R189+Q188</f>
        <v>1298209714.4738081</v>
      </c>
      <c r="S188">
        <f t="shared" ref="S188" si="918">R188/100000</f>
        <v>12982.09714473808</v>
      </c>
      <c r="T188">
        <f t="shared" ref="T188" si="919">S188/1000</f>
        <v>12.982097144738081</v>
      </c>
    </row>
    <row r="189" spans="1:20" x14ac:dyDescent="0.25">
      <c r="A189" s="5">
        <v>44404</v>
      </c>
      <c r="B189">
        <v>0.15140000000000001</v>
      </c>
      <c r="C189">
        <v>0.16520000000000001</v>
      </c>
      <c r="D189">
        <v>0.14940000000000001</v>
      </c>
      <c r="E189">
        <v>0.15970000000000001</v>
      </c>
      <c r="F189">
        <v>118288574.47</v>
      </c>
      <c r="G189">
        <v>0.15970000000000001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0.30379746835443011</v>
      </c>
      <c r="Q189">
        <f t="shared" ref="Q189" si="921">F189*P189</f>
        <v>35935769.459240474</v>
      </c>
      <c r="R189">
        <f t="shared" ref="R189" si="922">R190+Q189</f>
        <v>1295978532.5578079</v>
      </c>
      <c r="S189">
        <f t="shared" ref="S189" si="923">R189/100000</f>
        <v>12959.785325578079</v>
      </c>
      <c r="T189">
        <f t="shared" ref="T189" si="924">S189/1000</f>
        <v>12.959785325578078</v>
      </c>
    </row>
    <row r="190" spans="1:20" x14ac:dyDescent="0.25">
      <c r="A190" s="5">
        <v>44403</v>
      </c>
      <c r="B190">
        <v>0.14860000000000001</v>
      </c>
      <c r="C190">
        <v>0.1724</v>
      </c>
      <c r="D190">
        <v>0.14760000000000001</v>
      </c>
      <c r="E190">
        <v>0.1515</v>
      </c>
      <c r="F190">
        <v>131021672.73</v>
      </c>
      <c r="G190">
        <v>0.1515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-0.68548387096774288</v>
      </c>
      <c r="Q190">
        <f t="shared" ref="Q190" si="926">F190*P190</f>
        <v>-89813243.403629154</v>
      </c>
      <c r="R190">
        <f t="shared" ref="R190" si="927">R191+Q190</f>
        <v>1260042763.0985675</v>
      </c>
      <c r="S190">
        <f t="shared" ref="S190" si="928">R190/100000</f>
        <v>12600.427630985674</v>
      </c>
      <c r="T190">
        <f t="shared" ref="T190" si="929">S190/1000</f>
        <v>12.600427630985674</v>
      </c>
    </row>
    <row r="191" spans="1:20" x14ac:dyDescent="0.25">
      <c r="A191" s="5">
        <v>44402</v>
      </c>
      <c r="B191">
        <v>0.1454</v>
      </c>
      <c r="C191">
        <v>0.1535</v>
      </c>
      <c r="D191">
        <v>0.1399</v>
      </c>
      <c r="E191">
        <v>0.14860000000000001</v>
      </c>
      <c r="F191">
        <v>119514669.28</v>
      </c>
      <c r="G191">
        <v>0.14860000000000001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0.27941176470588419</v>
      </c>
      <c r="Q191">
        <f t="shared" ref="Q191" si="931">F191*P191</f>
        <v>33393804.651764926</v>
      </c>
      <c r="R191">
        <f t="shared" ref="R191" si="932">R192+Q191</f>
        <v>1349856006.5021966</v>
      </c>
      <c r="S191">
        <f t="shared" ref="S191" si="933">R191/100000</f>
        <v>13498.560065021966</v>
      </c>
      <c r="T191">
        <f t="shared" ref="T191:T197" si="934">S191/1000</f>
        <v>13.498560065021966</v>
      </c>
    </row>
    <row r="192" spans="1:20" x14ac:dyDescent="0.25">
      <c r="A192" s="5">
        <v>44401</v>
      </c>
      <c r="B192">
        <v>0.14410000000000001</v>
      </c>
      <c r="C192">
        <v>0.1487</v>
      </c>
      <c r="D192">
        <v>0.1411</v>
      </c>
      <c r="E192">
        <v>0.14560000000000001</v>
      </c>
      <c r="F192">
        <v>80404942.430000007</v>
      </c>
      <c r="G192">
        <v>0.14560000000000001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0.18421052631579121</v>
      </c>
      <c r="Q192">
        <f t="shared" ref="Q192" si="936">F192*P192</f>
        <v>14811436.763421195</v>
      </c>
      <c r="R192">
        <f t="shared" ref="R192" si="937">R193+Q192</f>
        <v>1316462201.8504317</v>
      </c>
      <c r="S192">
        <f t="shared" ref="S192" si="938">R192/100000</f>
        <v>13164.622018504317</v>
      </c>
      <c r="T192">
        <f t="shared" si="934"/>
        <v>13.164622018504316</v>
      </c>
    </row>
    <row r="193" spans="1:20" x14ac:dyDescent="0.25">
      <c r="A193" s="5">
        <v>44400</v>
      </c>
      <c r="B193">
        <v>0.1434</v>
      </c>
      <c r="C193">
        <v>0.1477</v>
      </c>
      <c r="D193">
        <v>0.13569999999999999</v>
      </c>
      <c r="E193">
        <v>0.14399999999999999</v>
      </c>
      <c r="F193">
        <v>84953737.920000002</v>
      </c>
      <c r="G193">
        <v>0.14399999999999999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0.38333333333333242</v>
      </c>
      <c r="Q193">
        <f t="shared" ref="Q193" si="940">F193*P193</f>
        <v>32565599.535999924</v>
      </c>
      <c r="R193">
        <f t="shared" ref="R193" si="941">R194+Q193</f>
        <v>1301650765.0870104</v>
      </c>
      <c r="S193">
        <f t="shared" ref="S193" si="942">R193/100000</f>
        <v>13016.507650870104</v>
      </c>
      <c r="T193">
        <f t="shared" si="934"/>
        <v>13.016507650870103</v>
      </c>
    </row>
    <row r="194" spans="1:20" x14ac:dyDescent="0.25">
      <c r="A194" s="5">
        <v>44399</v>
      </c>
      <c r="B194">
        <v>0.13869999999999999</v>
      </c>
      <c r="C194">
        <v>0.14810000000000001</v>
      </c>
      <c r="D194">
        <v>0.13339999999999999</v>
      </c>
      <c r="E194">
        <v>0.1434</v>
      </c>
      <c r="F194">
        <v>121533299.39</v>
      </c>
      <c r="G194">
        <v>0.1434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0.36054421768707434</v>
      </c>
      <c r="Q194">
        <f t="shared" ref="Q194" si="944">F194*P194</f>
        <v>43818128.35149654</v>
      </c>
      <c r="R194">
        <f t="shared" ref="R194" si="945">R195+Q194</f>
        <v>1269085165.5510104</v>
      </c>
      <c r="S194">
        <f t="shared" ref="S194" si="946">R194/100000</f>
        <v>12690.851655510103</v>
      </c>
      <c r="T194">
        <f t="shared" si="934"/>
        <v>12.690851655510103</v>
      </c>
    </row>
    <row r="195" spans="1:20" x14ac:dyDescent="0.25">
      <c r="A195" s="5">
        <v>44398</v>
      </c>
      <c r="B195">
        <v>0.1293</v>
      </c>
      <c r="C195">
        <v>0.14169999999999999</v>
      </c>
      <c r="D195">
        <v>0.1202</v>
      </c>
      <c r="E195">
        <v>0.1386</v>
      </c>
      <c r="F195">
        <v>133186605.79000001</v>
      </c>
      <c r="G195">
        <v>0.1386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0.71162790697674483</v>
      </c>
      <c r="Q195">
        <f t="shared" ref="Q195" si="948">F195*P195</f>
        <v>94779305.515674502</v>
      </c>
      <c r="R195">
        <f t="shared" ref="R195" si="949">R196+Q195</f>
        <v>1225267037.1995139</v>
      </c>
      <c r="S195">
        <f t="shared" ref="S195" si="950">R195/100000</f>
        <v>12252.670371995138</v>
      </c>
      <c r="T195">
        <f t="shared" si="934"/>
        <v>12.252670371995139</v>
      </c>
    </row>
    <row r="196" spans="1:20" x14ac:dyDescent="0.25">
      <c r="A196" s="5">
        <v>44397</v>
      </c>
      <c r="B196">
        <v>0.12989999999999999</v>
      </c>
      <c r="C196">
        <v>0.13539999999999999</v>
      </c>
      <c r="D196">
        <v>0.112</v>
      </c>
      <c r="E196">
        <v>0.12920000000000001</v>
      </c>
      <c r="F196">
        <v>226876620.63</v>
      </c>
      <c r="G196">
        <v>0.12920000000000001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0.4700854700854713</v>
      </c>
      <c r="Q196">
        <f t="shared" ref="Q196" si="952">F196*P196</f>
        <v>106651402.86025669</v>
      </c>
      <c r="R196">
        <f t="shared" ref="R196" si="953">R197+Q196</f>
        <v>1130487731.6838393</v>
      </c>
      <c r="S196">
        <f t="shared" ref="S196" si="954">R196/100000</f>
        <v>11304.877316838394</v>
      </c>
      <c r="T196">
        <f t="shared" si="934"/>
        <v>11.304877316838395</v>
      </c>
    </row>
    <row r="197" spans="1:20" x14ac:dyDescent="0.25">
      <c r="A197" s="5">
        <v>44396</v>
      </c>
      <c r="B197">
        <v>0.1424</v>
      </c>
      <c r="C197">
        <v>0.15570000000000001</v>
      </c>
      <c r="D197">
        <v>0.12759999999999999</v>
      </c>
      <c r="E197">
        <v>0.13</v>
      </c>
      <c r="F197">
        <v>219930347.49000001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-0.82918149466192081</v>
      </c>
      <c r="Q197">
        <f t="shared" ref="Q197" si="956">F197*P197</f>
        <v>-182362174.25327384</v>
      </c>
      <c r="R197">
        <f t="shared" ref="R197" si="957">R198+Q197</f>
        <v>1023836328.8235825</v>
      </c>
      <c r="S197">
        <f t="shared" ref="S197" si="958">R197/100000</f>
        <v>10238.363288235825</v>
      </c>
      <c r="T197">
        <f t="shared" si="934"/>
        <v>10.238363288235826</v>
      </c>
    </row>
    <row r="198" spans="1:20" x14ac:dyDescent="0.25">
      <c r="A198" s="5">
        <v>44395</v>
      </c>
      <c r="B198">
        <v>0.1583</v>
      </c>
      <c r="C198">
        <v>0.16270000000000001</v>
      </c>
      <c r="D198">
        <v>0.14080000000000001</v>
      </c>
      <c r="E198">
        <v>0.1424</v>
      </c>
      <c r="F198">
        <v>224639772.27000001</v>
      </c>
      <c r="G198">
        <v>0</v>
      </c>
      <c r="L198" t="s">
        <v>7</v>
      </c>
      <c r="M198" t="s">
        <v>7</v>
      </c>
      <c r="N198" t="s">
        <v>8</v>
      </c>
      <c r="P198">
        <f t="shared" ref="P198:P261" si="959">IF(C198=D198,0,((E198-D198)-(C198-E198))/(C198-D198))</f>
        <v>-0.85388127853881368</v>
      </c>
      <c r="Q198">
        <f t="shared" ref="Q198:Q261" si="960">F198*P198</f>
        <v>-191815695.95657554</v>
      </c>
      <c r="R198">
        <f t="shared" ref="R198:R261" si="961">R199+Q198</f>
        <v>1206198503.0768564</v>
      </c>
      <c r="S198">
        <f t="shared" ref="S198:S261" si="962">R198/100000</f>
        <v>12061.985030768563</v>
      </c>
      <c r="T198">
        <f t="shared" ref="T198:T261" si="963">S198/1000</f>
        <v>12.061985030768563</v>
      </c>
    </row>
    <row r="199" spans="1:20" x14ac:dyDescent="0.25">
      <c r="A199" s="5">
        <v>44394</v>
      </c>
      <c r="B199">
        <v>0.13950000000000001</v>
      </c>
      <c r="C199">
        <v>0.17</v>
      </c>
      <c r="D199">
        <v>0.13850000000000001</v>
      </c>
      <c r="E199">
        <v>0.15820000000000001</v>
      </c>
      <c r="F199">
        <v>457226982.04000002</v>
      </c>
      <c r="G199">
        <v>0</v>
      </c>
      <c r="L199" t="s">
        <v>8</v>
      </c>
      <c r="M199" t="s">
        <v>8</v>
      </c>
      <c r="N199" t="s">
        <v>8</v>
      </c>
      <c r="P199">
        <f t="shared" si="959"/>
        <v>0.25079365079365051</v>
      </c>
      <c r="Q199">
        <f t="shared" si="960"/>
        <v>114669624.06717448</v>
      </c>
      <c r="R199">
        <f t="shared" si="961"/>
        <v>1398014199.033432</v>
      </c>
      <c r="S199">
        <f t="shared" si="962"/>
        <v>13980.141990334319</v>
      </c>
      <c r="T199">
        <f t="shared" si="963"/>
        <v>13.980141990334319</v>
      </c>
    </row>
    <row r="200" spans="1:20" x14ac:dyDescent="0.25">
      <c r="A200" s="5">
        <v>44393</v>
      </c>
      <c r="B200">
        <v>0.122</v>
      </c>
      <c r="C200">
        <v>0.15090000000000001</v>
      </c>
      <c r="D200">
        <v>0.1193</v>
      </c>
      <c r="E200">
        <v>0.1396</v>
      </c>
      <c r="F200">
        <v>515207936.16000003</v>
      </c>
      <c r="G200">
        <v>0</v>
      </c>
      <c r="L200" t="s">
        <v>8</v>
      </c>
      <c r="M200" t="s">
        <v>8</v>
      </c>
      <c r="N200" t="s">
        <v>8</v>
      </c>
      <c r="P200">
        <f t="shared" si="959"/>
        <v>0.28481012658227828</v>
      </c>
      <c r="Q200">
        <f t="shared" si="960"/>
        <v>146736437.51392394</v>
      </c>
      <c r="R200">
        <f t="shared" si="961"/>
        <v>1283344574.9662576</v>
      </c>
      <c r="S200">
        <f t="shared" si="962"/>
        <v>12833.445749662576</v>
      </c>
      <c r="T200">
        <f t="shared" si="963"/>
        <v>12.833445749662577</v>
      </c>
    </row>
    <row r="201" spans="1:20" x14ac:dyDescent="0.25">
      <c r="A201" s="5">
        <v>44392</v>
      </c>
      <c r="B201">
        <v>0.1149</v>
      </c>
      <c r="C201">
        <v>0.12509999999999999</v>
      </c>
      <c r="D201">
        <v>0.1124</v>
      </c>
      <c r="E201">
        <v>0.12189999999999999</v>
      </c>
      <c r="F201">
        <v>93222948.090000004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0.4960629921259847</v>
      </c>
      <c r="Q201">
        <f t="shared" si="960"/>
        <v>46244454.564330749</v>
      </c>
      <c r="R201">
        <f t="shared" si="961"/>
        <v>1136608137.4523337</v>
      </c>
      <c r="S201">
        <f t="shared" si="962"/>
        <v>11366.081374523337</v>
      </c>
      <c r="T201">
        <f t="shared" si="963"/>
        <v>11.366081374523338</v>
      </c>
    </row>
    <row r="202" spans="1:20" x14ac:dyDescent="0.25">
      <c r="A202" s="5">
        <v>44391</v>
      </c>
      <c r="B202">
        <v>0.1162</v>
      </c>
      <c r="C202">
        <v>0.1179</v>
      </c>
      <c r="D202">
        <v>0.1074</v>
      </c>
      <c r="E202">
        <v>0.1148</v>
      </c>
      <c r="F202">
        <v>40449816.289999999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0.40952380952380901</v>
      </c>
      <c r="Q202">
        <f t="shared" si="960"/>
        <v>16565162.861619027</v>
      </c>
      <c r="R202">
        <f t="shared" si="961"/>
        <v>1090363682.8880029</v>
      </c>
      <c r="S202">
        <f t="shared" si="962"/>
        <v>10903.636828880029</v>
      </c>
      <c r="T202">
        <f t="shared" si="963"/>
        <v>10.90363682888003</v>
      </c>
    </row>
    <row r="203" spans="1:20" x14ac:dyDescent="0.25">
      <c r="A203" s="5">
        <v>44390</v>
      </c>
      <c r="B203">
        <v>0.1197</v>
      </c>
      <c r="C203">
        <v>0.1206</v>
      </c>
      <c r="D203">
        <v>0.1133</v>
      </c>
      <c r="E203">
        <v>0.1162</v>
      </c>
      <c r="F203">
        <v>29847042.27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-0.20547945205479468</v>
      </c>
      <c r="Q203">
        <f t="shared" si="960"/>
        <v>-6132953.8910958953</v>
      </c>
      <c r="R203">
        <f t="shared" si="961"/>
        <v>1073798520.0263839</v>
      </c>
      <c r="S203">
        <f t="shared" si="962"/>
        <v>10737.985200263838</v>
      </c>
      <c r="T203">
        <f t="shared" si="963"/>
        <v>10.737985200263838</v>
      </c>
    </row>
    <row r="204" spans="1:20" x14ac:dyDescent="0.25">
      <c r="A204" s="5">
        <v>44389</v>
      </c>
      <c r="B204">
        <v>0.1226</v>
      </c>
      <c r="C204">
        <v>0.1249</v>
      </c>
      <c r="D204">
        <v>0.1171</v>
      </c>
      <c r="E204">
        <v>0.1197</v>
      </c>
      <c r="F204">
        <v>30927794.949999999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-0.33333333333333215</v>
      </c>
      <c r="Q204">
        <f t="shared" si="960"/>
        <v>-10309264.983333297</v>
      </c>
      <c r="R204">
        <f t="shared" si="961"/>
        <v>1079931473.9174798</v>
      </c>
      <c r="S204">
        <f t="shared" si="962"/>
        <v>10799.314739174797</v>
      </c>
      <c r="T204">
        <f t="shared" si="963"/>
        <v>10.799314739174797</v>
      </c>
    </row>
    <row r="205" spans="1:20" x14ac:dyDescent="0.25">
      <c r="A205" s="5">
        <v>44388</v>
      </c>
      <c r="B205">
        <v>0.1211</v>
      </c>
      <c r="C205">
        <v>0.124</v>
      </c>
      <c r="D205">
        <v>0.1183</v>
      </c>
      <c r="E205">
        <v>0.1225</v>
      </c>
      <c r="F205">
        <v>40167587.329999998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0.47368421052631504</v>
      </c>
      <c r="Q205">
        <f t="shared" si="960"/>
        <v>19026751.893157862</v>
      </c>
      <c r="R205">
        <f t="shared" si="961"/>
        <v>1090240738.9008131</v>
      </c>
      <c r="S205">
        <f t="shared" si="962"/>
        <v>10902.407389008131</v>
      </c>
      <c r="T205">
        <f t="shared" si="963"/>
        <v>10.902407389008131</v>
      </c>
    </row>
    <row r="206" spans="1:20" x14ac:dyDescent="0.25">
      <c r="A206" s="5">
        <v>44387</v>
      </c>
      <c r="B206">
        <v>0.1237</v>
      </c>
      <c r="C206">
        <v>0.12529999999999999</v>
      </c>
      <c r="D206">
        <v>0.11849999999999999</v>
      </c>
      <c r="E206">
        <v>0.1211</v>
      </c>
      <c r="F206">
        <v>30118273.489999998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-0.23529411764705738</v>
      </c>
      <c r="Q206">
        <f t="shared" si="960"/>
        <v>-7086652.5858823089</v>
      </c>
      <c r="R206">
        <f t="shared" si="961"/>
        <v>1071213987.0076553</v>
      </c>
      <c r="S206">
        <f t="shared" si="962"/>
        <v>10712.139870076553</v>
      </c>
      <c r="T206">
        <f t="shared" si="963"/>
        <v>10.712139870076554</v>
      </c>
    </row>
    <row r="207" spans="1:20" x14ac:dyDescent="0.25">
      <c r="A207" s="5">
        <v>44386</v>
      </c>
      <c r="B207">
        <v>0.122</v>
      </c>
      <c r="C207">
        <v>0.1246</v>
      </c>
      <c r="D207">
        <v>0.11509999999999999</v>
      </c>
      <c r="E207">
        <v>0.12379999999999999</v>
      </c>
      <c r="F207">
        <v>37787923.850000001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0.83157894736841931</v>
      </c>
      <c r="Q207">
        <f t="shared" si="960"/>
        <v>31423641.938420989</v>
      </c>
      <c r="R207">
        <f t="shared" si="961"/>
        <v>1078300639.5935376</v>
      </c>
      <c r="S207">
        <f t="shared" si="962"/>
        <v>10783.006395935376</v>
      </c>
      <c r="T207">
        <f t="shared" si="963"/>
        <v>10.783006395935375</v>
      </c>
    </row>
    <row r="208" spans="1:20" x14ac:dyDescent="0.25">
      <c r="A208" s="5">
        <v>44385</v>
      </c>
      <c r="B208">
        <v>0.13239999999999999</v>
      </c>
      <c r="C208">
        <v>0.13250000000000001</v>
      </c>
      <c r="D208">
        <v>0.1206</v>
      </c>
      <c r="E208">
        <v>0.1221</v>
      </c>
      <c r="F208">
        <v>45152617.479999997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-0.74789915966386544</v>
      </c>
      <c r="Q208">
        <f t="shared" si="960"/>
        <v>-33769604.669915959</v>
      </c>
      <c r="R208">
        <f t="shared" si="961"/>
        <v>1046876997.6551166</v>
      </c>
      <c r="S208">
        <f t="shared" si="962"/>
        <v>10468.769976551166</v>
      </c>
      <c r="T208">
        <f t="shared" si="963"/>
        <v>10.468769976551165</v>
      </c>
    </row>
    <row r="209" spans="1:20" x14ac:dyDescent="0.25">
      <c r="A209" s="5">
        <v>44384</v>
      </c>
      <c r="B209">
        <v>0.13350000000000001</v>
      </c>
      <c r="C209">
        <v>0.1358</v>
      </c>
      <c r="D209">
        <v>0.13070000000000001</v>
      </c>
      <c r="E209">
        <v>0.13239999999999999</v>
      </c>
      <c r="F209">
        <v>50447683.380000003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-0.33333333333334059</v>
      </c>
      <c r="Q209">
        <f t="shared" si="960"/>
        <v>-16815894.460000366</v>
      </c>
      <c r="R209">
        <f t="shared" si="961"/>
        <v>1080646602.3250325</v>
      </c>
      <c r="S209">
        <f t="shared" si="962"/>
        <v>10806.466023250325</v>
      </c>
      <c r="T209">
        <f t="shared" si="963"/>
        <v>10.806466023250325</v>
      </c>
    </row>
    <row r="210" spans="1:20" x14ac:dyDescent="0.25">
      <c r="A210" s="5">
        <v>44383</v>
      </c>
      <c r="B210">
        <v>0.1305</v>
      </c>
      <c r="C210">
        <v>0.13800000000000001</v>
      </c>
      <c r="D210">
        <v>0.1285</v>
      </c>
      <c r="E210">
        <v>0.13350000000000001</v>
      </c>
      <c r="F210">
        <v>57228260.299999997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5.2631578947368418E-2</v>
      </c>
      <c r="Q210">
        <f t="shared" si="960"/>
        <v>3012013.6999999997</v>
      </c>
      <c r="R210">
        <f t="shared" si="961"/>
        <v>1097462496.7850327</v>
      </c>
      <c r="S210">
        <f t="shared" si="962"/>
        <v>10974.624967850328</v>
      </c>
      <c r="T210">
        <f t="shared" si="963"/>
        <v>10.974624967850328</v>
      </c>
    </row>
    <row r="211" spans="1:20" x14ac:dyDescent="0.25">
      <c r="A211" s="5">
        <v>44382</v>
      </c>
      <c r="B211">
        <v>0.1376</v>
      </c>
      <c r="C211">
        <v>0.1376</v>
      </c>
      <c r="D211">
        <v>0.12529999999999999</v>
      </c>
      <c r="E211">
        <v>0.1305</v>
      </c>
      <c r="F211">
        <v>66620882.159999996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-0.15447154471544586</v>
      </c>
      <c r="Q211">
        <f t="shared" si="960"/>
        <v>-10291030.577560889</v>
      </c>
      <c r="R211">
        <f t="shared" si="961"/>
        <v>1094450483.0850327</v>
      </c>
      <c r="S211">
        <f t="shared" si="962"/>
        <v>10944.504830850326</v>
      </c>
      <c r="T211">
        <f t="shared" si="963"/>
        <v>10.944504830850326</v>
      </c>
    </row>
    <row r="212" spans="1:20" x14ac:dyDescent="0.25">
      <c r="A212" s="5">
        <v>44381</v>
      </c>
      <c r="B212">
        <v>0.1348</v>
      </c>
      <c r="C212">
        <v>0.14030000000000001</v>
      </c>
      <c r="D212">
        <v>0.1298</v>
      </c>
      <c r="E212">
        <v>0.1376</v>
      </c>
      <c r="F212">
        <v>39997418.759999998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0.48571428571428465</v>
      </c>
      <c r="Q212">
        <f t="shared" si="960"/>
        <v>19427317.68342853</v>
      </c>
      <c r="R212">
        <f t="shared" si="961"/>
        <v>1104741513.6625936</v>
      </c>
      <c r="S212">
        <f t="shared" si="962"/>
        <v>11047.415136625936</v>
      </c>
      <c r="T212">
        <f t="shared" si="963"/>
        <v>11.047415136625936</v>
      </c>
    </row>
    <row r="213" spans="1:20" x14ac:dyDescent="0.25">
      <c r="A213" s="5">
        <v>44380</v>
      </c>
      <c r="B213">
        <v>0.13139999999999999</v>
      </c>
      <c r="C213">
        <v>0.1366</v>
      </c>
      <c r="D213">
        <v>0.12809999999999999</v>
      </c>
      <c r="E213">
        <v>0.13469999999999999</v>
      </c>
      <c r="F213">
        <v>33211829.07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0.5529411764705856</v>
      </c>
      <c r="Q213">
        <f t="shared" si="960"/>
        <v>18364187.838705797</v>
      </c>
      <c r="R213">
        <f t="shared" si="961"/>
        <v>1085314195.9791651</v>
      </c>
      <c r="S213">
        <f t="shared" si="962"/>
        <v>10853.14195979165</v>
      </c>
      <c r="T213">
        <f t="shared" si="963"/>
        <v>10.85314195979165</v>
      </c>
    </row>
    <row r="214" spans="1:20" x14ac:dyDescent="0.25">
      <c r="A214" s="5">
        <v>44379</v>
      </c>
      <c r="B214">
        <v>0.12790000000000001</v>
      </c>
      <c r="C214">
        <v>0.13159999999999999</v>
      </c>
      <c r="D214">
        <v>0.1232</v>
      </c>
      <c r="E214">
        <v>0.13150000000000001</v>
      </c>
      <c r="F214">
        <v>46044698.899999999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0.97619047619047883</v>
      </c>
      <c r="Q214">
        <f t="shared" si="960"/>
        <v>44948396.545238212</v>
      </c>
      <c r="R214">
        <f t="shared" si="961"/>
        <v>1066950008.1404593</v>
      </c>
      <c r="S214">
        <f t="shared" si="962"/>
        <v>10669.500081404592</v>
      </c>
      <c r="T214">
        <f t="shared" si="963"/>
        <v>10.669500081404593</v>
      </c>
    </row>
    <row r="215" spans="1:20" x14ac:dyDescent="0.25">
      <c r="A215" s="5">
        <v>44378</v>
      </c>
      <c r="B215">
        <v>0.1348</v>
      </c>
      <c r="C215">
        <v>0.1363</v>
      </c>
      <c r="D215">
        <v>0.1237</v>
      </c>
      <c r="E215">
        <v>0.12790000000000001</v>
      </c>
      <c r="F215">
        <v>67993378.840000004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-0.33333333333333187</v>
      </c>
      <c r="Q215">
        <f t="shared" si="960"/>
        <v>-22664459.613333236</v>
      </c>
      <c r="R215">
        <f t="shared" si="961"/>
        <v>1022001611.595221</v>
      </c>
      <c r="S215">
        <f t="shared" si="962"/>
        <v>10220.01611595221</v>
      </c>
      <c r="T215">
        <f t="shared" si="963"/>
        <v>10.220016115952211</v>
      </c>
    </row>
    <row r="216" spans="1:20" x14ac:dyDescent="0.25">
      <c r="A216" s="5">
        <v>44377</v>
      </c>
      <c r="B216">
        <v>0.12839999999999999</v>
      </c>
      <c r="C216">
        <v>0.13600000000000001</v>
      </c>
      <c r="D216">
        <v>0.1192</v>
      </c>
      <c r="E216">
        <v>0.1348</v>
      </c>
      <c r="F216">
        <v>115725648.23999999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0.85714285714285643</v>
      </c>
      <c r="Q216">
        <f t="shared" si="960"/>
        <v>99193412.777142763</v>
      </c>
      <c r="R216">
        <f t="shared" si="961"/>
        <v>1044666071.2085543</v>
      </c>
      <c r="S216">
        <f t="shared" si="962"/>
        <v>10446.660712085542</v>
      </c>
      <c r="T216">
        <f t="shared" si="963"/>
        <v>10.446660712085542</v>
      </c>
    </row>
    <row r="217" spans="1:20" x14ac:dyDescent="0.25">
      <c r="A217" s="5">
        <v>44376</v>
      </c>
      <c r="B217">
        <v>0.1171</v>
      </c>
      <c r="C217">
        <v>0.1351</v>
      </c>
      <c r="D217">
        <v>0.1164</v>
      </c>
      <c r="E217">
        <v>0.1285</v>
      </c>
      <c r="F217">
        <v>104108020.55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0.29411764705882387</v>
      </c>
      <c r="Q217">
        <f t="shared" si="960"/>
        <v>30620006.044117682</v>
      </c>
      <c r="R217">
        <f t="shared" si="961"/>
        <v>945472658.4314115</v>
      </c>
      <c r="S217">
        <f t="shared" si="962"/>
        <v>9454.7265843141158</v>
      </c>
      <c r="T217">
        <f t="shared" si="963"/>
        <v>9.4547265843141162</v>
      </c>
    </row>
    <row r="218" spans="1:20" x14ac:dyDescent="0.25">
      <c r="A218" s="5">
        <v>44375</v>
      </c>
      <c r="B218">
        <v>0.1129</v>
      </c>
      <c r="C218">
        <v>0.11799999999999999</v>
      </c>
      <c r="D218">
        <v>0.11</v>
      </c>
      <c r="E218">
        <v>0.11700000000000001</v>
      </c>
      <c r="F218">
        <v>63655659.869999997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0.750000000000003</v>
      </c>
      <c r="Q218">
        <f t="shared" si="960"/>
        <v>47741744.90250019</v>
      </c>
      <c r="R218">
        <f t="shared" si="961"/>
        <v>914852652.38729382</v>
      </c>
      <c r="S218">
        <f t="shared" si="962"/>
        <v>9148.5265238729389</v>
      </c>
      <c r="T218">
        <f t="shared" si="963"/>
        <v>9.1485265238729383</v>
      </c>
    </row>
    <row r="219" spans="1:20" x14ac:dyDescent="0.25">
      <c r="A219" s="5">
        <v>44374</v>
      </c>
      <c r="B219">
        <v>0.1081</v>
      </c>
      <c r="C219">
        <v>0.11409999999999999</v>
      </c>
      <c r="D219">
        <v>0.1055</v>
      </c>
      <c r="E219">
        <v>0.11269999999999999</v>
      </c>
      <c r="F219">
        <v>53168123.039999999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0.67441860465116299</v>
      </c>
      <c r="Q219">
        <f t="shared" si="960"/>
        <v>35857571.352558151</v>
      </c>
      <c r="R219">
        <f t="shared" si="961"/>
        <v>867110907.48479366</v>
      </c>
      <c r="S219">
        <f t="shared" si="962"/>
        <v>8671.1090748479364</v>
      </c>
      <c r="T219">
        <f t="shared" si="963"/>
        <v>8.6711090748479371</v>
      </c>
    </row>
    <row r="220" spans="1:20" x14ac:dyDescent="0.25">
      <c r="A220" s="5">
        <v>44373</v>
      </c>
      <c r="B220">
        <v>0.1057</v>
      </c>
      <c r="C220">
        <v>0.1101</v>
      </c>
      <c r="D220">
        <v>0.1016</v>
      </c>
      <c r="E220">
        <v>0.1081</v>
      </c>
      <c r="F220">
        <v>64455359.18</v>
      </c>
      <c r="G220">
        <v>0</v>
      </c>
      <c r="L220" t="s">
        <v>7</v>
      </c>
      <c r="M220" t="s">
        <v>8</v>
      </c>
      <c r="N220" t="s">
        <v>7</v>
      </c>
      <c r="P220">
        <f t="shared" si="959"/>
        <v>0.52941176470588236</v>
      </c>
      <c r="Q220">
        <f t="shared" si="960"/>
        <v>34123425.448235296</v>
      </c>
      <c r="R220">
        <f t="shared" si="961"/>
        <v>831253336.13223553</v>
      </c>
      <c r="S220">
        <f t="shared" si="962"/>
        <v>8312.5333613223556</v>
      </c>
      <c r="T220">
        <f t="shared" si="963"/>
        <v>8.3125333613223553</v>
      </c>
    </row>
    <row r="221" spans="1:20" x14ac:dyDescent="0.25">
      <c r="A221" s="5">
        <v>44372</v>
      </c>
      <c r="B221">
        <v>0.1169</v>
      </c>
      <c r="C221">
        <v>0.1198</v>
      </c>
      <c r="D221">
        <v>0.1053</v>
      </c>
      <c r="E221">
        <v>0.1057</v>
      </c>
      <c r="F221">
        <v>82045134.010000005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-0.94482758620689689</v>
      </c>
      <c r="Q221">
        <f t="shared" si="960"/>
        <v>-77518505.926689684</v>
      </c>
      <c r="R221">
        <f t="shared" si="961"/>
        <v>797129910.68400025</v>
      </c>
      <c r="S221">
        <f t="shared" si="962"/>
        <v>7971.2991068400024</v>
      </c>
      <c r="T221">
        <f t="shared" si="963"/>
        <v>7.9712991068400028</v>
      </c>
    </row>
    <row r="222" spans="1:20" x14ac:dyDescent="0.25">
      <c r="A222" s="5">
        <v>44371</v>
      </c>
      <c r="B222">
        <v>0.1128</v>
      </c>
      <c r="C222">
        <v>0.1183</v>
      </c>
      <c r="D222">
        <v>0.10589999999999999</v>
      </c>
      <c r="E222">
        <v>0.1169</v>
      </c>
      <c r="F222">
        <v>59309730.859999999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0.7741935483870972</v>
      </c>
      <c r="Q222">
        <f t="shared" si="960"/>
        <v>45917210.988387123</v>
      </c>
      <c r="R222">
        <f t="shared" si="961"/>
        <v>874648416.61069</v>
      </c>
      <c r="S222">
        <f t="shared" si="962"/>
        <v>8746.4841661069004</v>
      </c>
      <c r="T222">
        <f t="shared" si="963"/>
        <v>8.7464841661068995</v>
      </c>
    </row>
    <row r="223" spans="1:20" x14ac:dyDescent="0.25">
      <c r="A223" s="5">
        <v>44370</v>
      </c>
      <c r="B223">
        <v>9.6299999999999997E-2</v>
      </c>
      <c r="C223">
        <v>0.1176</v>
      </c>
      <c r="D223">
        <v>9.1399999999999995E-2</v>
      </c>
      <c r="E223">
        <v>0.1128</v>
      </c>
      <c r="F223">
        <v>110312236.12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0.63358778625954215</v>
      </c>
      <c r="Q223">
        <f t="shared" si="960"/>
        <v>69892485.480610713</v>
      </c>
      <c r="R223">
        <f t="shared" si="961"/>
        <v>828731205.62230289</v>
      </c>
      <c r="S223">
        <f t="shared" si="962"/>
        <v>8287.3120562230288</v>
      </c>
      <c r="T223">
        <f t="shared" si="963"/>
        <v>8.287312056223028</v>
      </c>
    </row>
    <row r="224" spans="1:20" x14ac:dyDescent="0.25">
      <c r="A224" s="5">
        <v>44369</v>
      </c>
      <c r="B224">
        <v>0.1066</v>
      </c>
      <c r="C224">
        <v>0.1118</v>
      </c>
      <c r="D224">
        <v>8.5199999999999998E-2</v>
      </c>
      <c r="E224">
        <v>9.6199999999999994E-2</v>
      </c>
      <c r="F224">
        <v>183067450.59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-0.17293233082706794</v>
      </c>
      <c r="Q224">
        <f t="shared" si="960"/>
        <v>-31658280.929097794</v>
      </c>
      <c r="R224">
        <f t="shared" si="961"/>
        <v>758838720.14169216</v>
      </c>
      <c r="S224">
        <f t="shared" si="962"/>
        <v>7588.3872014169219</v>
      </c>
      <c r="T224">
        <f t="shared" si="963"/>
        <v>7.5883872014169222</v>
      </c>
    </row>
    <row r="225" spans="1:20" x14ac:dyDescent="0.25">
      <c r="A225" s="5">
        <v>44368</v>
      </c>
      <c r="B225">
        <v>0.14230000000000001</v>
      </c>
      <c r="C225">
        <v>0.14369999999999999</v>
      </c>
      <c r="D225">
        <v>0.10630000000000001</v>
      </c>
      <c r="E225">
        <v>0.1065</v>
      </c>
      <c r="F225">
        <v>139445827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-0.989304812834225</v>
      </c>
      <c r="Q225">
        <f t="shared" si="960"/>
        <v>-137954427.78074872</v>
      </c>
      <c r="R225">
        <f t="shared" si="961"/>
        <v>790497001.07078993</v>
      </c>
      <c r="S225">
        <f t="shared" si="962"/>
        <v>7904.9700107078997</v>
      </c>
      <c r="T225">
        <f t="shared" si="963"/>
        <v>7.9049700107079</v>
      </c>
    </row>
    <row r="226" spans="1:20" x14ac:dyDescent="0.25">
      <c r="A226" s="5">
        <v>44367</v>
      </c>
      <c r="B226">
        <v>0.1469</v>
      </c>
      <c r="C226">
        <v>0.14760000000000001</v>
      </c>
      <c r="D226">
        <v>0.1326</v>
      </c>
      <c r="E226">
        <v>0.14219999999999999</v>
      </c>
      <c r="F226">
        <v>74217451.530000001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0.27999999999999853</v>
      </c>
      <c r="Q226">
        <f t="shared" si="960"/>
        <v>20780886.428399891</v>
      </c>
      <c r="R226">
        <f t="shared" si="961"/>
        <v>928451428.85153866</v>
      </c>
      <c r="S226">
        <f t="shared" si="962"/>
        <v>9284.5142885153873</v>
      </c>
      <c r="T226">
        <f t="shared" si="963"/>
        <v>9.2845142885153873</v>
      </c>
    </row>
    <row r="227" spans="1:20" x14ac:dyDescent="0.25">
      <c r="A227" s="5">
        <v>44366</v>
      </c>
      <c r="B227">
        <v>0.1522</v>
      </c>
      <c r="C227">
        <v>0.15310000000000001</v>
      </c>
      <c r="D227">
        <v>0.14680000000000001</v>
      </c>
      <c r="E227">
        <v>0.14699999999999999</v>
      </c>
      <c r="F227">
        <v>36043559.490000002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-0.93650793650794351</v>
      </c>
      <c r="Q227">
        <f t="shared" si="960"/>
        <v>-33755079.522381209</v>
      </c>
      <c r="R227">
        <f t="shared" si="961"/>
        <v>907670542.42313874</v>
      </c>
      <c r="S227">
        <f t="shared" si="962"/>
        <v>9076.705424231388</v>
      </c>
      <c r="T227">
        <f t="shared" si="963"/>
        <v>9.0767054242313883</v>
      </c>
    </row>
    <row r="228" spans="1:20" x14ac:dyDescent="0.25">
      <c r="A228" s="5">
        <v>44365</v>
      </c>
      <c r="B228">
        <v>0.1628</v>
      </c>
      <c r="C228">
        <v>0.16320000000000001</v>
      </c>
      <c r="D228">
        <v>0.1467</v>
      </c>
      <c r="E228">
        <v>0.1522</v>
      </c>
      <c r="F228">
        <v>51764051.869999997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-0.33333333333333331</v>
      </c>
      <c r="Q228">
        <f t="shared" si="960"/>
        <v>-17254683.956666663</v>
      </c>
      <c r="R228">
        <f t="shared" si="961"/>
        <v>941425621.94551992</v>
      </c>
      <c r="S228">
        <f t="shared" si="962"/>
        <v>9414.2562194551992</v>
      </c>
      <c r="T228">
        <f t="shared" si="963"/>
        <v>9.4142562194551989</v>
      </c>
    </row>
    <row r="229" spans="1:20" x14ac:dyDescent="0.25">
      <c r="A229" s="5">
        <v>44364</v>
      </c>
      <c r="B229">
        <v>0.16500000000000001</v>
      </c>
      <c r="C229">
        <v>0.1701</v>
      </c>
      <c r="D229">
        <v>0.15890000000000001</v>
      </c>
      <c r="E229">
        <v>0.16270000000000001</v>
      </c>
      <c r="F229">
        <v>27381539.73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-0.32142857142857106</v>
      </c>
      <c r="Q229">
        <f t="shared" si="960"/>
        <v>-8801209.1989285611</v>
      </c>
      <c r="R229">
        <f t="shared" si="961"/>
        <v>958680305.90218663</v>
      </c>
      <c r="S229">
        <f t="shared" si="962"/>
        <v>9586.8030590218659</v>
      </c>
      <c r="T229">
        <f t="shared" si="963"/>
        <v>9.5868030590218662</v>
      </c>
    </row>
    <row r="230" spans="1:20" x14ac:dyDescent="0.25">
      <c r="A230" s="5">
        <v>44363</v>
      </c>
      <c r="B230">
        <v>0.17610000000000001</v>
      </c>
      <c r="C230">
        <v>0.17680000000000001</v>
      </c>
      <c r="D230">
        <v>0.16309999999999999</v>
      </c>
      <c r="E230">
        <v>0.16500000000000001</v>
      </c>
      <c r="F230">
        <v>55647119.170000002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-0.72262773722627582</v>
      </c>
      <c r="Q230">
        <f t="shared" si="960"/>
        <v>-40212151.808978014</v>
      </c>
      <c r="R230">
        <f t="shared" si="961"/>
        <v>967481515.10111523</v>
      </c>
      <c r="S230">
        <f t="shared" si="962"/>
        <v>9674.8151510111529</v>
      </c>
      <c r="T230">
        <f t="shared" si="963"/>
        <v>9.6748151510111526</v>
      </c>
    </row>
    <row r="231" spans="1:20" x14ac:dyDescent="0.25">
      <c r="A231" s="5">
        <v>44362</v>
      </c>
      <c r="B231">
        <v>0.17330000000000001</v>
      </c>
      <c r="C231">
        <v>0.18090000000000001</v>
      </c>
      <c r="D231">
        <v>0.16850000000000001</v>
      </c>
      <c r="E231">
        <v>0.17610000000000001</v>
      </c>
      <c r="F231">
        <v>55772418.350000001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0.22580645161290308</v>
      </c>
      <c r="Q231">
        <f t="shared" si="960"/>
        <v>12593771.885483863</v>
      </c>
      <c r="R231">
        <f t="shared" si="961"/>
        <v>1007693666.9100932</v>
      </c>
      <c r="S231">
        <f t="shared" si="962"/>
        <v>10076.936669100933</v>
      </c>
      <c r="T231">
        <f t="shared" si="963"/>
        <v>10.076936669100933</v>
      </c>
    </row>
    <row r="232" spans="1:20" x14ac:dyDescent="0.25">
      <c r="A232" s="5">
        <v>44361</v>
      </c>
      <c r="B232">
        <v>0.1656</v>
      </c>
      <c r="C232">
        <v>0.1741</v>
      </c>
      <c r="D232">
        <v>0.16220000000000001</v>
      </c>
      <c r="E232">
        <v>0.1734</v>
      </c>
      <c r="F232">
        <v>56961730.460000001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0.88235294117646945</v>
      </c>
      <c r="Q232">
        <f t="shared" si="960"/>
        <v>50260350.405882291</v>
      </c>
      <c r="R232">
        <f t="shared" si="961"/>
        <v>995099895.02460933</v>
      </c>
      <c r="S232">
        <f t="shared" si="962"/>
        <v>9950.998950246094</v>
      </c>
      <c r="T232">
        <f t="shared" si="963"/>
        <v>9.9509989502460936</v>
      </c>
    </row>
    <row r="233" spans="1:20" x14ac:dyDescent="0.25">
      <c r="A233" s="5">
        <v>44360</v>
      </c>
      <c r="B233">
        <v>0.1575</v>
      </c>
      <c r="C233">
        <v>0.1676</v>
      </c>
      <c r="D233">
        <v>0.1535</v>
      </c>
      <c r="E233">
        <v>0.1656</v>
      </c>
      <c r="F233">
        <v>35171576.890000001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0.71631205673758847</v>
      </c>
      <c r="Q233">
        <f t="shared" si="960"/>
        <v>25193824.580780137</v>
      </c>
      <c r="R233">
        <f t="shared" si="961"/>
        <v>944839544.61872709</v>
      </c>
      <c r="S233">
        <f t="shared" si="962"/>
        <v>9448.3954461872709</v>
      </c>
      <c r="T233">
        <f t="shared" si="963"/>
        <v>9.4483954461872717</v>
      </c>
    </row>
    <row r="234" spans="1:20" x14ac:dyDescent="0.25">
      <c r="A234" s="5">
        <v>44359</v>
      </c>
      <c r="B234">
        <v>0.1641</v>
      </c>
      <c r="C234">
        <v>0.1641</v>
      </c>
      <c r="D234">
        <v>0.1527</v>
      </c>
      <c r="E234">
        <v>0.1573</v>
      </c>
      <c r="F234">
        <v>50550524.079999998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-0.19298245614035164</v>
      </c>
      <c r="Q234">
        <f t="shared" si="960"/>
        <v>-9755364.2961403895</v>
      </c>
      <c r="R234">
        <f t="shared" si="961"/>
        <v>919645720.03794694</v>
      </c>
      <c r="S234">
        <f t="shared" si="962"/>
        <v>9196.4572003794692</v>
      </c>
      <c r="T234">
        <f t="shared" si="963"/>
        <v>9.19645720037947</v>
      </c>
    </row>
    <row r="235" spans="1:20" x14ac:dyDescent="0.25">
      <c r="A235" s="5">
        <v>44358</v>
      </c>
      <c r="B235">
        <v>0.17030000000000001</v>
      </c>
      <c r="C235">
        <v>0.17349999999999999</v>
      </c>
      <c r="D235">
        <v>0.1618</v>
      </c>
      <c r="E235">
        <v>0.1641</v>
      </c>
      <c r="F235">
        <v>49821480.5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-0.60683760683760701</v>
      </c>
      <c r="Q235">
        <f t="shared" si="960"/>
        <v>-30233547.995726503</v>
      </c>
      <c r="R235">
        <f t="shared" si="961"/>
        <v>929401084.33408737</v>
      </c>
      <c r="S235">
        <f t="shared" si="962"/>
        <v>9294.0108433408732</v>
      </c>
      <c r="T235">
        <f t="shared" si="963"/>
        <v>9.2940108433408728</v>
      </c>
    </row>
    <row r="236" spans="1:20" x14ac:dyDescent="0.25">
      <c r="A236" s="5">
        <v>44357</v>
      </c>
      <c r="B236">
        <v>0.1744</v>
      </c>
      <c r="C236">
        <v>0.17749999999999999</v>
      </c>
      <c r="D236">
        <v>0.16600000000000001</v>
      </c>
      <c r="E236">
        <v>0.1701</v>
      </c>
      <c r="F236">
        <v>49442915.539999999</v>
      </c>
      <c r="G236">
        <v>0</v>
      </c>
      <c r="L236" t="s">
        <v>8</v>
      </c>
      <c r="M236" t="s">
        <v>7</v>
      </c>
      <c r="N236" t="s">
        <v>7</v>
      </c>
      <c r="P236">
        <f t="shared" si="959"/>
        <v>-0.28695652173913067</v>
      </c>
      <c r="Q236">
        <f t="shared" si="960"/>
        <v>-14187967.068000011</v>
      </c>
      <c r="R236">
        <f t="shared" si="961"/>
        <v>959634632.32981384</v>
      </c>
      <c r="S236">
        <f t="shared" si="962"/>
        <v>9596.3463232981376</v>
      </c>
      <c r="T236">
        <f t="shared" si="963"/>
        <v>9.5963463232981372</v>
      </c>
    </row>
    <row r="237" spans="1:20" x14ac:dyDescent="0.25">
      <c r="A237" s="5">
        <v>44356</v>
      </c>
      <c r="B237">
        <v>0.1646</v>
      </c>
      <c r="C237">
        <v>0.17560000000000001</v>
      </c>
      <c r="D237">
        <v>0.15790000000000001</v>
      </c>
      <c r="E237">
        <v>0.17430000000000001</v>
      </c>
      <c r="F237">
        <v>65650167.049999997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0.85310734463276883</v>
      </c>
      <c r="Q237">
        <f t="shared" si="960"/>
        <v>56006639.686723195</v>
      </c>
      <c r="R237">
        <f t="shared" si="961"/>
        <v>973822599.3978138</v>
      </c>
      <c r="S237">
        <f t="shared" si="962"/>
        <v>9738.2259939781379</v>
      </c>
      <c r="T237">
        <f t="shared" si="963"/>
        <v>9.738225993978137</v>
      </c>
    </row>
    <row r="238" spans="1:20" x14ac:dyDescent="0.25">
      <c r="A238" s="5">
        <v>44355</v>
      </c>
      <c r="B238">
        <v>0.17130000000000001</v>
      </c>
      <c r="C238">
        <v>0.1731</v>
      </c>
      <c r="D238">
        <v>0.15359999999999999</v>
      </c>
      <c r="E238">
        <v>0.16450000000000001</v>
      </c>
      <c r="F238">
        <v>63005287.259999998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0.11794871794871908</v>
      </c>
      <c r="Q238">
        <f t="shared" si="960"/>
        <v>7431392.8563077636</v>
      </c>
      <c r="R238">
        <f t="shared" si="961"/>
        <v>917815959.71109056</v>
      </c>
      <c r="S238">
        <f t="shared" si="962"/>
        <v>9178.1595971109055</v>
      </c>
      <c r="T238">
        <f t="shared" si="963"/>
        <v>9.1781595971109056</v>
      </c>
    </row>
    <row r="239" spans="1:20" x14ac:dyDescent="0.25">
      <c r="A239" s="5">
        <v>44354</v>
      </c>
      <c r="B239">
        <v>0.18759999999999999</v>
      </c>
      <c r="C239">
        <v>0.1928</v>
      </c>
      <c r="D239">
        <v>0.1691</v>
      </c>
      <c r="E239">
        <v>0.17130000000000001</v>
      </c>
      <c r="F239">
        <v>61688905.32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-0.81434599156118082</v>
      </c>
      <c r="Q239">
        <f t="shared" si="960"/>
        <v>-50236112.771139205</v>
      </c>
      <c r="R239">
        <f t="shared" si="961"/>
        <v>910384566.85478282</v>
      </c>
      <c r="S239">
        <f t="shared" si="962"/>
        <v>9103.8456685478286</v>
      </c>
      <c r="T239">
        <f t="shared" si="963"/>
        <v>9.1038456685478284</v>
      </c>
    </row>
    <row r="240" spans="1:20" x14ac:dyDescent="0.25">
      <c r="A240" s="5">
        <v>44353</v>
      </c>
      <c r="B240">
        <v>0.18079999999999999</v>
      </c>
      <c r="C240">
        <v>0.1903</v>
      </c>
      <c r="D240">
        <v>0.17949999999999999</v>
      </c>
      <c r="E240">
        <v>0.18759999999999999</v>
      </c>
      <c r="F240">
        <v>53319764.049999997</v>
      </c>
      <c r="G240">
        <v>0</v>
      </c>
      <c r="L240" t="s">
        <v>7</v>
      </c>
      <c r="M240" t="s">
        <v>8</v>
      </c>
      <c r="N240" t="s">
        <v>8</v>
      </c>
      <c r="P240">
        <f t="shared" si="959"/>
        <v>0.49999999999999872</v>
      </c>
      <c r="Q240">
        <f t="shared" si="960"/>
        <v>26659882.024999931</v>
      </c>
      <c r="R240">
        <f t="shared" si="961"/>
        <v>960620679.62592196</v>
      </c>
      <c r="S240">
        <f t="shared" si="962"/>
        <v>9606.2067962592191</v>
      </c>
      <c r="T240">
        <f t="shared" si="963"/>
        <v>9.6062067962592188</v>
      </c>
    </row>
    <row r="241" spans="1:20" x14ac:dyDescent="0.25">
      <c r="A241" s="5">
        <v>44352</v>
      </c>
      <c r="B241">
        <v>0.18740000000000001</v>
      </c>
      <c r="C241">
        <v>0.19539999999999999</v>
      </c>
      <c r="D241">
        <v>0.17580000000000001</v>
      </c>
      <c r="E241">
        <v>0.1807</v>
      </c>
      <c r="F241">
        <v>73195949.439999998</v>
      </c>
      <c r="G241">
        <v>0</v>
      </c>
      <c r="L241" t="s">
        <v>8</v>
      </c>
      <c r="M241" t="s">
        <v>8</v>
      </c>
      <c r="N241" t="s">
        <v>8</v>
      </c>
      <c r="P241">
        <f t="shared" si="959"/>
        <v>-0.50000000000000067</v>
      </c>
      <c r="Q241">
        <f t="shared" si="960"/>
        <v>-36597974.720000051</v>
      </c>
      <c r="R241">
        <f t="shared" si="961"/>
        <v>933960797.60092199</v>
      </c>
      <c r="S241">
        <f t="shared" si="962"/>
        <v>9339.6079760092198</v>
      </c>
      <c r="T241">
        <f t="shared" si="963"/>
        <v>9.3396079760092192</v>
      </c>
    </row>
    <row r="242" spans="1:20" x14ac:dyDescent="0.25">
      <c r="A242" s="5">
        <v>44351</v>
      </c>
      <c r="B242">
        <v>0.20699999999999999</v>
      </c>
      <c r="C242">
        <v>0.20699999999999999</v>
      </c>
      <c r="D242">
        <v>0.1784</v>
      </c>
      <c r="E242">
        <v>0.18720000000000001</v>
      </c>
      <c r="F242">
        <v>76745789.090000004</v>
      </c>
      <c r="G242">
        <v>0</v>
      </c>
      <c r="L242" t="s">
        <v>7</v>
      </c>
      <c r="M242" t="s">
        <v>8</v>
      </c>
      <c r="N242" t="s">
        <v>8</v>
      </c>
      <c r="P242">
        <f t="shared" si="959"/>
        <v>-0.38461538461538419</v>
      </c>
      <c r="Q242">
        <f t="shared" si="960"/>
        <v>-29517611.188461509</v>
      </c>
      <c r="R242">
        <f t="shared" si="961"/>
        <v>970558772.32092202</v>
      </c>
      <c r="S242">
        <f t="shared" si="962"/>
        <v>9705.5877232092207</v>
      </c>
      <c r="T242">
        <f t="shared" si="963"/>
        <v>9.70558772320922</v>
      </c>
    </row>
    <row r="243" spans="1:20" x14ac:dyDescent="0.25">
      <c r="A243" s="5">
        <v>44350</v>
      </c>
      <c r="B243">
        <v>0.1948</v>
      </c>
      <c r="C243">
        <v>0.20699999999999999</v>
      </c>
      <c r="D243">
        <v>0.191</v>
      </c>
      <c r="E243">
        <v>0.2069</v>
      </c>
      <c r="F243">
        <v>64157833.939999998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0.98750000000000138</v>
      </c>
      <c r="Q243">
        <f t="shared" si="960"/>
        <v>63355861.015750088</v>
      </c>
      <c r="R243">
        <f t="shared" si="961"/>
        <v>1000076383.5093836</v>
      </c>
      <c r="S243">
        <f t="shared" si="962"/>
        <v>10000.763835093836</v>
      </c>
      <c r="T243">
        <f t="shared" si="963"/>
        <v>10.000763835093837</v>
      </c>
    </row>
    <row r="244" spans="1:20" x14ac:dyDescent="0.25">
      <c r="A244" s="5">
        <v>44349</v>
      </c>
      <c r="B244">
        <v>0.18840000000000001</v>
      </c>
      <c r="C244">
        <v>0.1976</v>
      </c>
      <c r="D244">
        <v>0.184</v>
      </c>
      <c r="E244">
        <v>0.1948</v>
      </c>
      <c r="F244">
        <v>45036970.68</v>
      </c>
      <c r="G244">
        <v>0</v>
      </c>
      <c r="L244" t="s">
        <v>8</v>
      </c>
      <c r="M244" t="s">
        <v>7</v>
      </c>
      <c r="N244" t="s">
        <v>8</v>
      </c>
      <c r="P244">
        <f t="shared" si="959"/>
        <v>0.58823529411764752</v>
      </c>
      <c r="Q244">
        <f t="shared" si="960"/>
        <v>26492335.694117669</v>
      </c>
      <c r="R244">
        <f t="shared" si="961"/>
        <v>936720522.49363351</v>
      </c>
      <c r="S244">
        <f t="shared" si="962"/>
        <v>9367.2052249363351</v>
      </c>
      <c r="T244">
        <f t="shared" si="963"/>
        <v>9.3672052249363347</v>
      </c>
    </row>
    <row r="245" spans="1:20" x14ac:dyDescent="0.25">
      <c r="A245" s="5">
        <v>44348</v>
      </c>
      <c r="B245">
        <v>0.19520000000000001</v>
      </c>
      <c r="C245">
        <v>0.1973</v>
      </c>
      <c r="D245">
        <v>0.18099999999999999</v>
      </c>
      <c r="E245">
        <v>0.18840000000000001</v>
      </c>
      <c r="F245">
        <v>60850512.990000002</v>
      </c>
      <c r="G245">
        <v>0</v>
      </c>
      <c r="L245" t="s">
        <v>7</v>
      </c>
      <c r="M245" t="s">
        <v>7</v>
      </c>
      <c r="N245" t="s">
        <v>8</v>
      </c>
      <c r="P245">
        <f t="shared" si="959"/>
        <v>-9.2024539877298944E-2</v>
      </c>
      <c r="Q245">
        <f t="shared" si="960"/>
        <v>-5599740.4592023529</v>
      </c>
      <c r="R245">
        <f t="shared" si="961"/>
        <v>910228186.79951584</v>
      </c>
      <c r="S245">
        <f t="shared" si="962"/>
        <v>9102.2818679951579</v>
      </c>
      <c r="T245">
        <f t="shared" si="963"/>
        <v>9.102281867995158</v>
      </c>
    </row>
    <row r="246" spans="1:20" x14ac:dyDescent="0.25">
      <c r="A246" s="5">
        <v>44347</v>
      </c>
      <c r="B246">
        <v>0.182</v>
      </c>
      <c r="C246">
        <v>0.19800000000000001</v>
      </c>
      <c r="D246">
        <v>0.1721</v>
      </c>
      <c r="E246">
        <v>0.1951</v>
      </c>
      <c r="F246">
        <v>59866842.859999999</v>
      </c>
      <c r="G246">
        <v>0</v>
      </c>
      <c r="L246" t="s">
        <v>8</v>
      </c>
      <c r="M246" t="s">
        <v>7</v>
      </c>
      <c r="N246" t="s">
        <v>8</v>
      </c>
      <c r="P246">
        <f t="shared" si="959"/>
        <v>0.77606177606177507</v>
      </c>
      <c r="Q246">
        <f t="shared" si="960"/>
        <v>46460368.397142798</v>
      </c>
      <c r="R246">
        <f t="shared" si="961"/>
        <v>915827927.25871825</v>
      </c>
      <c r="S246">
        <f t="shared" si="962"/>
        <v>9158.2792725871823</v>
      </c>
      <c r="T246">
        <f t="shared" si="963"/>
        <v>9.1582792725871816</v>
      </c>
    </row>
    <row r="247" spans="1:20" x14ac:dyDescent="0.25">
      <c r="A247" s="5">
        <v>44346</v>
      </c>
      <c r="B247">
        <v>0.17560000000000001</v>
      </c>
      <c r="C247">
        <v>0.1875</v>
      </c>
      <c r="D247">
        <v>0.16619999999999999</v>
      </c>
      <c r="E247">
        <v>0.182</v>
      </c>
      <c r="F247">
        <v>55272697.460000001</v>
      </c>
      <c r="G247">
        <v>0</v>
      </c>
      <c r="L247" t="s">
        <v>7</v>
      </c>
      <c r="M247" t="s">
        <v>7</v>
      </c>
      <c r="N247" t="s">
        <v>8</v>
      </c>
      <c r="P247">
        <f t="shared" si="959"/>
        <v>0.48356807511737077</v>
      </c>
      <c r="Q247">
        <f t="shared" si="960"/>
        <v>26728111.91727699</v>
      </c>
      <c r="R247">
        <f t="shared" si="961"/>
        <v>869367558.86157548</v>
      </c>
      <c r="S247">
        <f t="shared" si="962"/>
        <v>8693.6755886157553</v>
      </c>
      <c r="T247">
        <f t="shared" si="963"/>
        <v>8.693675588615756</v>
      </c>
    </row>
    <row r="248" spans="1:20" x14ac:dyDescent="0.25">
      <c r="A248" s="5">
        <v>44345</v>
      </c>
      <c r="B248">
        <v>0.18049999999999999</v>
      </c>
      <c r="C248">
        <v>0.18940000000000001</v>
      </c>
      <c r="D248">
        <v>0.16869999999999999</v>
      </c>
      <c r="E248">
        <v>0.1757</v>
      </c>
      <c r="F248">
        <v>58352479.399999999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-0.32367149758454122</v>
      </c>
      <c r="Q248">
        <f t="shared" si="960"/>
        <v>-18887034.39516909</v>
      </c>
      <c r="R248">
        <f t="shared" si="961"/>
        <v>842639446.94429851</v>
      </c>
      <c r="S248">
        <f t="shared" si="962"/>
        <v>8426.3944694429847</v>
      </c>
      <c r="T248">
        <f t="shared" si="963"/>
        <v>8.4263944694429842</v>
      </c>
    </row>
    <row r="249" spans="1:20" x14ac:dyDescent="0.25">
      <c r="A249" s="5">
        <v>44344</v>
      </c>
      <c r="B249">
        <v>0.2044</v>
      </c>
      <c r="C249">
        <v>0.20760000000000001</v>
      </c>
      <c r="D249">
        <v>0.1739</v>
      </c>
      <c r="E249">
        <v>0.18029999999999999</v>
      </c>
      <c r="F249">
        <v>96376493.040000007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-0.62017804154302747</v>
      </c>
      <c r="Q249">
        <f t="shared" si="960"/>
        <v>-59770584.704332419</v>
      </c>
      <c r="R249">
        <f t="shared" si="961"/>
        <v>861526481.33946764</v>
      </c>
      <c r="S249">
        <f t="shared" si="962"/>
        <v>8615.2648133946768</v>
      </c>
      <c r="T249">
        <f t="shared" si="963"/>
        <v>8.6152648133946776</v>
      </c>
    </row>
    <row r="250" spans="1:20" x14ac:dyDescent="0.25">
      <c r="A250" s="5">
        <v>44343</v>
      </c>
      <c r="B250">
        <v>0.21440000000000001</v>
      </c>
      <c r="C250">
        <v>0.218</v>
      </c>
      <c r="D250">
        <v>0.19500000000000001</v>
      </c>
      <c r="E250">
        <v>0.2044</v>
      </c>
      <c r="F250">
        <v>86591156.700000003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-0.18260869565217439</v>
      </c>
      <c r="Q250">
        <f t="shared" si="960"/>
        <v>-15812298.180000041</v>
      </c>
      <c r="R250">
        <f t="shared" si="961"/>
        <v>921297066.04380012</v>
      </c>
      <c r="S250">
        <f t="shared" si="962"/>
        <v>9212.9706604380008</v>
      </c>
      <c r="T250">
        <f t="shared" si="963"/>
        <v>9.2129706604380015</v>
      </c>
    </row>
    <row r="251" spans="1:20" x14ac:dyDescent="0.25">
      <c r="A251" s="5">
        <v>44342</v>
      </c>
      <c r="B251">
        <v>0.18859999999999999</v>
      </c>
      <c r="C251">
        <v>0.2145</v>
      </c>
      <c r="D251">
        <v>0.18529999999999999</v>
      </c>
      <c r="E251">
        <v>0.21429999999999999</v>
      </c>
      <c r="F251">
        <v>111176920.52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0.98630136986301331</v>
      </c>
      <c r="Q251">
        <f t="shared" si="960"/>
        <v>109653949.00602736</v>
      </c>
      <c r="R251">
        <f t="shared" si="961"/>
        <v>937109364.22380018</v>
      </c>
      <c r="S251">
        <f t="shared" si="962"/>
        <v>9371.0936422380018</v>
      </c>
      <c r="T251">
        <f t="shared" si="963"/>
        <v>9.3710936422380016</v>
      </c>
    </row>
    <row r="252" spans="1:20" x14ac:dyDescent="0.25">
      <c r="A252" s="5">
        <v>44341</v>
      </c>
      <c r="B252">
        <v>0.1925</v>
      </c>
      <c r="C252">
        <v>0.19739999999999999</v>
      </c>
      <c r="D252">
        <v>0.16950000000000001</v>
      </c>
      <c r="E252">
        <v>0.1888</v>
      </c>
      <c r="F252">
        <v>115421174</v>
      </c>
      <c r="G252">
        <v>0</v>
      </c>
      <c r="L252" t="s">
        <v>8</v>
      </c>
      <c r="M252" t="s">
        <v>8</v>
      </c>
      <c r="N252" t="s">
        <v>7</v>
      </c>
      <c r="P252">
        <f t="shared" si="959"/>
        <v>0.38351254480286717</v>
      </c>
      <c r="Q252">
        <f t="shared" si="960"/>
        <v>44265468.164874531</v>
      </c>
      <c r="R252">
        <f t="shared" si="961"/>
        <v>827455415.21777284</v>
      </c>
      <c r="S252">
        <f t="shared" si="962"/>
        <v>8274.5541521777286</v>
      </c>
      <c r="T252">
        <f t="shared" si="963"/>
        <v>8.2745541521777284</v>
      </c>
    </row>
    <row r="253" spans="1:20" x14ac:dyDescent="0.25">
      <c r="A253" s="5">
        <v>44340</v>
      </c>
      <c r="B253">
        <v>0.16259999999999999</v>
      </c>
      <c r="C253">
        <v>0.19370000000000001</v>
      </c>
      <c r="D253">
        <v>0.1555</v>
      </c>
      <c r="E253">
        <v>0.19239999999999999</v>
      </c>
      <c r="F253">
        <v>149984363.19</v>
      </c>
      <c r="G253">
        <v>0</v>
      </c>
      <c r="L253" t="s">
        <v>8</v>
      </c>
      <c r="M253" t="s">
        <v>8</v>
      </c>
      <c r="N253" t="s">
        <v>7</v>
      </c>
      <c r="P253">
        <f t="shared" si="959"/>
        <v>0.93193717277486787</v>
      </c>
      <c r="Q253">
        <f t="shared" si="960"/>
        <v>139776003.39172757</v>
      </c>
      <c r="R253">
        <f t="shared" si="961"/>
        <v>783189947.05289829</v>
      </c>
      <c r="S253">
        <f t="shared" si="962"/>
        <v>7831.8994705289833</v>
      </c>
      <c r="T253">
        <f t="shared" si="963"/>
        <v>7.8318994705289837</v>
      </c>
    </row>
    <row r="254" spans="1:20" x14ac:dyDescent="0.25">
      <c r="A254" s="5">
        <v>44339</v>
      </c>
      <c r="B254">
        <v>0.1933</v>
      </c>
      <c r="C254">
        <v>0.1986</v>
      </c>
      <c r="D254">
        <v>0.13550000000000001</v>
      </c>
      <c r="E254">
        <v>0.16250000000000001</v>
      </c>
      <c r="F254">
        <v>126432398.2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-0.14421553090332803</v>
      </c>
      <c r="Q254">
        <f t="shared" si="960"/>
        <v>-18233515.429793976</v>
      </c>
      <c r="R254">
        <f t="shared" si="961"/>
        <v>643413943.66117072</v>
      </c>
      <c r="S254">
        <f t="shared" si="962"/>
        <v>6434.1394366117074</v>
      </c>
      <c r="T254">
        <f t="shared" si="963"/>
        <v>6.4341394366117077</v>
      </c>
    </row>
    <row r="255" spans="1:20" x14ac:dyDescent="0.25">
      <c r="A255" s="5">
        <v>44338</v>
      </c>
      <c r="B255">
        <v>0.2026</v>
      </c>
      <c r="C255">
        <v>0.216</v>
      </c>
      <c r="D255">
        <v>0.1825</v>
      </c>
      <c r="E255">
        <v>0.1933</v>
      </c>
      <c r="F255">
        <v>99715247.340000004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-0.35522388059701471</v>
      </c>
      <c r="Q255">
        <f t="shared" si="960"/>
        <v>-35421237.114805952</v>
      </c>
      <c r="R255">
        <f t="shared" si="961"/>
        <v>661647459.09096467</v>
      </c>
      <c r="S255">
        <f t="shared" si="962"/>
        <v>6616.4745909096464</v>
      </c>
      <c r="T255">
        <f t="shared" si="963"/>
        <v>6.6164745909096467</v>
      </c>
    </row>
    <row r="256" spans="1:20" x14ac:dyDescent="0.25">
      <c r="A256" s="5">
        <v>44337</v>
      </c>
      <c r="B256">
        <v>0.2233</v>
      </c>
      <c r="C256">
        <v>0.2389</v>
      </c>
      <c r="D256">
        <v>0.17849999999999999</v>
      </c>
      <c r="E256">
        <v>0.2026</v>
      </c>
      <c r="F256">
        <v>135816972.93000001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-0.2019867549668872</v>
      </c>
      <c r="Q256">
        <f t="shared" si="960"/>
        <v>-27433229.631556265</v>
      </c>
      <c r="R256">
        <f t="shared" si="961"/>
        <v>697068696.20577061</v>
      </c>
      <c r="S256">
        <f t="shared" si="962"/>
        <v>6970.6869620577063</v>
      </c>
      <c r="T256">
        <f t="shared" si="963"/>
        <v>6.9706869620577061</v>
      </c>
    </row>
    <row r="257" spans="1:20" x14ac:dyDescent="0.25">
      <c r="A257" s="5">
        <v>44336</v>
      </c>
      <c r="B257">
        <v>0.1918</v>
      </c>
      <c r="C257">
        <v>0.24890000000000001</v>
      </c>
      <c r="D257">
        <v>0.17100000000000001</v>
      </c>
      <c r="E257">
        <v>0.2235</v>
      </c>
      <c r="F257">
        <v>170320496.03999999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0.3478818998716301</v>
      </c>
      <c r="Q257">
        <f t="shared" si="960"/>
        <v>59251417.749473646</v>
      </c>
      <c r="R257">
        <f t="shared" si="961"/>
        <v>724501925.83732688</v>
      </c>
      <c r="S257">
        <f t="shared" si="962"/>
        <v>7245.0192583732687</v>
      </c>
      <c r="T257">
        <f t="shared" si="963"/>
        <v>7.2450192583732687</v>
      </c>
    </row>
    <row r="258" spans="1:20" x14ac:dyDescent="0.25">
      <c r="A258" s="5">
        <v>44335</v>
      </c>
      <c r="B258">
        <v>0.28849999999999998</v>
      </c>
      <c r="C258">
        <v>0.29199999999999998</v>
      </c>
      <c r="D258">
        <v>0.15</v>
      </c>
      <c r="E258">
        <v>0.19170000000000001</v>
      </c>
      <c r="F258">
        <v>330785009.62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-0.4126760563380279</v>
      </c>
      <c r="Q258">
        <f t="shared" si="960"/>
        <v>-136507053.26571822</v>
      </c>
      <c r="R258">
        <f t="shared" si="961"/>
        <v>665250508.08785319</v>
      </c>
      <c r="S258">
        <f t="shared" si="962"/>
        <v>6652.5050808785318</v>
      </c>
      <c r="T258">
        <f t="shared" si="963"/>
        <v>6.652505080878532</v>
      </c>
    </row>
    <row r="259" spans="1:20" x14ac:dyDescent="0.25">
      <c r="A259" s="5">
        <v>44334</v>
      </c>
      <c r="B259">
        <v>0.27539999999999998</v>
      </c>
      <c r="C259">
        <v>0.2928</v>
      </c>
      <c r="D259">
        <v>0.27260000000000001</v>
      </c>
      <c r="E259">
        <v>0.28860000000000002</v>
      </c>
      <c r="F259">
        <v>104017645.47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0.5841584158415859</v>
      </c>
      <c r="Q259">
        <f t="shared" si="960"/>
        <v>60762782.99732691</v>
      </c>
      <c r="R259">
        <f t="shared" si="961"/>
        <v>801757561.35357141</v>
      </c>
      <c r="S259">
        <f t="shared" si="962"/>
        <v>8017.5756135357142</v>
      </c>
      <c r="T259">
        <f t="shared" si="963"/>
        <v>8.0175756135357137</v>
      </c>
    </row>
    <row r="260" spans="1:20" x14ac:dyDescent="0.25">
      <c r="A260" s="5">
        <v>44333</v>
      </c>
      <c r="B260">
        <v>0.29930000000000001</v>
      </c>
      <c r="C260">
        <v>0.29980000000000001</v>
      </c>
      <c r="D260">
        <v>0.2576</v>
      </c>
      <c r="E260">
        <v>0.27539999999999998</v>
      </c>
      <c r="F260">
        <v>137509660.68000001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-0.15639810426540399</v>
      </c>
      <c r="Q260">
        <f t="shared" si="960"/>
        <v>-21506250.248530965</v>
      </c>
      <c r="R260">
        <f t="shared" si="961"/>
        <v>740994778.35624444</v>
      </c>
      <c r="S260">
        <f t="shared" si="962"/>
        <v>7409.9477835624448</v>
      </c>
      <c r="T260">
        <f t="shared" si="963"/>
        <v>7.409947783562445</v>
      </c>
    </row>
    <row r="261" spans="1:20" x14ac:dyDescent="0.25">
      <c r="A261" s="5">
        <v>44332</v>
      </c>
      <c r="B261">
        <v>0.2969</v>
      </c>
      <c r="C261">
        <v>0.32640000000000002</v>
      </c>
      <c r="D261">
        <v>0.28129999999999999</v>
      </c>
      <c r="E261">
        <v>0.29930000000000001</v>
      </c>
      <c r="F261">
        <v>125835959.34</v>
      </c>
      <c r="G261">
        <v>0</v>
      </c>
      <c r="L261" t="s">
        <v>7</v>
      </c>
      <c r="M261" t="s">
        <v>8</v>
      </c>
      <c r="N261" t="s">
        <v>7</v>
      </c>
      <c r="P261">
        <f t="shared" si="959"/>
        <v>-0.2017738359201772</v>
      </c>
      <c r="Q261">
        <f t="shared" si="960"/>
        <v>-25390404.212727249</v>
      </c>
      <c r="R261">
        <f t="shared" si="961"/>
        <v>762501028.60477543</v>
      </c>
      <c r="S261">
        <f t="shared" si="962"/>
        <v>7625.0102860477546</v>
      </c>
      <c r="T261">
        <f t="shared" si="963"/>
        <v>7.6250102860477549</v>
      </c>
    </row>
    <row r="262" spans="1:20" x14ac:dyDescent="0.25">
      <c r="A262" s="5">
        <v>44331</v>
      </c>
      <c r="B262">
        <v>0.31940000000000002</v>
      </c>
      <c r="C262">
        <v>0.32479999999999998</v>
      </c>
      <c r="D262">
        <v>0.29520000000000002</v>
      </c>
      <c r="E262">
        <v>0.29709999999999998</v>
      </c>
      <c r="F262">
        <v>104972079.98999999</v>
      </c>
      <c r="G262">
        <v>0</v>
      </c>
      <c r="L262" t="s">
        <v>7</v>
      </c>
      <c r="M262" t="s">
        <v>8</v>
      </c>
      <c r="N262" t="s">
        <v>7</v>
      </c>
      <c r="P262">
        <f t="shared" ref="P262:P325" si="964">IF(C262=D262,0,((E262-D262)-(C262-E262))/(C262-D262))</f>
        <v>-0.87162162162162438</v>
      </c>
      <c r="Q262">
        <f t="shared" ref="Q262:Q325" si="965">F262*P262</f>
        <v>-91495934.58587867</v>
      </c>
      <c r="R262">
        <f t="shared" ref="R262:R325" si="966">R263+Q262</f>
        <v>787891432.81750274</v>
      </c>
      <c r="S262">
        <f t="shared" ref="S262:S325" si="967">R262/100000</f>
        <v>7878.9143281750275</v>
      </c>
      <c r="T262">
        <f t="shared" ref="T262:T325" si="968">S262/1000</f>
        <v>7.8789143281750276</v>
      </c>
    </row>
    <row r="263" spans="1:20" x14ac:dyDescent="0.25">
      <c r="A263" s="5">
        <v>44330</v>
      </c>
      <c r="B263">
        <v>0.30919999999999997</v>
      </c>
      <c r="C263">
        <v>0.32890000000000003</v>
      </c>
      <c r="D263">
        <v>0.30380000000000001</v>
      </c>
      <c r="E263">
        <v>0.31940000000000002</v>
      </c>
      <c r="F263">
        <v>96743624.849999994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0.24302788844621481</v>
      </c>
      <c r="Q263">
        <f t="shared" si="965"/>
        <v>23511398.867928255</v>
      </c>
      <c r="R263">
        <f t="shared" si="966"/>
        <v>879387367.40338135</v>
      </c>
      <c r="S263">
        <f t="shared" si="967"/>
        <v>8793.8736740338136</v>
      </c>
      <c r="T263">
        <f t="shared" si="968"/>
        <v>8.7938736740338133</v>
      </c>
    </row>
    <row r="264" spans="1:20" x14ac:dyDescent="0.25">
      <c r="A264" s="5">
        <v>44329</v>
      </c>
      <c r="B264">
        <v>0.29970000000000002</v>
      </c>
      <c r="C264">
        <v>0.32440000000000002</v>
      </c>
      <c r="D264">
        <v>0.28079999999999999</v>
      </c>
      <c r="E264">
        <v>0.30930000000000002</v>
      </c>
      <c r="F264">
        <v>199004159.44999999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0.30733944954128473</v>
      </c>
      <c r="Q264">
        <f t="shared" si="965"/>
        <v>61161828.821789049</v>
      </c>
      <c r="R264">
        <f t="shared" si="966"/>
        <v>855875968.53545308</v>
      </c>
      <c r="S264">
        <f t="shared" si="967"/>
        <v>8558.759685354531</v>
      </c>
      <c r="T264">
        <f t="shared" si="968"/>
        <v>8.5587596853545307</v>
      </c>
    </row>
    <row r="265" spans="1:20" x14ac:dyDescent="0.25">
      <c r="A265" s="5">
        <v>44328</v>
      </c>
      <c r="B265">
        <v>0.3594</v>
      </c>
      <c r="C265">
        <v>0.37080000000000002</v>
      </c>
      <c r="D265">
        <v>0.28949999999999998</v>
      </c>
      <c r="E265">
        <v>0.3</v>
      </c>
      <c r="F265">
        <v>174118938.24000001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-0.74169741697416969</v>
      </c>
      <c r="Q265">
        <f t="shared" si="965"/>
        <v>-129143566.73889299</v>
      </c>
      <c r="R265">
        <f t="shared" si="966"/>
        <v>794714139.71366405</v>
      </c>
      <c r="S265">
        <f t="shared" si="967"/>
        <v>7947.141397136641</v>
      </c>
      <c r="T265">
        <f t="shared" si="968"/>
        <v>7.9471413971366411</v>
      </c>
    </row>
    <row r="266" spans="1:20" x14ac:dyDescent="0.25">
      <c r="A266" s="5">
        <v>44327</v>
      </c>
      <c r="B266">
        <v>0.3337</v>
      </c>
      <c r="C266">
        <v>0.36349999999999999</v>
      </c>
      <c r="D266">
        <v>0.32140000000000002</v>
      </c>
      <c r="E266">
        <v>0.35930000000000001</v>
      </c>
      <c r="F266">
        <v>132945215.29000001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0.80047505938242358</v>
      </c>
      <c r="Q266">
        <f t="shared" si="965"/>
        <v>106419329.10387184</v>
      </c>
      <c r="R266">
        <f t="shared" si="966"/>
        <v>923857706.45255709</v>
      </c>
      <c r="S266">
        <f t="shared" si="967"/>
        <v>9238.5770645255707</v>
      </c>
      <c r="T266">
        <f t="shared" si="968"/>
        <v>9.23857706452557</v>
      </c>
    </row>
    <row r="267" spans="1:20" x14ac:dyDescent="0.25">
      <c r="A267" s="5">
        <v>44326</v>
      </c>
      <c r="B267">
        <v>0.3765</v>
      </c>
      <c r="C267">
        <v>0.38700000000000001</v>
      </c>
      <c r="D267">
        <v>0.31359999999999999</v>
      </c>
      <c r="E267">
        <v>0.3337</v>
      </c>
      <c r="F267">
        <v>198915470.83000001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-0.45231607629427789</v>
      </c>
      <c r="Q267">
        <f t="shared" si="965"/>
        <v>-89972665.280054495</v>
      </c>
      <c r="R267">
        <f t="shared" si="966"/>
        <v>817438377.34868526</v>
      </c>
      <c r="S267">
        <f t="shared" si="967"/>
        <v>8174.383773486853</v>
      </c>
      <c r="T267">
        <f t="shared" si="968"/>
        <v>8.1743837734868539</v>
      </c>
    </row>
    <row r="268" spans="1:20" x14ac:dyDescent="0.25">
      <c r="A268" s="5">
        <v>44325</v>
      </c>
      <c r="B268">
        <v>0.38150000000000001</v>
      </c>
      <c r="C268">
        <v>0.39419999999999999</v>
      </c>
      <c r="D268">
        <v>0.34799999999999998</v>
      </c>
      <c r="E268">
        <v>0.37669999999999998</v>
      </c>
      <c r="F268">
        <v>159382367.53999999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0.24242424242424207</v>
      </c>
      <c r="Q268">
        <f t="shared" si="965"/>
        <v>38638149.706666611</v>
      </c>
      <c r="R268">
        <f t="shared" si="966"/>
        <v>907411042.62873971</v>
      </c>
      <c r="S268">
        <f t="shared" si="967"/>
        <v>9074.1104262873978</v>
      </c>
      <c r="T268">
        <f t="shared" si="968"/>
        <v>9.0741104262873975</v>
      </c>
    </row>
    <row r="269" spans="1:20" x14ac:dyDescent="0.25">
      <c r="A269" s="5">
        <v>44324</v>
      </c>
      <c r="B269">
        <v>0.39700000000000002</v>
      </c>
      <c r="C269">
        <v>0.40560000000000002</v>
      </c>
      <c r="D269">
        <v>0.37709999999999999</v>
      </c>
      <c r="E269">
        <v>0.38109999999999999</v>
      </c>
      <c r="F269">
        <v>138512750.74000001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-0.7192982456140351</v>
      </c>
      <c r="Q269">
        <f t="shared" si="965"/>
        <v>-99631978.602456152</v>
      </c>
      <c r="R269">
        <f t="shared" si="966"/>
        <v>868772892.92207313</v>
      </c>
      <c r="S269">
        <f t="shared" si="967"/>
        <v>8687.7289292207315</v>
      </c>
      <c r="T269">
        <f t="shared" si="968"/>
        <v>8.6877289292207323</v>
      </c>
    </row>
    <row r="270" spans="1:20" x14ac:dyDescent="0.25">
      <c r="A270" s="5">
        <v>44323</v>
      </c>
      <c r="B270">
        <v>0.38779999999999998</v>
      </c>
      <c r="C270">
        <v>0.43130000000000002</v>
      </c>
      <c r="D270">
        <v>0.3589</v>
      </c>
      <c r="E270">
        <v>0.3972</v>
      </c>
      <c r="F270">
        <v>362971967.75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5.8011049723756633E-2</v>
      </c>
      <c r="Q270">
        <f t="shared" si="965"/>
        <v>21056384.869475041</v>
      </c>
      <c r="R270">
        <f t="shared" si="966"/>
        <v>968404871.52452922</v>
      </c>
      <c r="S270">
        <f t="shared" si="967"/>
        <v>9684.0487152452915</v>
      </c>
      <c r="T270">
        <f t="shared" si="968"/>
        <v>9.6840487152452912</v>
      </c>
    </row>
    <row r="271" spans="1:20" x14ac:dyDescent="0.25">
      <c r="A271" s="5">
        <v>44322</v>
      </c>
      <c r="B271">
        <v>0.3715</v>
      </c>
      <c r="C271">
        <v>0.4078</v>
      </c>
      <c r="D271">
        <v>0.35599999999999998</v>
      </c>
      <c r="E271">
        <v>0.38779999999999998</v>
      </c>
      <c r="F271">
        <v>363770985.5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0.22779922779922732</v>
      </c>
      <c r="Q271">
        <f t="shared" si="965"/>
        <v>82866749.592663914</v>
      </c>
      <c r="R271">
        <f t="shared" si="966"/>
        <v>947348486.65505421</v>
      </c>
      <c r="S271">
        <f t="shared" si="967"/>
        <v>9473.4848665505415</v>
      </c>
      <c r="T271">
        <f t="shared" si="968"/>
        <v>9.4734848665505407</v>
      </c>
    </row>
    <row r="272" spans="1:20" x14ac:dyDescent="0.25">
      <c r="A272" s="5">
        <v>44321</v>
      </c>
      <c r="B272">
        <v>0.30940000000000001</v>
      </c>
      <c r="C272">
        <v>0.39</v>
      </c>
      <c r="D272">
        <v>0.30499999999999999</v>
      </c>
      <c r="E272">
        <v>0.37140000000000001</v>
      </c>
      <c r="F272">
        <v>289010933.41000003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0.56235294117647061</v>
      </c>
      <c r="Q272">
        <f t="shared" si="965"/>
        <v>162526148.43527061</v>
      </c>
      <c r="R272">
        <f t="shared" si="966"/>
        <v>864481737.06239033</v>
      </c>
      <c r="S272">
        <f t="shared" si="967"/>
        <v>8644.8173706239031</v>
      </c>
      <c r="T272">
        <f t="shared" si="968"/>
        <v>8.6448173706239029</v>
      </c>
    </row>
    <row r="273" spans="1:20" x14ac:dyDescent="0.25">
      <c r="A273" s="5">
        <v>44320</v>
      </c>
      <c r="B273">
        <v>0.34849999999999998</v>
      </c>
      <c r="C273">
        <v>0.3488</v>
      </c>
      <c r="D273">
        <v>0.3014</v>
      </c>
      <c r="E273">
        <v>0.3095</v>
      </c>
      <c r="F273">
        <v>134373182.71000001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-0.658227848101266</v>
      </c>
      <c r="Q273">
        <f t="shared" si="965"/>
        <v>-88448170.897721544</v>
      </c>
      <c r="R273">
        <f t="shared" si="966"/>
        <v>701955588.62711978</v>
      </c>
      <c r="S273">
        <f t="shared" si="967"/>
        <v>7019.5558862711978</v>
      </c>
      <c r="T273">
        <f t="shared" si="968"/>
        <v>7.0195558862711982</v>
      </c>
    </row>
    <row r="274" spans="1:20" x14ac:dyDescent="0.25">
      <c r="A274" s="5">
        <v>44319</v>
      </c>
      <c r="B274">
        <v>0.34089999999999998</v>
      </c>
      <c r="C274">
        <v>0.3594</v>
      </c>
      <c r="D274">
        <v>0.3397</v>
      </c>
      <c r="E274">
        <v>0.34860000000000002</v>
      </c>
      <c r="F274">
        <v>138379807.33000001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-9.6446700507612074E-2</v>
      </c>
      <c r="Q274">
        <f t="shared" si="965"/>
        <v>-13346275.833857574</v>
      </c>
      <c r="R274">
        <f t="shared" si="966"/>
        <v>790403759.52484131</v>
      </c>
      <c r="S274">
        <f t="shared" si="967"/>
        <v>7904.0375952484128</v>
      </c>
      <c r="T274">
        <f t="shared" si="968"/>
        <v>7.904037595248413</v>
      </c>
    </row>
    <row r="275" spans="1:20" x14ac:dyDescent="0.25">
      <c r="A275" s="5">
        <v>44318</v>
      </c>
      <c r="B275">
        <v>0.35110000000000002</v>
      </c>
      <c r="C275">
        <v>0.35160000000000002</v>
      </c>
      <c r="D275">
        <v>0.32940000000000003</v>
      </c>
      <c r="E275">
        <v>0.34060000000000001</v>
      </c>
      <c r="F275">
        <v>89121308.840000004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9.0090090090080184E-3</v>
      </c>
      <c r="Q275">
        <f t="shared" si="965"/>
        <v>802894.67423414602</v>
      </c>
      <c r="R275">
        <f t="shared" si="966"/>
        <v>803750035.35869884</v>
      </c>
      <c r="S275">
        <f t="shared" si="967"/>
        <v>8037.5003535869882</v>
      </c>
      <c r="T275">
        <f t="shared" si="968"/>
        <v>8.0375003535869887</v>
      </c>
    </row>
    <row r="276" spans="1:20" x14ac:dyDescent="0.25">
      <c r="A276" s="5">
        <v>44317</v>
      </c>
      <c r="B276">
        <v>0.3523</v>
      </c>
      <c r="C276">
        <v>0.3538</v>
      </c>
      <c r="D276">
        <v>0.33329999999999999</v>
      </c>
      <c r="E276">
        <v>0.35110000000000002</v>
      </c>
      <c r="F276">
        <v>106297070.5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0.73658536585366075</v>
      </c>
      <c r="Q276">
        <f t="shared" si="965"/>
        <v>78296866.563414872</v>
      </c>
      <c r="R276">
        <f t="shared" si="966"/>
        <v>802947140.68446469</v>
      </c>
      <c r="S276">
        <f t="shared" si="967"/>
        <v>8029.4714068446465</v>
      </c>
      <c r="T276">
        <f t="shared" si="968"/>
        <v>8.029471406844646</v>
      </c>
    </row>
    <row r="277" spans="1:20" x14ac:dyDescent="0.25">
      <c r="A277" s="5">
        <v>44316</v>
      </c>
      <c r="B277">
        <v>0.33500000000000002</v>
      </c>
      <c r="C277">
        <v>0.35759999999999997</v>
      </c>
      <c r="D277">
        <v>0.32590000000000002</v>
      </c>
      <c r="E277">
        <v>0.35260000000000002</v>
      </c>
      <c r="F277">
        <v>126799897.19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0.68454258675079138</v>
      </c>
      <c r="Q277">
        <f t="shared" si="965"/>
        <v>86799929.622177005</v>
      </c>
      <c r="R277">
        <f t="shared" si="966"/>
        <v>724650274.12104988</v>
      </c>
      <c r="S277">
        <f t="shared" si="967"/>
        <v>7246.5027412104992</v>
      </c>
      <c r="T277">
        <f t="shared" si="968"/>
        <v>7.2465027412104988</v>
      </c>
    </row>
    <row r="278" spans="1:20" x14ac:dyDescent="0.25">
      <c r="A278" s="5">
        <v>44315</v>
      </c>
      <c r="B278">
        <v>0.33339999999999997</v>
      </c>
      <c r="C278">
        <v>0.34970000000000001</v>
      </c>
      <c r="D278">
        <v>0.3201</v>
      </c>
      <c r="E278">
        <v>0.3352</v>
      </c>
      <c r="F278">
        <v>180865704.97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2.0270270270269904E-2</v>
      </c>
      <c r="Q278">
        <f t="shared" si="965"/>
        <v>3666196.7223647987</v>
      </c>
      <c r="R278">
        <f t="shared" si="966"/>
        <v>637850344.49887288</v>
      </c>
      <c r="S278">
        <f t="shared" si="967"/>
        <v>6378.5034449887289</v>
      </c>
      <c r="T278">
        <f t="shared" si="968"/>
        <v>6.3785034449887288</v>
      </c>
    </row>
    <row r="279" spans="1:20" x14ac:dyDescent="0.25">
      <c r="A279" s="5">
        <v>44314</v>
      </c>
      <c r="B279">
        <v>0.34699999999999998</v>
      </c>
      <c r="C279">
        <v>0.3599</v>
      </c>
      <c r="D279">
        <v>0.30680000000000002</v>
      </c>
      <c r="E279">
        <v>0.33339999999999997</v>
      </c>
      <c r="F279">
        <v>147990550.71000001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1.8832391713735125E-3</v>
      </c>
      <c r="Q279">
        <f t="shared" si="965"/>
        <v>278701.60209021019</v>
      </c>
      <c r="R279">
        <f t="shared" si="966"/>
        <v>634184147.77650809</v>
      </c>
      <c r="S279">
        <f t="shared" si="967"/>
        <v>6341.8414777650805</v>
      </c>
      <c r="T279">
        <f t="shared" si="968"/>
        <v>6.3418414777650804</v>
      </c>
    </row>
    <row r="280" spans="1:20" x14ac:dyDescent="0.25">
      <c r="A280" s="5">
        <v>44313</v>
      </c>
      <c r="B280">
        <v>0.3135</v>
      </c>
      <c r="C280">
        <v>0.35549999999999998</v>
      </c>
      <c r="D280">
        <v>0.3075</v>
      </c>
      <c r="E280">
        <v>0.34699999999999998</v>
      </c>
      <c r="F280">
        <v>153554555.83000001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0.64583333333333293</v>
      </c>
      <c r="Q280">
        <f t="shared" si="965"/>
        <v>99170650.640208274</v>
      </c>
      <c r="R280">
        <f t="shared" si="966"/>
        <v>633905446.17441785</v>
      </c>
      <c r="S280">
        <f t="shared" si="967"/>
        <v>6339.0544617441783</v>
      </c>
      <c r="T280">
        <f t="shared" si="968"/>
        <v>6.339054461744178</v>
      </c>
    </row>
    <row r="281" spans="1:20" x14ac:dyDescent="0.25">
      <c r="A281" s="5">
        <v>44312</v>
      </c>
      <c r="B281">
        <v>0.2702</v>
      </c>
      <c r="C281">
        <v>0.31630000000000003</v>
      </c>
      <c r="D281">
        <v>0.26640000000000003</v>
      </c>
      <c r="E281">
        <v>0.314</v>
      </c>
      <c r="F281">
        <v>143304121.77000001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0.90781563126252407</v>
      </c>
      <c r="Q281">
        <f t="shared" si="965"/>
        <v>130093721.76715417</v>
      </c>
      <c r="R281">
        <f t="shared" si="966"/>
        <v>534734795.53420961</v>
      </c>
      <c r="S281">
        <f t="shared" si="967"/>
        <v>5347.3479553420957</v>
      </c>
      <c r="T281">
        <f t="shared" si="968"/>
        <v>5.3473479553420953</v>
      </c>
    </row>
    <row r="282" spans="1:20" x14ac:dyDescent="0.25">
      <c r="A282" s="5">
        <v>44311</v>
      </c>
      <c r="B282">
        <v>0.26929999999999998</v>
      </c>
      <c r="C282">
        <v>0.29980000000000001</v>
      </c>
      <c r="D282">
        <v>0.25059999999999999</v>
      </c>
      <c r="E282">
        <v>0.27010000000000001</v>
      </c>
      <c r="F282">
        <v>120178614.76000001</v>
      </c>
      <c r="G282">
        <v>0</v>
      </c>
      <c r="L282" t="s">
        <v>8</v>
      </c>
      <c r="M282" t="s">
        <v>8</v>
      </c>
      <c r="N282" t="s">
        <v>7</v>
      </c>
      <c r="P282">
        <f t="shared" si="964"/>
        <v>-0.20731707317073134</v>
      </c>
      <c r="Q282">
        <f t="shared" si="965"/>
        <v>-24915078.669756055</v>
      </c>
      <c r="R282">
        <f t="shared" si="966"/>
        <v>404641073.76705545</v>
      </c>
      <c r="S282">
        <f t="shared" si="967"/>
        <v>4046.4107376705547</v>
      </c>
      <c r="T282">
        <f t="shared" si="968"/>
        <v>4.0464107376705547</v>
      </c>
    </row>
    <row r="283" spans="1:20" x14ac:dyDescent="0.25">
      <c r="A283" s="5">
        <v>44310</v>
      </c>
      <c r="B283">
        <v>0.28820000000000001</v>
      </c>
      <c r="C283">
        <v>0.29289999999999999</v>
      </c>
      <c r="D283">
        <v>0.2626</v>
      </c>
      <c r="E283">
        <v>0.26929999999999998</v>
      </c>
      <c r="F283">
        <v>131429491.3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-0.55775577557755873</v>
      </c>
      <c r="Q283">
        <f t="shared" si="965"/>
        <v>-73305557.853795514</v>
      </c>
      <c r="R283">
        <f t="shared" si="966"/>
        <v>429556152.43681151</v>
      </c>
      <c r="S283">
        <f t="shared" si="967"/>
        <v>4295.561524368115</v>
      </c>
      <c r="T283">
        <f t="shared" si="968"/>
        <v>4.2955615243681153</v>
      </c>
    </row>
    <row r="284" spans="1:20" x14ac:dyDescent="0.25">
      <c r="A284" s="5">
        <v>44309</v>
      </c>
      <c r="B284">
        <v>0.29830000000000001</v>
      </c>
      <c r="C284">
        <v>0.30349999999999999</v>
      </c>
      <c r="D284">
        <v>0.22470000000000001</v>
      </c>
      <c r="E284">
        <v>0.2888</v>
      </c>
      <c r="F284">
        <v>391088321.63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0.62690355329949254</v>
      </c>
      <c r="Q284">
        <f t="shared" si="965"/>
        <v>245174658.48378178</v>
      </c>
      <c r="R284">
        <f t="shared" si="966"/>
        <v>502861710.29060704</v>
      </c>
      <c r="S284">
        <f t="shared" si="967"/>
        <v>5028.6171029060706</v>
      </c>
      <c r="T284">
        <f t="shared" si="968"/>
        <v>5.0286171029060709</v>
      </c>
    </row>
    <row r="285" spans="1:20" x14ac:dyDescent="0.25">
      <c r="A285" s="5">
        <v>44308</v>
      </c>
      <c r="B285">
        <v>0.35670000000000002</v>
      </c>
      <c r="C285">
        <v>0.36430000000000001</v>
      </c>
      <c r="D285">
        <v>0.29749999999999999</v>
      </c>
      <c r="E285">
        <v>0.2984</v>
      </c>
      <c r="F285">
        <v>182188565.86000001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-0.97305389221556848</v>
      </c>
      <c r="Q285">
        <f t="shared" si="965"/>
        <v>-177279293.12724546</v>
      </c>
      <c r="R285">
        <f t="shared" si="966"/>
        <v>257687051.80682525</v>
      </c>
      <c r="S285">
        <f t="shared" si="967"/>
        <v>2576.8705180682523</v>
      </c>
      <c r="T285">
        <f t="shared" si="968"/>
        <v>2.5768705180682523</v>
      </c>
    </row>
    <row r="286" spans="1:20" x14ac:dyDescent="0.25">
      <c r="A286" s="5">
        <v>44307</v>
      </c>
      <c r="B286">
        <v>0.37140000000000001</v>
      </c>
      <c r="C286">
        <v>0.38290000000000002</v>
      </c>
      <c r="D286">
        <v>0.35310000000000002</v>
      </c>
      <c r="E286">
        <v>0.35680000000000001</v>
      </c>
      <c r="F286">
        <v>116025489.63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-0.75167785234899454</v>
      </c>
      <c r="Q286">
        <f t="shared" si="965"/>
        <v>-87213790.862818927</v>
      </c>
      <c r="R286">
        <f t="shared" si="966"/>
        <v>434966344.93407071</v>
      </c>
      <c r="S286">
        <f t="shared" si="967"/>
        <v>4349.6634493407073</v>
      </c>
      <c r="T286">
        <f t="shared" si="968"/>
        <v>4.3496634493407074</v>
      </c>
    </row>
    <row r="287" spans="1:20" x14ac:dyDescent="0.25">
      <c r="A287" s="5">
        <v>44306</v>
      </c>
      <c r="B287">
        <v>0.3765</v>
      </c>
      <c r="C287">
        <v>0.38500000000000001</v>
      </c>
      <c r="D287">
        <v>0.33879999999999999</v>
      </c>
      <c r="E287">
        <v>0.37140000000000001</v>
      </c>
      <c r="F287">
        <v>143668101.43000001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0.41125541125541143</v>
      </c>
      <c r="Q287">
        <f t="shared" si="965"/>
        <v>59084284.137878813</v>
      </c>
      <c r="R287">
        <f t="shared" si="966"/>
        <v>522180135.7968896</v>
      </c>
      <c r="S287">
        <f t="shared" si="967"/>
        <v>5221.8013579688959</v>
      </c>
      <c r="T287">
        <f t="shared" si="968"/>
        <v>5.2218013579688956</v>
      </c>
    </row>
    <row r="288" spans="1:20" x14ac:dyDescent="0.25">
      <c r="A288" s="5">
        <v>44305</v>
      </c>
      <c r="B288">
        <v>0.40360000000000001</v>
      </c>
      <c r="C288">
        <v>0.4158</v>
      </c>
      <c r="D288">
        <v>0.36699999999999999</v>
      </c>
      <c r="E288">
        <v>0.37619999999999998</v>
      </c>
      <c r="F288">
        <v>179995417.44999999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-0.62295081967213184</v>
      </c>
      <c r="Q288">
        <f t="shared" si="965"/>
        <v>-112128292.83770503</v>
      </c>
      <c r="R288">
        <f t="shared" si="966"/>
        <v>463095851.65901077</v>
      </c>
      <c r="S288">
        <f t="shared" si="967"/>
        <v>4630.958516590108</v>
      </c>
      <c r="T288">
        <f t="shared" si="968"/>
        <v>4.6309585165901082</v>
      </c>
    </row>
    <row r="289" spans="1:20" x14ac:dyDescent="0.25">
      <c r="A289" s="5">
        <v>44304</v>
      </c>
      <c r="B289">
        <v>0.4703</v>
      </c>
      <c r="C289">
        <v>0.47399999999999998</v>
      </c>
      <c r="D289">
        <v>0.34499999999999997</v>
      </c>
      <c r="E289">
        <v>0.40360000000000001</v>
      </c>
      <c r="F289">
        <v>357326441.57999998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-9.1472868217053652E-2</v>
      </c>
      <c r="Q289">
        <f t="shared" si="965"/>
        <v>-32685674.50111606</v>
      </c>
      <c r="R289">
        <f t="shared" si="966"/>
        <v>575224144.49671578</v>
      </c>
      <c r="S289">
        <f t="shared" si="967"/>
        <v>5752.2414449671578</v>
      </c>
      <c r="T289">
        <f t="shared" si="968"/>
        <v>5.7522414449671579</v>
      </c>
    </row>
    <row r="290" spans="1:20" x14ac:dyDescent="0.25">
      <c r="A290" s="5">
        <v>44303</v>
      </c>
      <c r="B290">
        <v>0.45650000000000002</v>
      </c>
      <c r="C290">
        <v>0.52680000000000005</v>
      </c>
      <c r="D290">
        <v>0.43519999999999998</v>
      </c>
      <c r="E290">
        <v>0.47010000000000002</v>
      </c>
      <c r="F290">
        <v>502251398.37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-0.23799126637554552</v>
      </c>
      <c r="Q290">
        <f t="shared" si="965"/>
        <v>-119531446.33696491</v>
      </c>
      <c r="R290">
        <f t="shared" si="966"/>
        <v>607909818.99783182</v>
      </c>
      <c r="S290">
        <f t="shared" si="967"/>
        <v>6079.0981899783183</v>
      </c>
      <c r="T290">
        <f t="shared" si="968"/>
        <v>6.0790981899783185</v>
      </c>
    </row>
    <row r="291" spans="1:20" x14ac:dyDescent="0.25">
      <c r="A291" s="5">
        <v>44302</v>
      </c>
      <c r="B291">
        <v>0.43759999999999999</v>
      </c>
      <c r="C291">
        <v>0.46</v>
      </c>
      <c r="D291">
        <v>0.39889999999999998</v>
      </c>
      <c r="E291">
        <v>0.45679999999999998</v>
      </c>
      <c r="F291">
        <v>246307320.87</v>
      </c>
      <c r="G291">
        <v>0</v>
      </c>
      <c r="L291" t="s">
        <v>8</v>
      </c>
      <c r="M291" t="s">
        <v>8</v>
      </c>
      <c r="N291" t="s">
        <v>7</v>
      </c>
      <c r="P291">
        <f t="shared" si="964"/>
        <v>0.89525368248772397</v>
      </c>
      <c r="Q291">
        <f t="shared" si="965"/>
        <v>220507536.03255293</v>
      </c>
      <c r="R291">
        <f t="shared" si="966"/>
        <v>727441265.33479667</v>
      </c>
      <c r="S291">
        <f t="shared" si="967"/>
        <v>7274.4126533479666</v>
      </c>
      <c r="T291">
        <f t="shared" si="968"/>
        <v>7.2744126533479667</v>
      </c>
    </row>
    <row r="292" spans="1:20" x14ac:dyDescent="0.25">
      <c r="A292" s="5">
        <v>44301</v>
      </c>
      <c r="B292">
        <v>0.41760000000000003</v>
      </c>
      <c r="C292">
        <v>0.44590000000000002</v>
      </c>
      <c r="D292">
        <v>0.41</v>
      </c>
      <c r="E292">
        <v>0.4375</v>
      </c>
      <c r="F292">
        <v>131763848.73</v>
      </c>
      <c r="G292">
        <v>0</v>
      </c>
      <c r="L292" t="s">
        <v>8</v>
      </c>
      <c r="M292" t="s">
        <v>8</v>
      </c>
      <c r="N292" t="s">
        <v>7</v>
      </c>
      <c r="P292">
        <f t="shared" si="964"/>
        <v>0.53203342618384353</v>
      </c>
      <c r="Q292">
        <f t="shared" si="965"/>
        <v>70102771.886991575</v>
      </c>
      <c r="R292">
        <f t="shared" si="966"/>
        <v>506933729.30224371</v>
      </c>
      <c r="S292">
        <f t="shared" si="967"/>
        <v>5069.3372930224368</v>
      </c>
      <c r="T292">
        <f t="shared" si="968"/>
        <v>5.0693372930224365</v>
      </c>
    </row>
    <row r="293" spans="1:20" x14ac:dyDescent="0.25">
      <c r="A293" s="5">
        <v>44300</v>
      </c>
      <c r="B293">
        <v>0.4244</v>
      </c>
      <c r="C293">
        <v>0.4385</v>
      </c>
      <c r="D293">
        <v>0.39</v>
      </c>
      <c r="E293">
        <v>0.41760000000000003</v>
      </c>
      <c r="F293">
        <v>189597448.66999999</v>
      </c>
      <c r="G293">
        <v>0</v>
      </c>
      <c r="L293" t="s">
        <v>7</v>
      </c>
      <c r="M293" t="s">
        <v>8</v>
      </c>
      <c r="N293" t="s">
        <v>7</v>
      </c>
      <c r="P293">
        <f t="shared" si="964"/>
        <v>0.13814432989690806</v>
      </c>
      <c r="Q293">
        <f t="shared" si="965"/>
        <v>26191812.496680569</v>
      </c>
      <c r="R293">
        <f t="shared" si="966"/>
        <v>436830957.41525215</v>
      </c>
      <c r="S293">
        <f t="shared" si="967"/>
        <v>4368.3095741525212</v>
      </c>
      <c r="T293">
        <f t="shared" si="968"/>
        <v>4.3683095741525211</v>
      </c>
    </row>
    <row r="294" spans="1:20" x14ac:dyDescent="0.25">
      <c r="A294" s="5">
        <v>44299</v>
      </c>
      <c r="B294">
        <v>0.42120000000000002</v>
      </c>
      <c r="C294">
        <v>0.42780000000000001</v>
      </c>
      <c r="D294">
        <v>0.40410000000000001</v>
      </c>
      <c r="E294">
        <v>0.42430000000000001</v>
      </c>
      <c r="F294">
        <v>118293263.98999999</v>
      </c>
      <c r="G294">
        <v>0</v>
      </c>
      <c r="L294" t="s">
        <v>7</v>
      </c>
      <c r="M294" t="s">
        <v>8</v>
      </c>
      <c r="N294" t="s">
        <v>7</v>
      </c>
      <c r="P294">
        <f t="shared" si="964"/>
        <v>0.70464135021097019</v>
      </c>
      <c r="Q294">
        <f t="shared" si="965"/>
        <v>83354325.258776337</v>
      </c>
      <c r="R294">
        <f t="shared" si="966"/>
        <v>410639144.91857159</v>
      </c>
      <c r="S294">
        <f t="shared" si="967"/>
        <v>4106.3914491857158</v>
      </c>
      <c r="T294">
        <f t="shared" si="968"/>
        <v>4.1063914491857156</v>
      </c>
    </row>
    <row r="295" spans="1:20" x14ac:dyDescent="0.25">
      <c r="A295" s="5">
        <v>44298</v>
      </c>
      <c r="B295">
        <v>0.44209999999999999</v>
      </c>
      <c r="C295">
        <v>0.44319999999999998</v>
      </c>
      <c r="D295">
        <v>0.41089999999999999</v>
      </c>
      <c r="E295">
        <v>0.42130000000000001</v>
      </c>
      <c r="F295">
        <v>117480576</v>
      </c>
      <c r="G295">
        <v>0</v>
      </c>
      <c r="L295" t="s">
        <v>7</v>
      </c>
      <c r="M295" t="s">
        <v>8</v>
      </c>
      <c r="N295" t="s">
        <v>7</v>
      </c>
      <c r="P295">
        <f t="shared" si="964"/>
        <v>-0.35603715170278505</v>
      </c>
      <c r="Q295">
        <f t="shared" si="965"/>
        <v>-41827449.659442566</v>
      </c>
      <c r="R295">
        <f t="shared" si="966"/>
        <v>327284819.65979528</v>
      </c>
      <c r="S295">
        <f t="shared" si="967"/>
        <v>3272.8481965979527</v>
      </c>
      <c r="T295">
        <f t="shared" si="968"/>
        <v>3.2728481965979528</v>
      </c>
    </row>
    <row r="296" spans="1:20" x14ac:dyDescent="0.25">
      <c r="A296" s="5">
        <v>44297</v>
      </c>
      <c r="B296">
        <v>0.41560000000000002</v>
      </c>
      <c r="C296">
        <v>0.45610000000000001</v>
      </c>
      <c r="D296">
        <v>0.41560000000000002</v>
      </c>
      <c r="E296">
        <v>0.44169999999999998</v>
      </c>
      <c r="F296">
        <v>221901149.84</v>
      </c>
      <c r="G296">
        <v>0</v>
      </c>
      <c r="L296" t="s">
        <v>8</v>
      </c>
      <c r="M296" t="s">
        <v>8</v>
      </c>
      <c r="N296" t="s">
        <v>7</v>
      </c>
      <c r="P296">
        <f t="shared" si="964"/>
        <v>0.28888888888888736</v>
      </c>
      <c r="Q296">
        <f t="shared" si="965"/>
        <v>64104776.620444104</v>
      </c>
      <c r="R296">
        <f t="shared" si="966"/>
        <v>369112269.31923783</v>
      </c>
      <c r="S296">
        <f t="shared" si="967"/>
        <v>3691.1226931923784</v>
      </c>
      <c r="T296">
        <f t="shared" si="968"/>
        <v>3.6911226931923782</v>
      </c>
    </row>
    <row r="297" spans="1:20" x14ac:dyDescent="0.25">
      <c r="A297" s="5">
        <v>44296</v>
      </c>
      <c r="B297">
        <v>0.40529999999999999</v>
      </c>
      <c r="C297">
        <v>0.42749999999999999</v>
      </c>
      <c r="D297">
        <v>0.39950000000000002</v>
      </c>
      <c r="E297">
        <v>0.41560000000000002</v>
      </c>
      <c r="F297">
        <v>151963820.59999999</v>
      </c>
      <c r="G297">
        <v>0</v>
      </c>
      <c r="L297" t="s">
        <v>7</v>
      </c>
      <c r="M297" t="s">
        <v>8</v>
      </c>
      <c r="N297" t="s">
        <v>7</v>
      </c>
      <c r="P297">
        <f t="shared" si="964"/>
        <v>0.15000000000000149</v>
      </c>
      <c r="Q297">
        <f t="shared" si="965"/>
        <v>22794573.090000227</v>
      </c>
      <c r="R297">
        <f t="shared" si="966"/>
        <v>305007492.69879371</v>
      </c>
      <c r="S297">
        <f t="shared" si="967"/>
        <v>3050.074926987937</v>
      </c>
      <c r="T297">
        <f t="shared" si="968"/>
        <v>3.050074926987937</v>
      </c>
    </row>
    <row r="298" spans="1:20" x14ac:dyDescent="0.25">
      <c r="A298" s="5">
        <v>44295</v>
      </c>
      <c r="B298">
        <v>0.4143</v>
      </c>
      <c r="C298">
        <v>0.42699999999999999</v>
      </c>
      <c r="D298">
        <v>0.3962</v>
      </c>
      <c r="E298">
        <v>0.40539999999999998</v>
      </c>
      <c r="F298">
        <v>110806330.98999999</v>
      </c>
      <c r="G298">
        <v>0</v>
      </c>
      <c r="L298" t="s">
        <v>8</v>
      </c>
      <c r="M298" t="s">
        <v>8</v>
      </c>
      <c r="N298" t="s">
        <v>7</v>
      </c>
      <c r="P298">
        <f t="shared" si="964"/>
        <v>-0.4025974025974034</v>
      </c>
      <c r="Q298">
        <f t="shared" si="965"/>
        <v>-44610341.047922164</v>
      </c>
      <c r="R298">
        <f t="shared" si="966"/>
        <v>282212919.6087935</v>
      </c>
      <c r="S298">
        <f t="shared" si="967"/>
        <v>2822.1291960879348</v>
      </c>
      <c r="T298">
        <f t="shared" si="968"/>
        <v>2.8221291960879347</v>
      </c>
    </row>
    <row r="299" spans="1:20" x14ac:dyDescent="0.25">
      <c r="A299" s="5">
        <v>44294</v>
      </c>
      <c r="B299">
        <v>0.38150000000000001</v>
      </c>
      <c r="C299">
        <v>0.41980000000000001</v>
      </c>
      <c r="D299">
        <v>0.37680000000000002</v>
      </c>
      <c r="E299">
        <v>0.4143</v>
      </c>
      <c r="F299">
        <v>175626901.68000001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0.74418604651162756</v>
      </c>
      <c r="Q299">
        <f t="shared" si="965"/>
        <v>130699089.62232552</v>
      </c>
      <c r="R299">
        <f t="shared" si="966"/>
        <v>326823260.65671569</v>
      </c>
      <c r="S299">
        <f t="shared" si="967"/>
        <v>3268.2326065671568</v>
      </c>
      <c r="T299">
        <f t="shared" si="968"/>
        <v>3.2682326065671568</v>
      </c>
    </row>
    <row r="300" spans="1:20" x14ac:dyDescent="0.25">
      <c r="A300" s="5">
        <v>44293</v>
      </c>
      <c r="B300">
        <v>0.4829</v>
      </c>
      <c r="C300">
        <v>0.48599999999999999</v>
      </c>
      <c r="D300">
        <v>0.34520000000000001</v>
      </c>
      <c r="E300">
        <v>0.38119999999999998</v>
      </c>
      <c r="F300">
        <v>451773829.74000001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-0.48863636363636392</v>
      </c>
      <c r="Q300">
        <f t="shared" si="965"/>
        <v>-220753121.35022742</v>
      </c>
      <c r="R300">
        <f t="shared" si="966"/>
        <v>196124171.03439015</v>
      </c>
      <c r="S300">
        <f t="shared" si="967"/>
        <v>1961.2417103439016</v>
      </c>
      <c r="T300">
        <f t="shared" si="968"/>
        <v>1.9612417103439015</v>
      </c>
    </row>
    <row r="301" spans="1:20" x14ac:dyDescent="0.25">
      <c r="A301" s="5">
        <v>44292</v>
      </c>
      <c r="B301">
        <v>0.42170000000000002</v>
      </c>
      <c r="C301">
        <v>0.4864</v>
      </c>
      <c r="D301">
        <v>0.39240000000000003</v>
      </c>
      <c r="E301">
        <v>0.48430000000000001</v>
      </c>
      <c r="F301">
        <v>474837772.22000003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0.95531914893617043</v>
      </c>
      <c r="Q301">
        <f t="shared" si="965"/>
        <v>453621616.43995756</v>
      </c>
      <c r="R301">
        <f t="shared" si="966"/>
        <v>416877292.38461757</v>
      </c>
      <c r="S301">
        <f t="shared" si="967"/>
        <v>4168.7729238461752</v>
      </c>
      <c r="T301">
        <f t="shared" si="968"/>
        <v>4.1687729238461753</v>
      </c>
    </row>
    <row r="302" spans="1:20" x14ac:dyDescent="0.25">
      <c r="A302" s="5">
        <v>44291</v>
      </c>
      <c r="B302">
        <v>0.38779999999999998</v>
      </c>
      <c r="C302">
        <v>0.43</v>
      </c>
      <c r="D302">
        <v>0.36509999999999998</v>
      </c>
      <c r="E302">
        <v>0.4219</v>
      </c>
      <c r="F302">
        <v>249149518.16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0.75038520801232678</v>
      </c>
      <c r="Q302">
        <f t="shared" si="965"/>
        <v>186958113.01066259</v>
      </c>
      <c r="R302">
        <f t="shared" si="966"/>
        <v>-36744324.055340022</v>
      </c>
      <c r="S302">
        <f t="shared" si="967"/>
        <v>-367.44324055340024</v>
      </c>
      <c r="T302">
        <f t="shared" si="968"/>
        <v>-0.36744324055340022</v>
      </c>
    </row>
    <row r="303" spans="1:20" x14ac:dyDescent="0.25">
      <c r="A303" s="5">
        <v>44290</v>
      </c>
      <c r="B303">
        <v>0.36209999999999998</v>
      </c>
      <c r="C303">
        <v>0.39190000000000003</v>
      </c>
      <c r="D303">
        <v>0.35709999999999997</v>
      </c>
      <c r="E303">
        <v>0.38750000000000001</v>
      </c>
      <c r="F303">
        <v>111992439.06999999</v>
      </c>
      <c r="G303">
        <v>0</v>
      </c>
      <c r="L303" t="s">
        <v>7</v>
      </c>
      <c r="M303" t="s">
        <v>8</v>
      </c>
      <c r="N303" t="s">
        <v>7</v>
      </c>
      <c r="P303">
        <f t="shared" si="964"/>
        <v>0.74712643678160873</v>
      </c>
      <c r="Q303">
        <f t="shared" si="965"/>
        <v>83672511.948850513</v>
      </c>
      <c r="R303">
        <f t="shared" si="966"/>
        <v>-223702437.06600261</v>
      </c>
      <c r="S303">
        <f t="shared" si="967"/>
        <v>-2237.0243706600259</v>
      </c>
      <c r="T303">
        <f t="shared" si="968"/>
        <v>-2.2370243706600257</v>
      </c>
    </row>
    <row r="304" spans="1:20" x14ac:dyDescent="0.25">
      <c r="A304" s="5">
        <v>44289</v>
      </c>
      <c r="B304">
        <v>0.3599</v>
      </c>
      <c r="C304">
        <v>0.40699999999999997</v>
      </c>
      <c r="D304">
        <v>0.35699999999999998</v>
      </c>
      <c r="E304">
        <v>0.36209999999999998</v>
      </c>
      <c r="F304">
        <v>252602322.06999999</v>
      </c>
      <c r="G304">
        <v>0</v>
      </c>
      <c r="L304" t="s">
        <v>8</v>
      </c>
      <c r="M304" t="s">
        <v>8</v>
      </c>
      <c r="N304" t="s">
        <v>7</v>
      </c>
      <c r="P304">
        <f t="shared" si="964"/>
        <v>-0.79600000000000026</v>
      </c>
      <c r="Q304">
        <f t="shared" si="965"/>
        <v>-201071448.36772007</v>
      </c>
      <c r="R304">
        <f t="shared" si="966"/>
        <v>-307374949.01485312</v>
      </c>
      <c r="S304">
        <f t="shared" si="967"/>
        <v>-3073.7494901485311</v>
      </c>
      <c r="T304">
        <f t="shared" si="968"/>
        <v>-3.0737494901485309</v>
      </c>
    </row>
    <row r="305" spans="1:20" x14ac:dyDescent="0.25">
      <c r="A305" s="5">
        <v>44288</v>
      </c>
      <c r="B305">
        <v>0.3609</v>
      </c>
      <c r="C305">
        <v>0.371</v>
      </c>
      <c r="D305">
        <v>0.35349999999999998</v>
      </c>
      <c r="E305">
        <v>0.3599</v>
      </c>
      <c r="F305">
        <v>97636374.129999995</v>
      </c>
      <c r="G305">
        <v>0</v>
      </c>
      <c r="L305" t="s">
        <v>8</v>
      </c>
      <c r="M305" t="s">
        <v>8</v>
      </c>
      <c r="N305" t="s">
        <v>7</v>
      </c>
      <c r="P305">
        <f t="shared" si="964"/>
        <v>-0.2685714285714273</v>
      </c>
      <c r="Q305">
        <f t="shared" si="965"/>
        <v>-26222340.480628446</v>
      </c>
      <c r="R305">
        <f t="shared" si="966"/>
        <v>-106303500.64713308</v>
      </c>
      <c r="S305">
        <f t="shared" si="967"/>
        <v>-1063.0350064713309</v>
      </c>
      <c r="T305">
        <f t="shared" si="968"/>
        <v>-1.063035006471331</v>
      </c>
    </row>
    <row r="306" spans="1:20" x14ac:dyDescent="0.25">
      <c r="A306" s="5">
        <v>44287</v>
      </c>
      <c r="B306">
        <v>0.36840000000000001</v>
      </c>
      <c r="C306">
        <v>0.375</v>
      </c>
      <c r="D306">
        <v>0.35399999999999998</v>
      </c>
      <c r="E306">
        <v>0.3609</v>
      </c>
      <c r="F306">
        <v>92240805.439999998</v>
      </c>
      <c r="G306">
        <v>0</v>
      </c>
      <c r="L306" t="s">
        <v>8</v>
      </c>
      <c r="M306" t="s">
        <v>8</v>
      </c>
      <c r="N306" t="s">
        <v>7</v>
      </c>
      <c r="P306">
        <f t="shared" si="964"/>
        <v>-0.34285714285714181</v>
      </c>
      <c r="Q306">
        <f t="shared" si="965"/>
        <v>-31625419.007999901</v>
      </c>
      <c r="R306">
        <f t="shared" si="966"/>
        <v>-80081160.166504636</v>
      </c>
      <c r="S306">
        <f t="shared" si="967"/>
        <v>-800.8116016650464</v>
      </c>
      <c r="T306">
        <f t="shared" si="968"/>
        <v>-0.80081160166504639</v>
      </c>
    </row>
    <row r="307" spans="1:20" x14ac:dyDescent="0.25">
      <c r="A307" s="5">
        <v>44286</v>
      </c>
      <c r="B307">
        <v>0.38200000000000001</v>
      </c>
      <c r="C307">
        <v>0.38400000000000001</v>
      </c>
      <c r="D307">
        <v>0.34339999999999998</v>
      </c>
      <c r="E307">
        <v>0.36880000000000002</v>
      </c>
      <c r="F307">
        <v>105103871.75</v>
      </c>
      <c r="G307">
        <v>0</v>
      </c>
      <c r="L307" t="s">
        <v>7</v>
      </c>
      <c r="M307" t="s">
        <v>8</v>
      </c>
      <c r="N307" t="s">
        <v>7</v>
      </c>
      <c r="P307">
        <f t="shared" si="964"/>
        <v>0.25123152709359697</v>
      </c>
      <c r="Q307">
        <f t="shared" si="965"/>
        <v>26405406.203202065</v>
      </c>
      <c r="R307">
        <f t="shared" si="966"/>
        <v>-48455741.158504739</v>
      </c>
      <c r="S307">
        <f t="shared" si="967"/>
        <v>-484.55741158504742</v>
      </c>
      <c r="T307">
        <f t="shared" si="968"/>
        <v>-0.48455741158504739</v>
      </c>
    </row>
    <row r="308" spans="1:20" x14ac:dyDescent="0.25">
      <c r="A308" s="5">
        <v>44285</v>
      </c>
      <c r="B308">
        <v>0.374</v>
      </c>
      <c r="C308">
        <v>0.39550000000000002</v>
      </c>
      <c r="D308">
        <v>0.37330000000000002</v>
      </c>
      <c r="E308">
        <v>0.38250000000000001</v>
      </c>
      <c r="F308">
        <v>135778399.80000001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-0.17117117117117234</v>
      </c>
      <c r="Q308">
        <f t="shared" si="965"/>
        <v>-23241347.713513672</v>
      </c>
      <c r="R308">
        <f t="shared" si="966"/>
        <v>-74861147.361706808</v>
      </c>
      <c r="S308">
        <f t="shared" si="967"/>
        <v>-748.6114736170681</v>
      </c>
      <c r="T308">
        <f t="shared" si="968"/>
        <v>-0.74861147361706815</v>
      </c>
    </row>
    <row r="309" spans="1:20" x14ac:dyDescent="0.25">
      <c r="A309" s="5">
        <v>44284</v>
      </c>
      <c r="B309">
        <v>0.3584</v>
      </c>
      <c r="C309">
        <v>0.37890000000000001</v>
      </c>
      <c r="D309">
        <v>0.35020000000000001</v>
      </c>
      <c r="E309">
        <v>0.374</v>
      </c>
      <c r="F309">
        <v>112501502.52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0.65853658536585258</v>
      </c>
      <c r="Q309">
        <f t="shared" si="965"/>
        <v>74086355.318048656</v>
      </c>
      <c r="R309">
        <f t="shared" si="966"/>
        <v>-51619799.648193136</v>
      </c>
      <c r="S309">
        <f t="shared" si="967"/>
        <v>-516.19799648193134</v>
      </c>
      <c r="T309">
        <f t="shared" si="968"/>
        <v>-0.51619799648193132</v>
      </c>
    </row>
    <row r="310" spans="1:20" x14ac:dyDescent="0.25">
      <c r="A310" s="5">
        <v>44283</v>
      </c>
      <c r="B310">
        <v>0.34539999999999998</v>
      </c>
      <c r="C310">
        <v>0.36599999999999999</v>
      </c>
      <c r="D310">
        <v>0.33960000000000001</v>
      </c>
      <c r="E310">
        <v>0.35820000000000002</v>
      </c>
      <c r="F310">
        <v>111506776.7</v>
      </c>
      <c r="G310">
        <v>0</v>
      </c>
      <c r="L310" t="s">
        <v>8</v>
      </c>
      <c r="M310" t="s">
        <v>7</v>
      </c>
      <c r="N310" t="s">
        <v>7</v>
      </c>
      <c r="P310">
        <f t="shared" si="964"/>
        <v>0.40909090909091061</v>
      </c>
      <c r="Q310">
        <f t="shared" si="965"/>
        <v>45616408.65000017</v>
      </c>
      <c r="R310">
        <f t="shared" si="966"/>
        <v>-125706154.96624179</v>
      </c>
      <c r="S310">
        <f t="shared" si="967"/>
        <v>-1257.061549662418</v>
      </c>
      <c r="T310">
        <f t="shared" si="968"/>
        <v>-1.257061549662418</v>
      </c>
    </row>
    <row r="311" spans="1:20" x14ac:dyDescent="0.25">
      <c r="A311" s="5">
        <v>44282</v>
      </c>
      <c r="B311">
        <v>0.34260000000000002</v>
      </c>
      <c r="C311">
        <v>0.35099999999999998</v>
      </c>
      <c r="D311">
        <v>0.33150000000000002</v>
      </c>
      <c r="E311">
        <v>0.34539999999999998</v>
      </c>
      <c r="F311">
        <v>83657743.060000002</v>
      </c>
      <c r="G311">
        <v>0</v>
      </c>
      <c r="L311" t="s">
        <v>8</v>
      </c>
      <c r="M311" t="s">
        <v>7</v>
      </c>
      <c r="N311" t="s">
        <v>7</v>
      </c>
      <c r="P311">
        <f t="shared" si="964"/>
        <v>0.42564102564102513</v>
      </c>
      <c r="Q311">
        <f t="shared" si="965"/>
        <v>35608167.558871754</v>
      </c>
      <c r="R311">
        <f t="shared" si="966"/>
        <v>-171322563.61624196</v>
      </c>
      <c r="S311">
        <f t="shared" si="967"/>
        <v>-1713.2256361624195</v>
      </c>
      <c r="T311">
        <f t="shared" si="968"/>
        <v>-1.7132256361624194</v>
      </c>
    </row>
    <row r="312" spans="1:20" x14ac:dyDescent="0.25">
      <c r="A312" s="5">
        <v>44281</v>
      </c>
      <c r="B312">
        <v>0.31900000000000001</v>
      </c>
      <c r="C312">
        <v>0.34789999999999999</v>
      </c>
      <c r="D312">
        <v>0.31869999999999998</v>
      </c>
      <c r="E312">
        <v>0.3427</v>
      </c>
      <c r="F312">
        <v>100935607.02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0.64383561643835741</v>
      </c>
      <c r="Q312">
        <f t="shared" si="965"/>
        <v>64985938.76630149</v>
      </c>
      <c r="R312">
        <f t="shared" si="966"/>
        <v>-206930731.17511371</v>
      </c>
      <c r="S312">
        <f t="shared" si="967"/>
        <v>-2069.3073117511371</v>
      </c>
      <c r="T312">
        <f t="shared" si="968"/>
        <v>-2.0693073117511371</v>
      </c>
    </row>
    <row r="313" spans="1:20" x14ac:dyDescent="0.25">
      <c r="A313" s="5">
        <v>44280</v>
      </c>
      <c r="B313">
        <v>0.33</v>
      </c>
      <c r="C313">
        <v>0.33700000000000002</v>
      </c>
      <c r="D313">
        <v>0.31069999999999998</v>
      </c>
      <c r="E313">
        <v>0.31940000000000002</v>
      </c>
      <c r="F313">
        <v>114291631.15000001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-0.33840304182509306</v>
      </c>
      <c r="Q313">
        <f t="shared" si="965"/>
        <v>-38676635.636311561</v>
      </c>
      <c r="R313">
        <f t="shared" si="966"/>
        <v>-271916669.94141519</v>
      </c>
      <c r="S313">
        <f t="shared" si="967"/>
        <v>-2719.1666994141519</v>
      </c>
      <c r="T313">
        <f t="shared" si="968"/>
        <v>-2.7191666994141519</v>
      </c>
    </row>
    <row r="314" spans="1:20" x14ac:dyDescent="0.25">
      <c r="A314" s="5">
        <v>44279</v>
      </c>
      <c r="B314">
        <v>0.35570000000000002</v>
      </c>
      <c r="C314">
        <v>0.36849999999999999</v>
      </c>
      <c r="D314">
        <v>0.31130000000000002</v>
      </c>
      <c r="E314">
        <v>0.3301</v>
      </c>
      <c r="F314">
        <v>137887614.08000001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-0.34265734265734293</v>
      </c>
      <c r="Q314">
        <f t="shared" si="965"/>
        <v>-47248203.426014028</v>
      </c>
      <c r="R314">
        <f t="shared" si="966"/>
        <v>-233240034.3051036</v>
      </c>
      <c r="S314">
        <f t="shared" si="967"/>
        <v>-2332.4003430510361</v>
      </c>
      <c r="T314">
        <f t="shared" si="968"/>
        <v>-2.3324003430510363</v>
      </c>
    </row>
    <row r="315" spans="1:20" x14ac:dyDescent="0.25">
      <c r="A315" s="5">
        <v>44278</v>
      </c>
      <c r="B315">
        <v>0.35570000000000002</v>
      </c>
      <c r="C315">
        <v>0.36720000000000003</v>
      </c>
      <c r="D315">
        <v>0.3453</v>
      </c>
      <c r="E315">
        <v>0.35599999999999998</v>
      </c>
      <c r="F315">
        <v>95812861.629999995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-2.2831050228313027E-2</v>
      </c>
      <c r="Q315">
        <f t="shared" si="965"/>
        <v>-2187508.2563929358</v>
      </c>
      <c r="R315">
        <f t="shared" si="966"/>
        <v>-185991830.87908956</v>
      </c>
      <c r="S315">
        <f t="shared" si="967"/>
        <v>-1859.9183087908957</v>
      </c>
      <c r="T315">
        <f t="shared" si="968"/>
        <v>-1.8599183087908957</v>
      </c>
    </row>
    <row r="316" spans="1:20" x14ac:dyDescent="0.25">
      <c r="A316" s="5">
        <v>44277</v>
      </c>
      <c r="B316">
        <v>0.36699999999999999</v>
      </c>
      <c r="C316">
        <v>0.38769999999999999</v>
      </c>
      <c r="D316">
        <v>0.34899999999999998</v>
      </c>
      <c r="E316">
        <v>0.35539999999999999</v>
      </c>
      <c r="F316">
        <v>160016887.72</v>
      </c>
      <c r="G316">
        <v>0</v>
      </c>
      <c r="L316" t="s">
        <v>8</v>
      </c>
      <c r="M316" t="s">
        <v>7</v>
      </c>
      <c r="N316" t="s">
        <v>7</v>
      </c>
      <c r="P316">
        <f t="shared" si="964"/>
        <v>-0.66925064599483131</v>
      </c>
      <c r="Q316">
        <f t="shared" si="965"/>
        <v>-107091405.47669239</v>
      </c>
      <c r="R316">
        <f t="shared" si="966"/>
        <v>-183804322.62269664</v>
      </c>
      <c r="S316">
        <f t="shared" si="967"/>
        <v>-1838.0432262269665</v>
      </c>
      <c r="T316">
        <f t="shared" si="968"/>
        <v>-1.8380432262269664</v>
      </c>
    </row>
    <row r="317" spans="1:20" x14ac:dyDescent="0.25">
      <c r="A317" s="5">
        <v>44276</v>
      </c>
      <c r="B317">
        <v>0.36280000000000001</v>
      </c>
      <c r="C317">
        <v>0.37240000000000001</v>
      </c>
      <c r="D317">
        <v>0.3422</v>
      </c>
      <c r="E317">
        <v>0.3669</v>
      </c>
      <c r="F317">
        <v>107815458.06999999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0.6357615894039732</v>
      </c>
      <c r="Q317">
        <f t="shared" si="965"/>
        <v>68544926.984900624</v>
      </c>
      <c r="R317">
        <f t="shared" si="966"/>
        <v>-76712917.14600423</v>
      </c>
      <c r="S317">
        <f t="shared" si="967"/>
        <v>-767.12917146004224</v>
      </c>
      <c r="T317">
        <f t="shared" si="968"/>
        <v>-0.76712917146004223</v>
      </c>
    </row>
    <row r="318" spans="1:20" x14ac:dyDescent="0.25">
      <c r="A318" s="5">
        <v>44275</v>
      </c>
      <c r="B318">
        <v>0.378</v>
      </c>
      <c r="C318">
        <v>0.38429999999999997</v>
      </c>
      <c r="D318">
        <v>0.36199999999999999</v>
      </c>
      <c r="E318">
        <v>0.3629</v>
      </c>
      <c r="F318">
        <v>110697907.7</v>
      </c>
      <c r="G318">
        <v>0</v>
      </c>
      <c r="L318" t="s">
        <v>7</v>
      </c>
      <c r="M318" t="s">
        <v>8</v>
      </c>
      <c r="N318" t="s">
        <v>7</v>
      </c>
      <c r="P318">
        <f t="shared" si="964"/>
        <v>-0.91928251121076121</v>
      </c>
      <c r="Q318">
        <f t="shared" si="965"/>
        <v>-101762650.57623306</v>
      </c>
      <c r="R318">
        <f t="shared" si="966"/>
        <v>-145257844.13090485</v>
      </c>
      <c r="S318">
        <f t="shared" si="967"/>
        <v>-1452.5784413090485</v>
      </c>
      <c r="T318">
        <f t="shared" si="968"/>
        <v>-1.4525784413090486</v>
      </c>
    </row>
    <row r="319" spans="1:20" x14ac:dyDescent="0.25">
      <c r="A319" s="5">
        <v>44274</v>
      </c>
      <c r="B319">
        <v>0.37359999999999999</v>
      </c>
      <c r="C319">
        <v>0.39329999999999998</v>
      </c>
      <c r="D319">
        <v>0.36009999999999998</v>
      </c>
      <c r="E319">
        <v>0.378</v>
      </c>
      <c r="F319">
        <v>156385759.97999999</v>
      </c>
      <c r="G319">
        <v>0</v>
      </c>
      <c r="L319" t="s">
        <v>7</v>
      </c>
      <c r="M319" t="s">
        <v>8</v>
      </c>
      <c r="N319" t="s">
        <v>7</v>
      </c>
      <c r="P319">
        <f t="shared" si="964"/>
        <v>7.8313253012049583E-2</v>
      </c>
      <c r="Q319">
        <f t="shared" si="965"/>
        <v>12247077.588795397</v>
      </c>
      <c r="R319">
        <f t="shared" si="966"/>
        <v>-43495193.554671779</v>
      </c>
      <c r="S319">
        <f t="shared" si="967"/>
        <v>-434.95193554671778</v>
      </c>
      <c r="T319">
        <f t="shared" si="968"/>
        <v>-0.43495193554671779</v>
      </c>
    </row>
    <row r="320" spans="1:20" x14ac:dyDescent="0.25">
      <c r="A320" s="5">
        <v>44273</v>
      </c>
      <c r="B320">
        <v>0.39169999999999999</v>
      </c>
      <c r="C320">
        <v>0.39369999999999999</v>
      </c>
      <c r="D320">
        <v>0.37019999999999997</v>
      </c>
      <c r="E320">
        <v>0.37359999999999999</v>
      </c>
      <c r="F320">
        <v>156273581.21000001</v>
      </c>
      <c r="G320">
        <v>0</v>
      </c>
      <c r="L320" t="s">
        <v>8</v>
      </c>
      <c r="M320" t="s">
        <v>8</v>
      </c>
      <c r="N320" t="s">
        <v>7</v>
      </c>
      <c r="P320">
        <f t="shared" si="964"/>
        <v>-0.71063829787233945</v>
      </c>
      <c r="Q320">
        <f t="shared" si="965"/>
        <v>-111053991.75348921</v>
      </c>
      <c r="R320">
        <f t="shared" si="966"/>
        <v>-55742271.143467173</v>
      </c>
      <c r="S320">
        <f t="shared" si="967"/>
        <v>-557.42271143467178</v>
      </c>
      <c r="T320">
        <f t="shared" si="968"/>
        <v>-0.55742271143467181</v>
      </c>
    </row>
    <row r="321" spans="1:20" x14ac:dyDescent="0.25">
      <c r="A321" s="5">
        <v>44272</v>
      </c>
      <c r="B321">
        <v>0.39429999999999998</v>
      </c>
      <c r="C321">
        <v>0.40799999999999997</v>
      </c>
      <c r="D321">
        <v>0.36349999999999999</v>
      </c>
      <c r="E321">
        <v>0.39169999999999999</v>
      </c>
      <c r="F321">
        <v>257413330.40000001</v>
      </c>
      <c r="G321">
        <v>0</v>
      </c>
      <c r="L321" t="s">
        <v>7</v>
      </c>
      <c r="M321" t="s">
        <v>8</v>
      </c>
      <c r="N321" t="s">
        <v>7</v>
      </c>
      <c r="P321">
        <f t="shared" si="964"/>
        <v>0.26741573033707922</v>
      </c>
      <c r="Q321">
        <f t="shared" si="965"/>
        <v>68836373.74741587</v>
      </c>
      <c r="R321">
        <f t="shared" si="966"/>
        <v>55311720.610022038</v>
      </c>
      <c r="S321">
        <f t="shared" si="967"/>
        <v>553.11720610022041</v>
      </c>
      <c r="T321">
        <f t="shared" si="968"/>
        <v>0.55311720610022042</v>
      </c>
    </row>
    <row r="322" spans="1:20" x14ac:dyDescent="0.25">
      <c r="A322" s="5">
        <v>44271</v>
      </c>
      <c r="B322">
        <v>0.37219999999999998</v>
      </c>
      <c r="C322">
        <v>0.41839999999999999</v>
      </c>
      <c r="D322">
        <v>0.35</v>
      </c>
      <c r="E322">
        <v>0.39429999999999998</v>
      </c>
      <c r="F322">
        <v>555371665.95000005</v>
      </c>
      <c r="G322">
        <v>0</v>
      </c>
      <c r="L322" t="s">
        <v>8</v>
      </c>
      <c r="M322" t="s">
        <v>8</v>
      </c>
      <c r="N322" t="s">
        <v>7</v>
      </c>
      <c r="P322">
        <f t="shared" si="964"/>
        <v>0.29532163742690043</v>
      </c>
      <c r="Q322">
        <f t="shared" si="965"/>
        <v>164013269.76885957</v>
      </c>
      <c r="R322">
        <f t="shared" si="966"/>
        <v>-13524653.137393832</v>
      </c>
      <c r="S322">
        <f t="shared" si="967"/>
        <v>-135.24653137393832</v>
      </c>
      <c r="T322">
        <f t="shared" si="968"/>
        <v>-0.13524653137393833</v>
      </c>
    </row>
    <row r="323" spans="1:20" x14ac:dyDescent="0.25">
      <c r="A323" s="5">
        <v>44270</v>
      </c>
      <c r="B323">
        <v>0.33040000000000003</v>
      </c>
      <c r="C323">
        <v>0.38</v>
      </c>
      <c r="D323">
        <v>0.32350000000000001</v>
      </c>
      <c r="E323">
        <v>0.37240000000000001</v>
      </c>
      <c r="F323">
        <v>571617061.76999998</v>
      </c>
      <c r="G323">
        <v>0</v>
      </c>
      <c r="L323" t="s">
        <v>7</v>
      </c>
      <c r="M323" t="s">
        <v>7</v>
      </c>
      <c r="N323" t="s">
        <v>7</v>
      </c>
      <c r="P323">
        <f t="shared" si="964"/>
        <v>0.73097345132743374</v>
      </c>
      <c r="Q323">
        <f t="shared" si="965"/>
        <v>417836896.47966379</v>
      </c>
      <c r="R323">
        <f t="shared" si="966"/>
        <v>-177537922.9062534</v>
      </c>
      <c r="S323">
        <f t="shared" si="967"/>
        <v>-1775.379229062534</v>
      </c>
      <c r="T323">
        <f t="shared" si="968"/>
        <v>-1.7753792290625341</v>
      </c>
    </row>
    <row r="324" spans="1:20" x14ac:dyDescent="0.25">
      <c r="A324" s="5">
        <v>44269</v>
      </c>
      <c r="B324">
        <v>0.36249999999999999</v>
      </c>
      <c r="C324">
        <v>0.36659999999999998</v>
      </c>
      <c r="D324">
        <v>0.33029999999999998</v>
      </c>
      <c r="E324">
        <v>0.33029999999999998</v>
      </c>
      <c r="F324">
        <v>314110825.93000001</v>
      </c>
      <c r="G324">
        <v>0</v>
      </c>
      <c r="L324" t="s">
        <v>7</v>
      </c>
      <c r="M324" t="s">
        <v>8</v>
      </c>
      <c r="N324" t="s">
        <v>7</v>
      </c>
      <c r="P324">
        <f t="shared" si="964"/>
        <v>-1</v>
      </c>
      <c r="Q324">
        <f t="shared" si="965"/>
        <v>-314110825.93000001</v>
      </c>
      <c r="R324">
        <f t="shared" si="966"/>
        <v>-595374819.38591719</v>
      </c>
      <c r="S324">
        <f t="shared" si="967"/>
        <v>-5953.7481938591718</v>
      </c>
      <c r="T324">
        <f t="shared" si="968"/>
        <v>-5.9537481938591714</v>
      </c>
    </row>
    <row r="325" spans="1:20" x14ac:dyDescent="0.25">
      <c r="A325" s="5">
        <v>44268</v>
      </c>
      <c r="B325">
        <v>0.38740000000000002</v>
      </c>
      <c r="C325">
        <v>0.39529999999999998</v>
      </c>
      <c r="D325">
        <v>0.35</v>
      </c>
      <c r="E325">
        <v>0.36249999999999999</v>
      </c>
      <c r="F325">
        <v>546193730.51999998</v>
      </c>
      <c r="G325">
        <v>0</v>
      </c>
      <c r="L325" t="s">
        <v>8</v>
      </c>
      <c r="M325" t="s">
        <v>8</v>
      </c>
      <c r="N325" t="s">
        <v>7</v>
      </c>
      <c r="P325">
        <f t="shared" si="964"/>
        <v>-0.44812362030905034</v>
      </c>
      <c r="Q325">
        <f t="shared" si="965"/>
        <v>-244762311.91072825</v>
      </c>
      <c r="R325">
        <f t="shared" si="966"/>
        <v>-281263993.45591724</v>
      </c>
      <c r="S325">
        <f t="shared" si="967"/>
        <v>-2812.6399345591726</v>
      </c>
      <c r="T325">
        <f t="shared" si="968"/>
        <v>-2.8126399345591726</v>
      </c>
    </row>
    <row r="326" spans="1:20" x14ac:dyDescent="0.25">
      <c r="A326" s="5">
        <v>44267</v>
      </c>
      <c r="B326">
        <v>0.59130000000000005</v>
      </c>
      <c r="C326">
        <v>0.61</v>
      </c>
      <c r="D326">
        <v>0.32250000000000001</v>
      </c>
      <c r="E326">
        <v>0.38750000000000001</v>
      </c>
      <c r="F326">
        <v>1569891012.29</v>
      </c>
      <c r="G326">
        <v>0</v>
      </c>
      <c r="L326" t="s">
        <v>7</v>
      </c>
      <c r="M326" t="s">
        <v>7</v>
      </c>
      <c r="N326" t="s">
        <v>7</v>
      </c>
      <c r="P326">
        <f t="shared" ref="P326:P389" si="969">IF(C326=D326,0,((E326-D326)-(C326-E326))/(C326-D326))</f>
        <v>-0.54782608695652169</v>
      </c>
      <c r="Q326">
        <f t="shared" ref="Q326:Q389" si="970">F326*P326</f>
        <v>-860027250.21104336</v>
      </c>
      <c r="R326">
        <f t="shared" ref="R326:R389" si="971">R327+Q326</f>
        <v>-36501681.545189023</v>
      </c>
      <c r="S326">
        <f t="shared" ref="S326:S389" si="972">R326/100000</f>
        <v>-365.01681545189024</v>
      </c>
      <c r="T326">
        <f t="shared" ref="T326:T389" si="973">S326/1000</f>
        <v>-0.36501681545189024</v>
      </c>
    </row>
    <row r="327" spans="1:20" x14ac:dyDescent="0.25">
      <c r="A327" s="5">
        <v>44266</v>
      </c>
      <c r="B327">
        <v>0.61650000000000005</v>
      </c>
      <c r="C327">
        <v>0.64</v>
      </c>
      <c r="D327">
        <v>0.5625</v>
      </c>
      <c r="E327">
        <v>0.59130000000000005</v>
      </c>
      <c r="F327">
        <v>245561531.59999999</v>
      </c>
      <c r="G327">
        <v>0</v>
      </c>
      <c r="L327" t="s">
        <v>8</v>
      </c>
      <c r="M327" t="s">
        <v>7</v>
      </c>
      <c r="N327" t="s">
        <v>7</v>
      </c>
      <c r="P327">
        <f t="shared" si="969"/>
        <v>-0.25677419354838599</v>
      </c>
      <c r="Q327">
        <f t="shared" si="970"/>
        <v>-63053864.243096501</v>
      </c>
      <c r="R327">
        <f t="shared" si="971"/>
        <v>823525568.66585433</v>
      </c>
      <c r="S327">
        <f t="shared" si="972"/>
        <v>8235.2556866585437</v>
      </c>
      <c r="T327">
        <f t="shared" si="973"/>
        <v>8.2352556866585438</v>
      </c>
    </row>
    <row r="328" spans="1:20" x14ac:dyDescent="0.25">
      <c r="A328" s="5">
        <v>44265</v>
      </c>
      <c r="B328">
        <v>0.7026</v>
      </c>
      <c r="C328">
        <v>0.70330000000000004</v>
      </c>
      <c r="D328">
        <v>0.55279999999999996</v>
      </c>
      <c r="E328">
        <v>0.61639999999999995</v>
      </c>
      <c r="F328">
        <v>446689109.13</v>
      </c>
      <c r="G328">
        <v>0</v>
      </c>
      <c r="L328" t="s">
        <v>7</v>
      </c>
      <c r="M328" t="s">
        <v>7</v>
      </c>
      <c r="N328" t="s">
        <v>7</v>
      </c>
      <c r="P328">
        <f t="shared" si="969"/>
        <v>-0.15481727574750889</v>
      </c>
      <c r="Q328">
        <f t="shared" si="970"/>
        <v>-69155190.981588304</v>
      </c>
      <c r="R328">
        <f t="shared" si="971"/>
        <v>886579432.90895081</v>
      </c>
      <c r="S328">
        <f t="shared" si="972"/>
        <v>8865.7943290895073</v>
      </c>
      <c r="T328">
        <f t="shared" si="973"/>
        <v>8.8657943290895069</v>
      </c>
    </row>
    <row r="329" spans="1:20" x14ac:dyDescent="0.25">
      <c r="A329" s="5">
        <v>44264</v>
      </c>
      <c r="B329">
        <v>0.71870000000000001</v>
      </c>
      <c r="C329">
        <v>0.73</v>
      </c>
      <c r="D329">
        <v>0.69599999999999995</v>
      </c>
      <c r="E329">
        <v>0.70299999999999996</v>
      </c>
      <c r="F329">
        <v>135606325.13999999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-0.58823529411764708</v>
      </c>
      <c r="Q329">
        <f t="shared" si="970"/>
        <v>-79768426.552941173</v>
      </c>
      <c r="R329">
        <f t="shared" si="971"/>
        <v>955734623.89053917</v>
      </c>
      <c r="S329">
        <f t="shared" si="972"/>
        <v>9557.3462389053911</v>
      </c>
      <c r="T329">
        <f t="shared" si="973"/>
        <v>9.5573462389053905</v>
      </c>
    </row>
    <row r="330" spans="1:20" x14ac:dyDescent="0.25">
      <c r="A330" s="5">
        <v>44263</v>
      </c>
      <c r="B330">
        <v>0.71619999999999995</v>
      </c>
      <c r="C330">
        <v>0.73199999999999998</v>
      </c>
      <c r="D330">
        <v>0.68</v>
      </c>
      <c r="E330">
        <v>0.71860000000000002</v>
      </c>
      <c r="F330">
        <v>156594640.31</v>
      </c>
      <c r="G330">
        <v>0</v>
      </c>
      <c r="L330" t="s">
        <v>7</v>
      </c>
      <c r="M330" t="s">
        <v>8</v>
      </c>
      <c r="N330" t="s">
        <v>8</v>
      </c>
      <c r="P330">
        <f t="shared" si="969"/>
        <v>0.48461538461538523</v>
      </c>
      <c r="Q330">
        <f t="shared" si="970"/>
        <v>75888171.842538565</v>
      </c>
      <c r="R330">
        <f t="shared" si="971"/>
        <v>1035503050.4434804</v>
      </c>
      <c r="S330">
        <f t="shared" si="972"/>
        <v>10355.030504434804</v>
      </c>
      <c r="T330">
        <f t="shared" si="973"/>
        <v>10.355030504434804</v>
      </c>
    </row>
    <row r="331" spans="1:20" x14ac:dyDescent="0.25">
      <c r="A331" s="5">
        <v>44262</v>
      </c>
      <c r="B331">
        <v>0.73460000000000003</v>
      </c>
      <c r="C331">
        <v>0.7631</v>
      </c>
      <c r="D331">
        <v>0.70840000000000003</v>
      </c>
      <c r="E331">
        <v>0.71619999999999995</v>
      </c>
      <c r="F331">
        <v>101728648.73999999</v>
      </c>
      <c r="G331">
        <v>0</v>
      </c>
      <c r="L331" t="s">
        <v>7</v>
      </c>
      <c r="M331" t="s">
        <v>8</v>
      </c>
      <c r="N331" t="s">
        <v>8</v>
      </c>
      <c r="P331">
        <f t="shared" si="969"/>
        <v>-0.71480804387568841</v>
      </c>
      <c r="Q331">
        <f t="shared" si="970"/>
        <v>-72716456.411956415</v>
      </c>
      <c r="R331">
        <f t="shared" si="971"/>
        <v>959614878.60094178</v>
      </c>
      <c r="S331">
        <f t="shared" si="972"/>
        <v>9596.1487860094185</v>
      </c>
      <c r="T331">
        <f t="shared" si="973"/>
        <v>9.5961487860094188</v>
      </c>
    </row>
    <row r="332" spans="1:20" x14ac:dyDescent="0.25">
      <c r="A332" s="5">
        <v>44261</v>
      </c>
      <c r="B332">
        <v>0.71970000000000001</v>
      </c>
      <c r="C332">
        <v>0.8</v>
      </c>
      <c r="D332">
        <v>0.7006</v>
      </c>
      <c r="E332">
        <v>0.73370000000000002</v>
      </c>
      <c r="F332">
        <v>171006116.19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-0.33400402414486913</v>
      </c>
      <c r="Q332">
        <f t="shared" si="970"/>
        <v>-57116730.960845053</v>
      </c>
      <c r="R332">
        <f t="shared" si="971"/>
        <v>1032331335.0128982</v>
      </c>
      <c r="S332">
        <f t="shared" si="972"/>
        <v>10323.313350128981</v>
      </c>
      <c r="T332">
        <f t="shared" si="973"/>
        <v>10.323313350128981</v>
      </c>
    </row>
    <row r="333" spans="1:20" x14ac:dyDescent="0.25">
      <c r="A333" s="5">
        <v>44260</v>
      </c>
      <c r="B333">
        <v>0.70469999999999999</v>
      </c>
      <c r="C333">
        <v>0.75090000000000001</v>
      </c>
      <c r="D333">
        <v>0.64580000000000004</v>
      </c>
      <c r="E333">
        <v>0.71989999999999998</v>
      </c>
      <c r="F333">
        <v>152742225.72999999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0.41008563273073195</v>
      </c>
      <c r="Q333">
        <f t="shared" si="970"/>
        <v>62637392.28318733</v>
      </c>
      <c r="R333">
        <f t="shared" si="971"/>
        <v>1089448065.9737432</v>
      </c>
      <c r="S333">
        <f t="shared" si="972"/>
        <v>10894.480659737432</v>
      </c>
      <c r="T333">
        <f t="shared" si="973"/>
        <v>10.894480659737432</v>
      </c>
    </row>
    <row r="334" spans="1:20" x14ac:dyDescent="0.25">
      <c r="A334" s="5">
        <v>44259</v>
      </c>
      <c r="B334">
        <v>0.78800000000000003</v>
      </c>
      <c r="C334">
        <v>0.8</v>
      </c>
      <c r="D334">
        <v>0.66910000000000003</v>
      </c>
      <c r="E334">
        <v>0.70489999999999997</v>
      </c>
      <c r="F334">
        <v>190049093.18000001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-0.45301757066463044</v>
      </c>
      <c r="Q334">
        <f t="shared" si="970"/>
        <v>-86095578.499419585</v>
      </c>
      <c r="R334">
        <f t="shared" si="971"/>
        <v>1026810673.6905559</v>
      </c>
      <c r="S334">
        <f t="shared" si="972"/>
        <v>10268.10673690556</v>
      </c>
      <c r="T334">
        <f t="shared" si="973"/>
        <v>10.26810673690556</v>
      </c>
    </row>
    <row r="335" spans="1:20" x14ac:dyDescent="0.25">
      <c r="A335" s="5">
        <v>44258</v>
      </c>
      <c r="B335">
        <v>0.76800000000000002</v>
      </c>
      <c r="C335">
        <v>0.86450000000000005</v>
      </c>
      <c r="D335">
        <v>0.75639999999999996</v>
      </c>
      <c r="E335">
        <v>0.78810000000000002</v>
      </c>
      <c r="F335">
        <v>244635880.30000001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-0.41350601295097067</v>
      </c>
      <c r="Q335">
        <f t="shared" si="970"/>
        <v>-101158407.48760392</v>
      </c>
      <c r="R335">
        <f t="shared" si="971"/>
        <v>1112906252.1899755</v>
      </c>
      <c r="S335">
        <f t="shared" si="972"/>
        <v>11129.062521899756</v>
      </c>
      <c r="T335">
        <f t="shared" si="973"/>
        <v>11.129062521899757</v>
      </c>
    </row>
    <row r="336" spans="1:20" x14ac:dyDescent="0.25">
      <c r="A336" s="5">
        <v>44257</v>
      </c>
      <c r="B336">
        <v>0.64990000000000003</v>
      </c>
      <c r="C336">
        <v>0.77700000000000002</v>
      </c>
      <c r="D336">
        <v>0.63280000000000003</v>
      </c>
      <c r="E336">
        <v>0.76739999999999997</v>
      </c>
      <c r="F336">
        <v>235298337.63999999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0.86685159500693409</v>
      </c>
      <c r="Q336">
        <f t="shared" si="970"/>
        <v>203968739.28571409</v>
      </c>
      <c r="R336">
        <f t="shared" si="971"/>
        <v>1214064659.6775794</v>
      </c>
      <c r="S336">
        <f t="shared" si="972"/>
        <v>12140.646596775794</v>
      </c>
      <c r="T336">
        <f t="shared" si="973"/>
        <v>12.140646596775793</v>
      </c>
    </row>
    <row r="337" spans="1:20" x14ac:dyDescent="0.25">
      <c r="A337" s="5">
        <v>44256</v>
      </c>
      <c r="B337">
        <v>0.60950000000000004</v>
      </c>
      <c r="C337">
        <v>0.68</v>
      </c>
      <c r="D337">
        <v>0.58150000000000002</v>
      </c>
      <c r="E337">
        <v>0.64970000000000006</v>
      </c>
      <c r="F337">
        <v>151241426.44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0.38477157360406122</v>
      </c>
      <c r="Q337">
        <f t="shared" si="970"/>
        <v>58193401.645441674</v>
      </c>
      <c r="R337">
        <f t="shared" si="971"/>
        <v>1010095920.3918653</v>
      </c>
      <c r="S337">
        <f t="shared" si="972"/>
        <v>10100.959203918652</v>
      </c>
      <c r="T337">
        <f t="shared" si="973"/>
        <v>10.100959203918652</v>
      </c>
    </row>
    <row r="338" spans="1:20" x14ac:dyDescent="0.25">
      <c r="A338" s="5">
        <v>44255</v>
      </c>
      <c r="B338">
        <v>0.57609999999999995</v>
      </c>
      <c r="C338">
        <v>0.62109999999999999</v>
      </c>
      <c r="D338">
        <v>0.51559999999999995</v>
      </c>
      <c r="E338">
        <v>0.60950000000000004</v>
      </c>
      <c r="F338">
        <v>192505116.22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0.78009478672985899</v>
      </c>
      <c r="Q338">
        <f t="shared" si="970"/>
        <v>150172237.58204761</v>
      </c>
      <c r="R338">
        <f t="shared" si="971"/>
        <v>951902518.7464236</v>
      </c>
      <c r="S338">
        <f t="shared" si="972"/>
        <v>9519.0251874642363</v>
      </c>
      <c r="T338">
        <f t="shared" si="973"/>
        <v>9.5190251874642371</v>
      </c>
    </row>
    <row r="339" spans="1:20" x14ac:dyDescent="0.25">
      <c r="A339" s="5">
        <v>44254</v>
      </c>
      <c r="B339">
        <v>0.51539999999999997</v>
      </c>
      <c r="C339">
        <v>0.62</v>
      </c>
      <c r="D339">
        <v>0.504</v>
      </c>
      <c r="E339">
        <v>0.57540000000000002</v>
      </c>
      <c r="F339">
        <v>149622740.93000001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0.2310344827586211</v>
      </c>
      <c r="Q339">
        <f t="shared" si="970"/>
        <v>34568012.559689716</v>
      </c>
      <c r="R339">
        <f t="shared" si="971"/>
        <v>801730281.16437602</v>
      </c>
      <c r="S339">
        <f t="shared" si="972"/>
        <v>8017.3028116437599</v>
      </c>
      <c r="T339">
        <f t="shared" si="973"/>
        <v>8.0173028116437592</v>
      </c>
    </row>
    <row r="340" spans="1:20" x14ac:dyDescent="0.25">
      <c r="A340" s="5">
        <v>44253</v>
      </c>
      <c r="B340">
        <v>0.49259999999999998</v>
      </c>
      <c r="C340">
        <v>0.57340000000000002</v>
      </c>
      <c r="D340">
        <v>0.42499999999999999</v>
      </c>
      <c r="E340">
        <v>0.51529999999999998</v>
      </c>
      <c r="F340">
        <v>202993523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0.21698113207547132</v>
      </c>
      <c r="Q340">
        <f t="shared" si="970"/>
        <v>44045764.424528226</v>
      </c>
      <c r="R340">
        <f t="shared" si="971"/>
        <v>767162268.60468626</v>
      </c>
      <c r="S340">
        <f t="shared" si="972"/>
        <v>7671.6226860468623</v>
      </c>
      <c r="T340">
        <f t="shared" si="973"/>
        <v>7.6716226860468621</v>
      </c>
    </row>
    <row r="341" spans="1:20" x14ac:dyDescent="0.25">
      <c r="A341" s="5">
        <v>44252</v>
      </c>
      <c r="B341">
        <v>0.52890000000000004</v>
      </c>
      <c r="C341">
        <v>0.54620000000000002</v>
      </c>
      <c r="D341">
        <v>0.48830000000000001</v>
      </c>
      <c r="E341">
        <v>0.49270000000000003</v>
      </c>
      <c r="F341">
        <v>64044837.219999999</v>
      </c>
      <c r="G341">
        <v>0</v>
      </c>
      <c r="L341" t="s">
        <v>7</v>
      </c>
      <c r="M341" t="s">
        <v>8</v>
      </c>
      <c r="N341" t="s">
        <v>7</v>
      </c>
      <c r="P341">
        <f t="shared" si="969"/>
        <v>-0.84801381692573352</v>
      </c>
      <c r="Q341">
        <f t="shared" si="970"/>
        <v>-54310906.865319483</v>
      </c>
      <c r="R341">
        <f t="shared" si="971"/>
        <v>723116504.18015802</v>
      </c>
      <c r="S341">
        <f t="shared" si="972"/>
        <v>7231.1650418015806</v>
      </c>
      <c r="T341">
        <f t="shared" si="973"/>
        <v>7.2311650418015807</v>
      </c>
    </row>
    <row r="342" spans="1:20" x14ac:dyDescent="0.25">
      <c r="A342" s="5">
        <v>44251</v>
      </c>
      <c r="B342">
        <v>0.53390000000000004</v>
      </c>
      <c r="C342">
        <v>0.55920000000000003</v>
      </c>
      <c r="D342">
        <v>0.4899</v>
      </c>
      <c r="E342">
        <v>0.52829999999999999</v>
      </c>
      <c r="F342">
        <v>150159290.49000001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0.10822510822510747</v>
      </c>
      <c r="Q342">
        <f t="shared" si="970"/>
        <v>16251005.464285603</v>
      </c>
      <c r="R342">
        <f t="shared" si="971"/>
        <v>777427411.04547751</v>
      </c>
      <c r="S342">
        <f t="shared" si="972"/>
        <v>7774.2741104547749</v>
      </c>
      <c r="T342">
        <f t="shared" si="973"/>
        <v>7.7742741104547752</v>
      </c>
    </row>
    <row r="343" spans="1:20" x14ac:dyDescent="0.25">
      <c r="A343" s="5">
        <v>44250</v>
      </c>
      <c r="B343">
        <v>0.70050000000000001</v>
      </c>
      <c r="C343">
        <v>0.7409</v>
      </c>
      <c r="D343">
        <v>0.43630000000000002</v>
      </c>
      <c r="E343">
        <v>0.53390000000000004</v>
      </c>
      <c r="F343">
        <v>554870337.87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-0.35915955351280349</v>
      </c>
      <c r="Q343">
        <f t="shared" si="970"/>
        <v>-199286982.80688763</v>
      </c>
      <c r="R343">
        <f t="shared" si="971"/>
        <v>761176405.5811919</v>
      </c>
      <c r="S343">
        <f t="shared" si="972"/>
        <v>7611.7640558119192</v>
      </c>
      <c r="T343">
        <f t="shared" si="973"/>
        <v>7.6117640558119195</v>
      </c>
    </row>
    <row r="344" spans="1:20" x14ac:dyDescent="0.25">
      <c r="A344" s="5">
        <v>44249</v>
      </c>
      <c r="B344">
        <v>0.56289999999999996</v>
      </c>
      <c r="C344">
        <v>0.76800000000000002</v>
      </c>
      <c r="D344">
        <v>0.43</v>
      </c>
      <c r="E344">
        <v>0.7006</v>
      </c>
      <c r="F344">
        <v>269187929.33999997</v>
      </c>
      <c r="G344">
        <v>0</v>
      </c>
      <c r="L344" t="s">
        <v>8</v>
      </c>
      <c r="M344" t="s">
        <v>8</v>
      </c>
      <c r="N344" t="s">
        <v>8</v>
      </c>
      <c r="P344">
        <f t="shared" si="969"/>
        <v>0.60118343195266266</v>
      </c>
      <c r="Q344">
        <f t="shared" si="970"/>
        <v>161831323.20085204</v>
      </c>
      <c r="R344">
        <f t="shared" si="971"/>
        <v>960463388.38807952</v>
      </c>
      <c r="S344">
        <f t="shared" si="972"/>
        <v>9604.6338838807951</v>
      </c>
      <c r="T344">
        <f t="shared" si="973"/>
        <v>9.6046338838807959</v>
      </c>
    </row>
    <row r="345" spans="1:20" x14ac:dyDescent="0.25">
      <c r="A345" s="5">
        <v>44248</v>
      </c>
      <c r="B345">
        <v>0.50619999999999998</v>
      </c>
      <c r="C345">
        <v>0.57869999999999999</v>
      </c>
      <c r="D345">
        <v>0.49640000000000001</v>
      </c>
      <c r="E345">
        <v>0.56299999999999994</v>
      </c>
      <c r="F345">
        <v>61031444.289999999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0.61846901579586755</v>
      </c>
      <c r="Q345">
        <f t="shared" si="970"/>
        <v>37746057.28263662</v>
      </c>
      <c r="R345">
        <f t="shared" si="971"/>
        <v>798632065.18722749</v>
      </c>
      <c r="S345">
        <f t="shared" si="972"/>
        <v>7986.3206518722745</v>
      </c>
      <c r="T345">
        <f t="shared" si="973"/>
        <v>7.9863206518722745</v>
      </c>
    </row>
    <row r="346" spans="1:20" x14ac:dyDescent="0.25">
      <c r="A346" s="5">
        <v>44247</v>
      </c>
      <c r="B346">
        <v>0.52600000000000002</v>
      </c>
      <c r="C346">
        <v>0.56410000000000005</v>
      </c>
      <c r="D346">
        <v>0.4602</v>
      </c>
      <c r="E346">
        <v>0.50609999999999999</v>
      </c>
      <c r="F346">
        <v>90504147.519999996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-0.11645813282001972</v>
      </c>
      <c r="Q346">
        <f t="shared" si="970"/>
        <v>-10539944.032646818</v>
      </c>
      <c r="R346">
        <f t="shared" si="971"/>
        <v>760886007.90459085</v>
      </c>
      <c r="S346">
        <f t="shared" si="972"/>
        <v>7608.8600790459086</v>
      </c>
      <c r="T346">
        <f t="shared" si="973"/>
        <v>7.6088600790459084</v>
      </c>
    </row>
    <row r="347" spans="1:20" x14ac:dyDescent="0.25">
      <c r="A347" s="5">
        <v>44246</v>
      </c>
      <c r="B347">
        <v>0.4345</v>
      </c>
      <c r="C347">
        <v>0.52800000000000002</v>
      </c>
      <c r="D347">
        <v>0.41039999999999999</v>
      </c>
      <c r="E347">
        <v>0.52559999999999996</v>
      </c>
      <c r="F347">
        <v>95283161.329999998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0.9591836734693866</v>
      </c>
      <c r="Q347">
        <f t="shared" si="970"/>
        <v>91394052.704285607</v>
      </c>
      <c r="R347">
        <f t="shared" si="971"/>
        <v>771425951.93723762</v>
      </c>
      <c r="S347">
        <f t="shared" si="972"/>
        <v>7714.2595193723764</v>
      </c>
      <c r="T347">
        <f t="shared" si="973"/>
        <v>7.7142595193723764</v>
      </c>
    </row>
    <row r="348" spans="1:20" x14ac:dyDescent="0.25">
      <c r="A348" s="5">
        <v>44245</v>
      </c>
      <c r="B348">
        <v>0.3967</v>
      </c>
      <c r="C348">
        <v>0.43840000000000001</v>
      </c>
      <c r="D348">
        <v>0.39450000000000002</v>
      </c>
      <c r="E348">
        <v>0.43509999999999999</v>
      </c>
      <c r="F348">
        <v>67144097.890000001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0.84965831435079608</v>
      </c>
      <c r="Q348">
        <f t="shared" si="970"/>
        <v>57049541.031822242</v>
      </c>
      <c r="R348">
        <f t="shared" si="971"/>
        <v>680031899.232952</v>
      </c>
      <c r="S348">
        <f t="shared" si="972"/>
        <v>6800.3189923295204</v>
      </c>
      <c r="T348">
        <f t="shared" si="973"/>
        <v>6.8003189923295206</v>
      </c>
    </row>
    <row r="349" spans="1:20" x14ac:dyDescent="0.25">
      <c r="A349" s="5">
        <v>44244</v>
      </c>
      <c r="B349">
        <v>0.38019999999999998</v>
      </c>
      <c r="C349">
        <v>0.40489999999999998</v>
      </c>
      <c r="D349">
        <v>0.36399999999999999</v>
      </c>
      <c r="E349">
        <v>0.39639999999999997</v>
      </c>
      <c r="F349">
        <v>47491415.850000001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0.58435207823960833</v>
      </c>
      <c r="Q349">
        <f t="shared" si="970"/>
        <v>27751707.550488975</v>
      </c>
      <c r="R349">
        <f t="shared" si="971"/>
        <v>622982358.20112979</v>
      </c>
      <c r="S349">
        <f t="shared" si="972"/>
        <v>6229.8235820112977</v>
      </c>
      <c r="T349">
        <f t="shared" si="973"/>
        <v>6.2298235820112975</v>
      </c>
    </row>
    <row r="350" spans="1:20" x14ac:dyDescent="0.25">
      <c r="A350" s="5">
        <v>44243</v>
      </c>
      <c r="B350">
        <v>0.38300000000000001</v>
      </c>
      <c r="C350">
        <v>0.39800000000000002</v>
      </c>
      <c r="D350">
        <v>0.36499999999999999</v>
      </c>
      <c r="E350">
        <v>0.38009999999999999</v>
      </c>
      <c r="F350">
        <v>42669726.969999999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-8.484848484848552E-2</v>
      </c>
      <c r="Q350">
        <f t="shared" si="970"/>
        <v>-3620461.6823030589</v>
      </c>
      <c r="R350">
        <f t="shared" si="971"/>
        <v>595230650.65064085</v>
      </c>
      <c r="S350">
        <f t="shared" si="972"/>
        <v>5952.3065065064084</v>
      </c>
      <c r="T350">
        <f t="shared" si="973"/>
        <v>5.9523065065064085</v>
      </c>
    </row>
    <row r="351" spans="1:20" x14ac:dyDescent="0.25">
      <c r="A351" s="5">
        <v>44242</v>
      </c>
      <c r="B351">
        <v>0.36890000000000001</v>
      </c>
      <c r="C351">
        <v>0.41</v>
      </c>
      <c r="D351">
        <v>0.32</v>
      </c>
      <c r="E351">
        <v>0.3826</v>
      </c>
      <c r="F351">
        <v>76072129.120000005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0.39111111111111135</v>
      </c>
      <c r="Q351">
        <f t="shared" si="970"/>
        <v>29752654.94471113</v>
      </c>
      <c r="R351">
        <f t="shared" si="971"/>
        <v>598851112.33294392</v>
      </c>
      <c r="S351">
        <f t="shared" si="972"/>
        <v>5988.5111233294392</v>
      </c>
      <c r="T351">
        <f t="shared" si="973"/>
        <v>5.988511123329439</v>
      </c>
    </row>
    <row r="352" spans="1:20" x14ac:dyDescent="0.25">
      <c r="A352" s="5">
        <v>44241</v>
      </c>
      <c r="B352">
        <v>0.40289999999999998</v>
      </c>
      <c r="C352">
        <v>0.40570000000000001</v>
      </c>
      <c r="D352">
        <v>0.35699999999999998</v>
      </c>
      <c r="E352">
        <v>0.36909999999999998</v>
      </c>
      <c r="F352">
        <v>68010963.790000007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-0.5030800821355238</v>
      </c>
      <c r="Q352">
        <f t="shared" si="970"/>
        <v>-34214961.249589339</v>
      </c>
      <c r="R352">
        <f t="shared" si="971"/>
        <v>569098457.38823283</v>
      </c>
      <c r="S352">
        <f t="shared" si="972"/>
        <v>5690.9845738823278</v>
      </c>
      <c r="T352">
        <f t="shared" si="973"/>
        <v>5.6909845738823277</v>
      </c>
    </row>
    <row r="353" spans="1:20" x14ac:dyDescent="0.25">
      <c r="A353" s="5">
        <v>44240</v>
      </c>
      <c r="B353">
        <v>0.40150000000000002</v>
      </c>
      <c r="C353">
        <v>0.43</v>
      </c>
      <c r="D353">
        <v>0.37</v>
      </c>
      <c r="E353">
        <v>0.40279999999999999</v>
      </c>
      <c r="F353">
        <v>95162605.030000001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9.333333333333324E-2</v>
      </c>
      <c r="Q353">
        <f t="shared" si="970"/>
        <v>8881843.1361333244</v>
      </c>
      <c r="R353">
        <f t="shared" si="971"/>
        <v>603313418.63782215</v>
      </c>
      <c r="S353">
        <f t="shared" si="972"/>
        <v>6033.1341863782218</v>
      </c>
      <c r="T353">
        <f t="shared" si="973"/>
        <v>6.0331341863782217</v>
      </c>
    </row>
    <row r="354" spans="1:20" x14ac:dyDescent="0.25">
      <c r="A354" s="5">
        <v>44239</v>
      </c>
      <c r="B354">
        <v>0.40050000000000002</v>
      </c>
      <c r="C354">
        <v>0.41949999999999998</v>
      </c>
      <c r="D354">
        <v>0.37559999999999999</v>
      </c>
      <c r="E354">
        <v>0.40100000000000002</v>
      </c>
      <c r="F354">
        <v>82882109.540000007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0.15717539863325908</v>
      </c>
      <c r="Q354">
        <f t="shared" si="970"/>
        <v>13027028.606514946</v>
      </c>
      <c r="R354">
        <f t="shared" si="971"/>
        <v>594431575.50168884</v>
      </c>
      <c r="S354">
        <f t="shared" si="972"/>
        <v>5944.315755016888</v>
      </c>
      <c r="T354">
        <f t="shared" si="973"/>
        <v>5.9443157550168877</v>
      </c>
    </row>
    <row r="355" spans="1:20" x14ac:dyDescent="0.25">
      <c r="A355" s="5">
        <v>44238</v>
      </c>
      <c r="B355">
        <v>0.37130000000000002</v>
      </c>
      <c r="C355">
        <v>0.41199999999999998</v>
      </c>
      <c r="D355">
        <v>0.36370000000000002</v>
      </c>
      <c r="E355">
        <v>0.40060000000000001</v>
      </c>
      <c r="F355">
        <v>80070580.719999999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0.52795031055900721</v>
      </c>
      <c r="Q355">
        <f t="shared" si="970"/>
        <v>42273287.957764052</v>
      </c>
      <c r="R355">
        <f t="shared" si="971"/>
        <v>581404546.89517391</v>
      </c>
      <c r="S355">
        <f t="shared" si="972"/>
        <v>5814.0454689517392</v>
      </c>
      <c r="T355">
        <f t="shared" si="973"/>
        <v>5.8140454689517389</v>
      </c>
    </row>
    <row r="356" spans="1:20" x14ac:dyDescent="0.25">
      <c r="A356" s="5">
        <v>44237</v>
      </c>
      <c r="B356">
        <v>0.3367</v>
      </c>
      <c r="C356">
        <v>0.3821</v>
      </c>
      <c r="D356">
        <v>0.32</v>
      </c>
      <c r="E356">
        <v>0.37140000000000001</v>
      </c>
      <c r="F356">
        <v>105202424.81999999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0.65539452495974271</v>
      </c>
      <c r="Q356">
        <f t="shared" si="970"/>
        <v>68949093.239516944</v>
      </c>
      <c r="R356">
        <f t="shared" si="971"/>
        <v>539131258.93740988</v>
      </c>
      <c r="S356">
        <f t="shared" si="972"/>
        <v>5391.3125893740989</v>
      </c>
      <c r="T356">
        <f t="shared" si="973"/>
        <v>5.391312589374099</v>
      </c>
    </row>
    <row r="357" spans="1:20" x14ac:dyDescent="0.25">
      <c r="A357" s="5">
        <v>44236</v>
      </c>
      <c r="B357">
        <v>0.3286</v>
      </c>
      <c r="C357">
        <v>0.34239999999999998</v>
      </c>
      <c r="D357">
        <v>0.3201</v>
      </c>
      <c r="E357">
        <v>0.33679999999999999</v>
      </c>
      <c r="F357">
        <v>64906833.189999998</v>
      </c>
      <c r="G357">
        <v>0</v>
      </c>
      <c r="L357" t="s">
        <v>7</v>
      </c>
      <c r="M357" t="s">
        <v>8</v>
      </c>
      <c r="N357" t="s">
        <v>8</v>
      </c>
      <c r="P357">
        <f t="shared" si="969"/>
        <v>0.49775784753363256</v>
      </c>
      <c r="Q357">
        <f t="shared" si="970"/>
        <v>32307885.578878939</v>
      </c>
      <c r="R357">
        <f t="shared" si="971"/>
        <v>470182165.69789296</v>
      </c>
      <c r="S357">
        <f t="shared" si="972"/>
        <v>4701.8216569789292</v>
      </c>
      <c r="T357">
        <f t="shared" si="973"/>
        <v>4.7018216569789288</v>
      </c>
    </row>
    <row r="358" spans="1:20" x14ac:dyDescent="0.25">
      <c r="A358" s="5">
        <v>44235</v>
      </c>
      <c r="B358">
        <v>0.31030000000000002</v>
      </c>
      <c r="C358">
        <v>0.36099999999999999</v>
      </c>
      <c r="D358">
        <v>0.30690000000000001</v>
      </c>
      <c r="E358">
        <v>0.32829999999999998</v>
      </c>
      <c r="F358">
        <v>151702498.21000001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-0.20887245841035187</v>
      </c>
      <c r="Q358">
        <f t="shared" si="970"/>
        <v>-31686473.748114705</v>
      </c>
      <c r="R358">
        <f t="shared" si="971"/>
        <v>437874280.11901402</v>
      </c>
      <c r="S358">
        <f t="shared" si="972"/>
        <v>4378.7428011901402</v>
      </c>
      <c r="T358">
        <f t="shared" si="973"/>
        <v>4.3787428011901399</v>
      </c>
    </row>
    <row r="359" spans="1:20" x14ac:dyDescent="0.25">
      <c r="A359" s="5">
        <v>44234</v>
      </c>
      <c r="B359">
        <v>0.27550000000000002</v>
      </c>
      <c r="C359">
        <v>0.32169999999999999</v>
      </c>
      <c r="D359">
        <v>0.27100000000000002</v>
      </c>
      <c r="E359">
        <v>0.3105</v>
      </c>
      <c r="F359">
        <v>89560254.599999994</v>
      </c>
      <c r="G359">
        <v>0</v>
      </c>
      <c r="L359" t="s">
        <v>8</v>
      </c>
      <c r="M359" t="s">
        <v>8</v>
      </c>
      <c r="N359" t="s">
        <v>8</v>
      </c>
      <c r="P359">
        <f t="shared" si="969"/>
        <v>0.55818540433925068</v>
      </c>
      <c r="Q359">
        <f t="shared" si="970"/>
        <v>49991226.926627234</v>
      </c>
      <c r="R359">
        <f t="shared" si="971"/>
        <v>469560753.86712873</v>
      </c>
      <c r="S359">
        <f t="shared" si="972"/>
        <v>4695.6075386712873</v>
      </c>
      <c r="T359">
        <f t="shared" si="973"/>
        <v>4.695607538671287</v>
      </c>
    </row>
    <row r="360" spans="1:20" x14ac:dyDescent="0.25">
      <c r="A360" s="5">
        <v>44233</v>
      </c>
      <c r="B360">
        <v>0.2888</v>
      </c>
      <c r="C360">
        <v>0.29380000000000001</v>
      </c>
      <c r="D360">
        <v>0.26879999999999998</v>
      </c>
      <c r="E360">
        <v>0.27550000000000002</v>
      </c>
      <c r="F360">
        <v>50038649.009999998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-0.46399999999999736</v>
      </c>
      <c r="Q360">
        <f t="shared" si="970"/>
        <v>-23217933.140639868</v>
      </c>
      <c r="R360">
        <f t="shared" si="971"/>
        <v>419569526.94050151</v>
      </c>
      <c r="S360">
        <f t="shared" si="972"/>
        <v>4195.6952694050151</v>
      </c>
      <c r="T360">
        <f t="shared" si="973"/>
        <v>4.1956952694050154</v>
      </c>
    </row>
    <row r="361" spans="1:20" x14ac:dyDescent="0.25">
      <c r="A361" s="5">
        <v>44232</v>
      </c>
      <c r="B361">
        <v>0.26569999999999999</v>
      </c>
      <c r="C361">
        <v>0.28899999999999998</v>
      </c>
      <c r="D361">
        <v>0.26469999999999999</v>
      </c>
      <c r="E361">
        <v>0.28889999999999999</v>
      </c>
      <c r="F361">
        <v>47999645.170000002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0.99176954732510381</v>
      </c>
      <c r="Q361">
        <f t="shared" si="970"/>
        <v>47604586.362016506</v>
      </c>
      <c r="R361">
        <f t="shared" si="971"/>
        <v>442787460.08114135</v>
      </c>
      <c r="S361">
        <f t="shared" si="972"/>
        <v>4427.8746008114131</v>
      </c>
      <c r="T361">
        <f t="shared" si="973"/>
        <v>4.4278746008114132</v>
      </c>
    </row>
    <row r="362" spans="1:20" x14ac:dyDescent="0.25">
      <c r="A362" s="5">
        <v>44231</v>
      </c>
      <c r="B362">
        <v>0.2868</v>
      </c>
      <c r="C362">
        <v>0.28989999999999999</v>
      </c>
      <c r="D362">
        <v>0.25990000000000002</v>
      </c>
      <c r="E362">
        <v>0.26569999999999999</v>
      </c>
      <c r="F362">
        <v>62495180.090000004</v>
      </c>
      <c r="G362">
        <v>0</v>
      </c>
      <c r="L362" t="s">
        <v>7</v>
      </c>
      <c r="M362" t="s">
        <v>8</v>
      </c>
      <c r="N362" t="s">
        <v>8</v>
      </c>
      <c r="P362">
        <f t="shared" si="969"/>
        <v>-0.61333333333333484</v>
      </c>
      <c r="Q362">
        <f t="shared" si="970"/>
        <v>-38330377.121866763</v>
      </c>
      <c r="R362">
        <f t="shared" si="971"/>
        <v>395182873.71912485</v>
      </c>
      <c r="S362">
        <f t="shared" si="972"/>
        <v>3951.8287371912484</v>
      </c>
      <c r="T362">
        <f t="shared" si="973"/>
        <v>3.9518287371912484</v>
      </c>
    </row>
    <row r="363" spans="1:20" x14ac:dyDescent="0.25">
      <c r="A363" s="5">
        <v>44230</v>
      </c>
      <c r="B363">
        <v>0.2777</v>
      </c>
      <c r="C363">
        <v>0.28860000000000002</v>
      </c>
      <c r="D363">
        <v>0.27</v>
      </c>
      <c r="E363">
        <v>0.2868</v>
      </c>
      <c r="F363">
        <v>52846282.259999998</v>
      </c>
      <c r="G363">
        <v>0</v>
      </c>
      <c r="L363" t="s">
        <v>7</v>
      </c>
      <c r="M363" t="s">
        <v>8</v>
      </c>
      <c r="N363" t="s">
        <v>8</v>
      </c>
      <c r="P363">
        <f t="shared" si="969"/>
        <v>0.80645161290322331</v>
      </c>
      <c r="Q363">
        <f t="shared" si="970"/>
        <v>42617969.564515993</v>
      </c>
      <c r="R363">
        <f t="shared" si="971"/>
        <v>433513250.84099162</v>
      </c>
      <c r="S363">
        <f t="shared" si="972"/>
        <v>4335.1325084099162</v>
      </c>
      <c r="T363">
        <f t="shared" si="973"/>
        <v>4.3351325084099166</v>
      </c>
    </row>
    <row r="364" spans="1:20" x14ac:dyDescent="0.25">
      <c r="A364" s="5">
        <v>44229</v>
      </c>
      <c r="B364">
        <v>0.26700000000000002</v>
      </c>
      <c r="C364">
        <v>0.29389999999999999</v>
      </c>
      <c r="D364">
        <v>0.25440000000000002</v>
      </c>
      <c r="E364">
        <v>0.27729999999999999</v>
      </c>
      <c r="F364">
        <v>110971297.06999999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0.15949367088607533</v>
      </c>
      <c r="Q364">
        <f t="shared" si="970"/>
        <v>17699219.532683473</v>
      </c>
      <c r="R364">
        <f t="shared" si="971"/>
        <v>390895281.27647561</v>
      </c>
      <c r="S364">
        <f t="shared" si="972"/>
        <v>3908.9528127647559</v>
      </c>
      <c r="T364">
        <f t="shared" si="973"/>
        <v>3.9089528127647557</v>
      </c>
    </row>
    <row r="365" spans="1:20" x14ac:dyDescent="0.25">
      <c r="A365" s="5">
        <v>44228</v>
      </c>
      <c r="B365">
        <v>0.2361</v>
      </c>
      <c r="C365">
        <v>0.27879999999999999</v>
      </c>
      <c r="D365">
        <v>0.23019999999999999</v>
      </c>
      <c r="E365">
        <v>0.26700000000000002</v>
      </c>
      <c r="F365">
        <v>128768167.58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0.51440329218107095</v>
      </c>
      <c r="Q365">
        <f t="shared" si="970"/>
        <v>66238769.331275843</v>
      </c>
      <c r="R365">
        <f t="shared" si="971"/>
        <v>373196061.74379212</v>
      </c>
      <c r="S365">
        <f t="shared" si="972"/>
        <v>3731.960617437921</v>
      </c>
      <c r="T365">
        <f t="shared" si="973"/>
        <v>3.7319606174379212</v>
      </c>
    </row>
    <row r="366" spans="1:20" x14ac:dyDescent="0.25">
      <c r="A366" s="5">
        <v>44227</v>
      </c>
      <c r="B366">
        <v>0.23219999999999999</v>
      </c>
      <c r="C366">
        <v>0.24160000000000001</v>
      </c>
      <c r="D366">
        <v>0.2263</v>
      </c>
      <c r="E366">
        <v>0.23580000000000001</v>
      </c>
      <c r="F366">
        <v>45345949.590000004</v>
      </c>
      <c r="G366">
        <v>0</v>
      </c>
      <c r="L366" t="s">
        <v>8</v>
      </c>
      <c r="M366" t="s">
        <v>8</v>
      </c>
      <c r="N366" t="s">
        <v>7</v>
      </c>
      <c r="P366">
        <f t="shared" si="969"/>
        <v>0.24183006535947757</v>
      </c>
      <c r="Q366">
        <f t="shared" si="970"/>
        <v>10966013.953137277</v>
      </c>
      <c r="R366">
        <f t="shared" si="971"/>
        <v>306957292.4125163</v>
      </c>
      <c r="S366">
        <f t="shared" si="972"/>
        <v>3069.5729241251629</v>
      </c>
      <c r="T366">
        <f t="shared" si="973"/>
        <v>3.069572924125163</v>
      </c>
    </row>
    <row r="367" spans="1:20" x14ac:dyDescent="0.25">
      <c r="A367" s="5">
        <v>44226</v>
      </c>
      <c r="B367">
        <v>0.23499999999999999</v>
      </c>
      <c r="C367">
        <v>0.2379</v>
      </c>
      <c r="D367">
        <v>0.2205</v>
      </c>
      <c r="E367">
        <v>0.23200000000000001</v>
      </c>
      <c r="F367">
        <v>49106684.030000001</v>
      </c>
      <c r="G367">
        <v>0</v>
      </c>
      <c r="L367" t="s">
        <v>7</v>
      </c>
      <c r="M367" t="s">
        <v>8</v>
      </c>
      <c r="N367" t="s">
        <v>7</v>
      </c>
      <c r="P367">
        <f t="shared" si="969"/>
        <v>0.32183908045977139</v>
      </c>
      <c r="Q367">
        <f t="shared" si="970"/>
        <v>15804450.032643741</v>
      </c>
      <c r="R367">
        <f t="shared" si="971"/>
        <v>295991278.45937902</v>
      </c>
      <c r="S367">
        <f t="shared" si="972"/>
        <v>2959.9127845937901</v>
      </c>
      <c r="T367">
        <f t="shared" si="973"/>
        <v>2.95991278459379</v>
      </c>
    </row>
    <row r="368" spans="1:20" x14ac:dyDescent="0.25">
      <c r="A368" s="5">
        <v>44225</v>
      </c>
      <c r="B368">
        <v>0.23350000000000001</v>
      </c>
      <c r="C368">
        <v>0.24979999999999999</v>
      </c>
      <c r="D368">
        <v>0.22750000000000001</v>
      </c>
      <c r="E368">
        <v>0.23499999999999999</v>
      </c>
      <c r="F368">
        <v>84220190.579999998</v>
      </c>
      <c r="G368">
        <v>0</v>
      </c>
      <c r="L368" t="s">
        <v>8</v>
      </c>
      <c r="M368" t="s">
        <v>8</v>
      </c>
      <c r="N368" t="s">
        <v>7</v>
      </c>
      <c r="P368">
        <f t="shared" si="969"/>
        <v>-0.3273542600896876</v>
      </c>
      <c r="Q368">
        <f t="shared" si="970"/>
        <v>-27569838.171928376</v>
      </c>
      <c r="R368">
        <f t="shared" si="971"/>
        <v>280186828.42673528</v>
      </c>
      <c r="S368">
        <f t="shared" si="972"/>
        <v>2801.8682842673529</v>
      </c>
      <c r="T368">
        <f t="shared" si="973"/>
        <v>2.801868284267353</v>
      </c>
    </row>
    <row r="369" spans="1:20" x14ac:dyDescent="0.25">
      <c r="A369" s="5">
        <v>44224</v>
      </c>
      <c r="B369">
        <v>0.23219999999999999</v>
      </c>
      <c r="C369">
        <v>0.24030000000000001</v>
      </c>
      <c r="D369">
        <v>0.22600000000000001</v>
      </c>
      <c r="E369">
        <v>0.2334</v>
      </c>
      <c r="F369">
        <v>46523457.899999999</v>
      </c>
      <c r="G369">
        <v>0</v>
      </c>
      <c r="L369" t="s">
        <v>7</v>
      </c>
      <c r="M369" t="s">
        <v>8</v>
      </c>
      <c r="N369" t="s">
        <v>7</v>
      </c>
      <c r="P369">
        <f t="shared" si="969"/>
        <v>3.4965034965033039E-2</v>
      </c>
      <c r="Q369">
        <f t="shared" si="970"/>
        <v>1626694.3321677425</v>
      </c>
      <c r="R369">
        <f t="shared" si="971"/>
        <v>307756666.59866363</v>
      </c>
      <c r="S369">
        <f t="shared" si="972"/>
        <v>3077.5666659866365</v>
      </c>
      <c r="T369">
        <f t="shared" si="973"/>
        <v>3.0775666659866365</v>
      </c>
    </row>
    <row r="370" spans="1:20" x14ac:dyDescent="0.25">
      <c r="A370" s="5">
        <v>44223</v>
      </c>
      <c r="B370">
        <v>0.24610000000000001</v>
      </c>
      <c r="C370">
        <v>0.25769999999999998</v>
      </c>
      <c r="D370">
        <v>0.22070000000000001</v>
      </c>
      <c r="E370">
        <v>0.23219999999999999</v>
      </c>
      <c r="F370">
        <v>82814162.620000005</v>
      </c>
      <c r="G370">
        <v>0</v>
      </c>
      <c r="L370" t="s">
        <v>8</v>
      </c>
      <c r="M370" t="s">
        <v>8</v>
      </c>
      <c r="N370" t="s">
        <v>7</v>
      </c>
      <c r="P370">
        <f t="shared" si="969"/>
        <v>-0.37837837837837895</v>
      </c>
      <c r="Q370">
        <f t="shared" si="970"/>
        <v>-31335088.558918968</v>
      </c>
      <c r="R370">
        <f t="shared" si="971"/>
        <v>306129972.26649588</v>
      </c>
      <c r="S370">
        <f t="shared" si="972"/>
        <v>3061.2997226649586</v>
      </c>
      <c r="T370">
        <f t="shared" si="973"/>
        <v>3.0612997226649585</v>
      </c>
    </row>
    <row r="371" spans="1:20" x14ac:dyDescent="0.25">
      <c r="A371" s="5">
        <v>44222</v>
      </c>
      <c r="B371">
        <v>0.22120000000000001</v>
      </c>
      <c r="C371">
        <v>0.24629999999999999</v>
      </c>
      <c r="D371">
        <v>0.21929999999999999</v>
      </c>
      <c r="E371">
        <v>0.246</v>
      </c>
      <c r="F371">
        <v>85195387.650000006</v>
      </c>
      <c r="G371">
        <v>0</v>
      </c>
      <c r="L371" t="s">
        <v>8</v>
      </c>
      <c r="M371" t="s">
        <v>8</v>
      </c>
      <c r="N371" t="s">
        <v>7</v>
      </c>
      <c r="P371">
        <f t="shared" si="969"/>
        <v>0.97777777777777819</v>
      </c>
      <c r="Q371">
        <f t="shared" si="970"/>
        <v>83302156.813333377</v>
      </c>
      <c r="R371">
        <f t="shared" si="971"/>
        <v>337465060.82541484</v>
      </c>
      <c r="S371">
        <f t="shared" si="972"/>
        <v>3374.6506082541482</v>
      </c>
      <c r="T371">
        <f t="shared" si="973"/>
        <v>3.3746506082541483</v>
      </c>
    </row>
    <row r="372" spans="1:20" x14ac:dyDescent="0.25">
      <c r="A372" s="5">
        <v>44221</v>
      </c>
      <c r="B372">
        <v>0.2135</v>
      </c>
      <c r="C372">
        <v>0.22869999999999999</v>
      </c>
      <c r="D372">
        <v>0.21310000000000001</v>
      </c>
      <c r="E372">
        <v>0.22120000000000001</v>
      </c>
      <c r="F372">
        <v>34938060.100000001</v>
      </c>
      <c r="G372">
        <v>0</v>
      </c>
      <c r="L372" t="s">
        <v>8</v>
      </c>
      <c r="M372" t="s">
        <v>7</v>
      </c>
      <c r="N372" t="s">
        <v>7</v>
      </c>
      <c r="P372">
        <f t="shared" si="969"/>
        <v>3.8461538461539622E-2</v>
      </c>
      <c r="Q372">
        <f t="shared" si="970"/>
        <v>1343771.5423077329</v>
      </c>
      <c r="R372">
        <f t="shared" si="971"/>
        <v>254162904.01208144</v>
      </c>
      <c r="S372">
        <f t="shared" si="972"/>
        <v>2541.6290401208144</v>
      </c>
      <c r="T372">
        <f t="shared" si="973"/>
        <v>2.5416290401208141</v>
      </c>
    </row>
    <row r="373" spans="1:20" x14ac:dyDescent="0.25">
      <c r="A373" s="5">
        <v>44220</v>
      </c>
      <c r="B373">
        <v>0.2155</v>
      </c>
      <c r="C373">
        <v>0.22370000000000001</v>
      </c>
      <c r="D373">
        <v>0.2099</v>
      </c>
      <c r="E373">
        <v>0.21340000000000001</v>
      </c>
      <c r="F373">
        <v>29359124.969999999</v>
      </c>
      <c r="G373">
        <v>0</v>
      </c>
      <c r="L373" t="s">
        <v>7</v>
      </c>
      <c r="M373" t="s">
        <v>7</v>
      </c>
      <c r="N373" t="s">
        <v>7</v>
      </c>
      <c r="P373">
        <f t="shared" si="969"/>
        <v>-0.4927536231884056</v>
      </c>
      <c r="Q373">
        <f t="shared" si="970"/>
        <v>-14466815.20260869</v>
      </c>
      <c r="R373">
        <f t="shared" si="971"/>
        <v>252819132.46977371</v>
      </c>
      <c r="S373">
        <f t="shared" si="972"/>
        <v>2528.1913246977369</v>
      </c>
      <c r="T373">
        <f t="shared" si="973"/>
        <v>2.5281913246977368</v>
      </c>
    </row>
    <row r="374" spans="1:20" x14ac:dyDescent="0.25">
      <c r="A374" s="5">
        <v>44219</v>
      </c>
      <c r="B374">
        <v>0.216</v>
      </c>
      <c r="C374">
        <v>0.23</v>
      </c>
      <c r="D374">
        <v>0.2082</v>
      </c>
      <c r="E374">
        <v>0.2155</v>
      </c>
      <c r="F374">
        <v>25650646.399999999</v>
      </c>
      <c r="G374">
        <v>0</v>
      </c>
      <c r="L374" t="s">
        <v>8</v>
      </c>
      <c r="M374" t="s">
        <v>7</v>
      </c>
      <c r="N374" t="s">
        <v>7</v>
      </c>
      <c r="P374">
        <f t="shared" si="969"/>
        <v>-0.33027522935779852</v>
      </c>
      <c r="Q374">
        <f t="shared" si="970"/>
        <v>-8471773.1229357887</v>
      </c>
      <c r="R374">
        <f t="shared" si="971"/>
        <v>267285947.67238238</v>
      </c>
      <c r="S374">
        <f t="shared" si="972"/>
        <v>2672.8594767238237</v>
      </c>
      <c r="T374">
        <f t="shared" si="973"/>
        <v>2.6728594767238238</v>
      </c>
    </row>
    <row r="375" spans="1:20" x14ac:dyDescent="0.25">
      <c r="A375" s="5">
        <v>44218</v>
      </c>
      <c r="B375">
        <v>0.21179999999999999</v>
      </c>
      <c r="C375">
        <v>0.22470000000000001</v>
      </c>
      <c r="D375">
        <v>0.19439999999999999</v>
      </c>
      <c r="E375">
        <v>0.2162</v>
      </c>
      <c r="F375">
        <v>35542859.689999998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0.43894389438943882</v>
      </c>
      <c r="Q375">
        <f t="shared" si="970"/>
        <v>15601321.250066001</v>
      </c>
      <c r="R375">
        <f t="shared" si="971"/>
        <v>275757720.79531819</v>
      </c>
      <c r="S375">
        <f t="shared" si="972"/>
        <v>2757.5772079531816</v>
      </c>
      <c r="T375">
        <f t="shared" si="973"/>
        <v>2.7575772079531817</v>
      </c>
    </row>
    <row r="376" spans="1:20" x14ac:dyDescent="0.25">
      <c r="A376" s="5">
        <v>44217</v>
      </c>
      <c r="B376">
        <v>0.23899999999999999</v>
      </c>
      <c r="C376">
        <v>0.2394</v>
      </c>
      <c r="D376">
        <v>0.20749999999999999</v>
      </c>
      <c r="E376">
        <v>0.21129999999999999</v>
      </c>
      <c r="F376">
        <v>36244107.979999997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-0.76175548589341713</v>
      </c>
      <c r="Q376">
        <f t="shared" si="970"/>
        <v>-27609148.085078374</v>
      </c>
      <c r="R376">
        <f t="shared" si="971"/>
        <v>260156399.5452522</v>
      </c>
      <c r="S376">
        <f t="shared" si="972"/>
        <v>2601.5639954525222</v>
      </c>
      <c r="T376">
        <f t="shared" si="973"/>
        <v>2.6015639954525223</v>
      </c>
    </row>
    <row r="377" spans="1:20" x14ac:dyDescent="0.25">
      <c r="A377" s="5">
        <v>44216</v>
      </c>
      <c r="B377">
        <v>0.24679999999999999</v>
      </c>
      <c r="C377">
        <v>0.24929999999999999</v>
      </c>
      <c r="D377">
        <v>0.21809999999999999</v>
      </c>
      <c r="E377">
        <v>0.23910000000000001</v>
      </c>
      <c r="F377">
        <v>80123847.629999995</v>
      </c>
      <c r="G377">
        <v>0</v>
      </c>
      <c r="L377" t="s">
        <v>7</v>
      </c>
      <c r="M377" t="s">
        <v>7</v>
      </c>
      <c r="N377" t="s">
        <v>7</v>
      </c>
      <c r="P377">
        <f t="shared" si="969"/>
        <v>0.34615384615384709</v>
      </c>
      <c r="Q377">
        <f t="shared" si="970"/>
        <v>27735178.025769304</v>
      </c>
      <c r="R377">
        <f t="shared" si="971"/>
        <v>287765547.63033056</v>
      </c>
      <c r="S377">
        <f t="shared" si="972"/>
        <v>2877.6554763033055</v>
      </c>
      <c r="T377">
        <f t="shared" si="973"/>
        <v>2.8776554763033055</v>
      </c>
    </row>
    <row r="378" spans="1:20" x14ac:dyDescent="0.25">
      <c r="A378" s="5">
        <v>44215</v>
      </c>
      <c r="B378">
        <v>0.2359</v>
      </c>
      <c r="C378">
        <v>0.25900000000000001</v>
      </c>
      <c r="D378">
        <v>0.2344</v>
      </c>
      <c r="E378">
        <v>0.24709999999999999</v>
      </c>
      <c r="F378">
        <v>109367500.23</v>
      </c>
      <c r="G378">
        <v>0</v>
      </c>
      <c r="L378" t="s">
        <v>8</v>
      </c>
      <c r="M378" t="s">
        <v>8</v>
      </c>
      <c r="N378" t="s">
        <v>7</v>
      </c>
      <c r="P378">
        <f t="shared" si="969"/>
        <v>3.252032520325069E-2</v>
      </c>
      <c r="Q378">
        <f t="shared" si="970"/>
        <v>3556666.6741461949</v>
      </c>
      <c r="R378">
        <f t="shared" si="971"/>
        <v>260030369.60456124</v>
      </c>
      <c r="S378">
        <f t="shared" si="972"/>
        <v>2600.3036960456125</v>
      </c>
      <c r="T378">
        <f t="shared" si="973"/>
        <v>2.6003036960456125</v>
      </c>
    </row>
    <row r="379" spans="1:20" x14ac:dyDescent="0.25">
      <c r="A379" s="5">
        <v>44214</v>
      </c>
      <c r="B379">
        <v>0.22320000000000001</v>
      </c>
      <c r="C379">
        <v>0.24199999999999999</v>
      </c>
      <c r="D379">
        <v>0.21809999999999999</v>
      </c>
      <c r="E379">
        <v>0.2359</v>
      </c>
      <c r="F379">
        <v>69841121.680000007</v>
      </c>
      <c r="G379">
        <v>0</v>
      </c>
      <c r="L379" t="s">
        <v>8</v>
      </c>
      <c r="M379" t="s">
        <v>8</v>
      </c>
      <c r="N379" t="s">
        <v>7</v>
      </c>
      <c r="P379">
        <f t="shared" si="969"/>
        <v>0.48953974895397545</v>
      </c>
      <c r="Q379">
        <f t="shared" si="970"/>
        <v>34190005.173891254</v>
      </c>
      <c r="R379">
        <f t="shared" si="971"/>
        <v>256473702.93041503</v>
      </c>
      <c r="S379">
        <f t="shared" si="972"/>
        <v>2564.7370293041504</v>
      </c>
      <c r="T379">
        <f t="shared" si="973"/>
        <v>2.5647370293041503</v>
      </c>
    </row>
    <row r="380" spans="1:20" x14ac:dyDescent="0.25">
      <c r="A380" s="5">
        <v>44213</v>
      </c>
      <c r="B380">
        <v>0.21709999999999999</v>
      </c>
      <c r="C380">
        <v>0.2339</v>
      </c>
      <c r="D380">
        <v>0.21249999999999999</v>
      </c>
      <c r="E380">
        <v>0.2233</v>
      </c>
      <c r="F380">
        <v>68094431.849999994</v>
      </c>
      <c r="G380">
        <v>0</v>
      </c>
      <c r="L380" t="s">
        <v>8</v>
      </c>
      <c r="M380" t="s">
        <v>8</v>
      </c>
      <c r="N380" t="s">
        <v>7</v>
      </c>
      <c r="P380">
        <f t="shared" si="969"/>
        <v>9.3457943925236309E-3</v>
      </c>
      <c r="Q380">
        <f t="shared" si="970"/>
        <v>636396.55934581254</v>
      </c>
      <c r="R380">
        <f t="shared" si="971"/>
        <v>222283697.75652379</v>
      </c>
      <c r="S380">
        <f t="shared" si="972"/>
        <v>2222.8369775652377</v>
      </c>
      <c r="T380">
        <f t="shared" si="973"/>
        <v>2.2228369775652377</v>
      </c>
    </row>
    <row r="381" spans="1:20" x14ac:dyDescent="0.25">
      <c r="A381" s="5">
        <v>44212</v>
      </c>
      <c r="B381">
        <v>0.21360000000000001</v>
      </c>
      <c r="C381">
        <v>0.23</v>
      </c>
      <c r="D381">
        <v>0.20979999999999999</v>
      </c>
      <c r="E381">
        <v>0.21709999999999999</v>
      </c>
      <c r="F381">
        <v>72612628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-0.27722772277227797</v>
      </c>
      <c r="Q381">
        <f t="shared" si="970"/>
        <v>-20130233.504950549</v>
      </c>
      <c r="R381">
        <f t="shared" si="971"/>
        <v>221647301.19717798</v>
      </c>
      <c r="S381">
        <f t="shared" si="972"/>
        <v>2216.4730119717797</v>
      </c>
      <c r="T381">
        <f t="shared" si="973"/>
        <v>2.2164730119717797</v>
      </c>
    </row>
    <row r="382" spans="1:20" x14ac:dyDescent="0.25">
      <c r="A382" s="5">
        <v>44211</v>
      </c>
      <c r="B382">
        <v>0.22750000000000001</v>
      </c>
      <c r="C382">
        <v>0.2301</v>
      </c>
      <c r="D382">
        <v>0.20419999999999999</v>
      </c>
      <c r="E382">
        <v>0.21360000000000001</v>
      </c>
      <c r="F382">
        <v>80272367.010000005</v>
      </c>
      <c r="G382">
        <v>0</v>
      </c>
      <c r="L382" t="s">
        <v>7</v>
      </c>
      <c r="M382" t="s">
        <v>8</v>
      </c>
      <c r="N382" t="s">
        <v>7</v>
      </c>
      <c r="P382">
        <f t="shared" si="969"/>
        <v>-0.27413127413127281</v>
      </c>
      <c r="Q382">
        <f t="shared" si="970"/>
        <v>-22005166.24598445</v>
      </c>
      <c r="R382">
        <f t="shared" si="971"/>
        <v>241777534.70212853</v>
      </c>
      <c r="S382">
        <f t="shared" si="972"/>
        <v>2417.7753470212851</v>
      </c>
      <c r="T382">
        <f t="shared" si="973"/>
        <v>2.4177753470212853</v>
      </c>
    </row>
    <row r="383" spans="1:20" x14ac:dyDescent="0.25">
      <c r="A383" s="5">
        <v>44210</v>
      </c>
      <c r="B383">
        <v>0.2291</v>
      </c>
      <c r="C383">
        <v>0.23330000000000001</v>
      </c>
      <c r="D383">
        <v>0.21909999999999999</v>
      </c>
      <c r="E383">
        <v>0.22750000000000001</v>
      </c>
      <c r="F383">
        <v>85248615.489999995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0.18309859154929686</v>
      </c>
      <c r="Q383">
        <f t="shared" si="970"/>
        <v>15608901.427746572</v>
      </c>
      <c r="R383">
        <f t="shared" si="971"/>
        <v>263782700.94811299</v>
      </c>
      <c r="S383">
        <f t="shared" si="972"/>
        <v>2637.8270094811301</v>
      </c>
      <c r="T383">
        <f t="shared" si="973"/>
        <v>2.6378270094811302</v>
      </c>
    </row>
    <row r="384" spans="1:20" x14ac:dyDescent="0.25">
      <c r="A384" s="5">
        <v>44209</v>
      </c>
      <c r="B384">
        <v>0.2132</v>
      </c>
      <c r="C384">
        <v>0.23139999999999999</v>
      </c>
      <c r="D384">
        <v>0.20319999999999999</v>
      </c>
      <c r="E384">
        <v>0.22900000000000001</v>
      </c>
      <c r="F384">
        <v>99767861.379999995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0.82978723404255428</v>
      </c>
      <c r="Q384">
        <f t="shared" si="970"/>
        <v>82786097.740851164</v>
      </c>
      <c r="R384">
        <f t="shared" si="971"/>
        <v>248173799.52036643</v>
      </c>
      <c r="S384">
        <f t="shared" si="972"/>
        <v>2481.7379952036645</v>
      </c>
      <c r="T384">
        <f t="shared" si="973"/>
        <v>2.4817379952036647</v>
      </c>
    </row>
    <row r="385" spans="1:20" x14ac:dyDescent="0.25">
      <c r="A385" s="5">
        <v>44208</v>
      </c>
      <c r="B385">
        <v>0.21199999999999999</v>
      </c>
      <c r="C385">
        <v>0.22889999999999999</v>
      </c>
      <c r="D385">
        <v>0.20219999999999999</v>
      </c>
      <c r="E385">
        <v>0.21310000000000001</v>
      </c>
      <c r="F385">
        <v>41015566.450000003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-0.18352059925093481</v>
      </c>
      <c r="Q385">
        <f t="shared" si="970"/>
        <v>-7527201.3335205372</v>
      </c>
      <c r="R385">
        <f t="shared" si="971"/>
        <v>165387701.77951527</v>
      </c>
      <c r="S385">
        <f t="shared" si="972"/>
        <v>1653.8770177951526</v>
      </c>
      <c r="T385">
        <f t="shared" si="973"/>
        <v>1.6538770177951525</v>
      </c>
    </row>
    <row r="386" spans="1:20" x14ac:dyDescent="0.25">
      <c r="A386" s="5">
        <v>44207</v>
      </c>
      <c r="B386">
        <v>0.23319999999999999</v>
      </c>
      <c r="C386">
        <v>0.23330000000000001</v>
      </c>
      <c r="D386">
        <v>0.18809999999999999</v>
      </c>
      <c r="E386">
        <v>0.21229999999999999</v>
      </c>
      <c r="F386">
        <v>56478830.890000001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7.0796460176990691E-2</v>
      </c>
      <c r="Q386">
        <f t="shared" si="970"/>
        <v>3998501.3019468766</v>
      </c>
      <c r="R386">
        <f t="shared" si="971"/>
        <v>172914903.1130358</v>
      </c>
      <c r="S386">
        <f t="shared" si="972"/>
        <v>1729.149031130358</v>
      </c>
      <c r="T386">
        <f t="shared" si="973"/>
        <v>1.7291490311303581</v>
      </c>
    </row>
    <row r="387" spans="1:20" x14ac:dyDescent="0.25">
      <c r="A387" s="5">
        <v>44206</v>
      </c>
      <c r="B387">
        <v>0.2389</v>
      </c>
      <c r="C387">
        <v>0.2555</v>
      </c>
      <c r="D387">
        <v>0.21099999999999999</v>
      </c>
      <c r="E387">
        <v>0.23330000000000001</v>
      </c>
      <c r="F387">
        <v>52288383.990000002</v>
      </c>
      <c r="G387">
        <v>0</v>
      </c>
      <c r="L387" t="s">
        <v>8</v>
      </c>
      <c r="M387" t="s">
        <v>8</v>
      </c>
      <c r="N387" t="s">
        <v>7</v>
      </c>
      <c r="P387">
        <f t="shared" si="969"/>
        <v>2.2471910112363308E-3</v>
      </c>
      <c r="Q387">
        <f t="shared" si="970"/>
        <v>117501.98649440167</v>
      </c>
      <c r="R387">
        <f t="shared" si="971"/>
        <v>168916401.81108892</v>
      </c>
      <c r="S387">
        <f t="shared" si="972"/>
        <v>1689.1640181108892</v>
      </c>
      <c r="T387">
        <f t="shared" si="973"/>
        <v>1.6891640181108891</v>
      </c>
    </row>
    <row r="388" spans="1:20" x14ac:dyDescent="0.25">
      <c r="A388" s="5">
        <v>44205</v>
      </c>
      <c r="B388">
        <v>0.23100000000000001</v>
      </c>
      <c r="C388">
        <v>0.24790000000000001</v>
      </c>
      <c r="D388">
        <v>0.22159999999999999</v>
      </c>
      <c r="E388">
        <v>0.2389</v>
      </c>
      <c r="F388">
        <v>41841046.840000004</v>
      </c>
      <c r="G388">
        <v>0</v>
      </c>
      <c r="L388" t="s">
        <v>8</v>
      </c>
      <c r="M388" t="s">
        <v>7</v>
      </c>
      <c r="N388" t="s">
        <v>7</v>
      </c>
      <c r="P388">
        <f t="shared" si="969"/>
        <v>0.31558935361216717</v>
      </c>
      <c r="Q388">
        <f t="shared" si="970"/>
        <v>13204588.926692011</v>
      </c>
      <c r="R388">
        <f t="shared" si="971"/>
        <v>168798899.82459453</v>
      </c>
      <c r="S388">
        <f t="shared" si="972"/>
        <v>1687.9889982459454</v>
      </c>
      <c r="T388">
        <f t="shared" si="973"/>
        <v>1.6879889982459453</v>
      </c>
    </row>
    <row r="389" spans="1:20" x14ac:dyDescent="0.25">
      <c r="A389" s="5">
        <v>44204</v>
      </c>
      <c r="B389">
        <v>0.24490000000000001</v>
      </c>
      <c r="C389">
        <v>0.26900000000000002</v>
      </c>
      <c r="D389">
        <v>0.216</v>
      </c>
      <c r="E389">
        <v>0.23100000000000001</v>
      </c>
      <c r="F389">
        <v>76707924.75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-0.43396226415094308</v>
      </c>
      <c r="Q389">
        <f t="shared" si="970"/>
        <v>-33288344.702830166</v>
      </c>
      <c r="R389">
        <f t="shared" si="971"/>
        <v>155594310.89790252</v>
      </c>
      <c r="S389">
        <f t="shared" si="972"/>
        <v>1555.9431089790253</v>
      </c>
      <c r="T389">
        <f t="shared" si="973"/>
        <v>1.5559431089790252</v>
      </c>
    </row>
    <row r="390" spans="1:20" x14ac:dyDescent="0.25">
      <c r="A390" s="5">
        <v>44203</v>
      </c>
      <c r="B390">
        <v>0.25580000000000003</v>
      </c>
      <c r="C390">
        <v>0.28000000000000003</v>
      </c>
      <c r="D390">
        <v>0.23580000000000001</v>
      </c>
      <c r="E390">
        <v>0.24490000000000001</v>
      </c>
      <c r="F390">
        <v>83147158.170000002</v>
      </c>
      <c r="G390">
        <v>0</v>
      </c>
      <c r="L390" t="s">
        <v>7</v>
      </c>
      <c r="M390" t="s">
        <v>7</v>
      </c>
      <c r="N390" t="s">
        <v>8</v>
      </c>
      <c r="P390">
        <f t="shared" ref="P390:P453" si="974">IF(C390=D390,0,((E390-D390)-(C390-E390))/(C390-D390))</f>
        <v>-0.5882352941176473</v>
      </c>
      <c r="Q390">
        <f t="shared" ref="Q390:Q453" si="975">F390*P390</f>
        <v>-48910093.04117649</v>
      </c>
      <c r="R390">
        <f t="shared" ref="R390:R453" si="976">R391+Q390</f>
        <v>188882655.60073268</v>
      </c>
      <c r="S390">
        <f t="shared" ref="S390:S453" si="977">R390/100000</f>
        <v>1888.8265560073269</v>
      </c>
      <c r="T390">
        <f t="shared" ref="T390:T453" si="978">S390/1000</f>
        <v>1.888826556007327</v>
      </c>
    </row>
    <row r="391" spans="1:20" x14ac:dyDescent="0.25">
      <c r="A391" s="5">
        <v>44202</v>
      </c>
      <c r="B391">
        <v>0.20480000000000001</v>
      </c>
      <c r="C391">
        <v>0.29399999999999998</v>
      </c>
      <c r="D391">
        <v>0.19800000000000001</v>
      </c>
      <c r="E391">
        <v>0.25590000000000002</v>
      </c>
      <c r="F391">
        <v>190437366.00999999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0.20625000000000046</v>
      </c>
      <c r="Q391">
        <f t="shared" si="975"/>
        <v>39277706.739562586</v>
      </c>
      <c r="R391">
        <f t="shared" si="976"/>
        <v>237792748.64190918</v>
      </c>
      <c r="S391">
        <f t="shared" si="977"/>
        <v>2377.927486419092</v>
      </c>
      <c r="T391">
        <f t="shared" si="978"/>
        <v>2.3779274864190922</v>
      </c>
    </row>
    <row r="392" spans="1:20" x14ac:dyDescent="0.25">
      <c r="A392" s="5">
        <v>44201</v>
      </c>
      <c r="B392">
        <v>0.2046</v>
      </c>
      <c r="C392">
        <v>0.21540000000000001</v>
      </c>
      <c r="D392">
        <v>0.19270000000000001</v>
      </c>
      <c r="E392">
        <v>0.20480000000000001</v>
      </c>
      <c r="F392">
        <v>35599786.43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6.6079295154185091E-2</v>
      </c>
      <c r="Q392">
        <f t="shared" si="975"/>
        <v>2352408.7949339231</v>
      </c>
      <c r="R392">
        <f t="shared" si="976"/>
        <v>198515041.90234661</v>
      </c>
      <c r="S392">
        <f t="shared" si="977"/>
        <v>1985.1504190234662</v>
      </c>
      <c r="T392">
        <f t="shared" si="978"/>
        <v>1.9851504190234661</v>
      </c>
    </row>
    <row r="393" spans="1:20" x14ac:dyDescent="0.25">
      <c r="A393" s="5">
        <v>44200</v>
      </c>
      <c r="B393">
        <v>0.21099999999999999</v>
      </c>
      <c r="C393">
        <v>0.223</v>
      </c>
      <c r="D393">
        <v>0.18</v>
      </c>
      <c r="E393">
        <v>0.20449999999999999</v>
      </c>
      <c r="F393">
        <v>60160618.289999999</v>
      </c>
      <c r="G393">
        <v>0</v>
      </c>
      <c r="L393" t="s">
        <v>7</v>
      </c>
      <c r="M393" t="s">
        <v>7</v>
      </c>
      <c r="N393" t="s">
        <v>8</v>
      </c>
      <c r="P393">
        <f t="shared" si="974"/>
        <v>0.13953488372092968</v>
      </c>
      <c r="Q393">
        <f t="shared" si="975"/>
        <v>8394504.877674384</v>
      </c>
      <c r="R393">
        <f t="shared" si="976"/>
        <v>196162633.1074127</v>
      </c>
      <c r="S393">
        <f t="shared" si="977"/>
        <v>1961.6263310741269</v>
      </c>
      <c r="T393">
        <f t="shared" si="978"/>
        <v>1.9616263310741269</v>
      </c>
    </row>
    <row r="394" spans="1:20" x14ac:dyDescent="0.25">
      <c r="A394" s="5">
        <v>44199</v>
      </c>
      <c r="B394">
        <v>0.2031</v>
      </c>
      <c r="C394">
        <v>0.2198</v>
      </c>
      <c r="D394">
        <v>0.1875</v>
      </c>
      <c r="E394">
        <v>0.21099999999999999</v>
      </c>
      <c r="F394">
        <v>57749019.119999997</v>
      </c>
      <c r="G394">
        <v>0</v>
      </c>
      <c r="L394" t="s">
        <v>7</v>
      </c>
      <c r="M394" t="s">
        <v>7</v>
      </c>
      <c r="N394" t="s">
        <v>8</v>
      </c>
      <c r="P394">
        <f t="shared" si="974"/>
        <v>0.45510835913312669</v>
      </c>
      <c r="Q394">
        <f t="shared" si="975"/>
        <v>26282061.333250757</v>
      </c>
      <c r="R394">
        <f t="shared" si="976"/>
        <v>187768128.22973832</v>
      </c>
      <c r="S394">
        <f t="shared" si="977"/>
        <v>1877.6812822973832</v>
      </c>
      <c r="T394">
        <f t="shared" si="978"/>
        <v>1.8776812822973832</v>
      </c>
    </row>
    <row r="395" spans="1:20" x14ac:dyDescent="0.25">
      <c r="A395" s="5">
        <v>44198</v>
      </c>
      <c r="B395">
        <v>0.222</v>
      </c>
      <c r="C395">
        <v>0.2225</v>
      </c>
      <c r="D395">
        <v>0.19900000000000001</v>
      </c>
      <c r="E395">
        <v>0.2031</v>
      </c>
      <c r="F395">
        <v>31598903.120000001</v>
      </c>
      <c r="G395">
        <v>0</v>
      </c>
      <c r="L395" t="s">
        <v>7</v>
      </c>
      <c r="M395" t="s">
        <v>7</v>
      </c>
      <c r="N395" t="s">
        <v>8</v>
      </c>
      <c r="P395">
        <f t="shared" si="974"/>
        <v>-0.65106382978723454</v>
      </c>
      <c r="Q395">
        <f t="shared" si="975"/>
        <v>-20572902.882382996</v>
      </c>
      <c r="R395">
        <f t="shared" si="976"/>
        <v>161486066.89648756</v>
      </c>
      <c r="S395">
        <f t="shared" si="977"/>
        <v>1614.8606689648757</v>
      </c>
      <c r="T395">
        <f t="shared" si="978"/>
        <v>1.6148606689648757</v>
      </c>
    </row>
    <row r="396" spans="1:20" x14ac:dyDescent="0.25">
      <c r="A396" s="5">
        <v>44197</v>
      </c>
      <c r="B396">
        <v>0.2056</v>
      </c>
      <c r="C396">
        <v>0.24610000000000001</v>
      </c>
      <c r="D396">
        <v>0.2054</v>
      </c>
      <c r="E396">
        <v>0.22170000000000001</v>
      </c>
      <c r="F396">
        <v>61958039.299999997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-0.19901719901719886</v>
      </c>
      <c r="Q396">
        <f t="shared" si="975"/>
        <v>-12330715.438083528</v>
      </c>
      <c r="R396">
        <f t="shared" si="976"/>
        <v>182058969.77887055</v>
      </c>
      <c r="S396">
        <f t="shared" si="977"/>
        <v>1820.5896977887055</v>
      </c>
      <c r="T396">
        <f t="shared" si="978"/>
        <v>1.8205896977887055</v>
      </c>
    </row>
    <row r="397" spans="1:20" x14ac:dyDescent="0.25">
      <c r="A397" s="5">
        <v>44196</v>
      </c>
      <c r="B397">
        <v>0.19550000000000001</v>
      </c>
      <c r="C397">
        <v>0.20749999999999999</v>
      </c>
      <c r="D397">
        <v>0.17469999999999999</v>
      </c>
      <c r="E397">
        <v>0.20569999999999999</v>
      </c>
      <c r="F397">
        <v>60724653.090000004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0.89024390243902463</v>
      </c>
      <c r="Q397">
        <f t="shared" si="975"/>
        <v>54059752.141097575</v>
      </c>
      <c r="R397">
        <f t="shared" si="976"/>
        <v>194389685.21695408</v>
      </c>
      <c r="S397">
        <f t="shared" si="977"/>
        <v>1943.8968521695408</v>
      </c>
      <c r="T397">
        <f t="shared" si="978"/>
        <v>1.9438968521695408</v>
      </c>
    </row>
    <row r="398" spans="1:20" x14ac:dyDescent="0.25">
      <c r="A398" s="5">
        <v>44195</v>
      </c>
      <c r="B398">
        <v>0.223</v>
      </c>
      <c r="C398">
        <v>0.2276</v>
      </c>
      <c r="D398">
        <v>0.19</v>
      </c>
      <c r="E398">
        <v>0.19539999999999999</v>
      </c>
      <c r="F398">
        <v>35792944.859999999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-0.71276595744680915</v>
      </c>
      <c r="Q398">
        <f t="shared" si="975"/>
        <v>-25511992.612978745</v>
      </c>
      <c r="R398">
        <f t="shared" si="976"/>
        <v>140329933.07585651</v>
      </c>
      <c r="S398">
        <f t="shared" si="977"/>
        <v>1403.299330758565</v>
      </c>
      <c r="T398">
        <f t="shared" si="978"/>
        <v>1.4032993307585651</v>
      </c>
    </row>
    <row r="399" spans="1:20" x14ac:dyDescent="0.25">
      <c r="A399" s="5">
        <v>44194</v>
      </c>
      <c r="B399">
        <v>0.23</v>
      </c>
      <c r="C399">
        <v>0.2364</v>
      </c>
      <c r="D399">
        <v>0.20810000000000001</v>
      </c>
      <c r="E399">
        <v>0.2228</v>
      </c>
      <c r="F399">
        <v>28842477.079999998</v>
      </c>
      <c r="G399">
        <v>0</v>
      </c>
      <c r="L399" t="s">
        <v>7</v>
      </c>
      <c r="M399" t="s">
        <v>7</v>
      </c>
      <c r="N399" t="s">
        <v>8</v>
      </c>
      <c r="P399">
        <f t="shared" si="974"/>
        <v>3.8869257950529687E-2</v>
      </c>
      <c r="Q399">
        <f t="shared" si="975"/>
        <v>1121085.6815547603</v>
      </c>
      <c r="R399">
        <f t="shared" si="976"/>
        <v>165841925.68883526</v>
      </c>
      <c r="S399">
        <f t="shared" si="977"/>
        <v>1658.4192568883527</v>
      </c>
      <c r="T399">
        <f t="shared" si="978"/>
        <v>1.6584192568883527</v>
      </c>
    </row>
    <row r="400" spans="1:20" x14ac:dyDescent="0.25">
      <c r="A400" s="5">
        <v>44193</v>
      </c>
      <c r="B400">
        <v>0.23630000000000001</v>
      </c>
      <c r="C400">
        <v>0.2427</v>
      </c>
      <c r="D400">
        <v>0.22819999999999999</v>
      </c>
      <c r="E400">
        <v>0.23</v>
      </c>
      <c r="F400">
        <v>23423988.510000002</v>
      </c>
      <c r="G400">
        <v>0</v>
      </c>
      <c r="L400" t="s">
        <v>8</v>
      </c>
      <c r="M400" t="s">
        <v>7</v>
      </c>
      <c r="N400" t="s">
        <v>8</v>
      </c>
      <c r="P400">
        <f t="shared" si="974"/>
        <v>-0.75172413793103143</v>
      </c>
      <c r="Q400">
        <f t="shared" si="975"/>
        <v>-17608377.569586135</v>
      </c>
      <c r="R400">
        <f t="shared" si="976"/>
        <v>164720840.0072805</v>
      </c>
      <c r="S400">
        <f t="shared" si="977"/>
        <v>1647.208400072805</v>
      </c>
      <c r="T400">
        <f t="shared" si="978"/>
        <v>1.6472084000728051</v>
      </c>
    </row>
    <row r="401" spans="1:20" x14ac:dyDescent="0.25">
      <c r="A401" s="5">
        <v>44192</v>
      </c>
      <c r="B401">
        <v>0.23619999999999999</v>
      </c>
      <c r="C401">
        <v>0.24399999999999999</v>
      </c>
      <c r="D401">
        <v>0.21199999999999999</v>
      </c>
      <c r="E401">
        <v>0.2356</v>
      </c>
      <c r="F401">
        <v>41781282.530000001</v>
      </c>
      <c r="G401">
        <v>0</v>
      </c>
      <c r="L401" t="s">
        <v>7</v>
      </c>
      <c r="M401" t="s">
        <v>7</v>
      </c>
      <c r="N401" t="s">
        <v>8</v>
      </c>
      <c r="P401">
        <f t="shared" si="974"/>
        <v>0.47500000000000059</v>
      </c>
      <c r="Q401">
        <f t="shared" si="975"/>
        <v>19846109.201750025</v>
      </c>
      <c r="R401">
        <f t="shared" si="976"/>
        <v>182329217.57686663</v>
      </c>
      <c r="S401">
        <f t="shared" si="977"/>
        <v>1823.2921757686663</v>
      </c>
      <c r="T401">
        <f t="shared" si="978"/>
        <v>1.8232921757686662</v>
      </c>
    </row>
    <row r="402" spans="1:20" x14ac:dyDescent="0.25">
      <c r="A402" s="5">
        <v>44191</v>
      </c>
      <c r="B402">
        <v>0.2447</v>
      </c>
      <c r="C402">
        <v>0.25790000000000002</v>
      </c>
      <c r="D402">
        <v>0.23169999999999999</v>
      </c>
      <c r="E402">
        <v>0.2364</v>
      </c>
      <c r="F402">
        <v>24831698.030000001</v>
      </c>
      <c r="G402">
        <v>0</v>
      </c>
      <c r="L402" t="s">
        <v>7</v>
      </c>
      <c r="M402" t="s">
        <v>8</v>
      </c>
      <c r="N402" t="s">
        <v>8</v>
      </c>
      <c r="P402">
        <f t="shared" si="974"/>
        <v>-0.64122137404580115</v>
      </c>
      <c r="Q402">
        <f t="shared" si="975"/>
        <v>-15922615.530687014</v>
      </c>
      <c r="R402">
        <f t="shared" si="976"/>
        <v>162483108.37511659</v>
      </c>
      <c r="S402">
        <f t="shared" si="977"/>
        <v>1624.8310837511658</v>
      </c>
      <c r="T402">
        <f t="shared" si="978"/>
        <v>1.6248310837511659</v>
      </c>
    </row>
    <row r="403" spans="1:20" x14ac:dyDescent="0.25">
      <c r="A403" s="5">
        <v>44190</v>
      </c>
      <c r="B403">
        <v>0.25700000000000001</v>
      </c>
      <c r="C403">
        <v>0.27239999999999998</v>
      </c>
      <c r="D403">
        <v>0.23519999999999999</v>
      </c>
      <c r="E403">
        <v>0.24410000000000001</v>
      </c>
      <c r="F403">
        <v>41885165.890000001</v>
      </c>
      <c r="G403">
        <v>0</v>
      </c>
      <c r="L403" t="s">
        <v>8</v>
      </c>
      <c r="M403" t="s">
        <v>8</v>
      </c>
      <c r="N403" t="s">
        <v>8</v>
      </c>
      <c r="P403">
        <f t="shared" si="974"/>
        <v>-0.52150537634408478</v>
      </c>
      <c r="Q403">
        <f t="shared" si="975"/>
        <v>-21843339.200698875</v>
      </c>
      <c r="R403">
        <f t="shared" si="976"/>
        <v>178405723.90580359</v>
      </c>
      <c r="S403">
        <f t="shared" si="977"/>
        <v>1784.057239058036</v>
      </c>
      <c r="T403">
        <f t="shared" si="978"/>
        <v>1.784057239058036</v>
      </c>
    </row>
    <row r="404" spans="1:20" x14ac:dyDescent="0.25">
      <c r="A404" s="5">
        <v>44189</v>
      </c>
      <c r="B404">
        <v>0.23280000000000001</v>
      </c>
      <c r="C404">
        <v>0.2646</v>
      </c>
      <c r="D404">
        <v>0.191</v>
      </c>
      <c r="E404">
        <v>0.25669999999999998</v>
      </c>
      <c r="F404">
        <v>103502085.72</v>
      </c>
      <c r="G404">
        <v>0</v>
      </c>
      <c r="L404" t="s">
        <v>7</v>
      </c>
      <c r="M404" t="s">
        <v>8</v>
      </c>
      <c r="N404" t="s">
        <v>8</v>
      </c>
      <c r="P404">
        <f t="shared" si="974"/>
        <v>0.78532608695652129</v>
      </c>
      <c r="Q404">
        <f t="shared" si="975"/>
        <v>81282887.970326036</v>
      </c>
      <c r="R404">
        <f t="shared" si="976"/>
        <v>200249063.10650247</v>
      </c>
      <c r="S404">
        <f t="shared" si="977"/>
        <v>2002.4906310650247</v>
      </c>
      <c r="T404">
        <f t="shared" si="978"/>
        <v>2.0024906310650246</v>
      </c>
    </row>
    <row r="405" spans="1:20" x14ac:dyDescent="0.25">
      <c r="A405" s="5">
        <v>44188</v>
      </c>
      <c r="B405">
        <v>0.27800000000000002</v>
      </c>
      <c r="C405">
        <v>0.29959999999999998</v>
      </c>
      <c r="D405">
        <v>0.19600000000000001</v>
      </c>
      <c r="E405">
        <v>0.23280000000000001</v>
      </c>
      <c r="F405">
        <v>56418545.630000003</v>
      </c>
      <c r="G405">
        <v>0</v>
      </c>
      <c r="L405" t="s">
        <v>8</v>
      </c>
      <c r="M405" t="s">
        <v>7</v>
      </c>
      <c r="N405" t="s">
        <v>7</v>
      </c>
      <c r="P405">
        <f t="shared" si="974"/>
        <v>-0.28957528957528939</v>
      </c>
      <c r="Q405">
        <f t="shared" si="975"/>
        <v>-16337416.688223928</v>
      </c>
      <c r="R405">
        <f t="shared" si="976"/>
        <v>118966175.13617644</v>
      </c>
      <c r="S405">
        <f t="shared" si="977"/>
        <v>1189.6617513617643</v>
      </c>
      <c r="T405">
        <f t="shared" si="978"/>
        <v>1.1896617513617644</v>
      </c>
    </row>
    <row r="406" spans="1:20" x14ac:dyDescent="0.25">
      <c r="A406" s="5">
        <v>44187</v>
      </c>
      <c r="B406">
        <v>0.27450000000000002</v>
      </c>
      <c r="C406">
        <v>0.28249999999999997</v>
      </c>
      <c r="D406">
        <v>0.25619999999999998</v>
      </c>
      <c r="E406">
        <v>0.2777</v>
      </c>
      <c r="F406">
        <v>27133649.59</v>
      </c>
      <c r="G406">
        <v>0</v>
      </c>
      <c r="L406" t="s">
        <v>8</v>
      </c>
      <c r="M406" t="s">
        <v>7</v>
      </c>
      <c r="N406" t="s">
        <v>8</v>
      </c>
      <c r="P406">
        <f t="shared" si="974"/>
        <v>0.63498098859315799</v>
      </c>
      <c r="Q406">
        <f t="shared" si="975"/>
        <v>17229351.640798535</v>
      </c>
      <c r="R406">
        <f t="shared" si="976"/>
        <v>135303591.82440037</v>
      </c>
      <c r="S406">
        <f t="shared" si="977"/>
        <v>1353.0359182440036</v>
      </c>
      <c r="T406">
        <f t="shared" si="978"/>
        <v>1.3530359182440035</v>
      </c>
    </row>
    <row r="407" spans="1:20" x14ac:dyDescent="0.25">
      <c r="A407" s="5">
        <v>44186</v>
      </c>
      <c r="B407">
        <v>0.28999999999999998</v>
      </c>
      <c r="C407">
        <v>0.31180000000000002</v>
      </c>
      <c r="D407">
        <v>0.25979999999999998</v>
      </c>
      <c r="E407">
        <v>0.27439999999999998</v>
      </c>
      <c r="F407">
        <v>31980454.949999999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-0.4384615384615389</v>
      </c>
      <c r="Q407">
        <f t="shared" si="975"/>
        <v>-14022199.478076937</v>
      </c>
      <c r="R407">
        <f t="shared" si="976"/>
        <v>118074240.18360184</v>
      </c>
      <c r="S407">
        <f t="shared" si="977"/>
        <v>1180.7424018360184</v>
      </c>
      <c r="T407">
        <f t="shared" si="978"/>
        <v>1.1807424018360184</v>
      </c>
    </row>
    <row r="408" spans="1:20" x14ac:dyDescent="0.25">
      <c r="A408" s="5">
        <v>44185</v>
      </c>
      <c r="B408">
        <v>0.29770000000000002</v>
      </c>
      <c r="C408">
        <v>0.3044</v>
      </c>
      <c r="D408">
        <v>0.27450000000000002</v>
      </c>
      <c r="E408">
        <v>0.28999999999999998</v>
      </c>
      <c r="F408">
        <v>21482918.75</v>
      </c>
      <c r="G408">
        <v>0</v>
      </c>
      <c r="L408" t="s">
        <v>7</v>
      </c>
      <c r="M408" t="s">
        <v>8</v>
      </c>
      <c r="N408" t="s">
        <v>8</v>
      </c>
      <c r="P408">
        <f t="shared" si="974"/>
        <v>3.6789297658860701E-2</v>
      </c>
      <c r="Q408">
        <f t="shared" si="975"/>
        <v>790341.49247486971</v>
      </c>
      <c r="R408">
        <f t="shared" si="976"/>
        <v>132096439.66167878</v>
      </c>
      <c r="S408">
        <f t="shared" si="977"/>
        <v>1320.9643966167878</v>
      </c>
      <c r="T408">
        <f t="shared" si="978"/>
        <v>1.3209643966167879</v>
      </c>
    </row>
    <row r="409" spans="1:20" x14ac:dyDescent="0.25">
      <c r="A409" s="5">
        <v>44184</v>
      </c>
      <c r="B409">
        <v>0.30380000000000001</v>
      </c>
      <c r="C409">
        <v>0.32</v>
      </c>
      <c r="D409">
        <v>0.29399999999999998</v>
      </c>
      <c r="E409">
        <v>0.29770000000000002</v>
      </c>
      <c r="F409">
        <v>39502925.93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-0.71538461538461284</v>
      </c>
      <c r="Q409">
        <f t="shared" si="975"/>
        <v>-28259785.472999901</v>
      </c>
      <c r="R409">
        <f t="shared" si="976"/>
        <v>131306098.16920391</v>
      </c>
      <c r="S409">
        <f t="shared" si="977"/>
        <v>1313.0609816920391</v>
      </c>
      <c r="T409">
        <f t="shared" si="978"/>
        <v>1.3130609816920391</v>
      </c>
    </row>
    <row r="410" spans="1:20" x14ac:dyDescent="0.25">
      <c r="A410" s="5">
        <v>44183</v>
      </c>
      <c r="B410">
        <v>0.28039999999999998</v>
      </c>
      <c r="C410">
        <v>0.31569999999999998</v>
      </c>
      <c r="D410">
        <v>0.26590000000000003</v>
      </c>
      <c r="E410">
        <v>0.30430000000000001</v>
      </c>
      <c r="F410">
        <v>61827005.049999997</v>
      </c>
      <c r="G410">
        <v>0</v>
      </c>
      <c r="L410" t="s">
        <v>8</v>
      </c>
      <c r="M410" t="s">
        <v>8</v>
      </c>
      <c r="N410" t="s">
        <v>8</v>
      </c>
      <c r="P410">
        <f t="shared" si="974"/>
        <v>0.54216867469879615</v>
      </c>
      <c r="Q410">
        <f t="shared" si="975"/>
        <v>33520665.388554275</v>
      </c>
      <c r="R410">
        <f t="shared" si="976"/>
        <v>159565883.64220381</v>
      </c>
      <c r="S410">
        <f t="shared" si="977"/>
        <v>1595.6588364220381</v>
      </c>
      <c r="T410">
        <f t="shared" si="978"/>
        <v>1.5956588364220381</v>
      </c>
    </row>
    <row r="411" spans="1:20" x14ac:dyDescent="0.25">
      <c r="A411" s="5">
        <v>44182</v>
      </c>
      <c r="B411">
        <v>0.25700000000000001</v>
      </c>
      <c r="C411">
        <v>0.2964</v>
      </c>
      <c r="D411">
        <v>0.2472</v>
      </c>
      <c r="E411">
        <v>0.28070000000000001</v>
      </c>
      <c r="F411">
        <v>52578942.850000001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0.36178861788617911</v>
      </c>
      <c r="Q411">
        <f t="shared" si="975"/>
        <v>19022463.0636179</v>
      </c>
      <c r="R411">
        <f t="shared" si="976"/>
        <v>126045218.25364955</v>
      </c>
      <c r="S411">
        <f t="shared" si="977"/>
        <v>1260.4521825364955</v>
      </c>
      <c r="T411">
        <f t="shared" si="978"/>
        <v>1.2604521825364954</v>
      </c>
    </row>
    <row r="412" spans="1:20" x14ac:dyDescent="0.25">
      <c r="A412" s="5">
        <v>44181</v>
      </c>
      <c r="B412">
        <v>0.24679999999999999</v>
      </c>
      <c r="C412">
        <v>0.26119999999999999</v>
      </c>
      <c r="D412">
        <v>0.2344</v>
      </c>
      <c r="E412">
        <v>0.25700000000000001</v>
      </c>
      <c r="F412">
        <v>26756605.960000001</v>
      </c>
      <c r="G412">
        <v>0</v>
      </c>
      <c r="L412" t="s">
        <v>8</v>
      </c>
      <c r="M412" t="s">
        <v>8</v>
      </c>
      <c r="N412" t="s">
        <v>8</v>
      </c>
      <c r="P412">
        <f t="shared" si="974"/>
        <v>0.68656716417910579</v>
      </c>
      <c r="Q412">
        <f t="shared" si="975"/>
        <v>18370207.07701496</v>
      </c>
      <c r="R412">
        <f t="shared" si="976"/>
        <v>107022755.19003165</v>
      </c>
      <c r="S412">
        <f t="shared" si="977"/>
        <v>1070.2275519003165</v>
      </c>
      <c r="T412">
        <f t="shared" si="978"/>
        <v>1.0702275519003164</v>
      </c>
    </row>
    <row r="413" spans="1:20" x14ac:dyDescent="0.25">
      <c r="A413" s="5">
        <v>44180</v>
      </c>
      <c r="B413">
        <v>0.2487</v>
      </c>
      <c r="C413">
        <v>0.25490000000000002</v>
      </c>
      <c r="D413">
        <v>0.23719999999999999</v>
      </c>
      <c r="E413">
        <v>0.2465</v>
      </c>
      <c r="F413">
        <v>15231751.439999999</v>
      </c>
      <c r="G413">
        <v>0</v>
      </c>
      <c r="L413" t="s">
        <v>8</v>
      </c>
      <c r="M413" t="s">
        <v>8</v>
      </c>
      <c r="N413" t="s">
        <v>8</v>
      </c>
      <c r="P413">
        <f t="shared" si="974"/>
        <v>5.084745762711769E-2</v>
      </c>
      <c r="Q413">
        <f t="shared" si="975"/>
        <v>774495.83593218878</v>
      </c>
      <c r="R413">
        <f t="shared" si="976"/>
        <v>88652548.113016695</v>
      </c>
      <c r="S413">
        <f t="shared" si="977"/>
        <v>886.5254811301669</v>
      </c>
      <c r="T413">
        <f t="shared" si="978"/>
        <v>0.88652548113016694</v>
      </c>
    </row>
    <row r="414" spans="1:20" x14ac:dyDescent="0.25">
      <c r="A414" s="5">
        <v>44179</v>
      </c>
      <c r="B414">
        <v>0.25490000000000002</v>
      </c>
      <c r="C414">
        <v>0.2616</v>
      </c>
      <c r="D414">
        <v>0.23380000000000001</v>
      </c>
      <c r="E414">
        <v>0.24859999999999999</v>
      </c>
      <c r="F414">
        <v>25421960.41</v>
      </c>
      <c r="G414">
        <v>0</v>
      </c>
      <c r="L414" t="s">
        <v>7</v>
      </c>
      <c r="M414" t="s">
        <v>8</v>
      </c>
      <c r="N414" t="s">
        <v>8</v>
      </c>
      <c r="P414">
        <f t="shared" si="974"/>
        <v>6.4748201438847797E-2</v>
      </c>
      <c r="Q414">
        <f t="shared" si="975"/>
        <v>1646026.2135970937</v>
      </c>
      <c r="R414">
        <f t="shared" si="976"/>
        <v>87878052.2770845</v>
      </c>
      <c r="S414">
        <f t="shared" si="977"/>
        <v>878.78052277084498</v>
      </c>
      <c r="T414">
        <f t="shared" si="978"/>
        <v>0.87878052277084495</v>
      </c>
    </row>
    <row r="415" spans="1:20" x14ac:dyDescent="0.25">
      <c r="A415" s="5">
        <v>44178</v>
      </c>
      <c r="B415">
        <v>0.26400000000000001</v>
      </c>
      <c r="C415">
        <v>0.27539999999999998</v>
      </c>
      <c r="D415">
        <v>0.24890000000000001</v>
      </c>
      <c r="E415">
        <v>0.255</v>
      </c>
      <c r="F415">
        <v>43712387.369999997</v>
      </c>
      <c r="G415">
        <v>0</v>
      </c>
      <c r="L415" t="s">
        <v>8</v>
      </c>
      <c r="M415" t="s">
        <v>8</v>
      </c>
      <c r="N415" t="s">
        <v>8</v>
      </c>
      <c r="P415">
        <f t="shared" si="974"/>
        <v>-0.53962264150943384</v>
      </c>
      <c r="Q415">
        <f t="shared" si="975"/>
        <v>-23588193.939283013</v>
      </c>
      <c r="R415">
        <f t="shared" si="976"/>
        <v>86232026.063487411</v>
      </c>
      <c r="S415">
        <f t="shared" si="977"/>
        <v>862.3202606348741</v>
      </c>
      <c r="T415">
        <f t="shared" si="978"/>
        <v>0.8623202606348741</v>
      </c>
    </row>
    <row r="416" spans="1:20" x14ac:dyDescent="0.25">
      <c r="A416" s="5">
        <v>44177</v>
      </c>
      <c r="B416">
        <v>0.20380000000000001</v>
      </c>
      <c r="C416">
        <v>0.26550000000000001</v>
      </c>
      <c r="D416">
        <v>0.20380000000000001</v>
      </c>
      <c r="E416">
        <v>0.2641</v>
      </c>
      <c r="F416">
        <v>76495806.549999997</v>
      </c>
      <c r="G416">
        <v>0</v>
      </c>
      <c r="L416" t="s">
        <v>8</v>
      </c>
      <c r="M416" t="s">
        <v>8</v>
      </c>
      <c r="N416" t="s">
        <v>8</v>
      </c>
      <c r="P416">
        <f t="shared" si="974"/>
        <v>0.9546191247974064</v>
      </c>
      <c r="Q416">
        <f t="shared" si="975"/>
        <v>73024359.899432704</v>
      </c>
      <c r="R416">
        <f t="shared" si="976"/>
        <v>109820220.00277042</v>
      </c>
      <c r="S416">
        <f t="shared" si="977"/>
        <v>1098.2022000277043</v>
      </c>
      <c r="T416">
        <f t="shared" si="978"/>
        <v>1.0982022000277043</v>
      </c>
    </row>
    <row r="417" spans="1:20" x14ac:dyDescent="0.25">
      <c r="A417" s="5">
        <v>44176</v>
      </c>
      <c r="B417">
        <v>0.21729999999999999</v>
      </c>
      <c r="C417">
        <v>0.21790000000000001</v>
      </c>
      <c r="D417">
        <v>0.19500000000000001</v>
      </c>
      <c r="E417">
        <v>0.20419999999999999</v>
      </c>
      <c r="F417">
        <v>19305547.82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-0.19650655021834196</v>
      </c>
      <c r="Q417">
        <f t="shared" si="975"/>
        <v>-3793666.6021834323</v>
      </c>
      <c r="R417">
        <f t="shared" si="976"/>
        <v>36795860.103337713</v>
      </c>
      <c r="S417">
        <f t="shared" si="977"/>
        <v>367.95860103337714</v>
      </c>
      <c r="T417">
        <f t="shared" si="978"/>
        <v>0.36795860103337713</v>
      </c>
    </row>
    <row r="418" spans="1:20" x14ac:dyDescent="0.25">
      <c r="A418" s="5">
        <v>44175</v>
      </c>
      <c r="B418">
        <v>0.217</v>
      </c>
      <c r="C418">
        <v>0.23430000000000001</v>
      </c>
      <c r="D418">
        <v>0.20930000000000001</v>
      </c>
      <c r="E418">
        <v>0.21729999999999999</v>
      </c>
      <c r="F418">
        <v>21142984.870000001</v>
      </c>
      <c r="G418">
        <v>0</v>
      </c>
      <c r="L418" t="s">
        <v>8</v>
      </c>
      <c r="M418" t="s">
        <v>8</v>
      </c>
      <c r="N418" t="s">
        <v>7</v>
      </c>
      <c r="P418">
        <f t="shared" si="974"/>
        <v>-0.36000000000000149</v>
      </c>
      <c r="Q418">
        <f t="shared" si="975"/>
        <v>-7611474.5532000316</v>
      </c>
      <c r="R418">
        <f t="shared" si="976"/>
        <v>40589526.705521144</v>
      </c>
      <c r="S418">
        <f t="shared" si="977"/>
        <v>405.89526705521143</v>
      </c>
      <c r="T418">
        <f t="shared" si="978"/>
        <v>0.40589526705521145</v>
      </c>
    </row>
    <row r="419" spans="1:20" x14ac:dyDescent="0.25">
      <c r="A419" s="5">
        <v>44174</v>
      </c>
      <c r="B419">
        <v>0.2213</v>
      </c>
      <c r="C419">
        <v>0.23100000000000001</v>
      </c>
      <c r="D419">
        <v>0.186</v>
      </c>
      <c r="E419">
        <v>0.217</v>
      </c>
      <c r="F419">
        <v>32398983.550000001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0.37777777777777738</v>
      </c>
      <c r="Q419">
        <f t="shared" si="975"/>
        <v>12239616.007777765</v>
      </c>
      <c r="R419">
        <f t="shared" si="976"/>
        <v>48201001.258721173</v>
      </c>
      <c r="S419">
        <f t="shared" si="977"/>
        <v>482.01001258721175</v>
      </c>
      <c r="T419">
        <f t="shared" si="978"/>
        <v>0.48201001258721177</v>
      </c>
    </row>
    <row r="420" spans="1:20" x14ac:dyDescent="0.25">
      <c r="A420" s="5">
        <v>44173</v>
      </c>
      <c r="B420">
        <v>0.23630000000000001</v>
      </c>
      <c r="C420">
        <v>0.23699999999999999</v>
      </c>
      <c r="D420">
        <v>0.20519999999999999</v>
      </c>
      <c r="E420">
        <v>0.22209999999999999</v>
      </c>
      <c r="F420">
        <v>31222855.440000001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6.2893081761006359E-2</v>
      </c>
      <c r="Q420">
        <f t="shared" si="975"/>
        <v>1963701.6000000022</v>
      </c>
      <c r="R420">
        <f t="shared" si="976"/>
        <v>35961385.250943407</v>
      </c>
      <c r="S420">
        <f t="shared" si="977"/>
        <v>359.61385250943408</v>
      </c>
      <c r="T420">
        <f t="shared" si="978"/>
        <v>0.35961385250943406</v>
      </c>
    </row>
    <row r="421" spans="1:20" x14ac:dyDescent="0.25">
      <c r="A421" s="5">
        <v>44172</v>
      </c>
      <c r="B421">
        <v>0.24879999999999999</v>
      </c>
      <c r="C421">
        <v>0.25750000000000001</v>
      </c>
      <c r="D421">
        <v>0.22420000000000001</v>
      </c>
      <c r="E421">
        <v>0.23599999999999999</v>
      </c>
      <c r="F421">
        <v>16903007.18</v>
      </c>
      <c r="G421">
        <v>0</v>
      </c>
      <c r="L421" t="s">
        <v>7</v>
      </c>
      <c r="M421" t="s">
        <v>7</v>
      </c>
      <c r="N421" t="s">
        <v>8</v>
      </c>
      <c r="P421">
        <f t="shared" si="974"/>
        <v>-0.29129129129129261</v>
      </c>
      <c r="Q421">
        <f t="shared" si="975"/>
        <v>-4923698.78816819</v>
      </c>
      <c r="R421">
        <f t="shared" si="976"/>
        <v>33997683.650943406</v>
      </c>
      <c r="S421">
        <f t="shared" si="977"/>
        <v>339.97683650943407</v>
      </c>
      <c r="T421">
        <f t="shared" si="978"/>
        <v>0.33997683650943405</v>
      </c>
    </row>
    <row r="422" spans="1:20" x14ac:dyDescent="0.25">
      <c r="A422" s="5">
        <v>44171</v>
      </c>
      <c r="B422">
        <v>0.26119999999999999</v>
      </c>
      <c r="C422">
        <v>0.26250000000000001</v>
      </c>
      <c r="D422">
        <v>0.23150000000000001</v>
      </c>
      <c r="E422">
        <v>0.249</v>
      </c>
      <c r="F422">
        <v>24353633.18</v>
      </c>
      <c r="G422">
        <v>0</v>
      </c>
      <c r="L422" t="s">
        <v>7</v>
      </c>
      <c r="M422" t="s">
        <v>8</v>
      </c>
      <c r="N422" t="s">
        <v>8</v>
      </c>
      <c r="P422">
        <f t="shared" si="974"/>
        <v>0.12903225806451535</v>
      </c>
      <c r="Q422">
        <f t="shared" si="975"/>
        <v>3142404.2812903035</v>
      </c>
      <c r="R422">
        <f t="shared" si="976"/>
        <v>38921382.439111598</v>
      </c>
      <c r="S422">
        <f t="shared" si="977"/>
        <v>389.21382439111596</v>
      </c>
      <c r="T422">
        <f t="shared" si="978"/>
        <v>0.38921382439111596</v>
      </c>
    </row>
    <row r="423" spans="1:20" x14ac:dyDescent="0.25">
      <c r="A423" s="5">
        <v>44170</v>
      </c>
      <c r="B423">
        <v>0.24149999999999999</v>
      </c>
      <c r="C423">
        <v>0.28000000000000003</v>
      </c>
      <c r="D423">
        <v>0.2334</v>
      </c>
      <c r="E423">
        <v>0.26090000000000002</v>
      </c>
      <c r="F423">
        <v>50169224.049999997</v>
      </c>
      <c r="G423">
        <v>0</v>
      </c>
      <c r="L423" t="s">
        <v>8</v>
      </c>
      <c r="M423" t="s">
        <v>8</v>
      </c>
      <c r="N423" t="s">
        <v>8</v>
      </c>
      <c r="P423">
        <f t="shared" si="974"/>
        <v>0.18025751072961402</v>
      </c>
      <c r="Q423">
        <f t="shared" si="975"/>
        <v>9043379.442489285</v>
      </c>
      <c r="R423">
        <f t="shared" si="976"/>
        <v>35778978.157821298</v>
      </c>
      <c r="S423">
        <f t="shared" si="977"/>
        <v>357.78978157821297</v>
      </c>
      <c r="T423">
        <f t="shared" si="978"/>
        <v>0.35778978157821295</v>
      </c>
    </row>
    <row r="424" spans="1:20" x14ac:dyDescent="0.25">
      <c r="A424" s="5">
        <v>44169</v>
      </c>
      <c r="B424">
        <v>0.21890000000000001</v>
      </c>
      <c r="C424">
        <v>0.2727</v>
      </c>
      <c r="D424">
        <v>0.21310000000000001</v>
      </c>
      <c r="E424">
        <v>0.24179999999999999</v>
      </c>
      <c r="F424">
        <v>105517353.7</v>
      </c>
      <c r="G424">
        <v>0</v>
      </c>
      <c r="L424" t="s">
        <v>8</v>
      </c>
      <c r="M424" t="s">
        <v>8</v>
      </c>
      <c r="N424" t="s">
        <v>8</v>
      </c>
      <c r="P424">
        <f t="shared" si="974"/>
        <v>-3.6912751677852948E-2</v>
      </c>
      <c r="Q424">
        <f t="shared" si="975"/>
        <v>-3894935.8748322781</v>
      </c>
      <c r="R424">
        <f t="shared" si="976"/>
        <v>26735598.715332009</v>
      </c>
      <c r="S424">
        <f t="shared" si="977"/>
        <v>267.35598715332009</v>
      </c>
      <c r="T424">
        <f t="shared" si="978"/>
        <v>0.2673559871533201</v>
      </c>
    </row>
    <row r="425" spans="1:20" x14ac:dyDescent="0.25">
      <c r="A425" s="5">
        <v>44168</v>
      </c>
      <c r="B425">
        <v>0.20169999999999999</v>
      </c>
      <c r="C425">
        <v>0.222</v>
      </c>
      <c r="D425">
        <v>0.19950000000000001</v>
      </c>
      <c r="E425">
        <v>0.21879999999999999</v>
      </c>
      <c r="F425">
        <v>18233298.329999998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0.71555555555555472</v>
      </c>
      <c r="Q425">
        <f t="shared" si="975"/>
        <v>13046937.916133316</v>
      </c>
      <c r="R425">
        <f t="shared" si="976"/>
        <v>30630534.590164289</v>
      </c>
      <c r="S425">
        <f t="shared" si="977"/>
        <v>306.30534590164291</v>
      </c>
      <c r="T425">
        <f t="shared" si="978"/>
        <v>0.30630534590164293</v>
      </c>
    </row>
    <row r="426" spans="1:20" x14ac:dyDescent="0.25">
      <c r="A426" s="5">
        <v>44167</v>
      </c>
      <c r="B426">
        <v>0.18959999999999999</v>
      </c>
      <c r="C426">
        <v>0.20799999999999999</v>
      </c>
      <c r="D426">
        <v>0.18340000000000001</v>
      </c>
      <c r="E426">
        <v>0.2014</v>
      </c>
      <c r="F426">
        <v>9352293.1199999992</v>
      </c>
      <c r="G426">
        <v>0</v>
      </c>
      <c r="L426" t="s">
        <v>8</v>
      </c>
      <c r="M426" t="s">
        <v>8</v>
      </c>
      <c r="N426" t="s">
        <v>8</v>
      </c>
      <c r="P426">
        <f t="shared" si="974"/>
        <v>0.46341463414634154</v>
      </c>
      <c r="Q426">
        <f t="shared" si="975"/>
        <v>4333989.4946341468</v>
      </c>
      <c r="R426">
        <f t="shared" si="976"/>
        <v>17583596.674030971</v>
      </c>
      <c r="S426">
        <f t="shared" si="977"/>
        <v>175.83596674030971</v>
      </c>
      <c r="T426">
        <f t="shared" si="978"/>
        <v>0.17583596674030971</v>
      </c>
    </row>
    <row r="427" spans="1:20" x14ac:dyDescent="0.25">
      <c r="A427" s="5">
        <v>44166</v>
      </c>
      <c r="B427">
        <v>0.1893</v>
      </c>
      <c r="C427">
        <v>0.1971</v>
      </c>
      <c r="D427">
        <v>0.17</v>
      </c>
      <c r="E427">
        <v>0.18990000000000001</v>
      </c>
      <c r="F427">
        <v>11195553.75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0.46863468634686434</v>
      </c>
      <c r="Q427">
        <f t="shared" si="975"/>
        <v>5246624.8201107113</v>
      </c>
      <c r="R427">
        <f t="shared" si="976"/>
        <v>13249607.179396825</v>
      </c>
      <c r="S427">
        <f t="shared" si="977"/>
        <v>132.49607179396824</v>
      </c>
      <c r="T427">
        <f t="shared" si="978"/>
        <v>0.13249607179396825</v>
      </c>
    </row>
    <row r="428" spans="1:20" x14ac:dyDescent="0.25">
      <c r="A428" s="5">
        <v>44165</v>
      </c>
      <c r="B428">
        <v>0.1787</v>
      </c>
      <c r="C428">
        <v>0.191</v>
      </c>
      <c r="D428">
        <v>0.1709</v>
      </c>
      <c r="E428">
        <v>0.18920000000000001</v>
      </c>
      <c r="F428">
        <v>9052585.3499999996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0.82089552238806018</v>
      </c>
      <c r="Q428">
        <f t="shared" si="975"/>
        <v>7431226.7798507502</v>
      </c>
      <c r="R428">
        <f t="shared" si="976"/>
        <v>8002982.3592861136</v>
      </c>
      <c r="S428">
        <f t="shared" si="977"/>
        <v>80.029823592861135</v>
      </c>
      <c r="T428">
        <f t="shared" si="978"/>
        <v>8.0029823592861135E-2</v>
      </c>
    </row>
    <row r="429" spans="1:20" x14ac:dyDescent="0.25">
      <c r="A429" s="5">
        <v>44164</v>
      </c>
      <c r="B429">
        <v>0.18099999999999999</v>
      </c>
      <c r="C429">
        <v>0.187</v>
      </c>
      <c r="D429">
        <v>0.16900000000000001</v>
      </c>
      <c r="E429">
        <v>0.1787</v>
      </c>
      <c r="F429">
        <v>9924137.0500000007</v>
      </c>
      <c r="G429">
        <v>0</v>
      </c>
      <c r="L429" t="s">
        <v>7</v>
      </c>
      <c r="M429" t="s">
        <v>8</v>
      </c>
      <c r="N429" t="s">
        <v>7</v>
      </c>
      <c r="P429">
        <f t="shared" si="974"/>
        <v>7.7777777777776974E-2</v>
      </c>
      <c r="Q429">
        <f t="shared" si="975"/>
        <v>771877.32611110318</v>
      </c>
      <c r="R429">
        <f t="shared" si="976"/>
        <v>571755.57943536364</v>
      </c>
      <c r="S429">
        <f t="shared" si="977"/>
        <v>5.7175557943536361</v>
      </c>
      <c r="T429">
        <f t="shared" si="978"/>
        <v>5.7175557943536359E-3</v>
      </c>
    </row>
    <row r="430" spans="1:20" x14ac:dyDescent="0.25">
      <c r="A430" s="5">
        <v>44163</v>
      </c>
      <c r="B430">
        <v>0.17369999999999999</v>
      </c>
      <c r="C430">
        <v>0.19089999999999999</v>
      </c>
      <c r="D430">
        <v>0.1701</v>
      </c>
      <c r="E430">
        <v>0.18179999999999999</v>
      </c>
      <c r="F430">
        <v>21958145.620000001</v>
      </c>
      <c r="G430">
        <v>0</v>
      </c>
      <c r="L430" t="s">
        <v>8</v>
      </c>
      <c r="M430" t="s">
        <v>8</v>
      </c>
      <c r="N430" t="s">
        <v>7</v>
      </c>
      <c r="P430">
        <f t="shared" si="974"/>
        <v>0.12499999999999967</v>
      </c>
      <c r="Q430">
        <f t="shared" si="975"/>
        <v>2744768.2024999927</v>
      </c>
      <c r="R430">
        <f t="shared" si="976"/>
        <v>-200121.74667573953</v>
      </c>
      <c r="S430">
        <f t="shared" si="977"/>
        <v>-2.0012174667573954</v>
      </c>
      <c r="T430">
        <f t="shared" si="978"/>
        <v>-2.0012174667573953E-3</v>
      </c>
    </row>
    <row r="431" spans="1:20" x14ac:dyDescent="0.25">
      <c r="A431" s="5">
        <v>44162</v>
      </c>
      <c r="B431">
        <v>0.159</v>
      </c>
      <c r="C431">
        <v>0.17449999999999999</v>
      </c>
      <c r="D431">
        <v>0.15160000000000001</v>
      </c>
      <c r="E431">
        <v>0.17449999999999999</v>
      </c>
      <c r="F431">
        <v>9945357.7699999996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1</v>
      </c>
      <c r="Q431">
        <f t="shared" si="975"/>
        <v>9945357.7699999996</v>
      </c>
      <c r="R431">
        <f t="shared" si="976"/>
        <v>-2944889.9491757322</v>
      </c>
      <c r="S431">
        <f t="shared" si="977"/>
        <v>-29.448899491757324</v>
      </c>
      <c r="T431">
        <f t="shared" si="978"/>
        <v>-2.9448899491757323E-2</v>
      </c>
    </row>
    <row r="432" spans="1:20" x14ac:dyDescent="0.25">
      <c r="A432" s="5">
        <v>44161</v>
      </c>
      <c r="B432">
        <v>0.18260000000000001</v>
      </c>
      <c r="C432">
        <v>0.2</v>
      </c>
      <c r="D432">
        <v>0.1419</v>
      </c>
      <c r="E432">
        <v>0.159</v>
      </c>
      <c r="F432">
        <v>26948261.940000001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-0.41135972461273668</v>
      </c>
      <c r="Q432">
        <f t="shared" si="975"/>
        <v>-11085429.610430293</v>
      </c>
      <c r="R432">
        <f t="shared" si="976"/>
        <v>-12890247.719175732</v>
      </c>
      <c r="S432">
        <f t="shared" si="977"/>
        <v>-128.90247719175733</v>
      </c>
      <c r="T432">
        <f t="shared" si="978"/>
        <v>-0.12890247719175732</v>
      </c>
    </row>
    <row r="433" spans="1:20" x14ac:dyDescent="0.25">
      <c r="A433" s="5">
        <v>44160</v>
      </c>
      <c r="B433">
        <v>0.16569999999999999</v>
      </c>
      <c r="C433">
        <v>0.2172</v>
      </c>
      <c r="D433">
        <v>0.15</v>
      </c>
      <c r="E433">
        <v>0.18310000000000001</v>
      </c>
      <c r="F433">
        <v>44821189.960000001</v>
      </c>
      <c r="G433">
        <v>0</v>
      </c>
      <c r="L433" t="s">
        <v>7</v>
      </c>
      <c r="M433" t="s">
        <v>7</v>
      </c>
      <c r="N433" t="s">
        <v>7</v>
      </c>
      <c r="P433">
        <f t="shared" si="974"/>
        <v>-1.4880952380951979E-2</v>
      </c>
      <c r="Q433">
        <f t="shared" si="975"/>
        <v>-666981.99345236295</v>
      </c>
      <c r="R433">
        <f t="shared" si="976"/>
        <v>-1804818.1087454385</v>
      </c>
      <c r="S433">
        <f t="shared" si="977"/>
        <v>-18.048181087454385</v>
      </c>
      <c r="T433">
        <f t="shared" si="978"/>
        <v>-1.8048181087454384E-2</v>
      </c>
    </row>
    <row r="434" spans="1:20" x14ac:dyDescent="0.25">
      <c r="A434" s="5">
        <v>44159</v>
      </c>
      <c r="B434">
        <v>0.14369999999999999</v>
      </c>
      <c r="C434">
        <v>0.2</v>
      </c>
      <c r="D434">
        <v>0.14369999999999999</v>
      </c>
      <c r="E434">
        <v>0.16569999999999999</v>
      </c>
      <c r="F434">
        <v>5208144.17</v>
      </c>
      <c r="G434">
        <v>0</v>
      </c>
      <c r="P434">
        <f t="shared" si="974"/>
        <v>-0.21847246891651917</v>
      </c>
      <c r="Q434">
        <f t="shared" si="975"/>
        <v>-1137836.1152930756</v>
      </c>
      <c r="R434">
        <f t="shared" si="976"/>
        <v>-1137836.1152930756</v>
      </c>
      <c r="S434">
        <f t="shared" si="977"/>
        <v>-11.378361152930756</v>
      </c>
      <c r="T434">
        <f t="shared" si="978"/>
        <v>-1.1378361152930757E-2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GZ705" sqref="GZ705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$A$704</v>
      </c>
      <c r="D111" s="1" t="str">
        <f>ADDRESS(C121-1,D121,1,1)</f>
        <v>$GZ$704</v>
      </c>
      <c r="E111"/>
    </row>
    <row r="112" spans="1:5" x14ac:dyDescent="0.25">
      <c r="A112" s="7">
        <v>12164.144957890772</v>
      </c>
      <c r="C112" s="1" t="str">
        <f>ADDRESS(C121,1,1,1)</f>
        <v>$A$705</v>
      </c>
      <c r="D112" s="1" t="str">
        <f>ADDRESS(C121,D121-1,1,1)</f>
        <v>$GY$705</v>
      </c>
      <c r="E112"/>
    </row>
    <row r="113" spans="1:5" x14ac:dyDescent="0.25">
      <c r="A113" s="7">
        <v>11925.63231165762</v>
      </c>
      <c r="C113" s="1" t="str">
        <f>ADDRESS(C121+1,1,1,1)</f>
        <v>$A$706</v>
      </c>
      <c r="D113" s="1" t="str">
        <f>ADDRESS(C121-1,D121+1,1,1)</f>
        <v>$HA$704</v>
      </c>
    </row>
    <row r="114" spans="1:5" x14ac:dyDescent="0.25">
      <c r="A114" s="7">
        <v>11691.796383978059</v>
      </c>
      <c r="C114" s="1" t="str">
        <f>ADDRESS(C121,D121,1,1)</f>
        <v>$GZ$705</v>
      </c>
      <c r="D114" s="1" t="str">
        <f>ADDRESS(C121+1,D121+1,1,1)</f>
        <v>$HA$706</v>
      </c>
    </row>
    <row r="115" spans="1:5" x14ac:dyDescent="0.25">
      <c r="A115" s="7">
        <v>11462.545474488292</v>
      </c>
      <c r="C115" s="1" t="str">
        <f>ADDRESS(C121+1,D121,1,1)</f>
        <v>$GZ$706</v>
      </c>
    </row>
    <row r="116" spans="1:5" x14ac:dyDescent="0.25">
      <c r="A116" s="7">
        <v>11237.789680870874</v>
      </c>
      <c r="C116" s="1">
        <f>C117-1</f>
        <v>704</v>
      </c>
    </row>
    <row r="117" spans="1:5" x14ac:dyDescent="0.25">
      <c r="A117" s="7">
        <v>11017.440863598895</v>
      </c>
      <c r="C117" s="1">
        <f>C121</f>
        <v>705</v>
      </c>
      <c r="D117" s="1">
        <f>D121</f>
        <v>208</v>
      </c>
    </row>
    <row r="118" spans="1:5" x14ac:dyDescent="0.25">
      <c r="A118" s="7">
        <v>10801.412611371465</v>
      </c>
      <c r="C118" s="1">
        <f>C117+1</f>
        <v>706</v>
      </c>
      <c r="D118" s="1">
        <f>D117+1</f>
        <v>209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705</v>
      </c>
      <c r="D121" s="19">
        <v>208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R705</v>
      </c>
      <c r="D123" s="1" t="str">
        <f>"C"&amp;D121</f>
        <v>C208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9.6645076037824032E-2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56" x14ac:dyDescent="0.25">
      <c r="A593" s="7">
        <v>0.8879713821861922</v>
      </c>
      <c r="B593"/>
      <c r="C593"/>
      <c r="D593"/>
      <c r="E593"/>
      <c r="F593" s="27" t="s">
        <v>7</v>
      </c>
    </row>
    <row r="594" spans="1:56" x14ac:dyDescent="0.25">
      <c r="A594" s="7">
        <v>0.87056017861391399</v>
      </c>
      <c r="B594"/>
      <c r="C594"/>
      <c r="D594"/>
      <c r="E594"/>
      <c r="F594" s="27" t="s">
        <v>7</v>
      </c>
    </row>
    <row r="595" spans="1:56" x14ac:dyDescent="0.25">
      <c r="A595" s="7">
        <v>0.85349037119011173</v>
      </c>
      <c r="B595"/>
      <c r="C595"/>
      <c r="D595"/>
      <c r="E595"/>
      <c r="F595" s="27" t="s">
        <v>7</v>
      </c>
      <c r="AY595" s="27" t="s">
        <v>8</v>
      </c>
    </row>
    <row r="596" spans="1:56" x14ac:dyDescent="0.25">
      <c r="A596" s="7">
        <v>0.83675526587265858</v>
      </c>
      <c r="B596"/>
      <c r="C596"/>
      <c r="D596"/>
      <c r="E596"/>
      <c r="F596" s="27" t="s">
        <v>7</v>
      </c>
      <c r="AY596" s="27" t="s">
        <v>8</v>
      </c>
      <c r="AZ596" s="27" t="s">
        <v>7</v>
      </c>
    </row>
    <row r="597" spans="1:56" x14ac:dyDescent="0.25">
      <c r="A597" s="7">
        <v>0.82034829987515545</v>
      </c>
      <c r="B597"/>
      <c r="C597"/>
      <c r="D597"/>
      <c r="E597"/>
      <c r="F597" s="27" t="s">
        <v>7</v>
      </c>
      <c r="AY597" s="27" t="s">
        <v>8</v>
      </c>
      <c r="AZ597" s="27" t="s">
        <v>7</v>
      </c>
    </row>
    <row r="598" spans="1:56" x14ac:dyDescent="0.25">
      <c r="A598" s="7">
        <v>0.80426303909328967</v>
      </c>
      <c r="B598"/>
      <c r="C598"/>
      <c r="D598"/>
      <c r="E598"/>
      <c r="F598" s="27" t="s">
        <v>7</v>
      </c>
      <c r="AY598" s="27" t="s">
        <v>8</v>
      </c>
      <c r="AZ598" s="27" t="s">
        <v>7</v>
      </c>
    </row>
    <row r="599" spans="1:56" x14ac:dyDescent="0.25">
      <c r="A599" s="7">
        <v>0.78849317558165644</v>
      </c>
      <c r="B599"/>
      <c r="C599"/>
      <c r="D599"/>
      <c r="E599"/>
      <c r="F599" s="27" t="s">
        <v>7</v>
      </c>
      <c r="AY599" s="27" t="s">
        <v>8</v>
      </c>
      <c r="AZ599" s="27" t="s">
        <v>7</v>
      </c>
      <c r="BA599" s="27" t="s">
        <v>8</v>
      </c>
    </row>
    <row r="600" spans="1:56" x14ac:dyDescent="0.25">
      <c r="A600" s="7">
        <v>0.77303252508005538</v>
      </c>
      <c r="B600"/>
      <c r="C600"/>
      <c r="D600"/>
      <c r="E600"/>
      <c r="F600" s="27" t="s">
        <v>7</v>
      </c>
      <c r="AY600" s="27" t="s">
        <v>8</v>
      </c>
      <c r="AZ600" s="27" t="s">
        <v>7</v>
      </c>
      <c r="BA600" s="27" t="s">
        <v>8</v>
      </c>
      <c r="BB600" s="27" t="s">
        <v>7</v>
      </c>
    </row>
    <row r="601" spans="1:56" x14ac:dyDescent="0.25">
      <c r="A601" s="7">
        <v>0.75787502458828959</v>
      </c>
      <c r="B601"/>
      <c r="C601"/>
      <c r="D601"/>
      <c r="E601"/>
      <c r="F601" s="27" t="s">
        <v>7</v>
      </c>
      <c r="AS601" s="27" t="s">
        <v>8</v>
      </c>
      <c r="AY601" s="27" t="s">
        <v>8</v>
      </c>
      <c r="AZ601" s="27" t="s">
        <v>7</v>
      </c>
      <c r="BA601" s="27" t="s">
        <v>8</v>
      </c>
      <c r="BB601" s="27" t="s">
        <v>7</v>
      </c>
    </row>
    <row r="602" spans="1:56" x14ac:dyDescent="0.25">
      <c r="A602" s="7">
        <v>0.74301472998851925</v>
      </c>
      <c r="B602"/>
      <c r="C602"/>
      <c r="D602"/>
      <c r="E602"/>
      <c r="F602" s="27" t="s">
        <v>7</v>
      </c>
      <c r="AS602" s="27" t="s">
        <v>8</v>
      </c>
      <c r="AT602" s="27" t="s">
        <v>7</v>
      </c>
      <c r="AY602" s="27" t="s">
        <v>8</v>
      </c>
      <c r="AZ602" s="27" t="s">
        <v>7</v>
      </c>
      <c r="BA602" s="27" t="s">
        <v>8</v>
      </c>
      <c r="BB602" s="27" t="s">
        <v>7</v>
      </c>
    </row>
    <row r="603" spans="1:56" x14ac:dyDescent="0.25">
      <c r="A603" s="7">
        <v>0.72844581371423456</v>
      </c>
      <c r="B603"/>
      <c r="C603"/>
      <c r="D603"/>
      <c r="E603"/>
      <c r="F603" s="27" t="s">
        <v>7</v>
      </c>
      <c r="AS603" s="27" t="s">
        <v>8</v>
      </c>
      <c r="AT603" s="27" t="s">
        <v>7</v>
      </c>
      <c r="AY603" s="27" t="s">
        <v>8</v>
      </c>
      <c r="AZ603" s="27" t="s">
        <v>7</v>
      </c>
      <c r="BA603" s="27" t="s">
        <v>8</v>
      </c>
      <c r="BB603" s="27" t="s">
        <v>7</v>
      </c>
      <c r="BC603" s="27" t="s">
        <v>8</v>
      </c>
    </row>
    <row r="604" spans="1:56" x14ac:dyDescent="0.25">
      <c r="A604" s="7">
        <v>0.71416256246493581</v>
      </c>
      <c r="B604"/>
      <c r="C604"/>
      <c r="D604"/>
      <c r="E604"/>
      <c r="F604" s="27" t="s">
        <v>7</v>
      </c>
      <c r="AS604" s="27" t="s">
        <v>8</v>
      </c>
      <c r="AT604" s="27" t="s">
        <v>7</v>
      </c>
      <c r="AY604" s="27" t="s">
        <v>8</v>
      </c>
      <c r="AZ604" s="27" t="s">
        <v>7</v>
      </c>
      <c r="BA604" s="27" t="s">
        <v>8</v>
      </c>
      <c r="BB604" s="27" t="s">
        <v>7</v>
      </c>
      <c r="BC604" s="27" t="s">
        <v>8</v>
      </c>
      <c r="BD604" s="27" t="s">
        <v>7</v>
      </c>
    </row>
    <row r="605" spans="1:56" x14ac:dyDescent="0.25">
      <c r="A605" s="7">
        <v>0.7001593749656233</v>
      </c>
      <c r="B605"/>
      <c r="C605"/>
      <c r="D605"/>
      <c r="E605"/>
      <c r="F605" s="27" t="s">
        <v>7</v>
      </c>
      <c r="AS605" s="27" t="s">
        <v>8</v>
      </c>
      <c r="AT605" s="27" t="s">
        <v>7</v>
      </c>
      <c r="AY605" s="27" t="s">
        <v>8</v>
      </c>
      <c r="AZ605" s="27" t="s">
        <v>7</v>
      </c>
      <c r="BA605" s="27" t="s">
        <v>8</v>
      </c>
      <c r="BB605" s="27" t="s">
        <v>7</v>
      </c>
      <c r="BC605" s="27" t="s">
        <v>8</v>
      </c>
      <c r="BD605" s="27" t="s">
        <v>7</v>
      </c>
    </row>
    <row r="606" spans="1:56" x14ac:dyDescent="0.25">
      <c r="A606" s="7">
        <v>0.68643075977021883</v>
      </c>
      <c r="B606"/>
      <c r="C606"/>
      <c r="D606"/>
      <c r="E606"/>
      <c r="F606" s="27" t="s">
        <v>7</v>
      </c>
      <c r="AS606" s="27" t="s">
        <v>8</v>
      </c>
      <c r="AT606" s="27" t="s">
        <v>7</v>
      </c>
      <c r="AY606" s="27" t="s">
        <v>8</v>
      </c>
      <c r="AZ606" s="27" t="s">
        <v>7</v>
      </c>
      <c r="BA606" s="27" t="s">
        <v>8</v>
      </c>
      <c r="BB606" s="27" t="s">
        <v>7</v>
      </c>
      <c r="BD606" s="27" t="s">
        <v>7</v>
      </c>
    </row>
    <row r="607" spans="1:56" x14ac:dyDescent="0.25">
      <c r="A607" s="7">
        <v>0.67297133310805768</v>
      </c>
      <c r="B607"/>
      <c r="C607"/>
      <c r="D607"/>
      <c r="E607"/>
      <c r="F607" s="27" t="s">
        <v>7</v>
      </c>
      <c r="AS607" s="27" t="s">
        <v>8</v>
      </c>
      <c r="AT607" s="27" t="s">
        <v>7</v>
      </c>
      <c r="AY607" s="27" t="s">
        <v>8</v>
      </c>
      <c r="AZ607" s="27" t="s">
        <v>7</v>
      </c>
      <c r="BA607" s="27" t="s">
        <v>8</v>
      </c>
      <c r="BD607" s="27" t="s">
        <v>7</v>
      </c>
    </row>
    <row r="608" spans="1:56" x14ac:dyDescent="0.25">
      <c r="A608" s="7">
        <v>0.65977581677260566</v>
      </c>
      <c r="B608"/>
      <c r="C608"/>
      <c r="D608"/>
      <c r="E608"/>
      <c r="F608" s="27" t="s">
        <v>7</v>
      </c>
      <c r="AS608" s="27" t="s">
        <v>8</v>
      </c>
      <c r="AT608" s="27" t="s">
        <v>7</v>
      </c>
      <c r="AY608" s="27" t="s">
        <v>8</v>
      </c>
      <c r="AZ608" s="27" t="s">
        <v>7</v>
      </c>
      <c r="BA608" s="27" t="s">
        <v>8</v>
      </c>
      <c r="BD608" s="27" t="s">
        <v>7</v>
      </c>
    </row>
    <row r="609" spans="1:78" x14ac:dyDescent="0.25">
      <c r="A609" s="7">
        <v>0.64683903605157422</v>
      </c>
      <c r="B609"/>
      <c r="C609"/>
      <c r="D609"/>
      <c r="E609"/>
      <c r="F609" s="27" t="s">
        <v>7</v>
      </c>
      <c r="AS609" s="27" t="s">
        <v>8</v>
      </c>
      <c r="AT609" s="27" t="s">
        <v>7</v>
      </c>
      <c r="AY609" s="27" t="s">
        <v>8</v>
      </c>
      <c r="AZ609" s="27" t="s">
        <v>7</v>
      </c>
      <c r="BD609" s="27" t="s">
        <v>7</v>
      </c>
    </row>
    <row r="610" spans="1:78" x14ac:dyDescent="0.25">
      <c r="A610" s="7">
        <v>0.63415591769762181</v>
      </c>
      <c r="B610"/>
      <c r="C610"/>
      <c r="D610"/>
      <c r="E610"/>
      <c r="F610" s="27" t="s">
        <v>7</v>
      </c>
      <c r="AS610" s="27" t="s">
        <v>8</v>
      </c>
      <c r="AT610" s="27" t="s">
        <v>7</v>
      </c>
      <c r="AY610" s="27" t="s">
        <v>8</v>
      </c>
      <c r="BD610" s="27" t="s">
        <v>7</v>
      </c>
      <c r="BE610" s="27" t="s">
        <v>8</v>
      </c>
    </row>
    <row r="611" spans="1:78" x14ac:dyDescent="0.25">
      <c r="A611" s="7">
        <v>0.62172148793884496</v>
      </c>
      <c r="B611"/>
      <c r="C611"/>
      <c r="D611"/>
      <c r="E611"/>
      <c r="F611" s="27" t="s">
        <v>7</v>
      </c>
      <c r="AS611" s="27" t="s">
        <v>8</v>
      </c>
      <c r="AT611" s="27" t="s">
        <v>7</v>
      </c>
      <c r="AY611" s="27" t="s">
        <v>8</v>
      </c>
      <c r="BD611" s="27" t="s">
        <v>7</v>
      </c>
      <c r="BE611" s="27" t="s">
        <v>8</v>
      </c>
      <c r="BF611" s="27" t="s">
        <v>7</v>
      </c>
    </row>
    <row r="612" spans="1:78" x14ac:dyDescent="0.25">
      <c r="A612" s="7">
        <v>0.60953087052827937</v>
      </c>
      <c r="B612"/>
      <c r="C612"/>
      <c r="D612"/>
      <c r="E612"/>
      <c r="F612" s="27" t="s">
        <v>7</v>
      </c>
      <c r="AS612" s="27" t="s">
        <v>8</v>
      </c>
      <c r="AT612" s="27" t="s">
        <v>7</v>
      </c>
      <c r="AW612" s="27" t="s">
        <v>8</v>
      </c>
      <c r="AY612" s="27" t="s">
        <v>8</v>
      </c>
      <c r="BD612" s="27" t="s">
        <v>7</v>
      </c>
      <c r="BE612" s="27" t="s">
        <v>8</v>
      </c>
      <c r="BF612" s="27" t="s">
        <v>7</v>
      </c>
    </row>
    <row r="613" spans="1:78" x14ac:dyDescent="0.25">
      <c r="A613" s="7">
        <v>0.59757928483164646</v>
      </c>
      <c r="B613"/>
      <c r="C613"/>
      <c r="D613"/>
      <c r="E613"/>
      <c r="F613" s="27" t="s">
        <v>7</v>
      </c>
      <c r="AS613" s="27" t="s">
        <v>8</v>
      </c>
      <c r="AT613" s="27" t="s">
        <v>7</v>
      </c>
      <c r="AW613" s="27" t="s">
        <v>8</v>
      </c>
      <c r="AX613" s="27" t="s">
        <v>7</v>
      </c>
      <c r="AY613" s="27" t="s">
        <v>8</v>
      </c>
      <c r="BD613" s="27" t="s">
        <v>7</v>
      </c>
      <c r="BE613" s="27" t="s">
        <v>8</v>
      </c>
      <c r="BF613" s="27" t="s">
        <v>7</v>
      </c>
    </row>
    <row r="614" spans="1:78" x14ac:dyDescent="0.25">
      <c r="A614" s="7">
        <v>0.58586204395259456</v>
      </c>
      <c r="B614"/>
      <c r="C614"/>
      <c r="D614"/>
      <c r="E614"/>
      <c r="F614" s="27" t="s">
        <v>7</v>
      </c>
      <c r="AS614" s="27" t="s">
        <v>8</v>
      </c>
      <c r="AT614" s="27" t="s">
        <v>7</v>
      </c>
      <c r="AW614" s="27" t="s">
        <v>8</v>
      </c>
      <c r="AX614" s="27" t="s">
        <v>7</v>
      </c>
      <c r="AY614" s="27" t="s">
        <v>8</v>
      </c>
      <c r="BD614" s="27" t="s">
        <v>7</v>
      </c>
      <c r="BE614" s="27" t="s">
        <v>8</v>
      </c>
      <c r="BF614" s="27" t="s">
        <v>7</v>
      </c>
    </row>
    <row r="615" spans="1:78" x14ac:dyDescent="0.25">
      <c r="A615" s="7">
        <v>0.57437455289470052</v>
      </c>
      <c r="B615"/>
      <c r="C615"/>
      <c r="D615"/>
      <c r="E615"/>
      <c r="F615" s="27" t="s">
        <v>7</v>
      </c>
      <c r="AS615" s="27" t="s">
        <v>8</v>
      </c>
      <c r="AT615" s="27" t="s">
        <v>7</v>
      </c>
      <c r="AW615" s="27" t="s">
        <v>8</v>
      </c>
      <c r="AX615" s="27" t="s">
        <v>7</v>
      </c>
      <c r="AY615" s="27" t="s">
        <v>8</v>
      </c>
      <c r="BD615" s="27" t="s">
        <v>7</v>
      </c>
      <c r="BE615" s="27" t="s">
        <v>8</v>
      </c>
      <c r="BF615" s="27" t="s">
        <v>7</v>
      </c>
    </row>
    <row r="616" spans="1:78" x14ac:dyDescent="0.25">
      <c r="A616" s="7">
        <v>0.56311230675951029</v>
      </c>
      <c r="B616"/>
      <c r="C616"/>
      <c r="D616"/>
      <c r="E616"/>
      <c r="F616" s="27" t="s">
        <v>7</v>
      </c>
      <c r="AS616" s="27" t="s">
        <v>8</v>
      </c>
      <c r="AT616" s="27" t="s">
        <v>7</v>
      </c>
      <c r="AW616" s="27" t="s">
        <v>8</v>
      </c>
      <c r="AX616" s="27" t="s">
        <v>7</v>
      </c>
      <c r="AY616" s="27" t="s">
        <v>8</v>
      </c>
      <c r="BD616" s="27" t="s">
        <v>7</v>
      </c>
      <c r="BF616" s="27" t="s">
        <v>7</v>
      </c>
    </row>
    <row r="617" spans="1:78" x14ac:dyDescent="0.25">
      <c r="A617" s="7">
        <v>0.55207088897991208</v>
      </c>
      <c r="B617"/>
      <c r="C617"/>
      <c r="D617"/>
      <c r="E617"/>
      <c r="F617" s="27" t="s">
        <v>7</v>
      </c>
      <c r="AS617" s="27" t="s">
        <v>8</v>
      </c>
      <c r="AT617" s="27" t="s">
        <v>7</v>
      </c>
      <c r="AU617" s="27" t="s">
        <v>8</v>
      </c>
      <c r="AW617" s="27" t="s">
        <v>8</v>
      </c>
      <c r="AX617" s="27" t="s">
        <v>7</v>
      </c>
      <c r="AY617" s="27" t="s">
        <v>8</v>
      </c>
      <c r="BF617" s="27" t="s">
        <v>7</v>
      </c>
    </row>
    <row r="618" spans="1:78" x14ac:dyDescent="0.25">
      <c r="A618" s="7">
        <v>0.54124596958814908</v>
      </c>
      <c r="B618"/>
      <c r="C618"/>
      <c r="D618"/>
      <c r="E618"/>
      <c r="F618" s="27" t="s">
        <v>7</v>
      </c>
      <c r="AS618" s="27" t="s">
        <v>8</v>
      </c>
      <c r="AT618" s="27" t="s">
        <v>7</v>
      </c>
      <c r="AU618" s="27" t="s">
        <v>8</v>
      </c>
      <c r="AV618" s="27" t="s">
        <v>7</v>
      </c>
      <c r="AW618" s="27" t="s">
        <v>8</v>
      </c>
      <c r="AX618" s="27" t="s">
        <v>7</v>
      </c>
      <c r="AY618" s="27" t="s">
        <v>8</v>
      </c>
      <c r="BF618" s="27" t="s">
        <v>7</v>
      </c>
    </row>
    <row r="619" spans="1:78" x14ac:dyDescent="0.25">
      <c r="A619" s="7">
        <v>0.53063330351779314</v>
      </c>
      <c r="B619"/>
      <c r="C619"/>
      <c r="D619"/>
      <c r="E619"/>
      <c r="F619" s="27" t="s">
        <v>7</v>
      </c>
      <c r="AS619" s="27" t="s">
        <v>8</v>
      </c>
      <c r="AT619" s="27" t="s">
        <v>7</v>
      </c>
      <c r="AU619" s="27" t="s">
        <v>8</v>
      </c>
      <c r="AV619" s="27" t="s">
        <v>7</v>
      </c>
      <c r="AW619" s="27" t="s">
        <v>8</v>
      </c>
      <c r="AX619" s="27" t="s">
        <v>7</v>
      </c>
      <c r="AY619" s="27" t="s">
        <v>8</v>
      </c>
      <c r="BF619" s="27" t="s">
        <v>7</v>
      </c>
    </row>
    <row r="620" spans="1:78" x14ac:dyDescent="0.25">
      <c r="A620" s="7">
        <v>0.52022872893901284</v>
      </c>
      <c r="B620"/>
      <c r="C620"/>
      <c r="D620"/>
      <c r="E620"/>
      <c r="F620" s="27" t="s">
        <v>7</v>
      </c>
      <c r="AS620" s="27" t="s">
        <v>8</v>
      </c>
      <c r="AT620" s="27" t="s">
        <v>7</v>
      </c>
      <c r="AU620" s="27" t="s">
        <v>8</v>
      </c>
      <c r="AV620" s="27" t="s">
        <v>7</v>
      </c>
      <c r="AW620" s="27" t="s">
        <v>8</v>
      </c>
      <c r="AX620" s="27" t="s">
        <v>7</v>
      </c>
      <c r="BF620" s="27" t="s">
        <v>7</v>
      </c>
      <c r="BY620" s="27" t="s">
        <v>8</v>
      </c>
    </row>
    <row r="621" spans="1:78" x14ac:dyDescent="0.25">
      <c r="A621" s="7">
        <v>0.51002816562648323</v>
      </c>
      <c r="B621"/>
      <c r="C621"/>
      <c r="D621"/>
      <c r="E621"/>
      <c r="F621" s="27" t="s">
        <v>7</v>
      </c>
      <c r="AS621" s="27" t="s">
        <v>8</v>
      </c>
      <c r="AT621" s="27" t="s">
        <v>7</v>
      </c>
      <c r="AU621" s="27" t="s">
        <v>8</v>
      </c>
      <c r="AV621" s="27" t="s">
        <v>7</v>
      </c>
      <c r="AW621" s="27" t="s">
        <v>8</v>
      </c>
      <c r="BF621" s="27" t="s">
        <v>7</v>
      </c>
      <c r="BY621" s="27" t="s">
        <v>8</v>
      </c>
      <c r="BZ621" s="27" t="s">
        <v>7</v>
      </c>
    </row>
    <row r="622" spans="1:78" x14ac:dyDescent="0.25">
      <c r="A622" s="7">
        <v>0.50002761335929735</v>
      </c>
      <c r="B622"/>
      <c r="C622"/>
      <c r="D622"/>
      <c r="E622"/>
      <c r="F622" s="27" t="s">
        <v>7</v>
      </c>
      <c r="AS622" s="27" t="s">
        <v>8</v>
      </c>
      <c r="AT622" s="27" t="s">
        <v>7</v>
      </c>
      <c r="AU622" s="27" t="s">
        <v>8</v>
      </c>
      <c r="AV622" s="27" t="s">
        <v>7</v>
      </c>
      <c r="AW622" s="27" t="s">
        <v>8</v>
      </c>
      <c r="BF622" s="27" t="s">
        <v>7</v>
      </c>
      <c r="BY622" s="27" t="s">
        <v>8</v>
      </c>
      <c r="BZ622" s="27" t="s">
        <v>7</v>
      </c>
    </row>
    <row r="623" spans="1:78" x14ac:dyDescent="0.25">
      <c r="A623" s="7">
        <v>0.49022315035225228</v>
      </c>
      <c r="B623"/>
      <c r="C623"/>
      <c r="D623"/>
      <c r="E623"/>
      <c r="F623" s="27" t="s">
        <v>7</v>
      </c>
      <c r="AS623" s="27" t="s">
        <v>8</v>
      </c>
      <c r="AT623" s="27" t="s">
        <v>7</v>
      </c>
      <c r="AU623" s="27" t="s">
        <v>8</v>
      </c>
      <c r="AV623" s="27" t="s">
        <v>7</v>
      </c>
      <c r="AW623" s="27" t="s">
        <v>8</v>
      </c>
      <c r="BF623" s="27" t="s">
        <v>7</v>
      </c>
      <c r="BY623" s="27" t="s">
        <v>8</v>
      </c>
      <c r="BZ623" s="27" t="s">
        <v>7</v>
      </c>
    </row>
    <row r="624" spans="1:78" x14ac:dyDescent="0.25">
      <c r="A624" s="7">
        <v>0.48061093171789437</v>
      </c>
      <c r="B624"/>
      <c r="C624"/>
      <c r="D624"/>
      <c r="E624"/>
      <c r="F624" s="27" t="s">
        <v>7</v>
      </c>
      <c r="AS624" s="27" t="s">
        <v>8</v>
      </c>
      <c r="AT624" s="27" t="s">
        <v>7</v>
      </c>
      <c r="AU624" s="27" t="s">
        <v>8</v>
      </c>
      <c r="AV624" s="27" t="s">
        <v>7</v>
      </c>
      <c r="AW624" s="27" t="s">
        <v>8</v>
      </c>
      <c r="BF624" s="27" t="s">
        <v>7</v>
      </c>
      <c r="BS624" s="27" t="s">
        <v>8</v>
      </c>
      <c r="BY624" s="27" t="s">
        <v>8</v>
      </c>
      <c r="BZ624" s="27" t="s">
        <v>7</v>
      </c>
    </row>
    <row r="625" spans="1:92" x14ac:dyDescent="0.25">
      <c r="A625" s="7">
        <v>0.47118718795871994</v>
      </c>
      <c r="B625"/>
      <c r="C625"/>
      <c r="D625"/>
      <c r="E625"/>
      <c r="F625" s="27" t="s">
        <v>7</v>
      </c>
      <c r="AS625" s="27" t="s">
        <v>8</v>
      </c>
      <c r="AT625" s="27" t="s">
        <v>7</v>
      </c>
      <c r="AU625" s="27" t="s">
        <v>8</v>
      </c>
      <c r="AV625" s="27" t="s">
        <v>7</v>
      </c>
      <c r="AW625" s="27" t="s">
        <v>8</v>
      </c>
      <c r="BF625" s="27" t="s">
        <v>7</v>
      </c>
      <c r="BS625" s="27" t="s">
        <v>8</v>
      </c>
      <c r="BT625" s="27" t="s">
        <v>7</v>
      </c>
      <c r="BY625" s="27" t="s">
        <v>8</v>
      </c>
      <c r="BZ625" s="27" t="s">
        <v>7</v>
      </c>
    </row>
    <row r="626" spans="1:92" x14ac:dyDescent="0.25">
      <c r="A626" s="7">
        <v>0.46194822348894116</v>
      </c>
      <c r="B626"/>
      <c r="C626"/>
      <c r="D626"/>
      <c r="E626"/>
      <c r="F626" s="27" t="s">
        <v>7</v>
      </c>
      <c r="AS626" s="27" t="s">
        <v>8</v>
      </c>
      <c r="AT626" s="27" t="s">
        <v>7</v>
      </c>
      <c r="AU626" s="27" t="s">
        <v>8</v>
      </c>
      <c r="AV626" s="27" t="s">
        <v>7</v>
      </c>
      <c r="AW626" s="27" t="s">
        <v>8</v>
      </c>
      <c r="BF626" s="27" t="s">
        <v>7</v>
      </c>
      <c r="BS626" s="27" t="s">
        <v>8</v>
      </c>
      <c r="BT626" s="27" t="s">
        <v>7</v>
      </c>
      <c r="BY626" s="27" t="s">
        <v>8</v>
      </c>
      <c r="BZ626" s="27" t="s">
        <v>7</v>
      </c>
    </row>
    <row r="627" spans="1:92" x14ac:dyDescent="0.25">
      <c r="A627" s="7">
        <v>0.45289041518523643</v>
      </c>
      <c r="B627"/>
      <c r="C627"/>
      <c r="D627"/>
      <c r="E627"/>
      <c r="F627" s="27" t="s">
        <v>7</v>
      </c>
      <c r="AS627" s="27" t="s">
        <v>8</v>
      </c>
      <c r="AT627" s="27" t="s">
        <v>7</v>
      </c>
      <c r="AU627" s="27" t="s">
        <v>8</v>
      </c>
      <c r="AV627" s="27" t="s">
        <v>7</v>
      </c>
      <c r="AW627" s="27" t="s">
        <v>8</v>
      </c>
      <c r="BF627" s="27" t="s">
        <v>7</v>
      </c>
      <c r="BS627" s="27" t="s">
        <v>8</v>
      </c>
      <c r="BT627" s="27" t="s">
        <v>7</v>
      </c>
      <c r="BW627" s="27" t="s">
        <v>8</v>
      </c>
      <c r="BY627" s="27" t="s">
        <v>8</v>
      </c>
      <c r="BZ627" s="27" t="s">
        <v>7</v>
      </c>
    </row>
    <row r="628" spans="1:92" x14ac:dyDescent="0.25">
      <c r="A628" s="7">
        <v>0.44401021096591808</v>
      </c>
      <c r="B628"/>
      <c r="C628"/>
      <c r="D628"/>
      <c r="E628"/>
      <c r="F628" s="27" t="s">
        <v>7</v>
      </c>
      <c r="AS628" s="27" t="s">
        <v>8</v>
      </c>
      <c r="AT628" s="27" t="s">
        <v>7</v>
      </c>
      <c r="AV628" s="27" t="s">
        <v>7</v>
      </c>
      <c r="AW628" s="27" t="s">
        <v>8</v>
      </c>
      <c r="BF628" s="27" t="s">
        <v>7</v>
      </c>
      <c r="BS628" s="27" t="s">
        <v>8</v>
      </c>
      <c r="BT628" s="27" t="s">
        <v>7</v>
      </c>
      <c r="BW628" s="27" t="s">
        <v>8</v>
      </c>
      <c r="BX628" s="27" t="s">
        <v>7</v>
      </c>
      <c r="BY628" s="27" t="s">
        <v>8</v>
      </c>
      <c r="BZ628" s="27" t="s">
        <v>7</v>
      </c>
    </row>
    <row r="629" spans="1:92" x14ac:dyDescent="0.25">
      <c r="A629" s="7">
        <v>0.4353041283979589</v>
      </c>
      <c r="B629"/>
      <c r="C629"/>
      <c r="D629"/>
      <c r="E629"/>
      <c r="F629" s="27" t="s">
        <v>7</v>
      </c>
      <c r="AS629" s="27" t="s">
        <v>8</v>
      </c>
      <c r="AV629" s="27" t="s">
        <v>7</v>
      </c>
      <c r="AW629" s="27" t="s">
        <v>8</v>
      </c>
      <c r="BF629" s="27" t="s">
        <v>7</v>
      </c>
      <c r="BS629" s="27" t="s">
        <v>8</v>
      </c>
      <c r="BT629" s="27" t="s">
        <v>7</v>
      </c>
      <c r="BW629" s="27" t="s">
        <v>8</v>
      </c>
      <c r="BX629" s="27" t="s">
        <v>7</v>
      </c>
      <c r="BY629" s="27" t="s">
        <v>8</v>
      </c>
      <c r="BZ629" s="27" t="s">
        <v>7</v>
      </c>
    </row>
    <row r="630" spans="1:92" x14ac:dyDescent="0.25">
      <c r="A630" s="7">
        <v>0.4267687533313323</v>
      </c>
      <c r="B630"/>
      <c r="C630"/>
      <c r="D630"/>
      <c r="E630"/>
      <c r="F630" s="27" t="s">
        <v>7</v>
      </c>
      <c r="AQ630" s="27" t="s">
        <v>8</v>
      </c>
      <c r="AS630" s="27" t="s">
        <v>8</v>
      </c>
      <c r="AV630" s="27" t="s">
        <v>7</v>
      </c>
      <c r="BF630" s="27" t="s">
        <v>7</v>
      </c>
      <c r="BS630" s="27" t="s">
        <v>8</v>
      </c>
      <c r="BT630" s="27" t="s">
        <v>7</v>
      </c>
      <c r="BU630" s="27" t="s">
        <v>8</v>
      </c>
      <c r="BW630" s="27" t="s">
        <v>8</v>
      </c>
      <c r="BX630" s="27" t="s">
        <v>7</v>
      </c>
      <c r="BY630" s="27" t="s">
        <v>8</v>
      </c>
      <c r="BZ630" s="27" t="s">
        <v>7</v>
      </c>
      <c r="CK630" s="27" t="s">
        <v>8</v>
      </c>
    </row>
    <row r="631" spans="1:92" x14ac:dyDescent="0.25">
      <c r="A631" s="7">
        <v>0.41840073856012971</v>
      </c>
      <c r="B631"/>
      <c r="C631"/>
      <c r="D631"/>
      <c r="E631"/>
      <c r="F631" s="27" t="s">
        <v>7</v>
      </c>
      <c r="AQ631" s="27" t="s">
        <v>8</v>
      </c>
      <c r="AR631" s="27" t="s">
        <v>7</v>
      </c>
      <c r="AS631" s="27" t="s">
        <v>8</v>
      </c>
      <c r="BF631" s="27" t="s">
        <v>7</v>
      </c>
      <c r="BS631" s="27" t="s">
        <v>8</v>
      </c>
      <c r="BT631" s="27" t="s">
        <v>7</v>
      </c>
      <c r="BU631" s="27" t="s">
        <v>8</v>
      </c>
      <c r="BV631" s="27" t="s">
        <v>7</v>
      </c>
      <c r="BW631" s="27" t="s">
        <v>8</v>
      </c>
      <c r="BX631" s="27" t="s">
        <v>7</v>
      </c>
      <c r="BY631" s="27" t="s">
        <v>8</v>
      </c>
      <c r="BZ631" s="27" t="s">
        <v>7</v>
      </c>
      <c r="CK631" s="27" t="s">
        <v>8</v>
      </c>
      <c r="CL631" s="27" t="s">
        <v>7</v>
      </c>
    </row>
    <row r="632" spans="1:92" x14ac:dyDescent="0.25">
      <c r="A632" s="7">
        <v>0.41019680250993112</v>
      </c>
      <c r="B632"/>
      <c r="C632"/>
      <c r="D632"/>
      <c r="E632"/>
      <c r="F632" s="27" t="s">
        <v>7</v>
      </c>
      <c r="AQ632" s="27" t="s">
        <v>8</v>
      </c>
      <c r="AR632" s="27" t="s">
        <v>7</v>
      </c>
      <c r="AS632" s="27" t="s">
        <v>8</v>
      </c>
      <c r="BF632" s="27" t="s">
        <v>7</v>
      </c>
      <c r="BI632" s="27" t="s">
        <v>8</v>
      </c>
      <c r="BS632" s="27" t="s">
        <v>8</v>
      </c>
      <c r="BT632" s="27" t="s">
        <v>7</v>
      </c>
      <c r="BU632" s="27" t="s">
        <v>8</v>
      </c>
      <c r="BV632" s="27" t="s">
        <v>7</v>
      </c>
      <c r="BW632" s="27" t="s">
        <v>8</v>
      </c>
      <c r="BX632" s="27" t="s">
        <v>7</v>
      </c>
      <c r="BY632" s="27" t="s">
        <v>8</v>
      </c>
      <c r="BZ632" s="27" t="s">
        <v>7</v>
      </c>
      <c r="CA632" s="27" t="s">
        <v>8</v>
      </c>
      <c r="CK632" s="27" t="s">
        <v>8</v>
      </c>
      <c r="CL632" s="27" t="s">
        <v>7</v>
      </c>
    </row>
    <row r="633" spans="1:92" x14ac:dyDescent="0.25">
      <c r="A633" s="7">
        <v>0.40215372795091286</v>
      </c>
      <c r="B633"/>
      <c r="C633"/>
      <c r="D633"/>
      <c r="E633"/>
      <c r="F633" s="27" t="s">
        <v>7</v>
      </c>
      <c r="AQ633" s="27" t="s">
        <v>8</v>
      </c>
      <c r="AR633" s="27" t="s">
        <v>7</v>
      </c>
      <c r="AS633" s="27" t="s">
        <v>8</v>
      </c>
      <c r="BF633" s="27" t="s">
        <v>7</v>
      </c>
      <c r="BI633" s="27" t="s">
        <v>8</v>
      </c>
      <c r="BJ633" s="27" t="s">
        <v>7</v>
      </c>
      <c r="BQ633" s="27" t="s">
        <v>8</v>
      </c>
      <c r="BS633" s="27" t="s">
        <v>8</v>
      </c>
      <c r="BT633" s="27" t="s">
        <v>7</v>
      </c>
      <c r="BU633" s="27" t="s">
        <v>8</v>
      </c>
      <c r="BV633" s="27" t="s">
        <v>7</v>
      </c>
      <c r="BX633" s="27" t="s">
        <v>7</v>
      </c>
      <c r="BY633" s="27" t="s">
        <v>8</v>
      </c>
      <c r="BZ633" s="27" t="s">
        <v>7</v>
      </c>
      <c r="CA633" s="27" t="s">
        <v>8</v>
      </c>
      <c r="CB633" s="27" t="s">
        <v>7</v>
      </c>
      <c r="CK633" s="27" t="s">
        <v>8</v>
      </c>
      <c r="CL633" s="27" t="s">
        <v>7</v>
      </c>
    </row>
    <row r="634" spans="1:92" x14ac:dyDescent="0.25">
      <c r="A634" s="7">
        <v>0.39426836073618904</v>
      </c>
      <c r="B634"/>
      <c r="C634"/>
      <c r="D634"/>
      <c r="E634"/>
      <c r="F634" s="27" t="s">
        <v>7</v>
      </c>
      <c r="AQ634" s="27" t="s">
        <v>8</v>
      </c>
      <c r="AR634" s="27" t="s">
        <v>7</v>
      </c>
      <c r="AS634" s="27" t="s">
        <v>8</v>
      </c>
      <c r="BF634" s="27" t="s">
        <v>7</v>
      </c>
      <c r="BG634" s="27" t="s">
        <v>8</v>
      </c>
      <c r="BI634" s="27" t="s">
        <v>8</v>
      </c>
      <c r="BJ634" s="27" t="s">
        <v>7</v>
      </c>
      <c r="BO634" s="27" t="s">
        <v>8</v>
      </c>
      <c r="BQ634" s="27" t="s">
        <v>8</v>
      </c>
      <c r="BR634" s="27" t="s">
        <v>7</v>
      </c>
      <c r="BS634" s="27" t="s">
        <v>8</v>
      </c>
      <c r="BT634" s="27" t="s">
        <v>7</v>
      </c>
      <c r="BU634" s="27" t="s">
        <v>8</v>
      </c>
      <c r="BX634" s="27" t="s">
        <v>7</v>
      </c>
      <c r="BZ634" s="27" t="s">
        <v>7</v>
      </c>
      <c r="CA634" s="27" t="s">
        <v>8</v>
      </c>
      <c r="CB634" s="27" t="s">
        <v>7</v>
      </c>
      <c r="CK634" s="27" t="s">
        <v>8</v>
      </c>
      <c r="CL634" s="27" t="s">
        <v>7</v>
      </c>
    </row>
    <row r="635" spans="1:92" x14ac:dyDescent="0.25">
      <c r="A635" s="7">
        <v>0.38653760856489122</v>
      </c>
      <c r="B635"/>
      <c r="C635"/>
      <c r="D635"/>
      <c r="E635"/>
      <c r="F635" s="27" t="s">
        <v>7</v>
      </c>
      <c r="AQ635" s="27" t="s">
        <v>8</v>
      </c>
      <c r="AR635" s="27" t="s">
        <v>7</v>
      </c>
      <c r="AS635" s="27" t="s">
        <v>8</v>
      </c>
      <c r="BF635" s="27" t="s">
        <v>7</v>
      </c>
      <c r="BG635" s="27" t="s">
        <v>8</v>
      </c>
      <c r="BH635" s="27" t="s">
        <v>7</v>
      </c>
      <c r="BI635" s="27" t="s">
        <v>8</v>
      </c>
      <c r="BJ635" s="27" t="s">
        <v>7</v>
      </c>
      <c r="BK635" s="27" t="s">
        <v>8</v>
      </c>
      <c r="BM635" s="27" t="s">
        <v>8</v>
      </c>
      <c r="BO635" s="27" t="s">
        <v>8</v>
      </c>
      <c r="BP635" s="27" t="s">
        <v>7</v>
      </c>
      <c r="BQ635" s="27" t="s">
        <v>8</v>
      </c>
      <c r="BR635" s="27" t="s">
        <v>7</v>
      </c>
      <c r="BS635" s="27" t="s">
        <v>8</v>
      </c>
      <c r="BT635" s="27" t="s">
        <v>7</v>
      </c>
      <c r="BU635" s="27" t="s">
        <v>8</v>
      </c>
      <c r="BZ635" s="27" t="s">
        <v>7</v>
      </c>
      <c r="CA635" s="27" t="s">
        <v>8</v>
      </c>
      <c r="CB635" s="27" t="s">
        <v>7</v>
      </c>
      <c r="CK635" s="27" t="s">
        <v>8</v>
      </c>
      <c r="CL635" s="27" t="s">
        <v>7</v>
      </c>
    </row>
    <row r="636" spans="1:92" x14ac:dyDescent="0.25">
      <c r="A636" s="7">
        <v>0.37895843976950117</v>
      </c>
      <c r="B636"/>
      <c r="C636"/>
      <c r="D636"/>
      <c r="E636"/>
      <c r="F636" s="27" t="s">
        <v>7</v>
      </c>
      <c r="AQ636" s="27" t="s">
        <v>8</v>
      </c>
      <c r="AR636" s="27" t="s">
        <v>7</v>
      </c>
      <c r="AS636" s="27" t="s">
        <v>8</v>
      </c>
      <c r="BF636" s="27" t="s">
        <v>7</v>
      </c>
      <c r="BG636" s="27" t="s">
        <v>8</v>
      </c>
      <c r="BH636" s="27" t="s">
        <v>7</v>
      </c>
      <c r="BI636" s="27" t="s">
        <v>8</v>
      </c>
      <c r="BJ636" s="27" t="s">
        <v>7</v>
      </c>
      <c r="BK636" s="27" t="s">
        <v>8</v>
      </c>
      <c r="BL636" s="27" t="s">
        <v>7</v>
      </c>
      <c r="BM636" s="27" t="s">
        <v>8</v>
      </c>
      <c r="BN636" s="27" t="s">
        <v>7</v>
      </c>
      <c r="BO636" s="27" t="s">
        <v>8</v>
      </c>
      <c r="BP636" s="27" t="s">
        <v>7</v>
      </c>
      <c r="BQ636" s="27" t="s">
        <v>8</v>
      </c>
      <c r="BR636" s="27" t="s">
        <v>7</v>
      </c>
      <c r="BS636" s="27" t="s">
        <v>8</v>
      </c>
      <c r="BT636" s="27" t="s">
        <v>7</v>
      </c>
      <c r="BU636" s="27" t="s">
        <v>8</v>
      </c>
      <c r="BZ636" s="27" t="s">
        <v>7</v>
      </c>
      <c r="CA636" s="27" t="s">
        <v>8</v>
      </c>
      <c r="CB636" s="27" t="s">
        <v>7</v>
      </c>
      <c r="CC636" s="27" t="s">
        <v>8</v>
      </c>
      <c r="CK636" s="27" t="s">
        <v>8</v>
      </c>
      <c r="CL636" s="27" t="s">
        <v>7</v>
      </c>
    </row>
    <row r="637" spans="1:92" x14ac:dyDescent="0.25">
      <c r="A637" s="7">
        <v>0.37152788212696197</v>
      </c>
      <c r="B637"/>
      <c r="C637"/>
      <c r="D637"/>
      <c r="E637"/>
      <c r="F637" s="27" t="s">
        <v>7</v>
      </c>
      <c r="AQ637" s="27" t="s">
        <v>8</v>
      </c>
      <c r="AR637" s="27" t="s">
        <v>7</v>
      </c>
      <c r="AS637" s="27" t="s">
        <v>8</v>
      </c>
      <c r="BF637" s="27" t="s">
        <v>7</v>
      </c>
      <c r="BG637" s="27" t="s">
        <v>8</v>
      </c>
      <c r="BH637" s="27" t="s">
        <v>7</v>
      </c>
      <c r="BI637" s="27" t="s">
        <v>8</v>
      </c>
      <c r="BJ637" s="27" t="s">
        <v>7</v>
      </c>
      <c r="BK637" s="27" t="s">
        <v>8</v>
      </c>
      <c r="BL637" s="27" t="s">
        <v>7</v>
      </c>
      <c r="BM637" s="27" t="s">
        <v>8</v>
      </c>
      <c r="BN637" s="27" t="s">
        <v>7</v>
      </c>
      <c r="BO637" s="27" t="s">
        <v>8</v>
      </c>
      <c r="BP637" s="27" t="s">
        <v>7</v>
      </c>
      <c r="BQ637" s="27" t="s">
        <v>8</v>
      </c>
      <c r="BR637" s="27" t="s">
        <v>7</v>
      </c>
      <c r="BS637" s="27" t="s">
        <v>8</v>
      </c>
      <c r="BT637" s="27" t="s">
        <v>7</v>
      </c>
      <c r="BU637" s="27" t="s">
        <v>8</v>
      </c>
      <c r="BZ637" s="27" t="s">
        <v>7</v>
      </c>
      <c r="CA637" s="27" t="s">
        <v>8</v>
      </c>
      <c r="CB637" s="27" t="s">
        <v>7</v>
      </c>
      <c r="CC637" s="27" t="s">
        <v>8</v>
      </c>
      <c r="CD637" s="27" t="s">
        <v>7</v>
      </c>
      <c r="CK637" s="27" t="s">
        <v>8</v>
      </c>
      <c r="CL637" s="27" t="s">
        <v>7</v>
      </c>
    </row>
    <row r="638" spans="1:92" x14ac:dyDescent="0.25">
      <c r="A638" s="7">
        <v>0.36424302169310002</v>
      </c>
      <c r="B638"/>
      <c r="C638"/>
      <c r="D638"/>
      <c r="E638"/>
      <c r="F638" s="27" t="s">
        <v>7</v>
      </c>
      <c r="AQ638" s="27" t="s">
        <v>8</v>
      </c>
      <c r="AR638" s="27" t="s">
        <v>7</v>
      </c>
      <c r="AS638" s="27" t="s">
        <v>8</v>
      </c>
      <c r="BF638" s="27" t="s">
        <v>7</v>
      </c>
      <c r="BG638" s="27" t="s">
        <v>8</v>
      </c>
      <c r="BH638" s="27" t="s">
        <v>7</v>
      </c>
      <c r="BI638" s="27" t="s">
        <v>8</v>
      </c>
      <c r="BJ638" s="27" t="s">
        <v>7</v>
      </c>
      <c r="BL638" s="27" t="s">
        <v>7</v>
      </c>
      <c r="BM638" s="27" t="s">
        <v>8</v>
      </c>
      <c r="BN638" s="27" t="s">
        <v>7</v>
      </c>
      <c r="BO638" s="27" t="s">
        <v>8</v>
      </c>
      <c r="BP638" s="27" t="s">
        <v>7</v>
      </c>
      <c r="BQ638" s="27" t="s">
        <v>8</v>
      </c>
      <c r="BR638" s="27" t="s">
        <v>7</v>
      </c>
      <c r="BS638" s="27" t="s">
        <v>8</v>
      </c>
      <c r="BT638" s="27" t="s">
        <v>7</v>
      </c>
      <c r="BU638" s="27" t="s">
        <v>8</v>
      </c>
      <c r="BZ638" s="27" t="s">
        <v>7</v>
      </c>
      <c r="CA638" s="27" t="s">
        <v>8</v>
      </c>
      <c r="CB638" s="27" t="s">
        <v>7</v>
      </c>
      <c r="CC638" s="27" t="s">
        <v>8</v>
      </c>
      <c r="CD638" s="27" t="s">
        <v>7</v>
      </c>
      <c r="CK638" s="27" t="s">
        <v>8</v>
      </c>
      <c r="CL638" s="27" t="s">
        <v>7</v>
      </c>
      <c r="CM638" s="27" t="s">
        <v>8</v>
      </c>
    </row>
    <row r="639" spans="1:92" x14ac:dyDescent="0.25">
      <c r="A639" s="7">
        <v>0.35710100165990194</v>
      </c>
      <c r="B639"/>
      <c r="C639"/>
      <c r="D639"/>
      <c r="E639"/>
      <c r="F639" s="27" t="s">
        <v>7</v>
      </c>
      <c r="AO639" s="27" t="s">
        <v>8</v>
      </c>
      <c r="AQ639" s="27" t="s">
        <v>8</v>
      </c>
      <c r="AR639" s="27" t="s">
        <v>7</v>
      </c>
      <c r="AS639" s="27" t="s">
        <v>8</v>
      </c>
      <c r="BF639" s="27" t="s">
        <v>7</v>
      </c>
      <c r="BG639" s="27" t="s">
        <v>8</v>
      </c>
      <c r="BH639" s="27" t="s">
        <v>7</v>
      </c>
      <c r="BI639" s="27" t="s">
        <v>8</v>
      </c>
      <c r="BL639" s="27" t="s">
        <v>7</v>
      </c>
      <c r="BM639" s="27" t="s">
        <v>8</v>
      </c>
      <c r="BN639" s="27" t="s">
        <v>7</v>
      </c>
      <c r="BO639" s="27" t="s">
        <v>8</v>
      </c>
      <c r="BP639" s="27" t="s">
        <v>7</v>
      </c>
      <c r="BQ639" s="27" t="s">
        <v>8</v>
      </c>
      <c r="BR639" s="27" t="s">
        <v>7</v>
      </c>
      <c r="BT639" s="27" t="s">
        <v>7</v>
      </c>
      <c r="BU639" s="27" t="s">
        <v>8</v>
      </c>
      <c r="BZ639" s="27" t="s">
        <v>7</v>
      </c>
      <c r="CA639" s="27" t="s">
        <v>8</v>
      </c>
      <c r="CB639" s="27" t="s">
        <v>7</v>
      </c>
      <c r="CC639" s="27" t="s">
        <v>8</v>
      </c>
      <c r="CD639" s="27" t="s">
        <v>7</v>
      </c>
      <c r="CE639" s="27" t="s">
        <v>8</v>
      </c>
      <c r="CG639" s="27" t="s">
        <v>8</v>
      </c>
      <c r="CI639" s="27" t="s">
        <v>8</v>
      </c>
      <c r="CK639" s="27" t="s">
        <v>8</v>
      </c>
      <c r="CL639" s="27" t="s">
        <v>7</v>
      </c>
      <c r="CM639" s="27" t="s">
        <v>8</v>
      </c>
      <c r="CN639" s="27" t="s">
        <v>7</v>
      </c>
    </row>
    <row r="640" spans="1:92" x14ac:dyDescent="0.25">
      <c r="A640" s="7">
        <v>0.35009902123519804</v>
      </c>
      <c r="B640"/>
      <c r="C640"/>
      <c r="D640"/>
      <c r="E640"/>
      <c r="F640" s="27" t="s">
        <v>7</v>
      </c>
      <c r="AO640" s="27" t="s">
        <v>8</v>
      </c>
      <c r="AP640" s="27" t="s">
        <v>7</v>
      </c>
      <c r="AQ640" s="27" t="s">
        <v>8</v>
      </c>
      <c r="AR640" s="27" t="s">
        <v>7</v>
      </c>
      <c r="AS640" s="27" t="s">
        <v>8</v>
      </c>
      <c r="BF640" s="27" t="s">
        <v>7</v>
      </c>
      <c r="BG640" s="27" t="s">
        <v>8</v>
      </c>
      <c r="BH640" s="27" t="s">
        <v>7</v>
      </c>
      <c r="BI640" s="27" t="s">
        <v>8</v>
      </c>
      <c r="BL640" s="27" t="s">
        <v>7</v>
      </c>
      <c r="BM640" s="27" t="s">
        <v>8</v>
      </c>
      <c r="BN640" s="27" t="s">
        <v>7</v>
      </c>
      <c r="BO640" s="27" t="s">
        <v>8</v>
      </c>
      <c r="BP640" s="27" t="s">
        <v>7</v>
      </c>
      <c r="BT640" s="27" t="s">
        <v>7</v>
      </c>
      <c r="BZ640" s="27" t="s">
        <v>7</v>
      </c>
      <c r="CB640" s="27" t="s">
        <v>7</v>
      </c>
      <c r="CC640" s="27" t="s">
        <v>8</v>
      </c>
      <c r="CD640" s="27" t="s">
        <v>7</v>
      </c>
      <c r="CE640" s="27" t="s">
        <v>8</v>
      </c>
      <c r="CF640" s="27" t="s">
        <v>7</v>
      </c>
      <c r="CG640" s="27" t="s">
        <v>8</v>
      </c>
      <c r="CH640" s="27" t="s">
        <v>7</v>
      </c>
      <c r="CI640" s="27" t="s">
        <v>8</v>
      </c>
      <c r="CJ640" s="27" t="s">
        <v>7</v>
      </c>
      <c r="CK640" s="27" t="s">
        <v>8</v>
      </c>
      <c r="CL640" s="27" t="s">
        <v>7</v>
      </c>
      <c r="CM640" s="27" t="s">
        <v>8</v>
      </c>
      <c r="CN640" s="27" t="s">
        <v>7</v>
      </c>
    </row>
    <row r="641" spans="1:96" x14ac:dyDescent="0.25">
      <c r="A641" s="7">
        <v>0.34323433454431179</v>
      </c>
      <c r="B641"/>
      <c r="C641"/>
      <c r="D641"/>
      <c r="E641"/>
      <c r="F641" s="27" t="s">
        <v>7</v>
      </c>
      <c r="AO641" s="27" t="s">
        <v>8</v>
      </c>
      <c r="AP641" s="27" t="s">
        <v>7</v>
      </c>
      <c r="AQ641" s="27" t="s">
        <v>8</v>
      </c>
      <c r="AR641" s="27" t="s">
        <v>7</v>
      </c>
      <c r="AS641" s="27" t="s">
        <v>8</v>
      </c>
      <c r="BF641" s="27" t="s">
        <v>7</v>
      </c>
      <c r="BG641" s="27" t="s">
        <v>8</v>
      </c>
      <c r="BH641" s="27" t="s">
        <v>7</v>
      </c>
      <c r="BI641" s="27" t="s">
        <v>8</v>
      </c>
      <c r="BL641" s="27" t="s">
        <v>7</v>
      </c>
      <c r="BN641" s="27" t="s">
        <v>7</v>
      </c>
      <c r="BO641" s="27" t="s">
        <v>8</v>
      </c>
      <c r="CB641" s="27" t="s">
        <v>7</v>
      </c>
      <c r="CD641" s="27" t="s">
        <v>7</v>
      </c>
      <c r="CE641" s="27" t="s">
        <v>8</v>
      </c>
      <c r="CF641" s="27" t="s">
        <v>7</v>
      </c>
      <c r="CG641" s="27" t="s">
        <v>8</v>
      </c>
      <c r="CH641" s="27" t="s">
        <v>7</v>
      </c>
      <c r="CI641" s="27" t="s">
        <v>8</v>
      </c>
      <c r="CJ641" s="27" t="s">
        <v>7</v>
      </c>
      <c r="CK641" s="27" t="s">
        <v>8</v>
      </c>
      <c r="CL641" s="27" t="s">
        <v>7</v>
      </c>
      <c r="CM641" s="27" t="s">
        <v>8</v>
      </c>
      <c r="CN641" s="27" t="s">
        <v>7</v>
      </c>
    </row>
    <row r="642" spans="1:96" x14ac:dyDescent="0.25">
      <c r="A642" s="7">
        <v>0.33650424955324681</v>
      </c>
      <c r="B642"/>
      <c r="C642"/>
      <c r="D642"/>
      <c r="E642"/>
      <c r="F642" s="27" t="s">
        <v>7</v>
      </c>
      <c r="AO642" s="27" t="s">
        <v>8</v>
      </c>
      <c r="AP642" s="27" t="s">
        <v>7</v>
      </c>
      <c r="AQ642" s="27" t="s">
        <v>8</v>
      </c>
      <c r="AR642" s="27" t="s">
        <v>7</v>
      </c>
      <c r="AS642" s="27" t="s">
        <v>8</v>
      </c>
      <c r="BF642" s="27" t="s">
        <v>7</v>
      </c>
      <c r="BG642" s="27" t="s">
        <v>8</v>
      </c>
      <c r="BH642" s="27" t="s">
        <v>7</v>
      </c>
      <c r="BI642" s="27" t="s">
        <v>8</v>
      </c>
      <c r="BN642" s="27" t="s">
        <v>7</v>
      </c>
      <c r="BO642" s="27" t="s">
        <v>8</v>
      </c>
      <c r="CD642" s="27" t="s">
        <v>7</v>
      </c>
      <c r="CE642" s="27" t="s">
        <v>8</v>
      </c>
      <c r="CF642" s="27" t="s">
        <v>7</v>
      </c>
      <c r="CG642" s="27" t="s">
        <v>8</v>
      </c>
      <c r="CH642" s="27" t="s">
        <v>7</v>
      </c>
      <c r="CI642" s="27" t="s">
        <v>8</v>
      </c>
      <c r="CJ642" s="27" t="s">
        <v>7</v>
      </c>
      <c r="CK642" s="27" t="s">
        <v>8</v>
      </c>
      <c r="CL642" s="27" t="s">
        <v>7</v>
      </c>
      <c r="CM642" s="27" t="s">
        <v>8</v>
      </c>
      <c r="CN642" s="27" t="s">
        <v>7</v>
      </c>
    </row>
    <row r="643" spans="1:96" x14ac:dyDescent="0.25">
      <c r="A643" s="7">
        <v>0.3299061270129871</v>
      </c>
      <c r="B643"/>
      <c r="C643"/>
      <c r="D643"/>
      <c r="E643"/>
      <c r="F643" s="27" t="s">
        <v>7</v>
      </c>
      <c r="AO643" s="27" t="s">
        <v>8</v>
      </c>
      <c r="AP643" s="27" t="s">
        <v>7</v>
      </c>
      <c r="AQ643" s="27" t="s">
        <v>8</v>
      </c>
      <c r="AR643" s="27" t="s">
        <v>7</v>
      </c>
      <c r="AS643" s="27" t="s">
        <v>8</v>
      </c>
      <c r="BF643" s="27" t="s">
        <v>7</v>
      </c>
      <c r="BG643" s="27" t="s">
        <v>8</v>
      </c>
      <c r="BH643" s="27" t="s">
        <v>7</v>
      </c>
      <c r="BN643" s="27" t="s">
        <v>7</v>
      </c>
      <c r="BO643" s="27" t="s">
        <v>8</v>
      </c>
      <c r="CD643" s="27" t="s">
        <v>7</v>
      </c>
      <c r="CE643" s="27" t="s">
        <v>8</v>
      </c>
      <c r="CF643" s="27" t="s">
        <v>7</v>
      </c>
      <c r="CG643" s="27" t="s">
        <v>8</v>
      </c>
      <c r="CH643" s="27" t="s">
        <v>7</v>
      </c>
      <c r="CJ643" s="27" t="s">
        <v>7</v>
      </c>
      <c r="CK643" s="27" t="s">
        <v>8</v>
      </c>
      <c r="CL643" s="27" t="s">
        <v>7</v>
      </c>
      <c r="CM643" s="27" t="s">
        <v>8</v>
      </c>
      <c r="CN643" s="27" t="s">
        <v>7</v>
      </c>
    </row>
    <row r="644" spans="1:96" x14ac:dyDescent="0.25">
      <c r="A644" s="7">
        <v>0.32343737942449713</v>
      </c>
      <c r="B644"/>
      <c r="C644"/>
      <c r="D644"/>
      <c r="E644"/>
      <c r="F644" s="27" t="s">
        <v>7</v>
      </c>
      <c r="AO644" s="27" t="s">
        <v>8</v>
      </c>
      <c r="AP644" s="27" t="s">
        <v>7</v>
      </c>
      <c r="AR644" s="27" t="s">
        <v>7</v>
      </c>
      <c r="BF644" s="27" t="s">
        <v>7</v>
      </c>
      <c r="BN644" s="27" t="s">
        <v>7</v>
      </c>
      <c r="BO644" s="27" t="s">
        <v>8</v>
      </c>
      <c r="CD644" s="27" t="s">
        <v>7</v>
      </c>
      <c r="CE644" s="27" t="s">
        <v>8</v>
      </c>
      <c r="CF644" s="27" t="s">
        <v>7</v>
      </c>
      <c r="CJ644" s="27" t="s">
        <v>7</v>
      </c>
      <c r="CK644" s="27" t="s">
        <v>8</v>
      </c>
      <c r="CL644" s="27" t="s">
        <v>7</v>
      </c>
      <c r="CM644" s="27" t="s">
        <v>8</v>
      </c>
      <c r="CN644" s="27" t="s">
        <v>7</v>
      </c>
      <c r="CO644" s="27" t="s">
        <v>8</v>
      </c>
    </row>
    <row r="645" spans="1:96" x14ac:dyDescent="0.25">
      <c r="A645" s="7">
        <v>0.31709547002401678</v>
      </c>
      <c r="B645"/>
      <c r="C645"/>
      <c r="D645"/>
      <c r="E645"/>
      <c r="F645" s="27" t="s">
        <v>7</v>
      </c>
      <c r="O645" s="27" t="s">
        <v>8</v>
      </c>
      <c r="AO645" s="27" t="s">
        <v>8</v>
      </c>
      <c r="BN645" s="27" t="s">
        <v>7</v>
      </c>
      <c r="BO645" s="27" t="s">
        <v>8</v>
      </c>
      <c r="CD645" s="27" t="s">
        <v>7</v>
      </c>
      <c r="CE645" s="27" t="s">
        <v>8</v>
      </c>
      <c r="CJ645" s="27" t="s">
        <v>7</v>
      </c>
      <c r="CK645" s="27" t="s">
        <v>8</v>
      </c>
      <c r="CL645" s="27" t="s">
        <v>7</v>
      </c>
      <c r="CN645" s="27" t="s">
        <v>7</v>
      </c>
      <c r="CO645" s="27" t="s">
        <v>8</v>
      </c>
      <c r="CP645" s="27" t="s">
        <v>7</v>
      </c>
    </row>
    <row r="646" spans="1:96" x14ac:dyDescent="0.25">
      <c r="A646" s="7">
        <v>0.31087791178825175</v>
      </c>
      <c r="B646"/>
      <c r="C646"/>
      <c r="D646"/>
      <c r="E646"/>
      <c r="F646" s="27" t="s">
        <v>7</v>
      </c>
      <c r="O646" s="27" t="s">
        <v>8</v>
      </c>
      <c r="P646" s="27" t="s">
        <v>7</v>
      </c>
      <c r="AO646" s="27" t="s">
        <v>8</v>
      </c>
      <c r="BN646" s="27" t="s">
        <v>7</v>
      </c>
      <c r="CD646" s="27" t="s">
        <v>7</v>
      </c>
      <c r="CE646" s="27" t="s">
        <v>8</v>
      </c>
      <c r="CJ646" s="27" t="s">
        <v>7</v>
      </c>
      <c r="CK646" s="27" t="s">
        <v>8</v>
      </c>
      <c r="CN646" s="27" t="s">
        <v>7</v>
      </c>
      <c r="CO646" s="27" t="s">
        <v>8</v>
      </c>
      <c r="CP646" s="27" t="s">
        <v>7</v>
      </c>
    </row>
    <row r="647" spans="1:96" x14ac:dyDescent="0.25">
      <c r="A647" s="7">
        <v>0.30478226645907036</v>
      </c>
      <c r="B647"/>
      <c r="C647"/>
      <c r="D647"/>
      <c r="E647"/>
      <c r="F647" s="27" t="s">
        <v>7</v>
      </c>
      <c r="O647" s="27" t="s">
        <v>8</v>
      </c>
      <c r="P647" s="27" t="s">
        <v>7</v>
      </c>
      <c r="AO647" s="27" t="s">
        <v>8</v>
      </c>
      <c r="CD647" s="27" t="s">
        <v>7</v>
      </c>
      <c r="CE647" s="27" t="s">
        <v>8</v>
      </c>
      <c r="CJ647" s="27" t="s">
        <v>7</v>
      </c>
      <c r="CN647" s="27" t="s">
        <v>7</v>
      </c>
      <c r="CO647" s="27" t="s">
        <v>8</v>
      </c>
      <c r="CP647" s="27" t="s">
        <v>7</v>
      </c>
    </row>
    <row r="648" spans="1:96" x14ac:dyDescent="0.25">
      <c r="A648" s="7">
        <v>0.29880614358732388</v>
      </c>
      <c r="B648"/>
      <c r="C648"/>
      <c r="D648"/>
      <c r="E648"/>
      <c r="F648" s="27" t="s">
        <v>7</v>
      </c>
      <c r="O648" s="27" t="s">
        <v>8</v>
      </c>
      <c r="P648" s="27" t="s">
        <v>7</v>
      </c>
      <c r="Q648" s="27" t="s">
        <v>8</v>
      </c>
      <c r="AO648" s="27" t="s">
        <v>8</v>
      </c>
      <c r="CD648" s="27" t="s">
        <v>7</v>
      </c>
      <c r="CE648" s="27" t="s">
        <v>8</v>
      </c>
      <c r="CN648" s="27" t="s">
        <v>7</v>
      </c>
      <c r="CO648" s="27" t="s">
        <v>8</v>
      </c>
      <c r="CP648" s="27" t="s">
        <v>7</v>
      </c>
    </row>
    <row r="649" spans="1:96" x14ac:dyDescent="0.25">
      <c r="A649" s="7">
        <v>0.2929471995954156</v>
      </c>
      <c r="B649"/>
      <c r="C649"/>
      <c r="D649"/>
      <c r="E649"/>
      <c r="F649" s="27" t="s">
        <v>7</v>
      </c>
      <c r="O649" s="27" t="s">
        <v>8</v>
      </c>
      <c r="P649" s="27" t="s">
        <v>7</v>
      </c>
      <c r="Q649" s="27" t="s">
        <v>8</v>
      </c>
      <c r="R649" s="27" t="s">
        <v>7</v>
      </c>
      <c r="Y649" s="27" t="s">
        <v>8</v>
      </c>
      <c r="AM649" s="27" t="s">
        <v>8</v>
      </c>
      <c r="AO649" s="27" t="s">
        <v>8</v>
      </c>
      <c r="CD649" s="27" t="s">
        <v>7</v>
      </c>
      <c r="CE649" s="27" t="s">
        <v>8</v>
      </c>
      <c r="CN649" s="27" t="s">
        <v>7</v>
      </c>
      <c r="CO649" s="27" t="s">
        <v>8</v>
      </c>
      <c r="CP649" s="27" t="s">
        <v>7</v>
      </c>
    </row>
    <row r="650" spans="1:96" x14ac:dyDescent="0.25">
      <c r="A650" s="7">
        <v>0.28720313685825055</v>
      </c>
      <c r="B650"/>
      <c r="C650"/>
      <c r="D650"/>
      <c r="E650"/>
      <c r="F650" s="27" t="s">
        <v>7</v>
      </c>
      <c r="O650" s="27" t="s">
        <v>8</v>
      </c>
      <c r="P650" s="27" t="s">
        <v>7</v>
      </c>
      <c r="Q650" s="27" t="s">
        <v>8</v>
      </c>
      <c r="R650" s="27" t="s">
        <v>7</v>
      </c>
      <c r="Y650" s="27" t="s">
        <v>8</v>
      </c>
      <c r="Z650" s="27" t="s">
        <v>7</v>
      </c>
      <c r="AM650" s="27" t="s">
        <v>8</v>
      </c>
      <c r="AN650" s="27" t="s">
        <v>7</v>
      </c>
      <c r="AO650" s="27" t="s">
        <v>8</v>
      </c>
      <c r="CD650" s="27" t="s">
        <v>7</v>
      </c>
      <c r="CE650" s="27" t="s">
        <v>8</v>
      </c>
      <c r="CN650" s="27" t="s">
        <v>7</v>
      </c>
      <c r="CO650" s="27" t="s">
        <v>8</v>
      </c>
      <c r="CP650" s="27" t="s">
        <v>7</v>
      </c>
      <c r="CQ650" s="27" t="s">
        <v>8</v>
      </c>
    </row>
    <row r="651" spans="1:96" x14ac:dyDescent="0.25">
      <c r="A651" s="7">
        <v>0.28157170280220645</v>
      </c>
      <c r="B651"/>
      <c r="C651"/>
      <c r="D651"/>
      <c r="E651"/>
      <c r="F651" s="27" t="s">
        <v>7</v>
      </c>
      <c r="O651" s="27" t="s">
        <v>8</v>
      </c>
      <c r="P651" s="27" t="s">
        <v>7</v>
      </c>
      <c r="Q651" s="27" t="s">
        <v>8</v>
      </c>
      <c r="R651" s="27" t="s">
        <v>7</v>
      </c>
      <c r="Y651" s="27" t="s">
        <v>8</v>
      </c>
      <c r="Z651" s="27" t="s">
        <v>7</v>
      </c>
      <c r="AM651" s="27" t="s">
        <v>8</v>
      </c>
      <c r="AN651" s="27" t="s">
        <v>7</v>
      </c>
      <c r="AO651" s="27" t="s">
        <v>8</v>
      </c>
      <c r="CD651" s="27" t="s">
        <v>7</v>
      </c>
      <c r="CE651" s="27" t="s">
        <v>8</v>
      </c>
      <c r="CN651" s="27" t="s">
        <v>7</v>
      </c>
      <c r="CP651" s="27" t="s">
        <v>7</v>
      </c>
      <c r="CQ651" s="27" t="s">
        <v>8</v>
      </c>
      <c r="CR651" s="27" t="s">
        <v>7</v>
      </c>
    </row>
    <row r="652" spans="1:96" x14ac:dyDescent="0.25">
      <c r="A652" s="7">
        <v>0.27605068902177105</v>
      </c>
      <c r="B652"/>
      <c r="C652"/>
      <c r="D652"/>
      <c r="E652"/>
      <c r="F652" s="27" t="s">
        <v>7</v>
      </c>
      <c r="I652" s="27" t="s">
        <v>8</v>
      </c>
      <c r="O652" s="27" t="s">
        <v>8</v>
      </c>
      <c r="P652" s="27" t="s">
        <v>7</v>
      </c>
      <c r="Q652" s="27" t="s">
        <v>8</v>
      </c>
      <c r="R652" s="27" t="s">
        <v>7</v>
      </c>
      <c r="Y652" s="27" t="s">
        <v>8</v>
      </c>
      <c r="Z652" s="27" t="s">
        <v>7</v>
      </c>
      <c r="AM652" s="27" t="s">
        <v>8</v>
      </c>
      <c r="AN652" s="27" t="s">
        <v>7</v>
      </c>
      <c r="AO652" s="27" t="s">
        <v>8</v>
      </c>
      <c r="CD652" s="27" t="s">
        <v>7</v>
      </c>
      <c r="CE652" s="27" t="s">
        <v>8</v>
      </c>
      <c r="CP652" s="27" t="s">
        <v>7</v>
      </c>
      <c r="CQ652" s="27" t="s">
        <v>8</v>
      </c>
      <c r="CR652" s="27" t="s">
        <v>7</v>
      </c>
    </row>
    <row r="653" spans="1:96" x14ac:dyDescent="0.25">
      <c r="A653" s="7">
        <v>0.27063793041350104</v>
      </c>
      <c r="B653"/>
      <c r="C653"/>
      <c r="D653"/>
      <c r="E653"/>
      <c r="F653" s="27" t="s">
        <v>7</v>
      </c>
      <c r="I653" s="27" t="s">
        <v>8</v>
      </c>
      <c r="J653" s="27" t="s">
        <v>7</v>
      </c>
      <c r="M653" s="27" t="s">
        <v>8</v>
      </c>
      <c r="O653" s="27" t="s">
        <v>8</v>
      </c>
      <c r="P653" s="27" t="s">
        <v>7</v>
      </c>
      <c r="Q653" s="27" t="s">
        <v>8</v>
      </c>
      <c r="R653" s="27" t="s">
        <v>7</v>
      </c>
      <c r="S653" s="27" t="s">
        <v>8</v>
      </c>
      <c r="Y653" s="27" t="s">
        <v>8</v>
      </c>
      <c r="Z653" s="27" t="s">
        <v>7</v>
      </c>
      <c r="AM653" s="27" t="s">
        <v>8</v>
      </c>
      <c r="AN653" s="27" t="s">
        <v>7</v>
      </c>
      <c r="AO653" s="27" t="s">
        <v>8</v>
      </c>
      <c r="CD653" s="27" t="s">
        <v>7</v>
      </c>
      <c r="CE653" s="27" t="s">
        <v>8</v>
      </c>
      <c r="CP653" s="27" t="s">
        <v>7</v>
      </c>
      <c r="CQ653" s="27" t="s">
        <v>8</v>
      </c>
      <c r="CR653" s="27" t="s">
        <v>7</v>
      </c>
    </row>
    <row r="654" spans="1:96" x14ac:dyDescent="0.25">
      <c r="A654" s="7">
        <v>0.26533130432696184</v>
      </c>
      <c r="B654"/>
      <c r="C654"/>
      <c r="D654"/>
      <c r="E654"/>
      <c r="F654" s="27" t="s">
        <v>7</v>
      </c>
      <c r="I654" s="27" t="s">
        <v>8</v>
      </c>
      <c r="J654" s="27" t="s">
        <v>7</v>
      </c>
      <c r="M654" s="27" t="s">
        <v>8</v>
      </c>
      <c r="N654" s="27" t="s">
        <v>7</v>
      </c>
      <c r="O654" s="27" t="s">
        <v>8</v>
      </c>
      <c r="P654" s="27" t="s">
        <v>7</v>
      </c>
      <c r="Q654" s="27" t="s">
        <v>8</v>
      </c>
      <c r="R654" s="27" t="s">
        <v>7</v>
      </c>
      <c r="S654" s="27" t="s">
        <v>8</v>
      </c>
      <c r="T654" s="27" t="s">
        <v>7</v>
      </c>
      <c r="Y654" s="27" t="s">
        <v>8</v>
      </c>
      <c r="Z654" s="27" t="s">
        <v>7</v>
      </c>
      <c r="AM654" s="27" t="s">
        <v>8</v>
      </c>
      <c r="AN654" s="27" t="s">
        <v>7</v>
      </c>
      <c r="AO654" s="27" t="s">
        <v>8</v>
      </c>
      <c r="CD654" s="27" t="s">
        <v>7</v>
      </c>
      <c r="CE654" s="27" t="s">
        <v>8</v>
      </c>
      <c r="CP654" s="27" t="s">
        <v>7</v>
      </c>
      <c r="CQ654" s="27" t="s">
        <v>8</v>
      </c>
      <c r="CR654" s="27" t="s">
        <v>7</v>
      </c>
    </row>
    <row r="655" spans="1:96" x14ac:dyDescent="0.25">
      <c r="A655" s="7">
        <v>0.26012872973231554</v>
      </c>
      <c r="B655"/>
      <c r="C655"/>
      <c r="D655"/>
      <c r="E655"/>
      <c r="F655" s="27" t="s">
        <v>7</v>
      </c>
      <c r="I655" s="27" t="s">
        <v>8</v>
      </c>
      <c r="J655" s="27" t="s">
        <v>7</v>
      </c>
      <c r="M655" s="27" t="s">
        <v>8</v>
      </c>
      <c r="N655" s="27" t="s">
        <v>7</v>
      </c>
      <c r="O655" s="27" t="s">
        <v>8</v>
      </c>
      <c r="P655" s="27" t="s">
        <v>7</v>
      </c>
      <c r="R655" s="27" t="s">
        <v>7</v>
      </c>
      <c r="S655" s="27" t="s">
        <v>8</v>
      </c>
      <c r="T655" s="27" t="s">
        <v>7</v>
      </c>
      <c r="Y655" s="27" t="s">
        <v>8</v>
      </c>
      <c r="Z655" s="27" t="s">
        <v>7</v>
      </c>
      <c r="AM655" s="27" t="s">
        <v>8</v>
      </c>
      <c r="AN655" s="27" t="s">
        <v>7</v>
      </c>
      <c r="CD655" s="27" t="s">
        <v>7</v>
      </c>
      <c r="CE655" s="27" t="s">
        <v>8</v>
      </c>
      <c r="CP655" s="27" t="s">
        <v>7</v>
      </c>
      <c r="CR655" s="27" t="s">
        <v>7</v>
      </c>
    </row>
    <row r="656" spans="1:96" x14ac:dyDescent="0.25">
      <c r="A656" s="7">
        <v>0.25502816640423093</v>
      </c>
      <c r="B656"/>
      <c r="C656"/>
      <c r="D656"/>
      <c r="E656"/>
      <c r="F656" s="27" t="s">
        <v>7</v>
      </c>
      <c r="I656" s="27" t="s">
        <v>8</v>
      </c>
      <c r="J656" s="27" t="s">
        <v>7</v>
      </c>
      <c r="M656" s="27" t="s">
        <v>8</v>
      </c>
      <c r="N656" s="27" t="s">
        <v>7</v>
      </c>
      <c r="O656" s="27" t="s">
        <v>8</v>
      </c>
      <c r="R656" s="27" t="s">
        <v>7</v>
      </c>
      <c r="S656" s="27" t="s">
        <v>8</v>
      </c>
      <c r="T656" s="27" t="s">
        <v>7</v>
      </c>
      <c r="Y656" s="27" t="s">
        <v>8</v>
      </c>
      <c r="Z656" s="27" t="s">
        <v>7</v>
      </c>
      <c r="AA656" s="27" t="s">
        <v>8</v>
      </c>
      <c r="AE656" s="27" t="s">
        <v>8</v>
      </c>
      <c r="AI656" s="27" t="s">
        <v>8</v>
      </c>
      <c r="AM656" s="27" t="s">
        <v>8</v>
      </c>
      <c r="CD656" s="27" t="s">
        <v>7</v>
      </c>
      <c r="CE656" s="27" t="s">
        <v>8</v>
      </c>
      <c r="CR656" s="27" t="s">
        <v>7</v>
      </c>
    </row>
    <row r="657" spans="1:178" x14ac:dyDescent="0.25">
      <c r="A657" s="7">
        <v>0.25002761412179503</v>
      </c>
      <c r="B657"/>
      <c r="C657"/>
      <c r="D657"/>
      <c r="E657"/>
      <c r="F657" s="27" t="s">
        <v>7</v>
      </c>
      <c r="I657" s="27" t="s">
        <v>8</v>
      </c>
      <c r="J657" s="27" t="s">
        <v>7</v>
      </c>
      <c r="M657" s="27" t="s">
        <v>8</v>
      </c>
      <c r="N657" s="27" t="s">
        <v>7</v>
      </c>
      <c r="O657" s="27" t="s">
        <v>8</v>
      </c>
      <c r="R657" s="27" t="s">
        <v>7</v>
      </c>
      <c r="S657" s="27" t="s">
        <v>8</v>
      </c>
      <c r="T657" s="27" t="s">
        <v>7</v>
      </c>
      <c r="Y657" s="27" t="s">
        <v>8</v>
      </c>
      <c r="Z657" s="27" t="s">
        <v>7</v>
      </c>
      <c r="AA657" s="27" t="s">
        <v>8</v>
      </c>
      <c r="AB657" s="27" t="s">
        <v>7</v>
      </c>
      <c r="AE657" s="27" t="s">
        <v>8</v>
      </c>
      <c r="AF657" s="27" t="s">
        <v>7</v>
      </c>
      <c r="AI657" s="27" t="s">
        <v>8</v>
      </c>
      <c r="AJ657" s="27" t="s">
        <v>7</v>
      </c>
      <c r="AM657" s="27" t="s">
        <v>8</v>
      </c>
      <c r="CD657" s="27" t="s">
        <v>7</v>
      </c>
      <c r="CE657" s="27" t="s">
        <v>8</v>
      </c>
      <c r="CR657" s="27" t="s">
        <v>7</v>
      </c>
    </row>
    <row r="658" spans="1:178" x14ac:dyDescent="0.25">
      <c r="A658" s="7">
        <v>0.24512511188411276</v>
      </c>
      <c r="B658"/>
      <c r="C658"/>
      <c r="D658"/>
      <c r="E658"/>
      <c r="F658" s="27" t="s">
        <v>7</v>
      </c>
      <c r="I658" s="27" t="s">
        <v>8</v>
      </c>
      <c r="J658" s="27" t="s">
        <v>7</v>
      </c>
      <c r="M658" s="27" t="s">
        <v>8</v>
      </c>
      <c r="N658" s="27" t="s">
        <v>7</v>
      </c>
      <c r="O658" s="27" t="s">
        <v>8</v>
      </c>
      <c r="R658" s="27" t="s">
        <v>7</v>
      </c>
      <c r="S658" s="27" t="s">
        <v>8</v>
      </c>
      <c r="T658" s="27" t="s">
        <v>7</v>
      </c>
      <c r="W658" s="27" t="s">
        <v>8</v>
      </c>
      <c r="Y658" s="27" t="s">
        <v>8</v>
      </c>
      <c r="Z658" s="27" t="s">
        <v>7</v>
      </c>
      <c r="AA658" s="27" t="s">
        <v>8</v>
      </c>
      <c r="AB658" s="27" t="s">
        <v>7</v>
      </c>
      <c r="AE658" s="27" t="s">
        <v>8</v>
      </c>
      <c r="AF658" s="27" t="s">
        <v>7</v>
      </c>
      <c r="AI658" s="27" t="s">
        <v>8</v>
      </c>
      <c r="AJ658" s="27" t="s">
        <v>7</v>
      </c>
      <c r="AK658" s="27" t="s">
        <v>8</v>
      </c>
      <c r="AM658" s="27" t="s">
        <v>8</v>
      </c>
      <c r="CD658" s="27" t="s">
        <v>7</v>
      </c>
      <c r="CE658" s="27" t="s">
        <v>8</v>
      </c>
      <c r="CR658" s="27" t="s">
        <v>7</v>
      </c>
      <c r="CS658" s="27" t="s">
        <v>8</v>
      </c>
    </row>
    <row r="659" spans="1:178" x14ac:dyDescent="0.25">
      <c r="A659" s="7">
        <v>0.24031873714128701</v>
      </c>
      <c r="B659"/>
      <c r="C659"/>
      <c r="D659"/>
      <c r="E659"/>
      <c r="F659" s="27" t="s">
        <v>7</v>
      </c>
      <c r="I659" s="27" t="s">
        <v>8</v>
      </c>
      <c r="J659" s="27" t="s">
        <v>7</v>
      </c>
      <c r="M659" s="27" t="s">
        <v>8</v>
      </c>
      <c r="N659" s="27" t="s">
        <v>7</v>
      </c>
      <c r="O659" s="27" t="s">
        <v>8</v>
      </c>
      <c r="R659" s="27" t="s">
        <v>7</v>
      </c>
      <c r="S659" s="27" t="s">
        <v>8</v>
      </c>
      <c r="T659" s="27" t="s">
        <v>7</v>
      </c>
      <c r="U659" s="27" t="s">
        <v>8</v>
      </c>
      <c r="W659" s="27" t="s">
        <v>8</v>
      </c>
      <c r="X659" s="27" t="s">
        <v>7</v>
      </c>
      <c r="Y659" s="27" t="s">
        <v>8</v>
      </c>
      <c r="Z659" s="27" t="s">
        <v>7</v>
      </c>
      <c r="AA659" s="27" t="s">
        <v>8</v>
      </c>
      <c r="AB659" s="27" t="s">
        <v>7</v>
      </c>
      <c r="AE659" s="27" t="s">
        <v>8</v>
      </c>
      <c r="AF659" s="27" t="s">
        <v>7</v>
      </c>
      <c r="AI659" s="27" t="s">
        <v>8</v>
      </c>
      <c r="AJ659" s="27" t="s">
        <v>7</v>
      </c>
      <c r="AK659" s="27" t="s">
        <v>8</v>
      </c>
      <c r="AL659" s="27" t="s">
        <v>7</v>
      </c>
      <c r="AM659" s="27" t="s">
        <v>8</v>
      </c>
      <c r="CD659" s="27" t="s">
        <v>7</v>
      </c>
      <c r="CE659" s="27" t="s">
        <v>8</v>
      </c>
      <c r="CR659" s="27" t="s">
        <v>7</v>
      </c>
      <c r="CS659" s="27" t="s">
        <v>8</v>
      </c>
      <c r="CT659" s="27" t="s">
        <v>7</v>
      </c>
      <c r="EK659" s="27" t="s">
        <v>8</v>
      </c>
    </row>
    <row r="660" spans="1:178" x14ac:dyDescent="0.25">
      <c r="A660" s="7">
        <v>0.23560660504047748</v>
      </c>
      <c r="B660"/>
      <c r="C660"/>
      <c r="D660"/>
      <c r="E660"/>
      <c r="F660" s="27" t="s">
        <v>7</v>
      </c>
      <c r="I660" s="27" t="s">
        <v>8</v>
      </c>
      <c r="J660" s="27" t="s">
        <v>7</v>
      </c>
      <c r="M660" s="27" t="s">
        <v>8</v>
      </c>
      <c r="N660" s="27" t="s">
        <v>7</v>
      </c>
      <c r="R660" s="27" t="s">
        <v>7</v>
      </c>
      <c r="S660" s="27" t="s">
        <v>8</v>
      </c>
      <c r="T660" s="27" t="s">
        <v>7</v>
      </c>
      <c r="U660" s="27" t="s">
        <v>8</v>
      </c>
      <c r="V660" s="27" t="s">
        <v>7</v>
      </c>
      <c r="W660" s="27" t="s">
        <v>8</v>
      </c>
      <c r="X660" s="27" t="s">
        <v>7</v>
      </c>
      <c r="Y660" s="27" t="s">
        <v>8</v>
      </c>
      <c r="Z660" s="27" t="s">
        <v>7</v>
      </c>
      <c r="AA660" s="27" t="s">
        <v>8</v>
      </c>
      <c r="AB660" s="27" t="s">
        <v>7</v>
      </c>
      <c r="AE660" s="27" t="s">
        <v>8</v>
      </c>
      <c r="AF660" s="27" t="s">
        <v>7</v>
      </c>
      <c r="AI660" s="27" t="s">
        <v>8</v>
      </c>
      <c r="AJ660" s="27" t="s">
        <v>7</v>
      </c>
      <c r="AK660" s="27" t="s">
        <v>8</v>
      </c>
      <c r="AL660" s="27" t="s">
        <v>7</v>
      </c>
      <c r="AM660" s="27" t="s">
        <v>8</v>
      </c>
      <c r="CD660" s="27" t="s">
        <v>7</v>
      </c>
      <c r="CE660" s="27" t="s">
        <v>8</v>
      </c>
      <c r="CR660" s="27" t="s">
        <v>7</v>
      </c>
      <c r="CS660" s="27" t="s">
        <v>8</v>
      </c>
      <c r="CT660" s="27" t="s">
        <v>7</v>
      </c>
      <c r="EK660" s="27" t="s">
        <v>8</v>
      </c>
      <c r="EL660" s="27" t="s">
        <v>7</v>
      </c>
      <c r="FM660" s="27" t="s">
        <v>8</v>
      </c>
    </row>
    <row r="661" spans="1:178" x14ac:dyDescent="0.25">
      <c r="A661" s="7">
        <v>0.23098686768674265</v>
      </c>
      <c r="B661"/>
      <c r="C661"/>
      <c r="D661"/>
      <c r="E661"/>
      <c r="F661" s="27" t="s">
        <v>7</v>
      </c>
      <c r="I661" s="27" t="s">
        <v>8</v>
      </c>
      <c r="J661" s="27" t="s">
        <v>7</v>
      </c>
      <c r="K661" s="27" t="s">
        <v>8</v>
      </c>
      <c r="M661" s="27" t="s">
        <v>8</v>
      </c>
      <c r="R661" s="27" t="s">
        <v>7</v>
      </c>
      <c r="S661" s="27" t="s">
        <v>8</v>
      </c>
      <c r="T661" s="27" t="s">
        <v>7</v>
      </c>
      <c r="U661" s="27" t="s">
        <v>8</v>
      </c>
      <c r="V661" s="27" t="s">
        <v>7</v>
      </c>
      <c r="W661" s="27" t="s">
        <v>8</v>
      </c>
      <c r="X661" s="27" t="s">
        <v>7</v>
      </c>
      <c r="Y661" s="27" t="s">
        <v>8</v>
      </c>
      <c r="Z661" s="27" t="s">
        <v>7</v>
      </c>
      <c r="AA661" s="27" t="s">
        <v>8</v>
      </c>
      <c r="AB661" s="27" t="s">
        <v>7</v>
      </c>
      <c r="AC661" s="27" t="s">
        <v>8</v>
      </c>
      <c r="AE661" s="27" t="s">
        <v>8</v>
      </c>
      <c r="AF661" s="27" t="s">
        <v>7</v>
      </c>
      <c r="AI661" s="27" t="s">
        <v>8</v>
      </c>
      <c r="AJ661" s="27" t="s">
        <v>7</v>
      </c>
      <c r="AK661" s="27" t="s">
        <v>8</v>
      </c>
      <c r="AL661" s="27" t="s">
        <v>7</v>
      </c>
      <c r="AM661" s="27" t="s">
        <v>8</v>
      </c>
      <c r="CD661" s="27" t="s">
        <v>7</v>
      </c>
      <c r="CE661" s="27" t="s">
        <v>8</v>
      </c>
      <c r="CR661" s="27" t="s">
        <v>7</v>
      </c>
      <c r="CS661" s="27" t="s">
        <v>8</v>
      </c>
      <c r="CT661" s="27" t="s">
        <v>7</v>
      </c>
      <c r="EK661" s="27" t="s">
        <v>8</v>
      </c>
      <c r="EL661" s="27" t="s">
        <v>7</v>
      </c>
      <c r="FM661" s="27" t="s">
        <v>8</v>
      </c>
      <c r="FN661" s="27" t="s">
        <v>7</v>
      </c>
    </row>
    <row r="662" spans="1:178" x14ac:dyDescent="0.25">
      <c r="A662" s="7">
        <v>0.22645771341837515</v>
      </c>
      <c r="B662"/>
      <c r="C662"/>
      <c r="D662"/>
      <c r="E662"/>
      <c r="F662" s="27" t="s">
        <v>7</v>
      </c>
      <c r="I662" s="27" t="s">
        <v>8</v>
      </c>
      <c r="J662" s="27" t="s">
        <v>7</v>
      </c>
      <c r="K662" s="27" t="s">
        <v>8</v>
      </c>
      <c r="L662" s="27" t="s">
        <v>7</v>
      </c>
      <c r="M662" s="27" t="s">
        <v>8</v>
      </c>
      <c r="R662" s="27" t="s">
        <v>7</v>
      </c>
      <c r="S662" s="27" t="s">
        <v>8</v>
      </c>
      <c r="T662" s="27" t="s">
        <v>7</v>
      </c>
      <c r="U662" s="27" t="s">
        <v>8</v>
      </c>
      <c r="V662" s="27" t="s">
        <v>7</v>
      </c>
      <c r="W662" s="27" t="s">
        <v>8</v>
      </c>
      <c r="X662" s="27" t="s">
        <v>7</v>
      </c>
      <c r="Y662" s="27" t="s">
        <v>8</v>
      </c>
      <c r="Z662" s="27" t="s">
        <v>7</v>
      </c>
      <c r="AA662" s="27" t="s">
        <v>8</v>
      </c>
      <c r="AB662" s="27" t="s">
        <v>7</v>
      </c>
      <c r="AC662" s="27" t="s">
        <v>8</v>
      </c>
      <c r="AD662" s="27" t="s">
        <v>7</v>
      </c>
      <c r="AE662" s="27" t="s">
        <v>8</v>
      </c>
      <c r="AF662" s="27" t="s">
        <v>7</v>
      </c>
      <c r="AG662" s="27" t="s">
        <v>8</v>
      </c>
      <c r="AI662" s="27" t="s">
        <v>8</v>
      </c>
      <c r="AJ662" s="27" t="s">
        <v>7</v>
      </c>
      <c r="AL662" s="27" t="s">
        <v>7</v>
      </c>
      <c r="AM662" s="27" t="s">
        <v>8</v>
      </c>
      <c r="CD662" s="27" t="s">
        <v>7</v>
      </c>
      <c r="CR662" s="27" t="s">
        <v>7</v>
      </c>
      <c r="CS662" s="27" t="s">
        <v>8</v>
      </c>
      <c r="CT662" s="27" t="s">
        <v>7</v>
      </c>
      <c r="EE662" s="27" t="s">
        <v>8</v>
      </c>
      <c r="EK662" s="27" t="s">
        <v>8</v>
      </c>
      <c r="EL662" s="27" t="s">
        <v>7</v>
      </c>
      <c r="FK662" s="27" t="s">
        <v>8</v>
      </c>
      <c r="FM662" s="27" t="s">
        <v>8</v>
      </c>
      <c r="FN662" s="27" t="s">
        <v>7</v>
      </c>
    </row>
    <row r="663" spans="1:178" x14ac:dyDescent="0.25">
      <c r="A663" s="7">
        <v>0.22201736609644623</v>
      </c>
      <c r="B663"/>
      <c r="C663"/>
      <c r="D663"/>
      <c r="E663"/>
      <c r="F663" s="27" t="s">
        <v>7</v>
      </c>
      <c r="I663" s="27" t="s">
        <v>8</v>
      </c>
      <c r="J663" s="27" t="s">
        <v>7</v>
      </c>
      <c r="K663" s="27" t="s">
        <v>8</v>
      </c>
      <c r="L663" s="27" t="s">
        <v>7</v>
      </c>
      <c r="M663" s="27" t="s">
        <v>8</v>
      </c>
      <c r="R663" s="27" t="s">
        <v>7</v>
      </c>
      <c r="S663" s="27" t="s">
        <v>8</v>
      </c>
      <c r="T663" s="27" t="s">
        <v>7</v>
      </c>
      <c r="U663" s="27" t="s">
        <v>8</v>
      </c>
      <c r="V663" s="27" t="s">
        <v>7</v>
      </c>
      <c r="W663" s="27" t="s">
        <v>8</v>
      </c>
      <c r="X663" s="27" t="s">
        <v>7</v>
      </c>
      <c r="Y663" s="27" t="s">
        <v>8</v>
      </c>
      <c r="Z663" s="27" t="s">
        <v>7</v>
      </c>
      <c r="AA663" s="27" t="s">
        <v>8</v>
      </c>
      <c r="AB663" s="27" t="s">
        <v>7</v>
      </c>
      <c r="AC663" s="27" t="s">
        <v>8</v>
      </c>
      <c r="AD663" s="27" t="s">
        <v>7</v>
      </c>
      <c r="AE663" s="27" t="s">
        <v>8</v>
      </c>
      <c r="AF663" s="27" t="s">
        <v>7</v>
      </c>
      <c r="AG663" s="27" t="s">
        <v>8</v>
      </c>
      <c r="AH663" s="27" t="s">
        <v>7</v>
      </c>
      <c r="AI663" s="27" t="s">
        <v>8</v>
      </c>
      <c r="AL663" s="27" t="s">
        <v>7</v>
      </c>
      <c r="CR663" s="27" t="s">
        <v>7</v>
      </c>
      <c r="CS663" s="27" t="s">
        <v>8</v>
      </c>
      <c r="CT663" s="27" t="s">
        <v>7</v>
      </c>
      <c r="EE663" s="27" t="s">
        <v>8</v>
      </c>
      <c r="EF663" s="27" t="s">
        <v>7</v>
      </c>
      <c r="EK663" s="27" t="s">
        <v>8</v>
      </c>
      <c r="EL663" s="27" t="s">
        <v>7</v>
      </c>
      <c r="FK663" s="27" t="s">
        <v>8</v>
      </c>
      <c r="FL663" s="27" t="s">
        <v>7</v>
      </c>
      <c r="FM663" s="27" t="s">
        <v>8</v>
      </c>
      <c r="FN663" s="27" t="s">
        <v>7</v>
      </c>
      <c r="FO663" s="27" t="s">
        <v>8</v>
      </c>
    </row>
    <row r="664" spans="1:178" x14ac:dyDescent="0.25">
      <c r="A664" s="7">
        <v>0.21766408440828061</v>
      </c>
      <c r="B664"/>
      <c r="C664"/>
      <c r="D664"/>
      <c r="E664"/>
      <c r="F664" s="27" t="s">
        <v>7</v>
      </c>
      <c r="I664" s="27" t="s">
        <v>8</v>
      </c>
      <c r="J664" s="27" t="s">
        <v>7</v>
      </c>
      <c r="K664" s="27" t="s">
        <v>8</v>
      </c>
      <c r="L664" s="27" t="s">
        <v>7</v>
      </c>
      <c r="M664" s="27" t="s">
        <v>8</v>
      </c>
      <c r="R664" s="27" t="s">
        <v>7</v>
      </c>
      <c r="S664" s="27" t="s">
        <v>8</v>
      </c>
      <c r="T664" s="27" t="s">
        <v>7</v>
      </c>
      <c r="U664" s="27" t="s">
        <v>8</v>
      </c>
      <c r="V664" s="27" t="s">
        <v>7</v>
      </c>
      <c r="W664" s="27" t="s">
        <v>8</v>
      </c>
      <c r="X664" s="27" t="s">
        <v>7</v>
      </c>
      <c r="Y664" s="27" t="s">
        <v>8</v>
      </c>
      <c r="Z664" s="27" t="s">
        <v>7</v>
      </c>
      <c r="AB664" s="27" t="s">
        <v>7</v>
      </c>
      <c r="AC664" s="27" t="s">
        <v>8</v>
      </c>
      <c r="AD664" s="27" t="s">
        <v>7</v>
      </c>
      <c r="AE664" s="27" t="s">
        <v>8</v>
      </c>
      <c r="AF664" s="27" t="s">
        <v>7</v>
      </c>
      <c r="AG664" s="27" t="s">
        <v>8</v>
      </c>
      <c r="AH664" s="27" t="s">
        <v>7</v>
      </c>
      <c r="AI664" s="27" t="s">
        <v>8</v>
      </c>
      <c r="CR664" s="27" t="s">
        <v>7</v>
      </c>
      <c r="CS664" s="27" t="s">
        <v>8</v>
      </c>
      <c r="CT664" s="27" t="s">
        <v>7</v>
      </c>
      <c r="CW664" s="27" t="s">
        <v>8</v>
      </c>
      <c r="EE664" s="27" t="s">
        <v>8</v>
      </c>
      <c r="EF664" s="27" t="s">
        <v>7</v>
      </c>
      <c r="EG664" s="27" t="s">
        <v>8</v>
      </c>
      <c r="EK664" s="27" t="s">
        <v>8</v>
      </c>
      <c r="EL664" s="27" t="s">
        <v>7</v>
      </c>
      <c r="FK664" s="27" t="s">
        <v>8</v>
      </c>
      <c r="FL664" s="27" t="s">
        <v>7</v>
      </c>
      <c r="FM664" s="27" t="s">
        <v>8</v>
      </c>
      <c r="FN664" s="27" t="s">
        <v>7</v>
      </c>
      <c r="FO664" s="27" t="s">
        <v>8</v>
      </c>
      <c r="FP664" s="27" t="s">
        <v>7</v>
      </c>
    </row>
    <row r="665" spans="1:178" x14ac:dyDescent="0.25">
      <c r="A665" s="7">
        <v>0.21339616118458882</v>
      </c>
      <c r="B665"/>
      <c r="C665"/>
      <c r="D665"/>
      <c r="E665"/>
      <c r="F665" s="27" t="s">
        <v>7</v>
      </c>
      <c r="I665" s="27" t="s">
        <v>8</v>
      </c>
      <c r="J665" s="27" t="s">
        <v>7</v>
      </c>
      <c r="K665" s="27" t="s">
        <v>8</v>
      </c>
      <c r="L665" s="27" t="s">
        <v>7</v>
      </c>
      <c r="M665" s="27" t="s">
        <v>8</v>
      </c>
      <c r="R665" s="27" t="s">
        <v>7</v>
      </c>
      <c r="S665" s="27" t="s">
        <v>8</v>
      </c>
      <c r="T665" s="27" t="s">
        <v>7</v>
      </c>
      <c r="V665" s="27" t="s">
        <v>7</v>
      </c>
      <c r="W665" s="27" t="s">
        <v>8</v>
      </c>
      <c r="X665" s="27" t="s">
        <v>7</v>
      </c>
      <c r="Y665" s="27" t="s">
        <v>8</v>
      </c>
      <c r="AB665" s="27" t="s">
        <v>7</v>
      </c>
      <c r="AC665" s="27" t="s">
        <v>8</v>
      </c>
      <c r="AD665" s="27" t="s">
        <v>7</v>
      </c>
      <c r="AE665" s="27" t="s">
        <v>8</v>
      </c>
      <c r="AF665" s="27" t="s">
        <v>7</v>
      </c>
      <c r="AG665" s="27" t="s">
        <v>8</v>
      </c>
      <c r="AH665" s="27" t="s">
        <v>7</v>
      </c>
      <c r="CR665" s="27" t="s">
        <v>7</v>
      </c>
      <c r="CS665" s="27" t="s">
        <v>8</v>
      </c>
      <c r="CT665" s="27" t="s">
        <v>7</v>
      </c>
      <c r="CU665" s="27" t="s">
        <v>8</v>
      </c>
      <c r="CW665" s="27" t="s">
        <v>8</v>
      </c>
      <c r="CX665" s="27" t="s">
        <v>7</v>
      </c>
      <c r="EE665" s="27" t="s">
        <v>8</v>
      </c>
      <c r="EF665" s="27" t="s">
        <v>7</v>
      </c>
      <c r="EG665" s="27" t="s">
        <v>8</v>
      </c>
      <c r="EH665" s="27" t="s">
        <v>7</v>
      </c>
      <c r="EK665" s="27" t="s">
        <v>8</v>
      </c>
      <c r="EL665" s="27" t="s">
        <v>7</v>
      </c>
      <c r="FK665" s="27" t="s">
        <v>8</v>
      </c>
      <c r="FL665" s="27" t="s">
        <v>7</v>
      </c>
      <c r="FM665" s="27" t="s">
        <v>8</v>
      </c>
      <c r="FN665" s="27" t="s">
        <v>7</v>
      </c>
      <c r="FO665" s="27" t="s">
        <v>8</v>
      </c>
      <c r="FP665" s="27" t="s">
        <v>7</v>
      </c>
    </row>
    <row r="666" spans="1:178" x14ac:dyDescent="0.25">
      <c r="A666" s="7">
        <v>0.20921192272998904</v>
      </c>
      <c r="B666"/>
      <c r="C666"/>
      <c r="D666"/>
      <c r="E666"/>
      <c r="F666" s="27" t="s">
        <v>7</v>
      </c>
      <c r="I666" s="27" t="s">
        <v>8</v>
      </c>
      <c r="J666" s="27" t="s">
        <v>7</v>
      </c>
      <c r="K666" s="27" t="s">
        <v>8</v>
      </c>
      <c r="L666" s="27" t="s">
        <v>7</v>
      </c>
      <c r="M666" s="27" t="s">
        <v>8</v>
      </c>
      <c r="R666" s="27" t="s">
        <v>7</v>
      </c>
      <c r="S666" s="27" t="s">
        <v>8</v>
      </c>
      <c r="V666" s="27" t="s">
        <v>7</v>
      </c>
      <c r="W666" s="27" t="s">
        <v>8</v>
      </c>
      <c r="X666" s="27" t="s">
        <v>7</v>
      </c>
      <c r="Y666" s="27" t="s">
        <v>8</v>
      </c>
      <c r="AB666" s="27" t="s">
        <v>7</v>
      </c>
      <c r="AC666" s="27" t="s">
        <v>8</v>
      </c>
      <c r="AD666" s="27" t="s">
        <v>7</v>
      </c>
      <c r="AE666" s="27" t="s">
        <v>8</v>
      </c>
      <c r="AF666" s="27" t="s">
        <v>7</v>
      </c>
      <c r="AG666" s="27" t="s">
        <v>8</v>
      </c>
      <c r="CR666" s="27" t="s">
        <v>7</v>
      </c>
      <c r="CS666" s="27" t="s">
        <v>8</v>
      </c>
      <c r="CT666" s="27" t="s">
        <v>7</v>
      </c>
      <c r="CU666" s="27" t="s">
        <v>8</v>
      </c>
      <c r="CV666" s="27" t="s">
        <v>7</v>
      </c>
      <c r="CW666" s="27" t="s">
        <v>8</v>
      </c>
      <c r="CX666" s="27" t="s">
        <v>7</v>
      </c>
      <c r="EE666" s="27" t="s">
        <v>8</v>
      </c>
      <c r="EF666" s="27" t="s">
        <v>7</v>
      </c>
      <c r="EG666" s="27" t="s">
        <v>8</v>
      </c>
      <c r="EH666" s="27" t="s">
        <v>7</v>
      </c>
      <c r="EK666" s="27" t="s">
        <v>8</v>
      </c>
      <c r="EL666" s="27" t="s">
        <v>7</v>
      </c>
      <c r="FK666" s="27" t="s">
        <v>8</v>
      </c>
      <c r="FL666" s="27" t="s">
        <v>7</v>
      </c>
      <c r="FM666" s="27" t="s">
        <v>8</v>
      </c>
      <c r="FN666" s="27" t="s">
        <v>7</v>
      </c>
      <c r="FP666" s="27" t="s">
        <v>7</v>
      </c>
    </row>
    <row r="667" spans="1:178" x14ac:dyDescent="0.25">
      <c r="A667" s="7">
        <v>0.20510972816665593</v>
      </c>
      <c r="B667"/>
      <c r="C667"/>
      <c r="D667"/>
      <c r="E667"/>
      <c r="F667" s="27" t="s">
        <v>7</v>
      </c>
      <c r="I667" s="27" t="s">
        <v>8</v>
      </c>
      <c r="J667" s="27" t="s">
        <v>7</v>
      </c>
      <c r="K667" s="27" t="s">
        <v>8</v>
      </c>
      <c r="L667" s="27" t="s">
        <v>7</v>
      </c>
      <c r="M667" s="27" t="s">
        <v>8</v>
      </c>
      <c r="R667" s="27" t="s">
        <v>7</v>
      </c>
      <c r="S667" s="27" t="s">
        <v>8</v>
      </c>
      <c r="V667" s="27" t="s">
        <v>7</v>
      </c>
      <c r="W667" s="27" t="s">
        <v>8</v>
      </c>
      <c r="X667" s="27" t="s">
        <v>7</v>
      </c>
      <c r="Y667" s="27" t="s">
        <v>8</v>
      </c>
      <c r="AB667" s="27" t="s">
        <v>7</v>
      </c>
      <c r="AC667" s="27" t="s">
        <v>8</v>
      </c>
      <c r="AD667" s="27" t="s">
        <v>7</v>
      </c>
      <c r="AF667" s="27" t="s">
        <v>7</v>
      </c>
      <c r="AG667" s="27" t="s">
        <v>8</v>
      </c>
      <c r="CR667" s="27" t="s">
        <v>7</v>
      </c>
      <c r="CS667" s="27" t="s">
        <v>8</v>
      </c>
      <c r="CT667" s="27" t="s">
        <v>7</v>
      </c>
      <c r="CU667" s="27" t="s">
        <v>8</v>
      </c>
      <c r="CV667" s="27" t="s">
        <v>7</v>
      </c>
      <c r="CW667" s="27" t="s">
        <v>8</v>
      </c>
      <c r="CX667" s="27" t="s">
        <v>7</v>
      </c>
      <c r="DA667" s="27" t="s">
        <v>8</v>
      </c>
      <c r="EE667" s="27" t="s">
        <v>8</v>
      </c>
      <c r="EF667" s="27" t="s">
        <v>7</v>
      </c>
      <c r="EG667" s="27" t="s">
        <v>8</v>
      </c>
      <c r="EH667" s="27" t="s">
        <v>7</v>
      </c>
      <c r="EK667" s="27" t="s">
        <v>8</v>
      </c>
      <c r="EL667" s="27" t="s">
        <v>7</v>
      </c>
      <c r="FK667" s="27" t="s">
        <v>8</v>
      </c>
      <c r="FL667" s="27" t="s">
        <v>7</v>
      </c>
      <c r="FM667" s="27" t="s">
        <v>8</v>
      </c>
      <c r="FP667" s="27" t="s">
        <v>7</v>
      </c>
    </row>
    <row r="668" spans="1:178" x14ac:dyDescent="0.25">
      <c r="A668" s="7">
        <v>0.20108796879083912</v>
      </c>
      <c r="B668"/>
      <c r="C668"/>
      <c r="D668"/>
      <c r="E668"/>
      <c r="F668" s="27" t="s">
        <v>7</v>
      </c>
      <c r="I668" s="27" t="s">
        <v>8</v>
      </c>
      <c r="J668" s="27" t="s">
        <v>7</v>
      </c>
      <c r="K668" s="27" t="s">
        <v>8</v>
      </c>
      <c r="L668" s="27" t="s">
        <v>7</v>
      </c>
      <c r="M668" s="27" t="s">
        <v>8</v>
      </c>
      <c r="R668" s="27" t="s">
        <v>7</v>
      </c>
      <c r="S668" s="27" t="s">
        <v>8</v>
      </c>
      <c r="V668" s="27" t="s">
        <v>7</v>
      </c>
      <c r="W668" s="27" t="s">
        <v>8</v>
      </c>
      <c r="X668" s="27" t="s">
        <v>7</v>
      </c>
      <c r="Y668" s="27" t="s">
        <v>8</v>
      </c>
      <c r="AB668" s="27" t="s">
        <v>7</v>
      </c>
      <c r="AC668" s="27" t="s">
        <v>8</v>
      </c>
      <c r="AF668" s="27" t="s">
        <v>7</v>
      </c>
      <c r="AG668" s="27" t="s">
        <v>8</v>
      </c>
      <c r="CR668" s="27" t="s">
        <v>7</v>
      </c>
      <c r="CS668" s="27" t="s">
        <v>8</v>
      </c>
      <c r="CT668" s="27" t="s">
        <v>7</v>
      </c>
      <c r="CU668" s="27" t="s">
        <v>8</v>
      </c>
      <c r="CV668" s="27" t="s">
        <v>7</v>
      </c>
      <c r="CW668" s="27" t="s">
        <v>8</v>
      </c>
      <c r="CX668" s="27" t="s">
        <v>7</v>
      </c>
      <c r="DA668" s="27" t="s">
        <v>8</v>
      </c>
      <c r="DB668" s="27" t="s">
        <v>7</v>
      </c>
      <c r="EC668" s="27" t="s">
        <v>8</v>
      </c>
      <c r="EE668" s="27" t="s">
        <v>8</v>
      </c>
      <c r="EF668" s="27" t="s">
        <v>7</v>
      </c>
      <c r="EG668" s="27" t="s">
        <v>8</v>
      </c>
      <c r="EH668" s="27" t="s">
        <v>7</v>
      </c>
      <c r="EI668" s="27" t="s">
        <v>8</v>
      </c>
      <c r="EK668" s="27" t="s">
        <v>8</v>
      </c>
      <c r="EL668" s="27" t="s">
        <v>7</v>
      </c>
      <c r="FK668" s="27" t="s">
        <v>8</v>
      </c>
      <c r="FL668" s="27" t="s">
        <v>7</v>
      </c>
      <c r="FM668" s="27" t="s">
        <v>8</v>
      </c>
      <c r="FP668" s="27" t="s">
        <v>7</v>
      </c>
    </row>
    <row r="669" spans="1:178" x14ac:dyDescent="0.25">
      <c r="A669" s="7">
        <v>0.19714506744199917</v>
      </c>
      <c r="B669"/>
      <c r="C669"/>
      <c r="D669"/>
      <c r="E669"/>
      <c r="F669" s="27" t="s">
        <v>7</v>
      </c>
      <c r="I669" s="27" t="s">
        <v>8</v>
      </c>
      <c r="J669" s="27" t="s">
        <v>7</v>
      </c>
      <c r="K669" s="27" t="s">
        <v>8</v>
      </c>
      <c r="L669" s="27" t="s">
        <v>7</v>
      </c>
      <c r="R669" s="27" t="s">
        <v>7</v>
      </c>
      <c r="S669" s="27" t="s">
        <v>8</v>
      </c>
      <c r="V669" s="27" t="s">
        <v>7</v>
      </c>
      <c r="W669" s="27" t="s">
        <v>8</v>
      </c>
      <c r="X669" s="27" t="s">
        <v>7</v>
      </c>
      <c r="Y669" s="27" t="s">
        <v>8</v>
      </c>
      <c r="AB669" s="27" t="s">
        <v>7</v>
      </c>
      <c r="AC669" s="27" t="s">
        <v>8</v>
      </c>
      <c r="AF669" s="27" t="s">
        <v>7</v>
      </c>
      <c r="CR669" s="27" t="s">
        <v>7</v>
      </c>
      <c r="CS669" s="27" t="s">
        <v>8</v>
      </c>
      <c r="CT669" s="27" t="s">
        <v>7</v>
      </c>
      <c r="CU669" s="27" t="s">
        <v>8</v>
      </c>
      <c r="CV669" s="27" t="s">
        <v>7</v>
      </c>
      <c r="CW669" s="27" t="s">
        <v>8</v>
      </c>
      <c r="CX669" s="27" t="s">
        <v>7</v>
      </c>
      <c r="CY669" s="27" t="s">
        <v>8</v>
      </c>
      <c r="DA669" s="27" t="s">
        <v>8</v>
      </c>
      <c r="DB669" s="27" t="s">
        <v>7</v>
      </c>
      <c r="EC669" s="27" t="s">
        <v>8</v>
      </c>
      <c r="ED669" s="27" t="s">
        <v>7</v>
      </c>
      <c r="EE669" s="27" t="s">
        <v>8</v>
      </c>
      <c r="EF669" s="27" t="s">
        <v>7</v>
      </c>
      <c r="EG669" s="27" t="s">
        <v>8</v>
      </c>
      <c r="EH669" s="27" t="s">
        <v>7</v>
      </c>
      <c r="EI669" s="27" t="s">
        <v>8</v>
      </c>
      <c r="EJ669" s="27" t="s">
        <v>7</v>
      </c>
      <c r="EK669" s="27" t="s">
        <v>8</v>
      </c>
      <c r="EL669" s="27" t="s">
        <v>7</v>
      </c>
      <c r="FK669" s="27" t="s">
        <v>8</v>
      </c>
      <c r="FL669" s="27" t="s">
        <v>7</v>
      </c>
      <c r="FP669" s="27" t="s">
        <v>7</v>
      </c>
      <c r="FQ669" s="27" t="s">
        <v>8</v>
      </c>
      <c r="FS669" s="27" t="s">
        <v>8</v>
      </c>
      <c r="FU669" s="27" t="s">
        <v>8</v>
      </c>
    </row>
    <row r="670" spans="1:178" x14ac:dyDescent="0.25">
      <c r="A670" s="7">
        <v>0.19327947788431293</v>
      </c>
      <c r="B670"/>
      <c r="C670"/>
      <c r="D670"/>
      <c r="E670"/>
      <c r="F670" s="27" t="s">
        <v>7</v>
      </c>
      <c r="I670" s="27" t="s">
        <v>8</v>
      </c>
      <c r="J670" s="27" t="s">
        <v>7</v>
      </c>
      <c r="K670" s="27" t="s">
        <v>8</v>
      </c>
      <c r="R670" s="27" t="s">
        <v>7</v>
      </c>
      <c r="V670" s="27" t="s">
        <v>7</v>
      </c>
      <c r="W670" s="27" t="s">
        <v>8</v>
      </c>
      <c r="X670" s="27" t="s">
        <v>7</v>
      </c>
      <c r="Y670" s="27" t="s">
        <v>8</v>
      </c>
      <c r="AB670" s="27" t="s">
        <v>7</v>
      </c>
      <c r="AC670" s="27" t="s">
        <v>8</v>
      </c>
      <c r="CR670" s="27" t="s">
        <v>7</v>
      </c>
      <c r="CS670" s="27" t="s">
        <v>8</v>
      </c>
      <c r="CT670" s="27" t="s">
        <v>7</v>
      </c>
      <c r="CU670" s="27" t="s">
        <v>8</v>
      </c>
      <c r="CV670" s="27" t="s">
        <v>7</v>
      </c>
      <c r="CW670" s="27" t="s">
        <v>8</v>
      </c>
      <c r="CX670" s="27" t="s">
        <v>7</v>
      </c>
      <c r="CY670" s="27" t="s">
        <v>8</v>
      </c>
      <c r="CZ670" s="27" t="s">
        <v>7</v>
      </c>
      <c r="DA670" s="27" t="s">
        <v>8</v>
      </c>
      <c r="DB670" s="27" t="s">
        <v>7</v>
      </c>
      <c r="DC670" s="27" t="s">
        <v>8</v>
      </c>
      <c r="EC670" s="27" t="s">
        <v>8</v>
      </c>
      <c r="ED670" s="27" t="s">
        <v>7</v>
      </c>
      <c r="EE670" s="27" t="s">
        <v>8</v>
      </c>
      <c r="EF670" s="27" t="s">
        <v>7</v>
      </c>
      <c r="EG670" s="27" t="s">
        <v>8</v>
      </c>
      <c r="EH670" s="27" t="s">
        <v>7</v>
      </c>
      <c r="EI670" s="27" t="s">
        <v>8</v>
      </c>
      <c r="EJ670" s="27" t="s">
        <v>7</v>
      </c>
      <c r="EK670" s="27" t="s">
        <v>8</v>
      </c>
      <c r="EL670" s="27" t="s">
        <v>7</v>
      </c>
      <c r="EM670" s="27" t="s">
        <v>8</v>
      </c>
      <c r="FK670" s="27" t="s">
        <v>8</v>
      </c>
      <c r="FP670" s="27" t="s">
        <v>7</v>
      </c>
      <c r="FQ670" s="27" t="s">
        <v>8</v>
      </c>
      <c r="FR670" s="27" t="s">
        <v>7</v>
      </c>
      <c r="FS670" s="27" t="s">
        <v>8</v>
      </c>
      <c r="FT670" s="27" t="s">
        <v>7</v>
      </c>
      <c r="FU670" s="27" t="s">
        <v>8</v>
      </c>
      <c r="FV670" s="27" t="s">
        <v>7</v>
      </c>
    </row>
    <row r="671" spans="1:178" x14ac:dyDescent="0.25">
      <c r="A671" s="7">
        <v>0.18948968420030682</v>
      </c>
      <c r="B671"/>
      <c r="C671"/>
      <c r="D671"/>
      <c r="E671"/>
      <c r="F671" s="27" t="s">
        <v>7</v>
      </c>
      <c r="G671" s="27" t="s">
        <v>8</v>
      </c>
      <c r="I671" s="27" t="s">
        <v>8</v>
      </c>
      <c r="J671" s="27" t="s">
        <v>7</v>
      </c>
      <c r="V671" s="27" t="s">
        <v>7</v>
      </c>
      <c r="W671" s="27" t="s">
        <v>8</v>
      </c>
      <c r="X671" s="27" t="s">
        <v>7</v>
      </c>
      <c r="Y671" s="27" t="s">
        <v>8</v>
      </c>
      <c r="AB671" s="27" t="s">
        <v>7</v>
      </c>
      <c r="CR671" s="27" t="s">
        <v>7</v>
      </c>
      <c r="CS671" s="27" t="s">
        <v>8</v>
      </c>
      <c r="CT671" s="27" t="s">
        <v>7</v>
      </c>
      <c r="CU671" s="27" t="s">
        <v>8</v>
      </c>
      <c r="CV671" s="27" t="s">
        <v>7</v>
      </c>
      <c r="CW671" s="27" t="s">
        <v>8</v>
      </c>
      <c r="CX671" s="27" t="s">
        <v>7</v>
      </c>
      <c r="CY671" s="27" t="s">
        <v>8</v>
      </c>
      <c r="CZ671" s="27" t="s">
        <v>7</v>
      </c>
      <c r="DA671" s="27" t="s">
        <v>8</v>
      </c>
      <c r="DB671" s="27" t="s">
        <v>7</v>
      </c>
      <c r="DC671" s="27" t="s">
        <v>8</v>
      </c>
      <c r="DD671" s="27" t="s">
        <v>7</v>
      </c>
      <c r="EC671" s="27" t="s">
        <v>8</v>
      </c>
      <c r="ED671" s="27" t="s">
        <v>7</v>
      </c>
      <c r="EE671" s="27" t="s">
        <v>8</v>
      </c>
      <c r="EF671" s="27" t="s">
        <v>7</v>
      </c>
      <c r="EG671" s="27" t="s">
        <v>8</v>
      </c>
      <c r="EH671" s="27" t="s">
        <v>7</v>
      </c>
      <c r="EI671" s="27" t="s">
        <v>8</v>
      </c>
      <c r="EJ671" s="27" t="s">
        <v>7</v>
      </c>
      <c r="EK671" s="27" t="s">
        <v>8</v>
      </c>
      <c r="EL671" s="27" t="s">
        <v>7</v>
      </c>
      <c r="EM671" s="27" t="s">
        <v>8</v>
      </c>
      <c r="EN671" s="27" t="s">
        <v>7</v>
      </c>
      <c r="EO671" s="27" t="s">
        <v>8</v>
      </c>
      <c r="FC671" s="27" t="s">
        <v>8</v>
      </c>
      <c r="FK671" s="27" t="s">
        <v>8</v>
      </c>
      <c r="FP671" s="27" t="s">
        <v>7</v>
      </c>
      <c r="FQ671" s="27" t="s">
        <v>8</v>
      </c>
      <c r="FR671" s="27" t="s">
        <v>7</v>
      </c>
      <c r="FS671" s="27" t="s">
        <v>8</v>
      </c>
      <c r="FT671" s="27" t="s">
        <v>7</v>
      </c>
      <c r="FU671" s="27" t="s">
        <v>8</v>
      </c>
      <c r="FV671" s="27" t="s">
        <v>7</v>
      </c>
    </row>
    <row r="672" spans="1:178" x14ac:dyDescent="0.25">
      <c r="A672" s="7">
        <v>0.18577420019637925</v>
      </c>
      <c r="B672"/>
      <c r="C672"/>
      <c r="D672"/>
      <c r="E672"/>
      <c r="F672" s="27" t="s">
        <v>7</v>
      </c>
      <c r="G672" s="27" t="s">
        <v>8</v>
      </c>
      <c r="H672" s="27" t="s">
        <v>7</v>
      </c>
      <c r="I672" s="27" t="s">
        <v>8</v>
      </c>
      <c r="V672" s="27" t="s">
        <v>7</v>
      </c>
      <c r="W672" s="27" t="s">
        <v>8</v>
      </c>
      <c r="X672" s="27" t="s">
        <v>7</v>
      </c>
      <c r="Y672" s="27" t="s">
        <v>8</v>
      </c>
      <c r="CR672" s="27" t="s">
        <v>7</v>
      </c>
      <c r="CS672" s="27" t="s">
        <v>8</v>
      </c>
      <c r="CT672" s="27" t="s">
        <v>7</v>
      </c>
      <c r="CU672" s="27" t="s">
        <v>8</v>
      </c>
      <c r="CV672" s="27" t="s">
        <v>7</v>
      </c>
      <c r="CW672" s="27" t="s">
        <v>8</v>
      </c>
      <c r="CX672" s="27" t="s">
        <v>7</v>
      </c>
      <c r="CY672" s="27" t="s">
        <v>8</v>
      </c>
      <c r="CZ672" s="27" t="s">
        <v>7</v>
      </c>
      <c r="DA672" s="27" t="s">
        <v>8</v>
      </c>
      <c r="DB672" s="27" t="s">
        <v>7</v>
      </c>
      <c r="DC672" s="27" t="s">
        <v>8</v>
      </c>
      <c r="DD672" s="27" t="s">
        <v>7</v>
      </c>
      <c r="EA672" s="27" t="s">
        <v>8</v>
      </c>
      <c r="EC672" s="27" t="s">
        <v>8</v>
      </c>
      <c r="ED672" s="27" t="s">
        <v>7</v>
      </c>
      <c r="EE672" s="27" t="s">
        <v>8</v>
      </c>
      <c r="EF672" s="27" t="s">
        <v>7</v>
      </c>
      <c r="EH672" s="27" t="s">
        <v>7</v>
      </c>
      <c r="EJ672" s="27" t="s">
        <v>7</v>
      </c>
      <c r="EL672" s="27" t="s">
        <v>7</v>
      </c>
      <c r="EM672" s="27" t="s">
        <v>8</v>
      </c>
      <c r="EN672" s="27" t="s">
        <v>7</v>
      </c>
      <c r="EO672" s="27" t="s">
        <v>8</v>
      </c>
      <c r="EP672" s="27" t="s">
        <v>7</v>
      </c>
      <c r="FA672" s="27" t="s">
        <v>8</v>
      </c>
      <c r="FC672" s="27" t="s">
        <v>8</v>
      </c>
      <c r="FD672" s="27" t="s">
        <v>7</v>
      </c>
      <c r="FK672" s="27" t="s">
        <v>8</v>
      </c>
      <c r="FP672" s="27" t="s">
        <v>7</v>
      </c>
      <c r="FQ672" s="27" t="s">
        <v>8</v>
      </c>
      <c r="FR672" s="27" t="s">
        <v>7</v>
      </c>
      <c r="FT672" s="27" t="s">
        <v>7</v>
      </c>
      <c r="FU672" s="27" t="s">
        <v>8</v>
      </c>
      <c r="FV672" s="27" t="s">
        <v>7</v>
      </c>
    </row>
    <row r="673" spans="1:194" x14ac:dyDescent="0.25">
      <c r="A673" s="7">
        <v>0.18213156881997963</v>
      </c>
      <c r="B673"/>
      <c r="C673"/>
      <c r="D673"/>
      <c r="E673"/>
      <c r="F673" s="27" t="s">
        <v>7</v>
      </c>
      <c r="G673" s="27" t="s">
        <v>8</v>
      </c>
      <c r="H673" s="27" t="s">
        <v>7</v>
      </c>
      <c r="I673" s="27" t="s">
        <v>8</v>
      </c>
      <c r="V673" s="27" t="s">
        <v>7</v>
      </c>
      <c r="W673" s="27" t="s">
        <v>8</v>
      </c>
      <c r="X673" s="27" t="s">
        <v>7</v>
      </c>
      <c r="CR673" s="27" t="s">
        <v>7</v>
      </c>
      <c r="CS673" s="27" t="s">
        <v>8</v>
      </c>
      <c r="CT673" s="27" t="s">
        <v>7</v>
      </c>
      <c r="CU673" s="27" t="s">
        <v>8</v>
      </c>
      <c r="CV673" s="27" t="s">
        <v>7</v>
      </c>
      <c r="CW673" s="27" t="s">
        <v>8</v>
      </c>
      <c r="CX673" s="27" t="s">
        <v>7</v>
      </c>
      <c r="CY673" s="27" t="s">
        <v>8</v>
      </c>
      <c r="CZ673" s="27" t="s">
        <v>7</v>
      </c>
      <c r="DB673" s="27" t="s">
        <v>7</v>
      </c>
      <c r="DC673" s="27" t="s">
        <v>8</v>
      </c>
      <c r="DD673" s="27" t="s">
        <v>7</v>
      </c>
      <c r="DY673" s="27" t="s">
        <v>8</v>
      </c>
      <c r="EA673" s="27" t="s">
        <v>8</v>
      </c>
      <c r="EB673" s="27" t="s">
        <v>7</v>
      </c>
      <c r="EC673" s="27" t="s">
        <v>8</v>
      </c>
      <c r="ED673" s="27" t="s">
        <v>7</v>
      </c>
      <c r="EL673" s="27" t="s">
        <v>7</v>
      </c>
      <c r="EM673" s="27" t="s">
        <v>8</v>
      </c>
      <c r="EN673" s="27" t="s">
        <v>7</v>
      </c>
      <c r="EO673" s="27" t="s">
        <v>8</v>
      </c>
      <c r="EP673" s="27" t="s">
        <v>7</v>
      </c>
      <c r="FA673" s="27" t="s">
        <v>8</v>
      </c>
      <c r="FB673" s="27" t="s">
        <v>7</v>
      </c>
      <c r="FC673" s="27" t="s">
        <v>8</v>
      </c>
      <c r="FD673" s="27" t="s">
        <v>7</v>
      </c>
      <c r="FK673" s="27" t="s">
        <v>8</v>
      </c>
      <c r="FP673" s="27" t="s">
        <v>7</v>
      </c>
      <c r="FQ673" s="27" t="s">
        <v>8</v>
      </c>
      <c r="FT673" s="27" t="s">
        <v>7</v>
      </c>
      <c r="FU673" s="27" t="s">
        <v>8</v>
      </c>
      <c r="FV673" s="27" t="s">
        <v>7</v>
      </c>
      <c r="FW673" s="27" t="s">
        <v>8</v>
      </c>
    </row>
    <row r="674" spans="1:194" x14ac:dyDescent="0.25">
      <c r="A674" s="7">
        <v>0.17856036158821534</v>
      </c>
      <c r="B674"/>
      <c r="C674"/>
      <c r="D674"/>
      <c r="E674"/>
      <c r="F674" s="27" t="s">
        <v>7</v>
      </c>
      <c r="G674" s="27" t="s">
        <v>8</v>
      </c>
      <c r="H674" s="27" t="s">
        <v>7</v>
      </c>
      <c r="I674" s="27" t="s">
        <v>8</v>
      </c>
      <c r="V674" s="27" t="s">
        <v>7</v>
      </c>
      <c r="W674" s="27" t="s">
        <v>8</v>
      </c>
      <c r="CR674" s="27" t="s">
        <v>7</v>
      </c>
      <c r="CS674" s="27" t="s">
        <v>8</v>
      </c>
      <c r="CT674" s="27" t="s">
        <v>7</v>
      </c>
      <c r="CV674" s="27" t="s">
        <v>7</v>
      </c>
      <c r="CW674" s="27" t="s">
        <v>8</v>
      </c>
      <c r="CX674" s="27" t="s">
        <v>7</v>
      </c>
      <c r="CY674" s="27" t="s">
        <v>8</v>
      </c>
      <c r="DB674" s="27" t="s">
        <v>7</v>
      </c>
      <c r="DD674" s="27" t="s">
        <v>7</v>
      </c>
      <c r="DG674" s="27" t="s">
        <v>8</v>
      </c>
      <c r="DY674" s="27" t="s">
        <v>8</v>
      </c>
      <c r="DZ674" s="27" t="s">
        <v>7</v>
      </c>
      <c r="EA674" s="27" t="s">
        <v>8</v>
      </c>
      <c r="EB674" s="27" t="s">
        <v>7</v>
      </c>
      <c r="EC674" s="27" t="s">
        <v>8</v>
      </c>
      <c r="EL674" s="27" t="s">
        <v>7</v>
      </c>
      <c r="EM674" s="27" t="s">
        <v>8</v>
      </c>
      <c r="EN674" s="27" t="s">
        <v>7</v>
      </c>
      <c r="EO674" s="27" t="s">
        <v>8</v>
      </c>
      <c r="EP674" s="27" t="s">
        <v>7</v>
      </c>
      <c r="FA674" s="27" t="s">
        <v>8</v>
      </c>
      <c r="FB674" s="27" t="s">
        <v>7</v>
      </c>
      <c r="FC674" s="27" t="s">
        <v>8</v>
      </c>
      <c r="FD674" s="27" t="s">
        <v>7</v>
      </c>
      <c r="FE674" s="27" t="s">
        <v>8</v>
      </c>
      <c r="FG674" s="27" t="s">
        <v>8</v>
      </c>
      <c r="FI674" s="27" t="s">
        <v>8</v>
      </c>
      <c r="FK674" s="27" t="s">
        <v>8</v>
      </c>
      <c r="FP674" s="27" t="s">
        <v>7</v>
      </c>
      <c r="FQ674" s="27" t="s">
        <v>8</v>
      </c>
      <c r="FT674" s="27" t="s">
        <v>7</v>
      </c>
      <c r="FU674" s="27" t="s">
        <v>8</v>
      </c>
      <c r="FV674" s="27" t="s">
        <v>7</v>
      </c>
      <c r="FW674" s="27" t="s">
        <v>8</v>
      </c>
      <c r="FX674" s="27" t="s">
        <v>7</v>
      </c>
      <c r="FY674" s="27" t="s">
        <v>8</v>
      </c>
    </row>
    <row r="675" spans="1:194" x14ac:dyDescent="0.25">
      <c r="A675" s="7">
        <v>0.17505917802766208</v>
      </c>
      <c r="B675"/>
      <c r="C675"/>
      <c r="D675"/>
      <c r="E675"/>
      <c r="F675" s="27" t="s">
        <v>7</v>
      </c>
      <c r="G675" s="27" t="s">
        <v>8</v>
      </c>
      <c r="H675" s="27" t="s">
        <v>7</v>
      </c>
      <c r="I675" s="27" t="s">
        <v>8</v>
      </c>
      <c r="V675" s="27" t="s">
        <v>7</v>
      </c>
      <c r="CR675" s="27" t="s">
        <v>7</v>
      </c>
      <c r="CS675" s="27" t="s">
        <v>8</v>
      </c>
      <c r="CV675" s="27" t="s">
        <v>7</v>
      </c>
      <c r="CW675" s="27" t="s">
        <v>8</v>
      </c>
      <c r="CX675" s="27" t="s">
        <v>7</v>
      </c>
      <c r="CY675" s="27" t="s">
        <v>8</v>
      </c>
      <c r="DD675" s="27" t="s">
        <v>7</v>
      </c>
      <c r="DE675" s="27" t="s">
        <v>8</v>
      </c>
      <c r="DG675" s="27" t="s">
        <v>8</v>
      </c>
      <c r="DH675" s="27" t="s">
        <v>7</v>
      </c>
      <c r="DY675" s="27" t="s">
        <v>8</v>
      </c>
      <c r="DZ675" s="27" t="s">
        <v>7</v>
      </c>
      <c r="EA675" s="27" t="s">
        <v>8</v>
      </c>
      <c r="EB675" s="27" t="s">
        <v>7</v>
      </c>
      <c r="EC675" s="27" t="s">
        <v>8</v>
      </c>
      <c r="EL675" s="27" t="s">
        <v>7</v>
      </c>
      <c r="EM675" s="27" t="s">
        <v>8</v>
      </c>
      <c r="EN675" s="27" t="s">
        <v>7</v>
      </c>
      <c r="EO675" s="27" t="s">
        <v>8</v>
      </c>
      <c r="EP675" s="27" t="s">
        <v>7</v>
      </c>
      <c r="FA675" s="27" t="s">
        <v>8</v>
      </c>
      <c r="FB675" s="27" t="s">
        <v>7</v>
      </c>
      <c r="FC675" s="27" t="s">
        <v>8</v>
      </c>
      <c r="FD675" s="27" t="s">
        <v>7</v>
      </c>
      <c r="FE675" s="27" t="s">
        <v>8</v>
      </c>
      <c r="FF675" s="27" t="s">
        <v>7</v>
      </c>
      <c r="FG675" s="27" t="s">
        <v>8</v>
      </c>
      <c r="FH675" s="27" t="s">
        <v>7</v>
      </c>
      <c r="FI675" s="27" t="s">
        <v>8</v>
      </c>
      <c r="FJ675" s="27" t="s">
        <v>7</v>
      </c>
      <c r="FK675" s="27" t="s">
        <v>8</v>
      </c>
      <c r="FP675" s="27" t="s">
        <v>7</v>
      </c>
      <c r="FT675" s="27" t="s">
        <v>7</v>
      </c>
      <c r="FU675" s="27" t="s">
        <v>8</v>
      </c>
      <c r="FV675" s="27" t="s">
        <v>7</v>
      </c>
      <c r="FW675" s="27" t="s">
        <v>8</v>
      </c>
      <c r="FX675" s="27" t="s">
        <v>7</v>
      </c>
      <c r="FY675" s="27" t="s">
        <v>8</v>
      </c>
      <c r="FZ675" s="27" t="s">
        <v>7</v>
      </c>
    </row>
    <row r="676" spans="1:194" x14ac:dyDescent="0.25">
      <c r="A676" s="7">
        <v>0.17162664512515888</v>
      </c>
      <c r="B676"/>
      <c r="C676"/>
      <c r="D676"/>
      <c r="E676"/>
      <c r="F676" s="27" t="s">
        <v>7</v>
      </c>
      <c r="G676" s="27" t="s">
        <v>8</v>
      </c>
      <c r="H676" s="27" t="s">
        <v>7</v>
      </c>
      <c r="CR676" s="27" t="s">
        <v>7</v>
      </c>
      <c r="CS676" s="27" t="s">
        <v>8</v>
      </c>
      <c r="CV676" s="27" t="s">
        <v>7</v>
      </c>
      <c r="CW676" s="27" t="s">
        <v>8</v>
      </c>
      <c r="CX676" s="27" t="s">
        <v>7</v>
      </c>
      <c r="CY676" s="27" t="s">
        <v>8</v>
      </c>
      <c r="DD676" s="27" t="s">
        <v>7</v>
      </c>
      <c r="DE676" s="27" t="s">
        <v>8</v>
      </c>
      <c r="DF676" s="27" t="s">
        <v>7</v>
      </c>
      <c r="DG676" s="27" t="s">
        <v>8</v>
      </c>
      <c r="DH676" s="27" t="s">
        <v>7</v>
      </c>
      <c r="DW676" s="27" t="s">
        <v>8</v>
      </c>
      <c r="DY676" s="27" t="s">
        <v>8</v>
      </c>
      <c r="DZ676" s="27" t="s">
        <v>7</v>
      </c>
      <c r="EA676" s="27" t="s">
        <v>8</v>
      </c>
      <c r="EB676" s="27" t="s">
        <v>7</v>
      </c>
      <c r="EL676" s="27" t="s">
        <v>7</v>
      </c>
      <c r="EM676" s="27" t="s">
        <v>8</v>
      </c>
      <c r="EN676" s="27" t="s">
        <v>7</v>
      </c>
      <c r="EO676" s="27" t="s">
        <v>8</v>
      </c>
      <c r="EP676" s="27" t="s">
        <v>7</v>
      </c>
      <c r="EY676" s="27" t="s">
        <v>8</v>
      </c>
      <c r="FA676" s="27" t="s">
        <v>8</v>
      </c>
      <c r="FB676" s="27" t="s">
        <v>7</v>
      </c>
      <c r="FD676" s="27" t="s">
        <v>7</v>
      </c>
      <c r="FE676" s="27" t="s">
        <v>8</v>
      </c>
      <c r="FF676" s="27" t="s">
        <v>7</v>
      </c>
      <c r="FG676" s="27" t="s">
        <v>8</v>
      </c>
      <c r="FH676" s="27" t="s">
        <v>7</v>
      </c>
      <c r="FI676" s="27" t="s">
        <v>8</v>
      </c>
      <c r="FJ676" s="27" t="s">
        <v>7</v>
      </c>
      <c r="FK676" s="27" t="s">
        <v>8</v>
      </c>
      <c r="FT676" s="27" t="s">
        <v>7</v>
      </c>
      <c r="FU676" s="27" t="s">
        <v>8</v>
      </c>
      <c r="FV676" s="27" t="s">
        <v>7</v>
      </c>
      <c r="FW676" s="27" t="s">
        <v>8</v>
      </c>
      <c r="FX676" s="27" t="s">
        <v>7</v>
      </c>
      <c r="FY676" s="27" t="s">
        <v>8</v>
      </c>
      <c r="FZ676" s="27" t="s">
        <v>7</v>
      </c>
    </row>
    <row r="677" spans="1:194" x14ac:dyDescent="0.25">
      <c r="A677" s="7">
        <v>0.16826141678937145</v>
      </c>
      <c r="B677"/>
      <c r="C677"/>
      <c r="D677"/>
      <c r="E677"/>
      <c r="F677" s="27" t="s">
        <v>7</v>
      </c>
      <c r="G677" s="27" t="s">
        <v>8</v>
      </c>
      <c r="CR677" s="27" t="s">
        <v>7</v>
      </c>
      <c r="CS677" s="27" t="s">
        <v>8</v>
      </c>
      <c r="CV677" s="27" t="s">
        <v>7</v>
      </c>
      <c r="CW677" s="27" t="s">
        <v>8</v>
      </c>
      <c r="CX677" s="27" t="s">
        <v>7</v>
      </c>
      <c r="DD677" s="27" t="s">
        <v>7</v>
      </c>
      <c r="DE677" s="27" t="s">
        <v>8</v>
      </c>
      <c r="DF677" s="27" t="s">
        <v>7</v>
      </c>
      <c r="DG677" s="27" t="s">
        <v>8</v>
      </c>
      <c r="DH677" s="27" t="s">
        <v>7</v>
      </c>
      <c r="DS677" s="27" t="s">
        <v>8</v>
      </c>
      <c r="DW677" s="27" t="s">
        <v>8</v>
      </c>
      <c r="DX677" s="27" t="s">
        <v>7</v>
      </c>
      <c r="DY677" s="27" t="s">
        <v>8</v>
      </c>
      <c r="DZ677" s="27" t="s">
        <v>7</v>
      </c>
      <c r="EA677" s="27" t="s">
        <v>8</v>
      </c>
      <c r="EL677" s="27" t="s">
        <v>7</v>
      </c>
      <c r="EM677" s="27" t="s">
        <v>8</v>
      </c>
      <c r="EN677" s="27" t="s">
        <v>7</v>
      </c>
      <c r="EP677" s="27" t="s">
        <v>7</v>
      </c>
      <c r="EY677" s="27" t="s">
        <v>8</v>
      </c>
      <c r="EZ677" s="27" t="s">
        <v>7</v>
      </c>
      <c r="FA677" s="27" t="s">
        <v>8</v>
      </c>
      <c r="FD677" s="27" t="s">
        <v>7</v>
      </c>
      <c r="FF677" s="27" t="s">
        <v>7</v>
      </c>
      <c r="FG677" s="27" t="s">
        <v>8</v>
      </c>
      <c r="FH677" s="27" t="s">
        <v>7</v>
      </c>
      <c r="FJ677" s="27" t="s">
        <v>7</v>
      </c>
      <c r="FK677" s="27" t="s">
        <v>8</v>
      </c>
      <c r="FT677" s="27" t="s">
        <v>7</v>
      </c>
      <c r="FV677" s="27" t="s">
        <v>7</v>
      </c>
      <c r="FX677" s="27" t="s">
        <v>7</v>
      </c>
      <c r="FY677" s="27" t="s">
        <v>8</v>
      </c>
      <c r="FZ677" s="27" t="s">
        <v>7</v>
      </c>
    </row>
    <row r="678" spans="1:194" x14ac:dyDescent="0.25">
      <c r="A678" s="7">
        <v>0.16496217332291319</v>
      </c>
      <c r="B678"/>
      <c r="C678"/>
      <c r="D678"/>
      <c r="E678"/>
      <c r="F678" s="27" t="s">
        <v>7</v>
      </c>
      <c r="G678" s="27" t="s">
        <v>8</v>
      </c>
      <c r="CR678" s="27" t="s">
        <v>7</v>
      </c>
      <c r="CS678" s="27" t="s">
        <v>8</v>
      </c>
      <c r="CV678" s="27" t="s">
        <v>7</v>
      </c>
      <c r="CW678" s="27" t="s">
        <v>8</v>
      </c>
      <c r="DD678" s="27" t="s">
        <v>7</v>
      </c>
      <c r="DE678" s="27" t="s">
        <v>8</v>
      </c>
      <c r="DF678" s="27" t="s">
        <v>7</v>
      </c>
      <c r="DG678" s="27" t="s">
        <v>8</v>
      </c>
      <c r="DH678" s="27" t="s">
        <v>7</v>
      </c>
      <c r="DS678" s="27" t="s">
        <v>8</v>
      </c>
      <c r="DT678" s="27" t="s">
        <v>7</v>
      </c>
      <c r="DW678" s="27" t="s">
        <v>8</v>
      </c>
      <c r="DX678" s="27" t="s">
        <v>7</v>
      </c>
      <c r="DY678" s="27" t="s">
        <v>8</v>
      </c>
      <c r="DZ678" s="27" t="s">
        <v>7</v>
      </c>
      <c r="EA678" s="27" t="s">
        <v>8</v>
      </c>
      <c r="EL678" s="27" t="s">
        <v>7</v>
      </c>
      <c r="EM678" s="27" t="s">
        <v>8</v>
      </c>
      <c r="EP678" s="27" t="s">
        <v>7</v>
      </c>
      <c r="EW678" s="27" t="s">
        <v>8</v>
      </c>
      <c r="EY678" s="27" t="s">
        <v>8</v>
      </c>
      <c r="EZ678" s="27" t="s">
        <v>7</v>
      </c>
      <c r="FA678" s="27" t="s">
        <v>8</v>
      </c>
      <c r="FF678" s="27" t="s">
        <v>7</v>
      </c>
      <c r="FG678" s="27" t="s">
        <v>8</v>
      </c>
      <c r="FJ678" s="27" t="s">
        <v>7</v>
      </c>
      <c r="FK678" s="27" t="s">
        <v>8</v>
      </c>
      <c r="FX678" s="27" t="s">
        <v>7</v>
      </c>
      <c r="FY678" s="27" t="s">
        <v>8</v>
      </c>
      <c r="FZ678" s="27" t="s">
        <v>7</v>
      </c>
    </row>
    <row r="679" spans="1:194" x14ac:dyDescent="0.25">
      <c r="A679" s="7">
        <v>0.16172762090481685</v>
      </c>
      <c r="B679"/>
      <c r="C679"/>
      <c r="D679"/>
      <c r="E679"/>
      <c r="F679" s="27" t="s">
        <v>7</v>
      </c>
      <c r="G679" s="27" t="s">
        <v>8</v>
      </c>
      <c r="CR679" s="27" t="s">
        <v>7</v>
      </c>
      <c r="CS679" s="27" t="s">
        <v>8</v>
      </c>
      <c r="CV679" s="27" t="s">
        <v>7</v>
      </c>
      <c r="CW679" s="27" t="s">
        <v>8</v>
      </c>
      <c r="DD679" s="27" t="s">
        <v>7</v>
      </c>
      <c r="DE679" s="27" t="s">
        <v>8</v>
      </c>
      <c r="DF679" s="27" t="s">
        <v>7</v>
      </c>
      <c r="DG679" s="27" t="s">
        <v>8</v>
      </c>
      <c r="DH679" s="27" t="s">
        <v>7</v>
      </c>
      <c r="DS679" s="27" t="s">
        <v>8</v>
      </c>
      <c r="DT679" s="27" t="s">
        <v>7</v>
      </c>
      <c r="DW679" s="27" t="s">
        <v>8</v>
      </c>
      <c r="DX679" s="27" t="s">
        <v>7</v>
      </c>
      <c r="DY679" s="27" t="s">
        <v>8</v>
      </c>
      <c r="DZ679" s="27" t="s">
        <v>7</v>
      </c>
      <c r="EA679" s="27" t="s">
        <v>8</v>
      </c>
      <c r="EL679" s="27" t="s">
        <v>7</v>
      </c>
      <c r="EP679" s="27" t="s">
        <v>7</v>
      </c>
      <c r="EQ679" s="27" t="s">
        <v>8</v>
      </c>
      <c r="EW679" s="27" t="s">
        <v>8</v>
      </c>
      <c r="EX679" s="27" t="s">
        <v>7</v>
      </c>
      <c r="EY679" s="27" t="s">
        <v>8</v>
      </c>
      <c r="EZ679" s="27" t="s">
        <v>7</v>
      </c>
      <c r="FF679" s="27" t="s">
        <v>7</v>
      </c>
      <c r="FJ679" s="27" t="s">
        <v>7</v>
      </c>
      <c r="FK679" s="27" t="s">
        <v>8</v>
      </c>
      <c r="FX679" s="27" t="s">
        <v>7</v>
      </c>
      <c r="FY679" s="27" t="s">
        <v>8</v>
      </c>
      <c r="FZ679" s="27" t="s">
        <v>7</v>
      </c>
    </row>
    <row r="680" spans="1:194" x14ac:dyDescent="0.25">
      <c r="A680" s="7">
        <v>0.15855649108315376</v>
      </c>
      <c r="B680"/>
      <c r="C680"/>
      <c r="D680"/>
      <c r="E680"/>
      <c r="F680" s="27" t="s">
        <v>7</v>
      </c>
      <c r="G680" s="27" t="s">
        <v>8</v>
      </c>
      <c r="CR680" s="27" t="s">
        <v>7</v>
      </c>
      <c r="CS680" s="27" t="s">
        <v>8</v>
      </c>
      <c r="CV680" s="27" t="s">
        <v>7</v>
      </c>
      <c r="CW680" s="27" t="s">
        <v>8</v>
      </c>
      <c r="DD680" s="27" t="s">
        <v>7</v>
      </c>
      <c r="DE680" s="27" t="s">
        <v>8</v>
      </c>
      <c r="DF680" s="27" t="s">
        <v>7</v>
      </c>
      <c r="DG680" s="27" t="s">
        <v>8</v>
      </c>
      <c r="DH680" s="27" t="s">
        <v>7</v>
      </c>
      <c r="DS680" s="27" t="s">
        <v>8</v>
      </c>
      <c r="DT680" s="27" t="s">
        <v>7</v>
      </c>
      <c r="DW680" s="27" t="s">
        <v>8</v>
      </c>
      <c r="DX680" s="27" t="s">
        <v>7</v>
      </c>
      <c r="DY680" s="27" t="s">
        <v>8</v>
      </c>
      <c r="DZ680" s="27" t="s">
        <v>7</v>
      </c>
      <c r="EP680" s="27" t="s">
        <v>7</v>
      </c>
      <c r="EQ680" s="27" t="s">
        <v>8</v>
      </c>
      <c r="ER680" s="27" t="s">
        <v>7</v>
      </c>
      <c r="EW680" s="27" t="s">
        <v>8</v>
      </c>
      <c r="EX680" s="27" t="s">
        <v>7</v>
      </c>
      <c r="EY680" s="27" t="s">
        <v>8</v>
      </c>
      <c r="FJ680" s="27" t="s">
        <v>7</v>
      </c>
      <c r="FK680" s="27" t="s">
        <v>8</v>
      </c>
      <c r="FX680" s="27" t="s">
        <v>7</v>
      </c>
      <c r="FY680" s="27" t="s">
        <v>8</v>
      </c>
      <c r="FZ680" s="27" t="s">
        <v>7</v>
      </c>
    </row>
    <row r="681" spans="1:194" x14ac:dyDescent="0.25">
      <c r="A681" s="7">
        <v>0.15544754027760171</v>
      </c>
      <c r="B681"/>
      <c r="C681"/>
      <c r="D681"/>
      <c r="E681"/>
      <c r="F681" s="27" t="s">
        <v>7</v>
      </c>
      <c r="G681" s="27" t="s">
        <v>8</v>
      </c>
      <c r="CR681" s="27" t="s">
        <v>7</v>
      </c>
      <c r="CS681" s="27" t="s">
        <v>8</v>
      </c>
      <c r="CV681" s="27" t="s">
        <v>7</v>
      </c>
      <c r="CW681" s="27" t="s">
        <v>8</v>
      </c>
      <c r="DD681" s="27" t="s">
        <v>7</v>
      </c>
      <c r="DF681" s="27" t="s">
        <v>7</v>
      </c>
      <c r="DH681" s="27" t="s">
        <v>7</v>
      </c>
      <c r="DS681" s="27" t="s">
        <v>8</v>
      </c>
      <c r="DT681" s="27" t="s">
        <v>7</v>
      </c>
      <c r="DW681" s="27" t="s">
        <v>8</v>
      </c>
      <c r="DX681" s="27" t="s">
        <v>7</v>
      </c>
      <c r="DY681" s="27" t="s">
        <v>8</v>
      </c>
      <c r="EP681" s="27" t="s">
        <v>7</v>
      </c>
      <c r="EQ681" s="27" t="s">
        <v>8</v>
      </c>
      <c r="ER681" s="27" t="s">
        <v>7</v>
      </c>
      <c r="EW681" s="27" t="s">
        <v>8</v>
      </c>
      <c r="EX681" s="27" t="s">
        <v>7</v>
      </c>
      <c r="EY681" s="27" t="s">
        <v>8</v>
      </c>
      <c r="FJ681" s="27" t="s">
        <v>7</v>
      </c>
      <c r="FK681" s="27" t="s">
        <v>8</v>
      </c>
      <c r="FX681" s="27" t="s">
        <v>7</v>
      </c>
      <c r="FZ681" s="27" t="s">
        <v>7</v>
      </c>
    </row>
    <row r="682" spans="1:194" x14ac:dyDescent="0.25">
      <c r="A682" s="7">
        <v>0.15239954929176638</v>
      </c>
      <c r="B682"/>
      <c r="C682"/>
      <c r="D682"/>
      <c r="E682"/>
      <c r="F682" s="27" t="s">
        <v>7</v>
      </c>
      <c r="G682" s="27" t="s">
        <v>8</v>
      </c>
      <c r="CR682" s="27" t="s">
        <v>7</v>
      </c>
      <c r="CV682" s="27" t="s">
        <v>7</v>
      </c>
      <c r="CW682" s="27" t="s">
        <v>8</v>
      </c>
      <c r="DH682" s="27" t="s">
        <v>7</v>
      </c>
      <c r="DS682" s="27" t="s">
        <v>8</v>
      </c>
      <c r="DT682" s="27" t="s">
        <v>7</v>
      </c>
      <c r="DW682" s="27" t="s">
        <v>8</v>
      </c>
      <c r="DX682" s="27" t="s">
        <v>7</v>
      </c>
      <c r="DY682" s="27" t="s">
        <v>8</v>
      </c>
      <c r="EP682" s="27" t="s">
        <v>7</v>
      </c>
      <c r="EQ682" s="27" t="s">
        <v>8</v>
      </c>
      <c r="ER682" s="27" t="s">
        <v>7</v>
      </c>
      <c r="EW682" s="27" t="s">
        <v>8</v>
      </c>
      <c r="EX682" s="27" t="s">
        <v>7</v>
      </c>
      <c r="FJ682" s="27" t="s">
        <v>7</v>
      </c>
      <c r="FK682" s="27" t="s">
        <v>8</v>
      </c>
      <c r="FZ682" s="27" t="s">
        <v>7</v>
      </c>
    </row>
    <row r="683" spans="1:194" x14ac:dyDescent="0.25">
      <c r="A683" s="7">
        <v>0.14941132283506509</v>
      </c>
      <c r="B683"/>
      <c r="C683"/>
      <c r="D683"/>
      <c r="E683"/>
      <c r="F683" s="27" t="s">
        <v>7</v>
      </c>
      <c r="G683" s="27" t="s">
        <v>8</v>
      </c>
      <c r="CV683" s="27" t="s">
        <v>7</v>
      </c>
      <c r="CW683" s="27" t="s">
        <v>8</v>
      </c>
      <c r="DH683" s="27" t="s">
        <v>7</v>
      </c>
      <c r="DS683" s="27" t="s">
        <v>8</v>
      </c>
      <c r="DT683" s="27" t="s">
        <v>7</v>
      </c>
      <c r="DW683" s="27" t="s">
        <v>8</v>
      </c>
      <c r="DX683" s="27" t="s">
        <v>7</v>
      </c>
      <c r="EP683" s="27" t="s">
        <v>7</v>
      </c>
      <c r="EQ683" s="27" t="s">
        <v>8</v>
      </c>
      <c r="ER683" s="27" t="s">
        <v>7</v>
      </c>
      <c r="ES683" s="27" t="s">
        <v>8</v>
      </c>
      <c r="EU683" s="27" t="s">
        <v>8</v>
      </c>
      <c r="EW683" s="27" t="s">
        <v>8</v>
      </c>
      <c r="FJ683" s="27" t="s">
        <v>7</v>
      </c>
      <c r="FK683" s="27" t="s">
        <v>8</v>
      </c>
      <c r="FZ683" s="27" t="s">
        <v>7</v>
      </c>
    </row>
    <row r="684" spans="1:194" x14ac:dyDescent="0.25">
      <c r="A684" s="7">
        <v>0.14648168905398537</v>
      </c>
      <c r="B684"/>
      <c r="C684"/>
      <c r="D684"/>
      <c r="E684"/>
      <c r="F684" s="27" t="s">
        <v>7</v>
      </c>
      <c r="G684" s="27" t="s">
        <v>8</v>
      </c>
      <c r="CV684" s="27" t="s">
        <v>7</v>
      </c>
      <c r="CW684" s="27" t="s">
        <v>8</v>
      </c>
      <c r="DH684" s="27" t="s">
        <v>7</v>
      </c>
      <c r="DS684" s="27" t="s">
        <v>8</v>
      </c>
      <c r="DT684" s="27" t="s">
        <v>7</v>
      </c>
      <c r="DU684" s="27" t="s">
        <v>8</v>
      </c>
      <c r="DW684" s="27" t="s">
        <v>8</v>
      </c>
      <c r="EP684" s="27" t="s">
        <v>7</v>
      </c>
      <c r="EQ684" s="27" t="s">
        <v>8</v>
      </c>
      <c r="ER684" s="27" t="s">
        <v>7</v>
      </c>
      <c r="ES684" s="27" t="s">
        <v>8</v>
      </c>
      <c r="ET684" s="27" t="s">
        <v>7</v>
      </c>
      <c r="EU684" s="27" t="s">
        <v>8</v>
      </c>
      <c r="EV684" s="27" t="s">
        <v>7</v>
      </c>
      <c r="EW684" s="27" t="s">
        <v>8</v>
      </c>
      <c r="FJ684" s="27" t="s">
        <v>7</v>
      </c>
      <c r="FZ684" s="27" t="s">
        <v>7</v>
      </c>
      <c r="GC684" s="27" t="s">
        <v>8</v>
      </c>
    </row>
    <row r="685" spans="1:194" x14ac:dyDescent="0.25">
      <c r="A685" s="7">
        <v>0.14360949907253467</v>
      </c>
      <c r="B685"/>
      <c r="C685"/>
      <c r="D685"/>
      <c r="E685"/>
      <c r="F685" s="27" t="s">
        <v>7</v>
      </c>
      <c r="CV685" s="27" t="s">
        <v>7</v>
      </c>
      <c r="CW685" s="27" t="s">
        <v>8</v>
      </c>
      <c r="DH685" s="27" t="s">
        <v>7</v>
      </c>
      <c r="DS685" s="27" t="s">
        <v>8</v>
      </c>
      <c r="DT685" s="27" t="s">
        <v>7</v>
      </c>
      <c r="DU685" s="27" t="s">
        <v>8</v>
      </c>
      <c r="DV685" s="27" t="s">
        <v>7</v>
      </c>
      <c r="DW685" s="27" t="s">
        <v>8</v>
      </c>
      <c r="EP685" s="27" t="s">
        <v>7</v>
      </c>
      <c r="EQ685" s="27" t="s">
        <v>8</v>
      </c>
      <c r="ER685" s="27" t="s">
        <v>7</v>
      </c>
      <c r="ES685" s="27" t="s">
        <v>8</v>
      </c>
      <c r="ET685" s="27" t="s">
        <v>7</v>
      </c>
      <c r="EU685" s="27" t="s">
        <v>8</v>
      </c>
      <c r="EV685" s="27" t="s">
        <v>7</v>
      </c>
      <c r="EW685" s="27" t="s">
        <v>8</v>
      </c>
      <c r="FZ685" s="27" t="s">
        <v>7</v>
      </c>
      <c r="GC685" s="27" t="s">
        <v>8</v>
      </c>
      <c r="GD685" s="27" t="s">
        <v>7</v>
      </c>
      <c r="GK685" s="27" t="s">
        <v>8</v>
      </c>
    </row>
    <row r="686" spans="1:194" x14ac:dyDescent="0.25">
      <c r="A686" s="7">
        <v>0.14079362654170066</v>
      </c>
      <c r="B686"/>
      <c r="C686"/>
      <c r="D686"/>
      <c r="E686"/>
      <c r="CV686" s="27" t="s">
        <v>7</v>
      </c>
      <c r="CW686" s="27" t="s">
        <v>8</v>
      </c>
      <c r="DH686" s="27" t="s">
        <v>7</v>
      </c>
      <c r="DS686" s="27" t="s">
        <v>8</v>
      </c>
      <c r="DT686" s="27" t="s">
        <v>7</v>
      </c>
      <c r="DU686" s="27" t="s">
        <v>8</v>
      </c>
      <c r="DV686" s="27" t="s">
        <v>7</v>
      </c>
      <c r="DW686" s="27" t="s">
        <v>8</v>
      </c>
      <c r="EP686" s="27" t="s">
        <v>7</v>
      </c>
      <c r="EQ686" s="27" t="s">
        <v>8</v>
      </c>
      <c r="ER686" s="27" t="s">
        <v>7</v>
      </c>
      <c r="ET686" s="27" t="s">
        <v>7</v>
      </c>
      <c r="EU686" s="27" t="s">
        <v>8</v>
      </c>
      <c r="EV686" s="27" t="s">
        <v>7</v>
      </c>
      <c r="EW686" s="27" t="s">
        <v>8</v>
      </c>
      <c r="FZ686" s="27" t="s">
        <v>7</v>
      </c>
      <c r="GC686" s="27" t="s">
        <v>8</v>
      </c>
      <c r="GD686" s="27" t="s">
        <v>7</v>
      </c>
      <c r="GK686" s="27" t="s">
        <v>8</v>
      </c>
      <c r="GL686" s="27" t="s">
        <v>7</v>
      </c>
    </row>
    <row r="687" spans="1:194" x14ac:dyDescent="0.25">
      <c r="A687" s="7">
        <v>0.13803296719774574</v>
      </c>
      <c r="B687"/>
      <c r="C687"/>
      <c r="D687"/>
      <c r="E687"/>
      <c r="CV687" s="27" t="s">
        <v>7</v>
      </c>
      <c r="DH687" s="27" t="s">
        <v>7</v>
      </c>
      <c r="DM687" s="27" t="s">
        <v>8</v>
      </c>
      <c r="DS687" s="27" t="s">
        <v>8</v>
      </c>
      <c r="DT687" s="27" t="s">
        <v>7</v>
      </c>
      <c r="DU687" s="27" t="s">
        <v>8</v>
      </c>
      <c r="DV687" s="27" t="s">
        <v>7</v>
      </c>
      <c r="EP687" s="27" t="s">
        <v>7</v>
      </c>
      <c r="ET687" s="27" t="s">
        <v>7</v>
      </c>
      <c r="EV687" s="27" t="s">
        <v>7</v>
      </c>
      <c r="EW687" s="27" t="s">
        <v>8</v>
      </c>
      <c r="FZ687" s="27" t="s">
        <v>7</v>
      </c>
      <c r="GA687" s="27" t="s">
        <v>8</v>
      </c>
      <c r="GC687" s="27" t="s">
        <v>8</v>
      </c>
      <c r="GD687" s="27" t="s">
        <v>7</v>
      </c>
      <c r="GK687" s="27" t="s">
        <v>8</v>
      </c>
      <c r="GL687" s="27" t="s">
        <v>7</v>
      </c>
    </row>
    <row r="688" spans="1:194" x14ac:dyDescent="0.25">
      <c r="A688" s="7">
        <v>0.1353264384291625</v>
      </c>
      <c r="B688"/>
      <c r="C688"/>
      <c r="D688"/>
      <c r="E688"/>
      <c r="DH688" s="27" t="s">
        <v>7</v>
      </c>
      <c r="DK688" s="27" t="s">
        <v>8</v>
      </c>
      <c r="DM688" s="27" t="s">
        <v>8</v>
      </c>
      <c r="DN688" s="27" t="s">
        <v>7</v>
      </c>
      <c r="DO688" s="27" t="s">
        <v>8</v>
      </c>
      <c r="DS688" s="27" t="s">
        <v>8</v>
      </c>
      <c r="DT688" s="27" t="s">
        <v>7</v>
      </c>
      <c r="DU688" s="27" t="s">
        <v>8</v>
      </c>
      <c r="EV688" s="27" t="s">
        <v>7</v>
      </c>
      <c r="FZ688" s="27" t="s">
        <v>7</v>
      </c>
      <c r="GA688" s="27" t="s">
        <v>8</v>
      </c>
      <c r="GB688" s="27" t="s">
        <v>7</v>
      </c>
      <c r="GC688" s="27" t="s">
        <v>8</v>
      </c>
      <c r="GD688" s="27" t="s">
        <v>7</v>
      </c>
      <c r="GE688" s="27" t="s">
        <v>8</v>
      </c>
      <c r="GK688" s="27" t="s">
        <v>8</v>
      </c>
      <c r="GL688" s="27" t="s">
        <v>7</v>
      </c>
    </row>
    <row r="689" spans="1:208" x14ac:dyDescent="0.25">
      <c r="A689" s="7">
        <v>0.13267297885212009</v>
      </c>
      <c r="B689"/>
      <c r="C689"/>
      <c r="D689"/>
      <c r="E689"/>
      <c r="DH689" s="27" t="s">
        <v>7</v>
      </c>
      <c r="DK689" s="27" t="s">
        <v>8</v>
      </c>
      <c r="DL689" s="27" t="s">
        <v>7</v>
      </c>
      <c r="DM689" s="27" t="s">
        <v>8</v>
      </c>
      <c r="DN689" s="27" t="s">
        <v>7</v>
      </c>
      <c r="DO689" s="27" t="s">
        <v>8</v>
      </c>
      <c r="DP689" s="27" t="s">
        <v>7</v>
      </c>
      <c r="DS689" s="27" t="s">
        <v>8</v>
      </c>
      <c r="DT689" s="27" t="s">
        <v>7</v>
      </c>
      <c r="DU689" s="27" t="s">
        <v>8</v>
      </c>
      <c r="FZ689" s="27" t="s">
        <v>7</v>
      </c>
      <c r="GA689" s="27" t="s">
        <v>8</v>
      </c>
      <c r="GB689" s="27" t="s">
        <v>7</v>
      </c>
      <c r="GC689" s="27" t="s">
        <v>8</v>
      </c>
      <c r="GD689" s="27" t="s">
        <v>7</v>
      </c>
      <c r="GE689" s="27" t="s">
        <v>8</v>
      </c>
      <c r="GF689" s="27" t="s">
        <v>7</v>
      </c>
      <c r="GI689" s="27" t="s">
        <v>8</v>
      </c>
      <c r="GK689" s="27" t="s">
        <v>8</v>
      </c>
      <c r="GL689" s="27" t="s">
        <v>7</v>
      </c>
      <c r="GM689" s="27" t="s">
        <v>8</v>
      </c>
    </row>
    <row r="690" spans="1:208" x14ac:dyDescent="0.25">
      <c r="A690" s="7">
        <v>0.13007154789423539</v>
      </c>
      <c r="B690"/>
      <c r="C690"/>
      <c r="D690"/>
      <c r="E690"/>
      <c r="DH690" s="27" t="s">
        <v>7</v>
      </c>
      <c r="DK690" s="27" t="s">
        <v>8</v>
      </c>
      <c r="DL690" s="27" t="s">
        <v>7</v>
      </c>
      <c r="DM690" s="27" t="s">
        <v>8</v>
      </c>
      <c r="DN690" s="27" t="s">
        <v>7</v>
      </c>
      <c r="DO690" s="27" t="s">
        <v>8</v>
      </c>
      <c r="DP690" s="27" t="s">
        <v>7</v>
      </c>
      <c r="DS690" s="27" t="s">
        <v>8</v>
      </c>
      <c r="DT690" s="18" t="s">
        <v>7</v>
      </c>
      <c r="DU690" s="27" t="s">
        <v>8</v>
      </c>
      <c r="FZ690" s="27" t="s">
        <v>7</v>
      </c>
      <c r="GA690" s="27" t="s">
        <v>8</v>
      </c>
      <c r="GB690" s="27" t="s">
        <v>7</v>
      </c>
      <c r="GC690" s="27" t="s">
        <v>8</v>
      </c>
      <c r="GD690" s="27" t="s">
        <v>7</v>
      </c>
      <c r="GE690" s="27" t="s">
        <v>8</v>
      </c>
      <c r="GF690" s="27" t="s">
        <v>7</v>
      </c>
      <c r="GG690" s="27" t="s">
        <v>8</v>
      </c>
      <c r="GI690" s="27" t="s">
        <v>8</v>
      </c>
      <c r="GJ690" s="27" t="s">
        <v>7</v>
      </c>
      <c r="GK690" s="27" t="s">
        <v>8</v>
      </c>
      <c r="GL690" s="27" t="s">
        <v>7</v>
      </c>
      <c r="GM690" s="27" t="s">
        <v>8</v>
      </c>
      <c r="GN690" s="27" t="s">
        <v>7</v>
      </c>
      <c r="GO690" s="27" t="s">
        <v>8</v>
      </c>
    </row>
    <row r="691" spans="1:208" x14ac:dyDescent="0.25">
      <c r="A691" s="7">
        <v>0.12752112538650529</v>
      </c>
      <c r="B691"/>
      <c r="C691"/>
      <c r="D691"/>
      <c r="E691"/>
      <c r="DH691" s="27" t="s">
        <v>7</v>
      </c>
      <c r="DK691" s="27" t="s">
        <v>8</v>
      </c>
      <c r="DL691" s="27" t="s">
        <v>7</v>
      </c>
      <c r="DM691" s="27" t="s">
        <v>8</v>
      </c>
      <c r="DN691" s="27" t="s">
        <v>7</v>
      </c>
      <c r="DP691" s="27" t="s">
        <v>7</v>
      </c>
      <c r="DS691" s="27" t="s">
        <v>8</v>
      </c>
      <c r="DT691" s="27" t="s">
        <v>7</v>
      </c>
      <c r="DU691" s="27" t="s">
        <v>8</v>
      </c>
      <c r="FZ691" s="27" t="s">
        <v>7</v>
      </c>
      <c r="GA691" s="27" t="s">
        <v>8</v>
      </c>
      <c r="GB691" s="27" t="s">
        <v>7</v>
      </c>
      <c r="GC691" s="27" t="s">
        <v>8</v>
      </c>
      <c r="GD691" s="27" t="s">
        <v>7</v>
      </c>
      <c r="GF691" s="27" t="s">
        <v>7</v>
      </c>
      <c r="GG691" s="27" t="s">
        <v>8</v>
      </c>
      <c r="GH691" s="27" t="s">
        <v>7</v>
      </c>
      <c r="GI691" s="27" t="s">
        <v>8</v>
      </c>
      <c r="GJ691" s="27" t="s">
        <v>7</v>
      </c>
      <c r="GK691" s="27" t="s">
        <v>8</v>
      </c>
      <c r="GL691" s="27" t="s">
        <v>7</v>
      </c>
      <c r="GM691" s="27" t="s">
        <v>8</v>
      </c>
      <c r="GN691" s="27" t="s">
        <v>7</v>
      </c>
      <c r="GO691" s="27" t="s">
        <v>8</v>
      </c>
      <c r="GP691" s="27" t="s">
        <v>7</v>
      </c>
    </row>
    <row r="692" spans="1:208" x14ac:dyDescent="0.25">
      <c r="A692" s="7">
        <v>0.12502071116324048</v>
      </c>
      <c r="B692"/>
      <c r="C692"/>
      <c r="D692"/>
      <c r="E692"/>
      <c r="DH692" s="27" t="s">
        <v>7</v>
      </c>
      <c r="DK692" s="27" t="s">
        <v>8</v>
      </c>
      <c r="DL692" s="27" t="s">
        <v>7</v>
      </c>
      <c r="DP692" s="27" t="s">
        <v>7</v>
      </c>
      <c r="DQ692" s="27" t="s">
        <v>8</v>
      </c>
      <c r="DS692" s="27" t="s">
        <v>8</v>
      </c>
      <c r="DT692" s="27" t="s">
        <v>7</v>
      </c>
      <c r="DU692" s="27" t="s">
        <v>8</v>
      </c>
      <c r="FZ692" s="27" t="s">
        <v>7</v>
      </c>
      <c r="GA692" s="27" t="s">
        <v>8</v>
      </c>
      <c r="GB692" s="27" t="s">
        <v>7</v>
      </c>
      <c r="GC692" s="27" t="s">
        <v>8</v>
      </c>
      <c r="GF692" s="27" t="s">
        <v>7</v>
      </c>
      <c r="GG692" s="27" t="s">
        <v>8</v>
      </c>
      <c r="GH692" s="27" t="s">
        <v>7</v>
      </c>
      <c r="GI692" s="27" t="s">
        <v>8</v>
      </c>
      <c r="GJ692" s="27" t="s">
        <v>7</v>
      </c>
      <c r="GK692" s="27" t="s">
        <v>8</v>
      </c>
      <c r="GL692" s="27" t="s">
        <v>7</v>
      </c>
      <c r="GM692" s="27" t="s">
        <v>8</v>
      </c>
      <c r="GN692" s="27" t="s">
        <v>7</v>
      </c>
      <c r="GO692" s="27" t="s">
        <v>8</v>
      </c>
      <c r="GP692" s="27" t="s">
        <v>7</v>
      </c>
    </row>
    <row r="693" spans="1:208" x14ac:dyDescent="0.25">
      <c r="A693" s="7">
        <v>0.1225693246698436</v>
      </c>
      <c r="B693"/>
      <c r="C693"/>
      <c r="D693"/>
      <c r="E693"/>
      <c r="DH693" s="27" t="s">
        <v>7</v>
      </c>
      <c r="DK693" s="27" t="s">
        <v>8</v>
      </c>
      <c r="DP693" s="27" t="s">
        <v>7</v>
      </c>
      <c r="DQ693" s="27" t="s">
        <v>8</v>
      </c>
      <c r="DR693" s="27" t="s">
        <v>7</v>
      </c>
      <c r="DS693" s="27" t="s">
        <v>8</v>
      </c>
      <c r="DT693" s="27" t="s">
        <v>7</v>
      </c>
      <c r="DU693" s="27" t="s">
        <v>8</v>
      </c>
      <c r="FZ693" s="27" t="s">
        <v>7</v>
      </c>
      <c r="GA693" s="27" t="s">
        <v>8</v>
      </c>
      <c r="GB693" s="27" t="s">
        <v>7</v>
      </c>
      <c r="GC693" s="27" t="s">
        <v>8</v>
      </c>
      <c r="GF693" s="27" t="s">
        <v>7</v>
      </c>
      <c r="GG693" s="27" t="s">
        <v>8</v>
      </c>
      <c r="GH693" s="27" t="s">
        <v>7</v>
      </c>
      <c r="GJ693" s="27" t="s">
        <v>7</v>
      </c>
      <c r="GL693" s="27" t="s">
        <v>7</v>
      </c>
      <c r="GM693" s="27" t="s">
        <v>8</v>
      </c>
      <c r="GN693" s="27" t="s">
        <v>7</v>
      </c>
      <c r="GO693" s="27" t="s">
        <v>8</v>
      </c>
      <c r="GP693" s="27" t="s">
        <v>7</v>
      </c>
    </row>
    <row r="694" spans="1:208" x14ac:dyDescent="0.25">
      <c r="A694" s="7">
        <v>0.12016600457827803</v>
      </c>
      <c r="B694"/>
      <c r="C694"/>
      <c r="D694"/>
      <c r="E694"/>
      <c r="DH694" s="27" t="s">
        <v>7</v>
      </c>
      <c r="DK694" s="27" t="s">
        <v>8</v>
      </c>
      <c r="DP694" s="27" t="s">
        <v>7</v>
      </c>
      <c r="DQ694" s="27" t="s">
        <v>8</v>
      </c>
      <c r="DR694" s="27" t="s">
        <v>7</v>
      </c>
      <c r="DS694" s="27" t="s">
        <v>8</v>
      </c>
      <c r="DT694" s="27" t="s">
        <v>7</v>
      </c>
      <c r="DU694" s="27" t="s">
        <v>8</v>
      </c>
      <c r="FZ694" s="27" t="s">
        <v>7</v>
      </c>
      <c r="GA694" s="27" t="s">
        <v>8</v>
      </c>
      <c r="GB694" s="27" t="s">
        <v>7</v>
      </c>
      <c r="GC694" s="27" t="s">
        <v>8</v>
      </c>
      <c r="GF694" s="27" t="s">
        <v>7</v>
      </c>
      <c r="GL694" s="27" t="s">
        <v>7</v>
      </c>
      <c r="GN694" s="27" t="s">
        <v>7</v>
      </c>
      <c r="GP694" s="27" t="s">
        <v>7</v>
      </c>
      <c r="GS694" s="27" t="s">
        <v>8</v>
      </c>
    </row>
    <row r="695" spans="1:208" x14ac:dyDescent="0.25">
      <c r="A695" s="7">
        <v>0.1178098084100765</v>
      </c>
      <c r="B695"/>
      <c r="C695"/>
      <c r="D695"/>
      <c r="E695"/>
      <c r="DH695" s="27" t="s">
        <v>7</v>
      </c>
      <c r="DI695" s="27" t="s">
        <v>8</v>
      </c>
      <c r="DK695" s="27" t="s">
        <v>8</v>
      </c>
      <c r="DP695" s="27" t="s">
        <v>7</v>
      </c>
      <c r="DQ695" s="27" t="s">
        <v>8</v>
      </c>
      <c r="DR695" s="27" t="s">
        <v>7</v>
      </c>
      <c r="DS695" s="27" t="s">
        <v>8</v>
      </c>
      <c r="DT695" s="27" t="s">
        <v>7</v>
      </c>
      <c r="DU695" s="27" t="s">
        <v>8</v>
      </c>
      <c r="FZ695" s="27" t="s">
        <v>7</v>
      </c>
      <c r="GA695" s="27" t="s">
        <v>8</v>
      </c>
      <c r="GB695" s="27" t="s">
        <v>7</v>
      </c>
      <c r="GP695" s="27" t="s">
        <v>7</v>
      </c>
      <c r="GQ695" s="27" t="s">
        <v>8</v>
      </c>
      <c r="GS695" s="27" t="s">
        <v>8</v>
      </c>
      <c r="GT695" s="27" t="s">
        <v>7</v>
      </c>
    </row>
    <row r="696" spans="1:208" x14ac:dyDescent="0.25">
      <c r="A696" s="7">
        <v>0.11549981216674166</v>
      </c>
      <c r="B696"/>
      <c r="C696"/>
      <c r="D696"/>
      <c r="E696"/>
      <c r="DH696" s="27" t="s">
        <v>7</v>
      </c>
      <c r="DI696" s="27" t="s">
        <v>8</v>
      </c>
      <c r="DJ696" s="27" t="s">
        <v>7</v>
      </c>
      <c r="DK696" s="27" t="s">
        <v>8</v>
      </c>
      <c r="DP696" s="27" t="s">
        <v>7</v>
      </c>
      <c r="DR696" s="27" t="s">
        <v>7</v>
      </c>
      <c r="DS696" s="27" t="s">
        <v>8</v>
      </c>
      <c r="DT696" s="27" t="s">
        <v>7</v>
      </c>
      <c r="DU696" s="27" t="s">
        <v>8</v>
      </c>
      <c r="FZ696" s="27" t="s">
        <v>7</v>
      </c>
      <c r="GA696" s="27" t="s">
        <v>8</v>
      </c>
      <c r="GP696" s="27" t="s">
        <v>7</v>
      </c>
      <c r="GQ696" s="27" t="s">
        <v>8</v>
      </c>
      <c r="GR696" s="27" t="s">
        <v>7</v>
      </c>
      <c r="GS696" s="27" t="s">
        <v>8</v>
      </c>
      <c r="GT696" s="27" t="s">
        <v>7</v>
      </c>
      <c r="GU696" s="27" t="s">
        <v>8</v>
      </c>
    </row>
    <row r="697" spans="1:208" x14ac:dyDescent="0.25">
      <c r="A697" s="7">
        <v>0.11323510996739378</v>
      </c>
      <c r="B697"/>
      <c r="C697"/>
      <c r="D697"/>
      <c r="E697"/>
      <c r="DH697" s="27" t="s">
        <v>7</v>
      </c>
      <c r="DI697" s="27" t="s">
        <v>8</v>
      </c>
      <c r="DJ697" s="27" t="s">
        <v>7</v>
      </c>
      <c r="DK697" s="27" t="s">
        <v>8</v>
      </c>
      <c r="DR697" s="27" t="s">
        <v>7</v>
      </c>
      <c r="DS697" s="27" t="s">
        <v>8</v>
      </c>
      <c r="DT697" s="27" t="s">
        <v>7</v>
      </c>
      <c r="FZ697" s="27" t="s">
        <v>7</v>
      </c>
      <c r="GA697" s="27" t="s">
        <v>8</v>
      </c>
      <c r="GP697" s="27" t="s">
        <v>7</v>
      </c>
      <c r="GQ697" s="27" t="s">
        <v>8</v>
      </c>
      <c r="GR697" s="27" t="s">
        <v>7</v>
      </c>
      <c r="GS697" s="27" t="s">
        <v>8</v>
      </c>
      <c r="GT697" s="27" t="s">
        <v>7</v>
      </c>
      <c r="GU697" s="27" t="s">
        <v>8</v>
      </c>
      <c r="GV697" s="27" t="s">
        <v>7</v>
      </c>
    </row>
    <row r="698" spans="1:208" x14ac:dyDescent="0.25">
      <c r="A698" s="7">
        <v>0.11101481369352331</v>
      </c>
      <c r="B698"/>
      <c r="C698"/>
      <c r="D698"/>
      <c r="E698"/>
      <c r="DH698" s="27" t="s">
        <v>7</v>
      </c>
      <c r="DI698" s="27" t="s">
        <v>8</v>
      </c>
      <c r="DJ698" s="27" t="s">
        <v>7</v>
      </c>
      <c r="DK698" s="27" t="s">
        <v>8</v>
      </c>
      <c r="DR698" s="27" t="s">
        <v>7</v>
      </c>
      <c r="DS698" s="27" t="s">
        <v>8</v>
      </c>
      <c r="FZ698" s="27" t="s">
        <v>7</v>
      </c>
      <c r="GA698" s="27" t="s">
        <v>8</v>
      </c>
      <c r="GP698" s="27" t="s">
        <v>7</v>
      </c>
      <c r="GR698" s="27" t="s">
        <v>7</v>
      </c>
      <c r="GS698" s="27" t="s">
        <v>8</v>
      </c>
      <c r="GT698" s="27" t="s">
        <v>7</v>
      </c>
      <c r="GU698" s="27" t="s">
        <v>8</v>
      </c>
      <c r="GV698" s="27" t="s">
        <v>7</v>
      </c>
    </row>
    <row r="699" spans="1:208" x14ac:dyDescent="0.25">
      <c r="A699" s="7">
        <v>0.10883805264070913</v>
      </c>
      <c r="B699"/>
      <c r="C699"/>
      <c r="D699"/>
      <c r="E699"/>
      <c r="DH699" s="27" t="s">
        <v>7</v>
      </c>
      <c r="DI699" s="27" t="s">
        <v>8</v>
      </c>
      <c r="DJ699" s="27" t="s">
        <v>7</v>
      </c>
      <c r="DK699" s="27" t="s">
        <v>8</v>
      </c>
      <c r="DR699" s="27" t="s">
        <v>7</v>
      </c>
      <c r="FZ699" s="27" t="s">
        <v>7</v>
      </c>
      <c r="GA699" s="27" t="s">
        <v>8</v>
      </c>
      <c r="GR699" s="27" t="s">
        <v>7</v>
      </c>
      <c r="GS699" s="27" t="s">
        <v>8</v>
      </c>
      <c r="GT699" s="27" t="s">
        <v>7</v>
      </c>
      <c r="GV699" s="27" t="s">
        <v>7</v>
      </c>
    </row>
    <row r="700" spans="1:208" x14ac:dyDescent="0.25">
      <c r="A700" s="7">
        <v>0.10670397317716582</v>
      </c>
      <c r="B700"/>
      <c r="C700"/>
      <c r="D700"/>
      <c r="E700"/>
      <c r="DH700" s="27" t="s">
        <v>7</v>
      </c>
      <c r="DI700" s="27" t="s">
        <v>8</v>
      </c>
      <c r="DJ700" s="27" t="s">
        <v>7</v>
      </c>
      <c r="DK700" s="27" t="s">
        <v>8</v>
      </c>
      <c r="FZ700" s="27" t="s">
        <v>7</v>
      </c>
      <c r="GA700" s="27" t="s">
        <v>8</v>
      </c>
      <c r="GR700" s="27" t="s">
        <v>7</v>
      </c>
      <c r="GS700" s="27" t="s">
        <v>8</v>
      </c>
      <c r="GV700" s="27" t="s">
        <v>7</v>
      </c>
    </row>
    <row r="701" spans="1:208" x14ac:dyDescent="0.25">
      <c r="A701" s="7">
        <v>0.1046117384089861</v>
      </c>
      <c r="B701"/>
      <c r="C701"/>
      <c r="D701"/>
      <c r="E701"/>
      <c r="DH701" s="27" t="s">
        <v>7</v>
      </c>
      <c r="DI701" s="27" t="s">
        <v>8</v>
      </c>
      <c r="DJ701" s="27" t="s">
        <v>7</v>
      </c>
      <c r="DK701" s="27" t="s">
        <v>8</v>
      </c>
      <c r="FZ701" s="27" t="s">
        <v>7</v>
      </c>
      <c r="GR701" s="27" t="s">
        <v>7</v>
      </c>
      <c r="GV701" s="27" t="s">
        <v>7</v>
      </c>
    </row>
    <row r="702" spans="1:208" x14ac:dyDescent="0.25">
      <c r="A702" s="7">
        <v>0.10256052785194716</v>
      </c>
      <c r="B702"/>
      <c r="C702"/>
      <c r="D702"/>
      <c r="E702"/>
      <c r="DH702" s="27" t="s">
        <v>7</v>
      </c>
      <c r="DI702" s="27" t="s">
        <v>8</v>
      </c>
      <c r="DJ702" s="27" t="s">
        <v>7</v>
      </c>
      <c r="GV702" s="27" t="s">
        <v>7</v>
      </c>
      <c r="GY702" s="27" t="s">
        <v>8</v>
      </c>
    </row>
    <row r="703" spans="1:208" x14ac:dyDescent="0.25">
      <c r="A703" s="7">
        <v>0.10054953710975212</v>
      </c>
      <c r="B703"/>
      <c r="C703"/>
      <c r="D703"/>
      <c r="E703"/>
      <c r="DH703" s="27" t="s">
        <v>7</v>
      </c>
      <c r="DI703" s="27" t="s">
        <v>8</v>
      </c>
      <c r="GV703" s="27" t="s">
        <v>7</v>
      </c>
      <c r="GY703" s="27" t="s">
        <v>8</v>
      </c>
      <c r="GZ703" s="27" t="s">
        <v>7</v>
      </c>
    </row>
    <row r="704" spans="1:208" x14ac:dyDescent="0.25">
      <c r="A704" s="7">
        <v>9.8577977558580512E-2</v>
      </c>
      <c r="B704"/>
      <c r="C704"/>
      <c r="D704"/>
      <c r="E704"/>
      <c r="DH704" s="27" t="s">
        <v>7</v>
      </c>
      <c r="DI704" s="27" t="s">
        <v>8</v>
      </c>
      <c r="GV704" s="27" t="s">
        <v>7</v>
      </c>
      <c r="GW704" s="27" t="s">
        <v>8</v>
      </c>
      <c r="GY704" s="27" t="s">
        <v>8</v>
      </c>
      <c r="GZ704" s="27" t="s">
        <v>7</v>
      </c>
    </row>
    <row r="705" spans="1:208" x14ac:dyDescent="0.25">
      <c r="A705" s="7">
        <v>9.6645076037824032E-2</v>
      </c>
      <c r="B705"/>
      <c r="C705"/>
      <c r="D705"/>
      <c r="E705"/>
      <c r="DH705" s="27" t="s">
        <v>7</v>
      </c>
      <c r="DI705" s="27" t="s">
        <v>8</v>
      </c>
      <c r="GV705" s="27" t="s">
        <v>7</v>
      </c>
      <c r="GW705" s="27" t="s">
        <v>8</v>
      </c>
      <c r="GX705" s="27" t="s">
        <v>7</v>
      </c>
      <c r="GY705" s="27" t="s">
        <v>8</v>
      </c>
      <c r="GZ705" s="27" t="s">
        <v>7</v>
      </c>
    </row>
    <row r="706" spans="1:208" x14ac:dyDescent="0.25">
      <c r="A706" s="7">
        <v>9.4750074546886304E-2</v>
      </c>
      <c r="B706"/>
      <c r="C706"/>
      <c r="D706"/>
      <c r="E706"/>
      <c r="DH706" s="27" t="s">
        <v>7</v>
      </c>
      <c r="DI706" s="27" t="s">
        <v>8</v>
      </c>
      <c r="GV706" s="27" t="s">
        <v>7</v>
      </c>
      <c r="GW706" s="27" t="s">
        <v>8</v>
      </c>
      <c r="GX706" s="27" t="s">
        <v>7</v>
      </c>
      <c r="GY706" s="27" t="s">
        <v>8</v>
      </c>
    </row>
    <row r="707" spans="1:208" x14ac:dyDescent="0.25">
      <c r="A707" s="7">
        <v>9.2892229947927743E-2</v>
      </c>
      <c r="B707"/>
      <c r="C707"/>
      <c r="D707"/>
      <c r="E707"/>
      <c r="DH707" s="27" t="s">
        <v>7</v>
      </c>
      <c r="DI707" s="27" t="s">
        <v>8</v>
      </c>
      <c r="GV707" s="27" t="s">
        <v>7</v>
      </c>
      <c r="GW707" s="27" t="s">
        <v>8</v>
      </c>
      <c r="GX707" s="27" t="s">
        <v>7</v>
      </c>
      <c r="GY707" s="27" t="s">
        <v>8</v>
      </c>
    </row>
    <row r="708" spans="1:208" x14ac:dyDescent="0.25">
      <c r="A708" s="7">
        <v>9.1070813674438963E-2</v>
      </c>
      <c r="B708"/>
      <c r="C708"/>
      <c r="D708"/>
      <c r="E708"/>
      <c r="DH708" s="27" t="s">
        <v>7</v>
      </c>
      <c r="DI708" s="27" t="s">
        <v>8</v>
      </c>
      <c r="GV708" s="27" t="s">
        <v>7</v>
      </c>
      <c r="GW708" s="27" t="s">
        <v>8</v>
      </c>
      <c r="GX708" s="27" t="s">
        <v>7</v>
      </c>
      <c r="GY708" s="27" t="s">
        <v>8</v>
      </c>
    </row>
    <row r="709" spans="1:208" x14ac:dyDescent="0.25">
      <c r="A709" s="7">
        <v>8.9285111445528392E-2</v>
      </c>
      <c r="B709"/>
      <c r="C709"/>
      <c r="D709"/>
      <c r="E709"/>
      <c r="DH709" s="27" t="s">
        <v>7</v>
      </c>
      <c r="DI709" s="27" t="s">
        <v>8</v>
      </c>
      <c r="GV709" s="27" t="s">
        <v>7</v>
      </c>
      <c r="GX709" s="27" t="s">
        <v>7</v>
      </c>
      <c r="GY709" s="27" t="s">
        <v>8</v>
      </c>
    </row>
    <row r="710" spans="1:208" x14ac:dyDescent="0.25">
      <c r="A710" s="7">
        <v>8.7534422985812155E-2</v>
      </c>
      <c r="B710"/>
      <c r="C710"/>
      <c r="D710"/>
      <c r="E710"/>
      <c r="DH710" s="27" t="s">
        <v>7</v>
      </c>
      <c r="DI710" s="27" t="s">
        <v>8</v>
      </c>
      <c r="GX710" s="27" t="s">
        <v>7</v>
      </c>
    </row>
    <row r="711" spans="1:208" x14ac:dyDescent="0.25">
      <c r="A711" s="7">
        <v>8.5818061750796232E-2</v>
      </c>
      <c r="B711"/>
      <c r="C711"/>
      <c r="D711"/>
      <c r="E711"/>
      <c r="DH711" s="27" t="s">
        <v>7</v>
      </c>
    </row>
    <row r="712" spans="1:208" x14ac:dyDescent="0.25">
      <c r="A712" s="7">
        <v>8.4135354657643366E-2</v>
      </c>
      <c r="B712"/>
      <c r="C712"/>
      <c r="D712"/>
      <c r="E712"/>
    </row>
    <row r="713" spans="1:208" x14ac:dyDescent="0.25">
      <c r="A713" s="7">
        <v>8.248564182121898E-2</v>
      </c>
      <c r="B713"/>
      <c r="C713"/>
      <c r="D713"/>
      <c r="E713"/>
    </row>
    <row r="714" spans="1:208" x14ac:dyDescent="0.25">
      <c r="A714" s="7">
        <v>8.0868276295312735E-2</v>
      </c>
      <c r="B714"/>
      <c r="C714"/>
      <c r="D714"/>
      <c r="E714"/>
    </row>
    <row r="715" spans="1:208" x14ac:dyDescent="0.25">
      <c r="A715" s="7">
        <v>7.9282623818934056E-2</v>
      </c>
      <c r="B715"/>
      <c r="C715"/>
      <c r="D715"/>
      <c r="E715"/>
    </row>
    <row r="716" spans="1:208" x14ac:dyDescent="0.25">
      <c r="A716" s="7">
        <v>7.7728062567582412E-2</v>
      </c>
      <c r="B716"/>
      <c r="C716"/>
      <c r="D716"/>
      <c r="E716"/>
    </row>
    <row r="717" spans="1:208" x14ac:dyDescent="0.25">
      <c r="A717" s="7">
        <v>7.6203982909394521E-2</v>
      </c>
      <c r="B717"/>
      <c r="C717"/>
      <c r="D717"/>
      <c r="E717"/>
    </row>
    <row r="718" spans="1:208" x14ac:dyDescent="0.25">
      <c r="A718" s="7">
        <v>7.4709787166073058E-2</v>
      </c>
      <c r="B718"/>
      <c r="C718"/>
      <c r="D718"/>
      <c r="E718"/>
    </row>
    <row r="719" spans="1:208" x14ac:dyDescent="0.25">
      <c r="A719" s="7">
        <v>7.3244889378503E-2</v>
      </c>
      <c r="B719"/>
      <c r="C719"/>
      <c r="D719"/>
      <c r="E719"/>
    </row>
    <row r="720" spans="1:208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35" operator="equal">
      <formula>$U$1</formula>
    </cfRule>
    <cfRule type="cellIs" dxfId="89" priority="836" operator="equal">
      <formula>$S$1</formula>
    </cfRule>
  </conditionalFormatting>
  <conditionalFormatting sqref="D27">
    <cfRule type="cellIs" dxfId="88" priority="833" operator="equal">
      <formula>$S$1</formula>
    </cfRule>
    <cfRule type="cellIs" dxfId="87" priority="834" operator="equal">
      <formula>$U$1</formula>
    </cfRule>
  </conditionalFormatting>
  <conditionalFormatting sqref="C164">
    <cfRule type="cellIs" dxfId="86" priority="831" operator="equal">
      <formula>$U$1</formula>
    </cfRule>
    <cfRule type="cellIs" dxfId="85" priority="832" operator="equal">
      <formula>$S$1</formula>
    </cfRule>
  </conditionalFormatting>
  <conditionalFormatting sqref="D164">
    <cfRule type="cellIs" dxfId="84" priority="829" operator="equal">
      <formula>$S$1</formula>
    </cfRule>
    <cfRule type="cellIs" dxfId="83" priority="830" operator="equal">
      <formula>$U$1</formula>
    </cfRule>
  </conditionalFormatting>
  <conditionalFormatting sqref="C55">
    <cfRule type="cellIs" dxfId="82" priority="827" operator="equal">
      <formula>$U$1</formula>
    </cfRule>
    <cfRule type="cellIs" dxfId="81" priority="828" operator="equal">
      <formula>$S$1</formula>
    </cfRule>
  </conditionalFormatting>
  <conditionalFormatting sqref="D55">
    <cfRule type="cellIs" dxfId="80" priority="825" operator="equal">
      <formula>$S$1</formula>
    </cfRule>
    <cfRule type="cellIs" dxfId="79" priority="826" operator="equal">
      <formula>$U$1</formula>
    </cfRule>
  </conditionalFormatting>
  <conditionalFormatting sqref="C89">
    <cfRule type="cellIs" dxfId="78" priority="823" operator="equal">
      <formula>$U$1</formula>
    </cfRule>
    <cfRule type="cellIs" dxfId="77" priority="824" operator="equal">
      <formula>$S$1</formula>
    </cfRule>
  </conditionalFormatting>
  <conditionalFormatting sqref="D89">
    <cfRule type="cellIs" dxfId="76" priority="821" operator="equal">
      <formula>$S$1</formula>
    </cfRule>
    <cfRule type="cellIs" dxfId="75" priority="822" operator="equal">
      <formula>$U$1</formula>
    </cfRule>
  </conditionalFormatting>
  <conditionalFormatting sqref="C136">
    <cfRule type="cellIs" dxfId="74" priority="819" operator="equal">
      <formula>$U$1</formula>
    </cfRule>
    <cfRule type="cellIs" dxfId="73" priority="820" operator="equal">
      <formula>$S$1</formula>
    </cfRule>
  </conditionalFormatting>
  <conditionalFormatting sqref="D136">
    <cfRule type="cellIs" dxfId="72" priority="817" operator="equal">
      <formula>$S$1</formula>
    </cfRule>
    <cfRule type="cellIs" dxfId="71" priority="818" operator="equal">
      <formula>$U$1</formula>
    </cfRule>
  </conditionalFormatting>
  <conditionalFormatting sqref="C1">
    <cfRule type="cellIs" dxfId="70" priority="816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49" zoomScale="90" zoomScaleNormal="90" workbookViewId="0">
      <pane xSplit="4" topLeftCell="AM1" activePane="topRight" state="frozen"/>
      <selection activeCell="A109" sqref="A109"/>
      <selection pane="topRight" activeCell="CA287" sqref="CA287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$A$286</v>
      </c>
      <c r="D111" s="1" t="str">
        <f>ADDRESS(C121-1,D121,1,1)</f>
        <v>$CA$286</v>
      </c>
      <c r="E111"/>
    </row>
    <row r="112" spans="1:5" x14ac:dyDescent="0.25">
      <c r="A112" s="30">
        <v>515.50191262726139</v>
      </c>
      <c r="C112" s="1" t="str">
        <f>ADDRESS(C121,1,1,1)</f>
        <v>$A$287</v>
      </c>
      <c r="D112" s="1" t="str">
        <f>ADDRESS(C121,D121-1,1,1)</f>
        <v>$BZ$287</v>
      </c>
      <c r="E112"/>
    </row>
    <row r="113" spans="1:5" x14ac:dyDescent="0.25">
      <c r="A113" s="30">
        <v>490.95420250215363</v>
      </c>
      <c r="C113" s="1" t="str">
        <f>ADDRESS(C121+1,1,1,1)</f>
        <v>$A$288</v>
      </c>
      <c r="D113" s="1" t="str">
        <f>ADDRESS(C121-1,D121+1,1,1)</f>
        <v>$CB$286</v>
      </c>
    </row>
    <row r="114" spans="1:5" x14ac:dyDescent="0.25">
      <c r="A114" s="30">
        <v>467.57543095443202</v>
      </c>
      <c r="C114" s="1" t="str">
        <f>ADDRESS(C121,D121,1,1)</f>
        <v>$CA$287</v>
      </c>
      <c r="D114" s="1" t="str">
        <f>ADDRESS(C121+1,D121+1,1,1)</f>
        <v>$CB$288</v>
      </c>
    </row>
    <row r="115" spans="1:5" x14ac:dyDescent="0.25">
      <c r="A115" s="30">
        <v>445.30993424231622</v>
      </c>
      <c r="C115" s="1" t="str">
        <f>ADDRESS(C121+1,D121,1,1)</f>
        <v>$CA$288</v>
      </c>
    </row>
    <row r="116" spans="1:5" x14ac:dyDescent="0.25">
      <c r="A116" s="30">
        <v>424.10469927839637</v>
      </c>
      <c r="C116" s="1">
        <f>C117-1</f>
        <v>286</v>
      </c>
    </row>
    <row r="117" spans="1:5" x14ac:dyDescent="0.25">
      <c r="A117" s="30">
        <v>403.9092374079965</v>
      </c>
      <c r="C117" s="1">
        <f>C121</f>
        <v>287</v>
      </c>
      <c r="D117" s="1">
        <f>D121</f>
        <v>79</v>
      </c>
    </row>
    <row r="118" spans="1:5" x14ac:dyDescent="0.25">
      <c r="A118" s="30">
        <v>384.6754641980919</v>
      </c>
      <c r="C118" s="1">
        <f>C117+1</f>
        <v>288</v>
      </c>
      <c r="D118" s="1">
        <f>D117+1</f>
        <v>80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287</v>
      </c>
      <c r="D121" s="19">
        <v>79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R287</v>
      </c>
      <c r="D123" s="1" t="str">
        <f>"C"&amp;D121</f>
        <v>C79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0.10094921443640027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44" x14ac:dyDescent="0.25">
      <c r="A241" s="30">
        <v>0.952380952380952</v>
      </c>
      <c r="B241"/>
      <c r="C241"/>
      <c r="D241"/>
      <c r="E241"/>
      <c r="F241" s="27" t="s">
        <v>7</v>
      </c>
    </row>
    <row r="242" spans="1:44" x14ac:dyDescent="0.25">
      <c r="A242" s="30">
        <v>0.90702947845804915</v>
      </c>
      <c r="B242"/>
      <c r="C242"/>
      <c r="D242"/>
      <c r="E242"/>
      <c r="F242" s="27" t="s">
        <v>7</v>
      </c>
    </row>
    <row r="243" spans="1:44" x14ac:dyDescent="0.25">
      <c r="A243" s="30">
        <v>0.86383759853147501</v>
      </c>
      <c r="B243"/>
      <c r="C243"/>
      <c r="D243"/>
      <c r="E243"/>
      <c r="F243" s="27" t="s">
        <v>7</v>
      </c>
      <c r="AE243" s="31" t="s">
        <v>8</v>
      </c>
    </row>
    <row r="244" spans="1:44" x14ac:dyDescent="0.25">
      <c r="A244" s="30">
        <v>0.82270247479188063</v>
      </c>
      <c r="B244"/>
      <c r="C244"/>
      <c r="D244"/>
      <c r="E244"/>
      <c r="F244" s="27" t="s">
        <v>7</v>
      </c>
      <c r="AE244" s="27" t="s">
        <v>8</v>
      </c>
      <c r="AF244" s="31" t="s">
        <v>7</v>
      </c>
    </row>
    <row r="245" spans="1:44" x14ac:dyDescent="0.25">
      <c r="A245" s="30">
        <v>0.78352616646845741</v>
      </c>
      <c r="B245"/>
      <c r="C245"/>
      <c r="D245"/>
      <c r="E245"/>
      <c r="F245" s="27" t="s">
        <v>7</v>
      </c>
      <c r="AE245" s="27" t="s">
        <v>8</v>
      </c>
      <c r="AF245" s="27" t="s">
        <v>7</v>
      </c>
      <c r="AG245" s="31" t="s">
        <v>8</v>
      </c>
    </row>
    <row r="246" spans="1:44" x14ac:dyDescent="0.25">
      <c r="A246" s="30">
        <v>0.74621539663662584</v>
      </c>
      <c r="B246"/>
      <c r="C246"/>
      <c r="D246"/>
      <c r="E246"/>
      <c r="F246" s="27" t="s">
        <v>7</v>
      </c>
      <c r="Y246" s="27" t="s">
        <v>8</v>
      </c>
      <c r="AE246" s="27" t="s">
        <v>8</v>
      </c>
      <c r="AF246" s="27" t="s">
        <v>7</v>
      </c>
      <c r="AG246" s="27" t="s">
        <v>8</v>
      </c>
      <c r="AH246" s="31" t="s">
        <v>7</v>
      </c>
    </row>
    <row r="247" spans="1:44" x14ac:dyDescent="0.25">
      <c r="A247" s="30">
        <v>0.71068133013011958</v>
      </c>
      <c r="B247"/>
      <c r="C247"/>
      <c r="D247"/>
      <c r="E247"/>
      <c r="F247" s="27" t="s">
        <v>7</v>
      </c>
      <c r="Y247" s="27" t="s">
        <v>8</v>
      </c>
      <c r="Z247" s="27" t="s">
        <v>7</v>
      </c>
      <c r="AE247" s="27" t="s">
        <v>8</v>
      </c>
      <c r="AF247" s="27" t="s">
        <v>7</v>
      </c>
      <c r="AG247" s="27" t="s">
        <v>8</v>
      </c>
      <c r="AH247" s="27" t="s">
        <v>7</v>
      </c>
      <c r="AI247" s="31"/>
    </row>
    <row r="248" spans="1:44" x14ac:dyDescent="0.25">
      <c r="A248" s="30">
        <v>0.676839362028685</v>
      </c>
      <c r="B248"/>
      <c r="C248"/>
      <c r="D248"/>
      <c r="E248"/>
      <c r="F248" s="27" t="s">
        <v>7</v>
      </c>
      <c r="Y248" s="27" t="s">
        <v>8</v>
      </c>
      <c r="Z248" s="27" t="s">
        <v>7</v>
      </c>
      <c r="AE248" s="27" t="s">
        <v>8</v>
      </c>
      <c r="AF248" s="27" t="s">
        <v>7</v>
      </c>
      <c r="AH248" s="27" t="s">
        <v>7</v>
      </c>
      <c r="AJ248" s="31"/>
    </row>
    <row r="249" spans="1:44" x14ac:dyDescent="0.25">
      <c r="A249" s="30">
        <v>0.64460891621779492</v>
      </c>
      <c r="B249"/>
      <c r="C249"/>
      <c r="D249"/>
      <c r="E249"/>
      <c r="F249" s="27" t="s">
        <v>7</v>
      </c>
      <c r="Y249" s="27" t="s">
        <v>8</v>
      </c>
      <c r="Z249" s="27" t="s">
        <v>7</v>
      </c>
      <c r="AE249" s="27" t="s">
        <v>8</v>
      </c>
      <c r="AH249" s="33" t="s">
        <v>7</v>
      </c>
      <c r="AK249" s="31"/>
    </row>
    <row r="250" spans="1:44" x14ac:dyDescent="0.25">
      <c r="A250" s="30">
        <v>0.61391325354075688</v>
      </c>
      <c r="B250"/>
      <c r="C250"/>
      <c r="D250"/>
      <c r="E250"/>
      <c r="F250" s="27" t="s">
        <v>7</v>
      </c>
      <c r="Y250" s="27" t="s">
        <v>8</v>
      </c>
      <c r="Z250" s="27" t="s">
        <v>7</v>
      </c>
      <c r="AC250" s="27" t="s">
        <v>8</v>
      </c>
      <c r="AE250" s="27" t="s">
        <v>8</v>
      </c>
      <c r="AH250" s="27" t="s">
        <v>7</v>
      </c>
      <c r="AL250" s="31"/>
    </row>
    <row r="251" spans="1:44" x14ac:dyDescent="0.25">
      <c r="A251" s="30">
        <v>0.58467928908643485</v>
      </c>
      <c r="B251"/>
      <c r="C251"/>
      <c r="D251"/>
      <c r="E251"/>
      <c r="F251" s="27" t="s">
        <v>7</v>
      </c>
      <c r="Y251" s="27" t="s">
        <v>8</v>
      </c>
      <c r="Z251" s="27" t="s">
        <v>7</v>
      </c>
      <c r="AC251" s="32" t="s">
        <v>8</v>
      </c>
      <c r="AD251" s="27" t="s">
        <v>7</v>
      </c>
      <c r="AE251" s="27" t="s">
        <v>8</v>
      </c>
      <c r="AH251" s="27" t="s">
        <v>7</v>
      </c>
      <c r="AM251" s="31"/>
    </row>
    <row r="252" spans="1:44" x14ac:dyDescent="0.25">
      <c r="A252" s="30">
        <v>0.55683741817755672</v>
      </c>
      <c r="B252"/>
      <c r="C252"/>
      <c r="D252"/>
      <c r="E252"/>
      <c r="F252" s="27" t="s">
        <v>7</v>
      </c>
      <c r="Y252" s="27" t="s">
        <v>8</v>
      </c>
      <c r="Z252" s="27" t="s">
        <v>7</v>
      </c>
      <c r="AA252" s="27" t="s">
        <v>8</v>
      </c>
      <c r="AC252" s="27" t="s">
        <v>8</v>
      </c>
      <c r="AD252" s="27" t="s">
        <v>7</v>
      </c>
      <c r="AE252" s="27" t="s">
        <v>8</v>
      </c>
      <c r="AH252" s="27" t="s">
        <v>7</v>
      </c>
      <c r="AN252" s="31"/>
    </row>
    <row r="253" spans="1:44" x14ac:dyDescent="0.25">
      <c r="A253" s="30">
        <v>0.53032135064529184</v>
      </c>
      <c r="B253"/>
      <c r="C253"/>
      <c r="D253"/>
      <c r="E253"/>
      <c r="F253" s="27" t="s">
        <v>7</v>
      </c>
      <c r="Y253" s="27" t="s">
        <v>8</v>
      </c>
      <c r="Z253" s="27" t="s">
        <v>7</v>
      </c>
      <c r="AA253" s="27" t="s">
        <v>8</v>
      </c>
      <c r="AB253" s="27" t="s">
        <v>7</v>
      </c>
      <c r="AC253" s="27" t="s">
        <v>8</v>
      </c>
      <c r="AD253" s="27" t="s">
        <v>7</v>
      </c>
      <c r="AH253" s="27" t="s">
        <v>7</v>
      </c>
      <c r="AO253" s="31"/>
    </row>
    <row r="254" spans="1:44" x14ac:dyDescent="0.25">
      <c r="A254" s="30">
        <v>0.50506795299551588</v>
      </c>
      <c r="B254"/>
      <c r="C254"/>
      <c r="D254"/>
      <c r="E254"/>
      <c r="F254" s="27" t="s">
        <v>7</v>
      </c>
      <c r="Y254" s="27" t="s">
        <v>8</v>
      </c>
      <c r="Z254" s="27" t="s">
        <v>7</v>
      </c>
      <c r="AA254" s="27" t="s">
        <v>8</v>
      </c>
      <c r="AB254" s="27" t="s">
        <v>7</v>
      </c>
      <c r="AC254" s="27" t="s">
        <v>8</v>
      </c>
      <c r="AH254" s="27" t="s">
        <v>7</v>
      </c>
      <c r="AO254" s="27" t="s">
        <v>8</v>
      </c>
      <c r="AP254" s="31"/>
    </row>
    <row r="255" spans="1:44" x14ac:dyDescent="0.25">
      <c r="A255" s="30">
        <v>0.48101709809096732</v>
      </c>
      <c r="E255"/>
      <c r="F255" s="27" t="s">
        <v>7</v>
      </c>
      <c r="Y255" s="27" t="s">
        <v>8</v>
      </c>
      <c r="Z255" s="27" t="s">
        <v>7</v>
      </c>
      <c r="AA255" s="27" t="s">
        <v>8</v>
      </c>
      <c r="AB255" s="27" t="s">
        <v>7</v>
      </c>
      <c r="AC255" s="27" t="s">
        <v>8</v>
      </c>
      <c r="AH255" s="27" t="s">
        <v>7</v>
      </c>
      <c r="AM255" s="27" t="s">
        <v>8</v>
      </c>
      <c r="AO255" s="27" t="s">
        <v>8</v>
      </c>
      <c r="AP255" s="27" t="s">
        <v>7</v>
      </c>
      <c r="AQ255" s="31"/>
    </row>
    <row r="256" spans="1:44" x14ac:dyDescent="0.25">
      <c r="A256" s="30">
        <v>0.45811152199139726</v>
      </c>
      <c r="E256"/>
      <c r="F256" s="27" t="s">
        <v>7</v>
      </c>
      <c r="Y256" s="27" t="s">
        <v>8</v>
      </c>
      <c r="Z256" s="27" t="s">
        <v>7</v>
      </c>
      <c r="AB256" s="27" t="s">
        <v>7</v>
      </c>
      <c r="AC256" s="27" t="s">
        <v>8</v>
      </c>
      <c r="AH256" s="27" t="s">
        <v>7</v>
      </c>
      <c r="AM256" s="27" t="s">
        <v>8</v>
      </c>
      <c r="AN256" s="27" t="s">
        <v>7</v>
      </c>
      <c r="AO256" s="27" t="s">
        <v>8</v>
      </c>
      <c r="AP256" s="27" t="s">
        <v>7</v>
      </c>
      <c r="AR256" s="31"/>
    </row>
    <row r="257" spans="1:72" x14ac:dyDescent="0.25">
      <c r="A257" s="30">
        <v>0.43629668761085438</v>
      </c>
      <c r="B257"/>
      <c r="C257"/>
      <c r="D257"/>
      <c r="E257"/>
      <c r="F257" s="27" t="s">
        <v>7</v>
      </c>
      <c r="Y257" s="27" t="s">
        <v>8</v>
      </c>
      <c r="AB257" s="33" t="s">
        <v>7</v>
      </c>
      <c r="AH257" s="27" t="s">
        <v>7</v>
      </c>
      <c r="AM257" s="27" t="s">
        <v>8</v>
      </c>
      <c r="AN257" s="27" t="s">
        <v>7</v>
      </c>
      <c r="AO257" s="27" t="s">
        <v>8</v>
      </c>
      <c r="AP257" s="27" t="s">
        <v>7</v>
      </c>
      <c r="AS257" s="31"/>
    </row>
    <row r="258" spans="1:72" x14ac:dyDescent="0.25">
      <c r="A258" s="30">
        <v>0.41552065486748019</v>
      </c>
      <c r="B258"/>
      <c r="C258"/>
      <c r="D258"/>
      <c r="E258"/>
      <c r="F258" s="27" t="s">
        <v>7</v>
      </c>
      <c r="W258" s="27" t="s">
        <v>8</v>
      </c>
      <c r="Y258" s="27" t="s">
        <v>8</v>
      </c>
      <c r="AH258" s="27" t="s">
        <v>7</v>
      </c>
      <c r="AK258" s="27" t="s">
        <v>8</v>
      </c>
      <c r="AM258" s="27" t="s">
        <v>8</v>
      </c>
      <c r="AN258" s="27" t="s">
        <v>7</v>
      </c>
      <c r="AO258" s="27" t="s">
        <v>8</v>
      </c>
      <c r="AP258" s="27" t="s">
        <v>7</v>
      </c>
      <c r="AQ258" s="27" t="s">
        <v>8</v>
      </c>
      <c r="AT258" s="31"/>
      <c r="AU258" s="27" t="s">
        <v>8</v>
      </c>
    </row>
    <row r="259" spans="1:72" x14ac:dyDescent="0.25">
      <c r="A259" s="30">
        <v>0.39573395701664765</v>
      </c>
      <c r="B259"/>
      <c r="C259"/>
      <c r="D259"/>
      <c r="E259"/>
      <c r="F259" s="27" t="s">
        <v>7</v>
      </c>
      <c r="W259" s="27" t="s">
        <v>8</v>
      </c>
      <c r="X259" s="27" t="s">
        <v>7</v>
      </c>
      <c r="Y259" s="27" t="s">
        <v>8</v>
      </c>
      <c r="AH259" s="27" t="s">
        <v>7</v>
      </c>
      <c r="AK259" s="32" t="s">
        <v>8</v>
      </c>
      <c r="AL259" s="27" t="s">
        <v>7</v>
      </c>
      <c r="AM259" s="27" t="s">
        <v>8</v>
      </c>
      <c r="AN259" s="27" t="s">
        <v>7</v>
      </c>
      <c r="AO259" s="27" t="s">
        <v>8</v>
      </c>
      <c r="AP259" s="27" t="s">
        <v>7</v>
      </c>
      <c r="AQ259" s="27" t="s">
        <v>8</v>
      </c>
      <c r="AR259" s="27" t="s">
        <v>7</v>
      </c>
      <c r="AU259" s="31" t="s">
        <v>8</v>
      </c>
      <c r="AV259" s="31" t="s">
        <v>7</v>
      </c>
    </row>
    <row r="260" spans="1:72" x14ac:dyDescent="0.25">
      <c r="A260" s="30">
        <v>0.37688948287299762</v>
      </c>
      <c r="B260"/>
      <c r="C260"/>
      <c r="D260"/>
      <c r="E260"/>
      <c r="F260" s="27" t="s">
        <v>7</v>
      </c>
      <c r="W260" s="27" t="s">
        <v>8</v>
      </c>
      <c r="X260" s="27" t="s">
        <v>7</v>
      </c>
      <c r="Y260" s="27" t="s">
        <v>8</v>
      </c>
      <c r="AH260" s="27" t="s">
        <v>7</v>
      </c>
      <c r="AI260" s="27" t="s">
        <v>8</v>
      </c>
      <c r="AK260" s="27" t="s">
        <v>8</v>
      </c>
      <c r="AL260" s="27" t="s">
        <v>7</v>
      </c>
      <c r="AM260" s="27" t="s">
        <v>8</v>
      </c>
      <c r="AN260" s="27" t="s">
        <v>7</v>
      </c>
      <c r="AO260" s="27" t="s">
        <v>8</v>
      </c>
      <c r="AP260" s="27" t="s">
        <v>7</v>
      </c>
      <c r="AQ260" s="27" t="s">
        <v>8</v>
      </c>
      <c r="AR260" s="27" t="s">
        <v>7</v>
      </c>
      <c r="AU260" s="32" t="s">
        <v>8</v>
      </c>
      <c r="AV260" s="27" t="s">
        <v>7</v>
      </c>
      <c r="AW260" s="31"/>
    </row>
    <row r="261" spans="1:72" x14ac:dyDescent="0.25">
      <c r="A261" s="30">
        <v>0.35894236464094997</v>
      </c>
      <c r="B261"/>
      <c r="C261"/>
      <c r="D261"/>
      <c r="E261"/>
      <c r="F261" s="27" t="s">
        <v>7</v>
      </c>
      <c r="W261" s="27" t="s">
        <v>8</v>
      </c>
      <c r="X261" s="27" t="s">
        <v>7</v>
      </c>
      <c r="Y261" s="27" t="s">
        <v>8</v>
      </c>
      <c r="AH261" s="31" t="s">
        <v>7</v>
      </c>
      <c r="AI261" s="27" t="s">
        <v>8</v>
      </c>
      <c r="AJ261" s="27" t="s">
        <v>7</v>
      </c>
      <c r="AK261" s="27" t="s">
        <v>8</v>
      </c>
      <c r="AL261" s="27" t="s">
        <v>7</v>
      </c>
      <c r="AM261" s="27" t="s">
        <v>8</v>
      </c>
      <c r="AN261" s="34" t="s">
        <v>7</v>
      </c>
      <c r="AP261" s="34" t="s">
        <v>7</v>
      </c>
      <c r="AR261" s="27" t="s">
        <v>7</v>
      </c>
      <c r="AS261" s="27" t="s">
        <v>8</v>
      </c>
      <c r="AU261" s="27" t="s">
        <v>8</v>
      </c>
      <c r="AV261" s="27" t="s">
        <v>7</v>
      </c>
      <c r="AX261" s="31"/>
    </row>
    <row r="262" spans="1:72" x14ac:dyDescent="0.25">
      <c r="A262" s="30">
        <v>0.34184987108661891</v>
      </c>
      <c r="B262"/>
      <c r="C262"/>
      <c r="D262"/>
      <c r="E262"/>
      <c r="F262" s="27" t="s">
        <v>7</v>
      </c>
      <c r="W262" s="27" t="s">
        <v>8</v>
      </c>
      <c r="X262" s="27" t="s">
        <v>7</v>
      </c>
      <c r="Y262" s="27" t="s">
        <v>8</v>
      </c>
      <c r="AG262" s="31"/>
      <c r="AH262" s="27" t="s">
        <v>7</v>
      </c>
      <c r="AI262" s="27" t="s">
        <v>8</v>
      </c>
      <c r="AJ262" s="27" t="s">
        <v>7</v>
      </c>
      <c r="AK262" s="27" t="s">
        <v>8</v>
      </c>
      <c r="AL262" s="27" t="s">
        <v>7</v>
      </c>
      <c r="AM262" s="27" t="s">
        <v>8</v>
      </c>
      <c r="AR262" s="33" t="s">
        <v>7</v>
      </c>
      <c r="AS262" s="27" t="s">
        <v>8</v>
      </c>
      <c r="AT262" s="27" t="s">
        <v>7</v>
      </c>
      <c r="AU262" s="27" t="s">
        <v>8</v>
      </c>
      <c r="AV262" s="27" t="s">
        <v>7</v>
      </c>
      <c r="AY262" s="31"/>
    </row>
    <row r="263" spans="1:72" x14ac:dyDescent="0.25">
      <c r="A263" s="30">
        <v>0.32557130579677979</v>
      </c>
      <c r="B263"/>
      <c r="C263"/>
      <c r="D263"/>
      <c r="E263"/>
      <c r="F263" s="27" t="s">
        <v>7</v>
      </c>
      <c r="W263" s="27" t="s">
        <v>8</v>
      </c>
      <c r="X263" s="27" t="s">
        <v>7</v>
      </c>
      <c r="AF263" s="31"/>
      <c r="AH263" s="34" t="s">
        <v>7</v>
      </c>
      <c r="AJ263" s="34" t="s">
        <v>7</v>
      </c>
      <c r="AL263" s="34" t="s">
        <v>7</v>
      </c>
      <c r="AR263" s="27" t="s">
        <v>7</v>
      </c>
      <c r="AS263" s="27" t="s">
        <v>8</v>
      </c>
      <c r="AT263" s="27" t="s">
        <v>7</v>
      </c>
      <c r="AU263" s="27" t="s">
        <v>8</v>
      </c>
      <c r="AV263" s="27" t="s">
        <v>7</v>
      </c>
      <c r="AW263" s="27" t="s">
        <v>8</v>
      </c>
      <c r="AZ263" s="31"/>
    </row>
    <row r="264" spans="1:72" x14ac:dyDescent="0.25">
      <c r="A264" s="30">
        <v>0.3100679102826473</v>
      </c>
      <c r="B264"/>
      <c r="C264"/>
      <c r="D264"/>
      <c r="E264"/>
      <c r="F264" s="27" t="s">
        <v>7</v>
      </c>
      <c r="K264" s="27" t="s">
        <v>8</v>
      </c>
      <c r="W264" s="27" t="s">
        <v>8</v>
      </c>
      <c r="AE264" s="31"/>
      <c r="AR264" s="27" t="s">
        <v>7</v>
      </c>
      <c r="AS264" s="27" t="s">
        <v>8</v>
      </c>
      <c r="AT264" s="27" t="s">
        <v>7</v>
      </c>
      <c r="AV264" s="27" t="s">
        <v>7</v>
      </c>
      <c r="AW264" s="27" t="s">
        <v>8</v>
      </c>
      <c r="AX264" s="27" t="s">
        <v>7</v>
      </c>
      <c r="BA264" s="31"/>
    </row>
    <row r="265" spans="1:72" x14ac:dyDescent="0.25">
      <c r="A265" s="30">
        <v>0.2953027716977592</v>
      </c>
      <c r="B265"/>
      <c r="C265"/>
      <c r="D265"/>
      <c r="E265"/>
      <c r="F265" s="27" t="s">
        <v>7</v>
      </c>
      <c r="K265" s="27" t="s">
        <v>8</v>
      </c>
      <c r="L265" s="27" t="s">
        <v>7</v>
      </c>
      <c r="W265" s="27" t="s">
        <v>8</v>
      </c>
      <c r="AD265" s="31"/>
      <c r="AR265" s="27" t="s">
        <v>7</v>
      </c>
      <c r="AS265" s="27" t="s">
        <v>8</v>
      </c>
      <c r="AV265" s="33" t="s">
        <v>7</v>
      </c>
      <c r="AW265" s="27" t="s">
        <v>8</v>
      </c>
      <c r="AX265" s="27" t="s">
        <v>7</v>
      </c>
      <c r="BB265" s="31"/>
    </row>
    <row r="266" spans="1:72" x14ac:dyDescent="0.25">
      <c r="A266" s="30">
        <v>0.28124073495024676</v>
      </c>
      <c r="B266"/>
      <c r="C266"/>
      <c r="D266"/>
      <c r="E266"/>
      <c r="F266" s="27" t="s">
        <v>7</v>
      </c>
      <c r="K266" s="27" t="s">
        <v>8</v>
      </c>
      <c r="L266" s="27" t="s">
        <v>7</v>
      </c>
      <c r="Q266" s="27" t="s">
        <v>8</v>
      </c>
      <c r="W266" s="27" t="s">
        <v>8</v>
      </c>
      <c r="AC266" s="31"/>
      <c r="AR266" s="27" t="s">
        <v>7</v>
      </c>
      <c r="AS266" s="27" t="s">
        <v>8</v>
      </c>
      <c r="AV266" s="27" t="s">
        <v>7</v>
      </c>
      <c r="AX266" s="27" t="s">
        <v>7</v>
      </c>
      <c r="BC266" s="31"/>
    </row>
    <row r="267" spans="1:72" x14ac:dyDescent="0.25">
      <c r="A267" s="30">
        <v>0.26784831900023492</v>
      </c>
      <c r="B267"/>
      <c r="C267"/>
      <c r="D267"/>
      <c r="E267"/>
      <c r="F267" s="27" t="s">
        <v>7</v>
      </c>
      <c r="G267" s="27" t="s">
        <v>8</v>
      </c>
      <c r="K267" s="27" t="s">
        <v>8</v>
      </c>
      <c r="L267" s="27" t="s">
        <v>7</v>
      </c>
      <c r="M267" s="27" t="s">
        <v>8</v>
      </c>
      <c r="Q267" s="27" t="s">
        <v>8</v>
      </c>
      <c r="R267" s="27" t="s">
        <v>7</v>
      </c>
      <c r="W267" s="32" t="s">
        <v>8</v>
      </c>
      <c r="AB267" s="31"/>
      <c r="AR267" s="27" t="s">
        <v>7</v>
      </c>
      <c r="AS267" s="27" t="s">
        <v>8</v>
      </c>
      <c r="AX267" s="27" t="s">
        <v>7</v>
      </c>
      <c r="BD267" s="31"/>
    </row>
    <row r="268" spans="1:72" x14ac:dyDescent="0.25">
      <c r="A268" s="30">
        <v>0.25509363714308075</v>
      </c>
      <c r="B268"/>
      <c r="C268"/>
      <c r="D268"/>
      <c r="E268"/>
      <c r="F268" s="27" t="s">
        <v>7</v>
      </c>
      <c r="G268" s="27" t="s">
        <v>8</v>
      </c>
      <c r="H268" s="27" t="s">
        <v>7</v>
      </c>
      <c r="K268" s="27" t="s">
        <v>8</v>
      </c>
      <c r="L268" s="27" t="s">
        <v>7</v>
      </c>
      <c r="M268" s="27" t="s">
        <v>8</v>
      </c>
      <c r="N268" s="27" t="s">
        <v>7</v>
      </c>
      <c r="Q268" s="27" t="s">
        <v>8</v>
      </c>
      <c r="R268" s="27" t="s">
        <v>7</v>
      </c>
      <c r="S268" s="34" t="s">
        <v>8</v>
      </c>
      <c r="U268" s="34" t="s">
        <v>8</v>
      </c>
      <c r="W268" s="27" t="s">
        <v>8</v>
      </c>
      <c r="AA268" s="31"/>
      <c r="AR268" s="27" t="s">
        <v>7</v>
      </c>
      <c r="AS268" s="27" t="s">
        <v>8</v>
      </c>
      <c r="AX268" s="27" t="s">
        <v>7</v>
      </c>
      <c r="BE268" s="31"/>
    </row>
    <row r="269" spans="1:72" x14ac:dyDescent="0.25">
      <c r="A269" s="30">
        <v>0.24294632108864825</v>
      </c>
      <c r="B269"/>
      <c r="C269"/>
      <c r="D269"/>
      <c r="E269"/>
      <c r="F269" s="27" t="s">
        <v>7</v>
      </c>
      <c r="G269" s="27" t="s">
        <v>8</v>
      </c>
      <c r="H269" s="27" t="s">
        <v>7</v>
      </c>
      <c r="K269" s="27" t="s">
        <v>8</v>
      </c>
      <c r="L269" s="27" t="s">
        <v>7</v>
      </c>
      <c r="M269" s="27" t="s">
        <v>8</v>
      </c>
      <c r="N269" s="27" t="s">
        <v>7</v>
      </c>
      <c r="O269" s="27" t="s">
        <v>8</v>
      </c>
      <c r="Q269" s="27" t="s">
        <v>8</v>
      </c>
      <c r="R269" s="27" t="s">
        <v>7</v>
      </c>
      <c r="S269" s="27" t="s">
        <v>8</v>
      </c>
      <c r="T269" s="27" t="s">
        <v>7</v>
      </c>
      <c r="U269" s="27" t="s">
        <v>8</v>
      </c>
      <c r="V269" s="27" t="s">
        <v>7</v>
      </c>
      <c r="W269" s="27" t="s">
        <v>8</v>
      </c>
      <c r="Z269" s="31"/>
      <c r="AR269" s="27" t="s">
        <v>7</v>
      </c>
      <c r="AS269" s="27" t="s">
        <v>8</v>
      </c>
      <c r="AX269" s="27" t="s">
        <v>7</v>
      </c>
      <c r="AY269" s="27" t="s">
        <v>8</v>
      </c>
      <c r="BF269" s="31"/>
      <c r="BM269" s="27" t="s">
        <v>8</v>
      </c>
    </row>
    <row r="270" spans="1:72" x14ac:dyDescent="0.25">
      <c r="A270" s="30">
        <v>0.23137744865585538</v>
      </c>
      <c r="B270"/>
      <c r="C270"/>
      <c r="D270"/>
      <c r="E270"/>
      <c r="F270" s="27" t="s">
        <v>7</v>
      </c>
      <c r="G270" s="27" t="s">
        <v>8</v>
      </c>
      <c r="H270" s="27" t="s">
        <v>7</v>
      </c>
      <c r="I270" s="27" t="s">
        <v>8</v>
      </c>
      <c r="K270" s="27" t="s">
        <v>8</v>
      </c>
      <c r="L270" s="27" t="s">
        <v>7</v>
      </c>
      <c r="M270" s="27" t="s">
        <v>8</v>
      </c>
      <c r="N270" s="27" t="s">
        <v>7</v>
      </c>
      <c r="O270" s="27" t="s">
        <v>8</v>
      </c>
      <c r="P270" s="27" t="s">
        <v>7</v>
      </c>
      <c r="Q270" s="27" t="s">
        <v>8</v>
      </c>
      <c r="R270" s="27" t="s">
        <v>7</v>
      </c>
      <c r="S270" s="27" t="s">
        <v>8</v>
      </c>
      <c r="T270" s="27" t="s">
        <v>7</v>
      </c>
      <c r="U270" s="27" t="s">
        <v>8</v>
      </c>
      <c r="V270" s="27" t="s">
        <v>7</v>
      </c>
      <c r="W270" s="27" t="s">
        <v>8</v>
      </c>
      <c r="Y270" s="31"/>
      <c r="AR270" s="27" t="s">
        <v>7</v>
      </c>
      <c r="AX270" s="27" t="s">
        <v>7</v>
      </c>
      <c r="AY270" s="27" t="s">
        <v>8</v>
      </c>
      <c r="AZ270" s="27" t="s">
        <v>7</v>
      </c>
      <c r="BG270" s="31"/>
      <c r="BM270" s="27" t="s">
        <v>8</v>
      </c>
      <c r="BN270" s="27" t="s">
        <v>7</v>
      </c>
      <c r="BS270" s="27" t="s">
        <v>8</v>
      </c>
    </row>
    <row r="271" spans="1:72" x14ac:dyDescent="0.25">
      <c r="A271" s="30">
        <v>0.22035947491033836</v>
      </c>
      <c r="B271"/>
      <c r="C271"/>
      <c r="D271"/>
      <c r="E271"/>
      <c r="F271" s="27" t="s">
        <v>7</v>
      </c>
      <c r="G271" s="27" t="s">
        <v>8</v>
      </c>
      <c r="H271" s="27" t="s">
        <v>7</v>
      </c>
      <c r="I271" s="27" t="s">
        <v>8</v>
      </c>
      <c r="J271" s="27" t="s">
        <v>7</v>
      </c>
      <c r="K271" s="27" t="s">
        <v>8</v>
      </c>
      <c r="L271" s="27" t="s">
        <v>7</v>
      </c>
      <c r="M271" s="27" t="s">
        <v>8</v>
      </c>
      <c r="N271" s="27" t="s">
        <v>7</v>
      </c>
      <c r="O271" s="27" t="s">
        <v>8</v>
      </c>
      <c r="P271" s="27" t="s">
        <v>7</v>
      </c>
      <c r="Q271" s="27" t="s">
        <v>8</v>
      </c>
      <c r="R271" s="27" t="s">
        <v>7</v>
      </c>
      <c r="T271" s="27" t="s">
        <v>7</v>
      </c>
      <c r="U271" s="27" t="s">
        <v>8</v>
      </c>
      <c r="V271" s="27" t="s">
        <v>7</v>
      </c>
      <c r="W271" s="27" t="s">
        <v>8</v>
      </c>
      <c r="X271" s="31"/>
      <c r="AX271" s="27" t="s">
        <v>7</v>
      </c>
      <c r="AY271" s="27" t="s">
        <v>8</v>
      </c>
      <c r="AZ271" s="27" t="s">
        <v>7</v>
      </c>
      <c r="BH271" s="31"/>
      <c r="BK271" s="27" t="s">
        <v>8</v>
      </c>
      <c r="BM271" s="27" t="s">
        <v>8</v>
      </c>
      <c r="BN271" s="27" t="s">
        <v>7</v>
      </c>
      <c r="BS271" s="27" t="s">
        <v>8</v>
      </c>
      <c r="BT271" s="27" t="s">
        <v>7</v>
      </c>
    </row>
    <row r="272" spans="1:72" x14ac:dyDescent="0.25">
      <c r="A272" s="30">
        <v>0.20986616658127455</v>
      </c>
      <c r="B272"/>
      <c r="C272"/>
      <c r="D272"/>
      <c r="E272"/>
      <c r="F272" s="27" t="s">
        <v>7</v>
      </c>
      <c r="G272" s="27" t="s">
        <v>8</v>
      </c>
      <c r="H272" s="27" t="s">
        <v>7</v>
      </c>
      <c r="I272" s="27" t="s">
        <v>8</v>
      </c>
      <c r="J272" s="27" t="s">
        <v>7</v>
      </c>
      <c r="K272" s="27" t="s">
        <v>8</v>
      </c>
      <c r="L272" s="27" t="s">
        <v>7</v>
      </c>
      <c r="M272" s="27" t="s">
        <v>8</v>
      </c>
      <c r="N272" s="27" t="s">
        <v>7</v>
      </c>
      <c r="O272" s="27" t="s">
        <v>8</v>
      </c>
      <c r="P272" s="27" t="s">
        <v>7</v>
      </c>
      <c r="Q272" s="27" t="s">
        <v>8</v>
      </c>
      <c r="T272" s="27" t="s">
        <v>7</v>
      </c>
      <c r="U272" s="27" t="s">
        <v>8</v>
      </c>
      <c r="V272" s="27" t="s">
        <v>7</v>
      </c>
      <c r="W272" s="31" t="s">
        <v>8</v>
      </c>
      <c r="AX272" s="27" t="s">
        <v>7</v>
      </c>
      <c r="AY272" s="27" t="s">
        <v>8</v>
      </c>
      <c r="AZ272" s="27" t="s">
        <v>7</v>
      </c>
      <c r="BA272" s="34" t="s">
        <v>8</v>
      </c>
      <c r="BC272" s="34" t="s">
        <v>8</v>
      </c>
      <c r="BI272" s="31"/>
      <c r="BK272" s="27" t="s">
        <v>8</v>
      </c>
      <c r="BL272" s="27" t="s">
        <v>7</v>
      </c>
      <c r="BM272" s="27" t="s">
        <v>8</v>
      </c>
      <c r="BN272" s="27" t="s">
        <v>7</v>
      </c>
      <c r="BS272" s="27" t="s">
        <v>8</v>
      </c>
      <c r="BT272" s="27" t="s">
        <v>7</v>
      </c>
    </row>
    <row r="273" spans="1:79" x14ac:dyDescent="0.25">
      <c r="A273" s="30">
        <v>0.19987253960121379</v>
      </c>
      <c r="B273"/>
      <c r="C273"/>
      <c r="D273"/>
      <c r="E273"/>
      <c r="F273" s="27" t="s">
        <v>7</v>
      </c>
      <c r="G273" s="27" t="s">
        <v>8</v>
      </c>
      <c r="H273" s="27" t="s">
        <v>7</v>
      </c>
      <c r="I273" s="27" t="s">
        <v>8</v>
      </c>
      <c r="J273" s="27" t="s">
        <v>7</v>
      </c>
      <c r="L273" s="27" t="s">
        <v>7</v>
      </c>
      <c r="N273" s="27" t="s">
        <v>7</v>
      </c>
      <c r="O273" s="27" t="s">
        <v>8</v>
      </c>
      <c r="P273" s="27" t="s">
        <v>7</v>
      </c>
      <c r="Q273" s="27" t="s">
        <v>8</v>
      </c>
      <c r="T273" s="27" t="s">
        <v>7</v>
      </c>
      <c r="U273" s="27" t="s">
        <v>8</v>
      </c>
      <c r="V273" s="31" t="s">
        <v>7</v>
      </c>
      <c r="AX273" s="27" t="s">
        <v>7</v>
      </c>
      <c r="AY273" s="27" t="s">
        <v>8</v>
      </c>
      <c r="AZ273" s="27" t="s">
        <v>7</v>
      </c>
      <c r="BA273" s="27" t="s">
        <v>8</v>
      </c>
      <c r="BB273" s="27" t="s">
        <v>7</v>
      </c>
      <c r="BC273" s="27" t="s">
        <v>8</v>
      </c>
      <c r="BD273" s="27" t="s">
        <v>7</v>
      </c>
      <c r="BE273" s="27" t="s">
        <v>8</v>
      </c>
      <c r="BJ273" s="31"/>
      <c r="BK273" s="27" t="s">
        <v>8</v>
      </c>
      <c r="BL273" s="27" t="s">
        <v>7</v>
      </c>
      <c r="BM273" s="27" t="s">
        <v>8</v>
      </c>
      <c r="BN273" s="27" t="s">
        <v>7</v>
      </c>
      <c r="BS273" s="27" t="s">
        <v>8</v>
      </c>
      <c r="BT273" s="27" t="s">
        <v>7</v>
      </c>
    </row>
    <row r="274" spans="1:79" x14ac:dyDescent="0.25">
      <c r="A274" s="30">
        <v>0.19035479962020352</v>
      </c>
      <c r="B274"/>
      <c r="C274"/>
      <c r="D274"/>
      <c r="E274"/>
      <c r="F274" s="27" t="s">
        <v>7</v>
      </c>
      <c r="G274" s="27" t="s">
        <v>8</v>
      </c>
      <c r="H274" s="27" t="s">
        <v>7</v>
      </c>
      <c r="N274" s="27" t="s">
        <v>7</v>
      </c>
      <c r="O274" s="27" t="s">
        <v>8</v>
      </c>
      <c r="P274" s="27" t="s">
        <v>7</v>
      </c>
      <c r="Q274" s="27" t="s">
        <v>8</v>
      </c>
      <c r="T274" s="27" t="s">
        <v>7</v>
      </c>
      <c r="AX274" s="27" t="s">
        <v>7</v>
      </c>
      <c r="AY274" s="27" t="s">
        <v>8</v>
      </c>
      <c r="AZ274" s="27" t="s">
        <v>7</v>
      </c>
      <c r="BA274" s="27" t="s">
        <v>8</v>
      </c>
      <c r="BB274" s="27" t="s">
        <v>7</v>
      </c>
      <c r="BC274" s="27" t="s">
        <v>8</v>
      </c>
      <c r="BD274" s="27" t="s">
        <v>7</v>
      </c>
      <c r="BE274" s="27" t="s">
        <v>8</v>
      </c>
      <c r="BF274" s="27" t="s">
        <v>7</v>
      </c>
      <c r="BK274" s="31" t="s">
        <v>8</v>
      </c>
      <c r="BL274" s="27" t="s">
        <v>7</v>
      </c>
      <c r="BN274" s="27" t="s">
        <v>7</v>
      </c>
      <c r="BO274" s="27" t="s">
        <v>8</v>
      </c>
      <c r="BQ274" s="27" t="s">
        <v>8</v>
      </c>
      <c r="BS274" s="27" t="s">
        <v>8</v>
      </c>
      <c r="BT274" s="27" t="s">
        <v>7</v>
      </c>
    </row>
    <row r="275" spans="1:79" x14ac:dyDescent="0.25">
      <c r="A275" s="30">
        <v>0.18129028535257471</v>
      </c>
      <c r="B275"/>
      <c r="C275"/>
      <c r="D275"/>
      <c r="E275"/>
      <c r="F275" s="27" t="s">
        <v>7</v>
      </c>
      <c r="G275" s="27" t="s">
        <v>8</v>
      </c>
      <c r="N275" s="34" t="s">
        <v>7</v>
      </c>
      <c r="P275" s="34" t="s">
        <v>7</v>
      </c>
      <c r="AX275" s="27" t="s">
        <v>7</v>
      </c>
      <c r="AY275" s="27" t="s">
        <v>8</v>
      </c>
      <c r="AZ275" s="27" t="s">
        <v>7</v>
      </c>
      <c r="BB275" s="27" t="s">
        <v>7</v>
      </c>
      <c r="BC275" s="27" t="s">
        <v>8</v>
      </c>
      <c r="BD275" s="27" t="s">
        <v>7</v>
      </c>
      <c r="BE275" s="27" t="s">
        <v>8</v>
      </c>
      <c r="BF275" s="27" t="s">
        <v>7</v>
      </c>
      <c r="BK275" s="27" t="s">
        <v>8</v>
      </c>
      <c r="BL275" s="31"/>
      <c r="BN275" s="27" t="s">
        <v>7</v>
      </c>
      <c r="BO275" s="27" t="s">
        <v>8</v>
      </c>
      <c r="BP275" s="27" t="s">
        <v>7</v>
      </c>
      <c r="BQ275" s="27" t="s">
        <v>8</v>
      </c>
      <c r="BR275" s="27" t="s">
        <v>7</v>
      </c>
      <c r="BS275" s="27" t="s">
        <v>8</v>
      </c>
      <c r="BT275" s="27" t="s">
        <v>7</v>
      </c>
    </row>
    <row r="276" spans="1:79" x14ac:dyDescent="0.25">
      <c r="A276" s="30">
        <v>0.17265741462149967</v>
      </c>
      <c r="B276"/>
      <c r="C276"/>
      <c r="D276"/>
      <c r="E276"/>
      <c r="F276" s="27" t="s">
        <v>7</v>
      </c>
      <c r="G276" s="27" t="s">
        <v>8</v>
      </c>
      <c r="AX276" s="27" t="s">
        <v>7</v>
      </c>
      <c r="AY276" s="27" t="s">
        <v>8</v>
      </c>
      <c r="BB276" s="27" t="s">
        <v>7</v>
      </c>
      <c r="BC276" s="27" t="s">
        <v>8</v>
      </c>
      <c r="BD276" s="27" t="s">
        <v>7</v>
      </c>
      <c r="BF276" s="27" t="s">
        <v>7</v>
      </c>
      <c r="BK276" s="27" t="s">
        <v>8</v>
      </c>
      <c r="BN276" s="27" t="s">
        <v>7</v>
      </c>
      <c r="BO276" s="27" t="s">
        <v>8</v>
      </c>
      <c r="BP276" s="27" t="s">
        <v>7</v>
      </c>
      <c r="BQ276" s="27" t="s">
        <v>8</v>
      </c>
      <c r="BR276" s="27" t="s">
        <v>7</v>
      </c>
      <c r="BS276" s="27" t="s">
        <v>8</v>
      </c>
      <c r="BT276" s="27" t="s">
        <v>7</v>
      </c>
    </row>
    <row r="277" spans="1:79" x14ac:dyDescent="0.25">
      <c r="A277" s="30">
        <v>0.16443563297285677</v>
      </c>
      <c r="B277"/>
      <c r="C277"/>
      <c r="D277"/>
      <c r="E277"/>
      <c r="F277" s="27" t="s">
        <v>7</v>
      </c>
      <c r="G277" s="27" t="s">
        <v>8</v>
      </c>
      <c r="AX277" s="27" t="s">
        <v>7</v>
      </c>
      <c r="AY277" s="27" t="s">
        <v>8</v>
      </c>
      <c r="BB277" s="27" t="s">
        <v>7</v>
      </c>
      <c r="BC277" s="27" t="s">
        <v>8</v>
      </c>
      <c r="BF277" s="27" t="s">
        <v>7</v>
      </c>
      <c r="BI277" s="27" t="s">
        <v>8</v>
      </c>
      <c r="BK277" s="27" t="s">
        <v>8</v>
      </c>
      <c r="BN277" s="27" t="s">
        <v>7</v>
      </c>
      <c r="BP277" s="27" t="s">
        <v>7</v>
      </c>
      <c r="BQ277" s="27" t="s">
        <v>8</v>
      </c>
      <c r="BR277" s="27" t="s">
        <v>7</v>
      </c>
      <c r="BS277" s="27" t="s">
        <v>8</v>
      </c>
      <c r="BT277" s="27" t="s">
        <v>7</v>
      </c>
    </row>
    <row r="278" spans="1:79" x14ac:dyDescent="0.25">
      <c r="A278" s="30">
        <v>0.15660536473605399</v>
      </c>
      <c r="B278"/>
      <c r="C278"/>
      <c r="D278"/>
      <c r="E278"/>
      <c r="F278" s="27" t="s">
        <v>7</v>
      </c>
      <c r="G278" s="27" t="s">
        <v>8</v>
      </c>
      <c r="AX278" s="27" t="s">
        <v>7</v>
      </c>
      <c r="BB278" s="27" t="s">
        <v>7</v>
      </c>
      <c r="BC278" s="27" t="s">
        <v>8</v>
      </c>
      <c r="BF278" s="27" t="s">
        <v>7</v>
      </c>
      <c r="BI278" s="27" t="s">
        <v>8</v>
      </c>
      <c r="BJ278" s="27" t="s">
        <v>7</v>
      </c>
      <c r="BK278" s="27" t="s">
        <v>8</v>
      </c>
      <c r="BP278" s="27" t="s">
        <v>7</v>
      </c>
      <c r="BQ278" s="27" t="s">
        <v>8</v>
      </c>
      <c r="BR278" s="27" t="s">
        <v>7</v>
      </c>
      <c r="BS278" s="27" t="s">
        <v>8</v>
      </c>
      <c r="BT278" s="27" t="s">
        <v>7</v>
      </c>
    </row>
    <row r="279" spans="1:79" x14ac:dyDescent="0.25">
      <c r="A279" s="30">
        <v>0.14914796641528946</v>
      </c>
      <c r="B279"/>
      <c r="C279"/>
      <c r="D279"/>
      <c r="E279"/>
      <c r="F279" s="27" t="s">
        <v>7</v>
      </c>
      <c r="G279" s="27" t="s">
        <v>8</v>
      </c>
      <c r="BB279" s="27" t="s">
        <v>7</v>
      </c>
      <c r="BC279" s="27" t="s">
        <v>8</v>
      </c>
      <c r="BF279" s="27" t="s">
        <v>7</v>
      </c>
      <c r="BI279" s="27" t="s">
        <v>8</v>
      </c>
      <c r="BJ279" s="27" t="s">
        <v>7</v>
      </c>
      <c r="BK279" s="27" t="s">
        <v>8</v>
      </c>
      <c r="BP279" s="27" t="s">
        <v>7</v>
      </c>
      <c r="BQ279" s="27" t="s">
        <v>8</v>
      </c>
      <c r="BR279" s="27" t="s">
        <v>7</v>
      </c>
      <c r="BT279" s="27" t="s">
        <v>7</v>
      </c>
    </row>
    <row r="280" spans="1:79" x14ac:dyDescent="0.25">
      <c r="A280" s="30">
        <v>0.14204568230027562</v>
      </c>
      <c r="B280"/>
      <c r="C280"/>
      <c r="D280"/>
      <c r="E280"/>
      <c r="F280" s="27" t="s">
        <v>7</v>
      </c>
      <c r="BB280" s="27" t="s">
        <v>7</v>
      </c>
      <c r="BF280" s="27" t="s">
        <v>7</v>
      </c>
      <c r="BI280" s="32" t="s">
        <v>8</v>
      </c>
      <c r="BJ280" s="27" t="s">
        <v>7</v>
      </c>
      <c r="BK280" s="27" t="s">
        <v>8</v>
      </c>
      <c r="BP280" s="27" t="s">
        <v>7</v>
      </c>
      <c r="BQ280" s="27" t="s">
        <v>8</v>
      </c>
      <c r="BT280" s="27" t="s">
        <v>7</v>
      </c>
      <c r="BU280" s="27" t="s">
        <v>8</v>
      </c>
      <c r="BW280" s="27" t="s">
        <v>8</v>
      </c>
      <c r="BY280" s="27" t="s">
        <v>8</v>
      </c>
    </row>
    <row r="281" spans="1:79" x14ac:dyDescent="0.25">
      <c r="A281" s="30">
        <v>0.13528160219073862</v>
      </c>
      <c r="B281"/>
      <c r="C281"/>
      <c r="D281"/>
      <c r="E281"/>
      <c r="BF281" s="27" t="s">
        <v>7</v>
      </c>
      <c r="BG281" s="27" t="s">
        <v>8</v>
      </c>
      <c r="BI281" s="27" t="s">
        <v>8</v>
      </c>
      <c r="BJ281" s="27" t="s">
        <v>7</v>
      </c>
      <c r="BK281" s="27" t="s">
        <v>8</v>
      </c>
      <c r="BP281" s="27" t="s">
        <v>7</v>
      </c>
      <c r="BT281" s="27" t="s">
        <v>7</v>
      </c>
      <c r="BU281" s="27" t="s">
        <v>8</v>
      </c>
      <c r="BV281" s="27" t="s">
        <v>7</v>
      </c>
      <c r="BW281" s="27" t="s">
        <v>8</v>
      </c>
      <c r="BX281" s="27" t="s">
        <v>7</v>
      </c>
      <c r="BY281" s="27" t="s">
        <v>8</v>
      </c>
      <c r="BZ281" s="27" t="s">
        <v>7</v>
      </c>
    </row>
    <row r="282" spans="1:79" x14ac:dyDescent="0.25">
      <c r="A282" s="30">
        <v>0.12883962113403674</v>
      </c>
      <c r="B282"/>
      <c r="C282"/>
      <c r="D282"/>
      <c r="E282"/>
      <c r="BF282" s="27" t="s">
        <v>7</v>
      </c>
      <c r="BG282" s="27" t="s">
        <v>8</v>
      </c>
      <c r="BH282" s="27" t="s">
        <v>7</v>
      </c>
      <c r="BI282" s="27" t="s">
        <v>8</v>
      </c>
      <c r="BJ282" s="18" t="s">
        <v>7</v>
      </c>
      <c r="BK282" s="27" t="s">
        <v>8</v>
      </c>
      <c r="BT282" s="27" t="s">
        <v>7</v>
      </c>
      <c r="BU282" s="27" t="s">
        <v>8</v>
      </c>
      <c r="BV282" s="27" t="s">
        <v>7</v>
      </c>
      <c r="BW282" s="27" t="s">
        <v>8</v>
      </c>
      <c r="BX282" s="27" t="s">
        <v>7</v>
      </c>
      <c r="BY282" s="27" t="s">
        <v>8</v>
      </c>
      <c r="BZ282" s="27" t="s">
        <v>7</v>
      </c>
    </row>
    <row r="283" spans="1:79" x14ac:dyDescent="0.25">
      <c r="A283" s="30">
        <v>0.12270440108003494</v>
      </c>
      <c r="B283"/>
      <c r="C283"/>
      <c r="D283"/>
      <c r="E283"/>
      <c r="BF283" s="27" t="s">
        <v>7</v>
      </c>
      <c r="BG283" s="27" t="s">
        <v>8</v>
      </c>
      <c r="BH283" s="27" t="s">
        <v>7</v>
      </c>
      <c r="BI283" s="27" t="s">
        <v>8</v>
      </c>
      <c r="BJ283" s="27" t="s">
        <v>7</v>
      </c>
      <c r="BK283" s="27" t="s">
        <v>8</v>
      </c>
      <c r="BM283" s="31"/>
      <c r="BT283" s="27" t="s">
        <v>7</v>
      </c>
      <c r="BU283" s="27" t="s">
        <v>8</v>
      </c>
      <c r="BV283" s="27" t="s">
        <v>7</v>
      </c>
      <c r="BX283" s="27" t="s">
        <v>7</v>
      </c>
      <c r="BZ283" s="27" t="s">
        <v>7</v>
      </c>
    </row>
    <row r="284" spans="1:79" x14ac:dyDescent="0.25">
      <c r="A284" s="30">
        <v>0.11686133436193799</v>
      </c>
      <c r="B284"/>
      <c r="C284"/>
      <c r="D284"/>
      <c r="E284"/>
      <c r="BF284" s="27" t="s">
        <v>7</v>
      </c>
      <c r="BG284" s="27" t="s">
        <v>8</v>
      </c>
      <c r="BH284" s="27" t="s">
        <v>7</v>
      </c>
      <c r="BI284" s="27" t="s">
        <v>8</v>
      </c>
      <c r="BJ284" s="27" t="s">
        <v>7</v>
      </c>
      <c r="BL284" s="31"/>
      <c r="BT284" s="27" t="s">
        <v>7</v>
      </c>
      <c r="BU284" s="27" t="s">
        <v>8</v>
      </c>
      <c r="BZ284" s="27" t="s">
        <v>7</v>
      </c>
    </row>
    <row r="285" spans="1:79" x14ac:dyDescent="0.25">
      <c r="A285" s="30">
        <v>0.11129650891613138</v>
      </c>
      <c r="B285"/>
      <c r="C285"/>
      <c r="D285"/>
      <c r="E285"/>
      <c r="BF285" s="27" t="s">
        <v>7</v>
      </c>
      <c r="BG285" s="27" t="s">
        <v>8</v>
      </c>
      <c r="BH285" s="27" t="s">
        <v>7</v>
      </c>
      <c r="BK285" s="31"/>
      <c r="BT285" s="27" t="s">
        <v>7</v>
      </c>
      <c r="BU285" s="27" t="s">
        <v>8</v>
      </c>
      <c r="BZ285" s="27" t="s">
        <v>7</v>
      </c>
    </row>
    <row r="286" spans="1:79" x14ac:dyDescent="0.25">
      <c r="A286" s="30">
        <v>0.10599667515822032</v>
      </c>
      <c r="B286"/>
      <c r="C286"/>
      <c r="D286"/>
      <c r="E286"/>
      <c r="BF286" s="27" t="s">
        <v>7</v>
      </c>
      <c r="BG286" s="27" t="s">
        <v>8</v>
      </c>
      <c r="BJ286" s="31"/>
      <c r="BT286" s="27" t="s">
        <v>7</v>
      </c>
      <c r="BZ286" s="27" t="s">
        <v>7</v>
      </c>
    </row>
    <row r="287" spans="1:79" x14ac:dyDescent="0.25">
      <c r="A287" s="30">
        <v>0.10094921443640027</v>
      </c>
      <c r="B287"/>
      <c r="C287"/>
      <c r="D287"/>
      <c r="E287"/>
      <c r="BF287" s="27" t="s">
        <v>7</v>
      </c>
      <c r="BG287" s="27" t="s">
        <v>8</v>
      </c>
      <c r="BI287" s="31"/>
      <c r="BZ287" s="27" t="s">
        <v>7</v>
      </c>
      <c r="CA287" s="27" t="s">
        <v>8</v>
      </c>
    </row>
    <row r="288" spans="1:79" x14ac:dyDescent="0.25">
      <c r="A288" s="30">
        <v>9.6142108987047836E-2</v>
      </c>
      <c r="B288"/>
      <c r="C288"/>
      <c r="D288"/>
      <c r="E288"/>
      <c r="BF288" s="27" t="s">
        <v>7</v>
      </c>
      <c r="BG288" s="27" t="s">
        <v>8</v>
      </c>
      <c r="BH288" s="31"/>
      <c r="BZ288" s="27" t="s">
        <v>7</v>
      </c>
      <c r="CA288" s="27" t="s">
        <v>8</v>
      </c>
    </row>
    <row r="289" spans="1:79" x14ac:dyDescent="0.25">
      <c r="A289" s="30">
        <v>9.1563913320997906E-2</v>
      </c>
      <c r="B289"/>
      <c r="C289"/>
      <c r="D289"/>
      <c r="E289"/>
      <c r="BF289" s="27" t="s">
        <v>7</v>
      </c>
      <c r="BG289" s="31" t="s">
        <v>8</v>
      </c>
      <c r="BZ289" s="27" t="s">
        <v>7</v>
      </c>
      <c r="CA289" s="27" t="s">
        <v>8</v>
      </c>
    </row>
    <row r="290" spans="1:79" x14ac:dyDescent="0.25">
      <c r="A290" s="30">
        <v>8.7203726972378923E-2</v>
      </c>
      <c r="B290"/>
      <c r="C290"/>
      <c r="D290"/>
      <c r="E290"/>
      <c r="BF290" s="31" t="s">
        <v>7</v>
      </c>
      <c r="BZ290" s="27" t="s">
        <v>7</v>
      </c>
    </row>
    <row r="291" spans="1:79" x14ac:dyDescent="0.25">
      <c r="A291" s="30">
        <v>8.3051168545122747E-2</v>
      </c>
      <c r="B291"/>
      <c r="C291"/>
      <c r="D291"/>
      <c r="E291"/>
    </row>
    <row r="292" spans="1:79" x14ac:dyDescent="0.25">
      <c r="A292" s="30">
        <v>7.9096350995354961E-2</v>
      </c>
      <c r="B292"/>
      <c r="C292"/>
      <c r="D292"/>
      <c r="E292"/>
    </row>
    <row r="293" spans="1:79" x14ac:dyDescent="0.25">
      <c r="A293" s="30">
        <v>7.5329858090814217E-2</v>
      </c>
      <c r="B293"/>
      <c r="C293"/>
      <c r="D293"/>
      <c r="E293"/>
    </row>
    <row r="294" spans="1:79" x14ac:dyDescent="0.25">
      <c r="A294" s="30">
        <v>7.1742721991251604E-2</v>
      </c>
      <c r="B294"/>
      <c r="C294"/>
      <c r="D294"/>
      <c r="E294"/>
    </row>
    <row r="295" spans="1:79" x14ac:dyDescent="0.25">
      <c r="A295" s="30">
        <v>6.8326401896430078E-2</v>
      </c>
      <c r="B295"/>
      <c r="C295"/>
      <c r="D295"/>
      <c r="E295"/>
    </row>
    <row r="296" spans="1:79" x14ac:dyDescent="0.25">
      <c r="A296" s="30">
        <v>6.5072763710885759E-2</v>
      </c>
      <c r="B296"/>
      <c r="C296"/>
      <c r="D296"/>
      <c r="E296"/>
    </row>
    <row r="297" spans="1:79" x14ac:dyDescent="0.25">
      <c r="A297" s="30">
        <v>6.197406067703403E-2</v>
      </c>
      <c r="B297"/>
      <c r="C297"/>
      <c r="D297"/>
      <c r="E297"/>
    </row>
    <row r="298" spans="1:79" x14ac:dyDescent="0.25">
      <c r="A298" s="30">
        <v>5.9022914930508576E-2</v>
      </c>
      <c r="B298"/>
      <c r="C298"/>
      <c r="D298"/>
      <c r="E298"/>
    </row>
    <row r="299" spans="1:79" x14ac:dyDescent="0.25">
      <c r="A299" s="30">
        <v>5.6212299933817669E-2</v>
      </c>
      <c r="B299"/>
      <c r="C299"/>
      <c r="D299"/>
      <c r="E299"/>
    </row>
    <row r="300" spans="1:79" x14ac:dyDescent="0.25">
      <c r="A300" s="30">
        <v>5.3535523746492994E-2</v>
      </c>
      <c r="B300"/>
      <c r="C300"/>
      <c r="D300"/>
      <c r="E300"/>
    </row>
    <row r="301" spans="1:79" x14ac:dyDescent="0.25">
      <c r="A301" s="30">
        <v>5.0986213091898068E-2</v>
      </c>
      <c r="B301"/>
      <c r="C301"/>
      <c r="D301"/>
      <c r="E301"/>
    </row>
    <row r="302" spans="1:79" x14ac:dyDescent="0.25">
      <c r="A302" s="30">
        <v>4.8558298182760043E-2</v>
      </c>
      <c r="B302"/>
      <c r="C302"/>
      <c r="D302"/>
      <c r="E302"/>
    </row>
    <row r="303" spans="1:79" x14ac:dyDescent="0.25">
      <c r="A303" s="30">
        <v>4.6245998269295263E-2</v>
      </c>
      <c r="B303"/>
      <c r="C303"/>
      <c r="D303"/>
      <c r="E303"/>
    </row>
    <row r="304" spans="1:79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50" operator="equal">
      <formula>$U$1</formula>
    </cfRule>
    <cfRule type="cellIs" dxfId="67" priority="851" operator="equal">
      <formula>$S$1</formula>
    </cfRule>
  </conditionalFormatting>
  <conditionalFormatting sqref="D136">
    <cfRule type="cellIs" dxfId="66" priority="848" operator="equal">
      <formula>$S$1</formula>
    </cfRule>
    <cfRule type="cellIs" dxfId="65" priority="849" operator="equal">
      <formula>$U$1</formula>
    </cfRule>
  </conditionalFormatting>
  <conditionalFormatting sqref="C162">
    <cfRule type="cellIs" dxfId="64" priority="846" operator="equal">
      <formula>$U$1</formula>
    </cfRule>
    <cfRule type="cellIs" dxfId="63" priority="847" operator="equal">
      <formula>$S$1</formula>
    </cfRule>
  </conditionalFormatting>
  <conditionalFormatting sqref="D162">
    <cfRule type="cellIs" dxfId="62" priority="844" operator="equal">
      <formula>$S$1</formula>
    </cfRule>
    <cfRule type="cellIs" dxfId="61" priority="845" operator="equal">
      <formula>$U$1</formula>
    </cfRule>
  </conditionalFormatting>
  <conditionalFormatting sqref="C187">
    <cfRule type="cellIs" dxfId="60" priority="842" operator="equal">
      <formula>$U$1</formula>
    </cfRule>
    <cfRule type="cellIs" dxfId="59" priority="843" operator="equal">
      <formula>$S$1</formula>
    </cfRule>
  </conditionalFormatting>
  <conditionalFormatting sqref="D187">
    <cfRule type="cellIs" dxfId="58" priority="840" operator="equal">
      <formula>$S$1</formula>
    </cfRule>
    <cfRule type="cellIs" dxfId="57" priority="841" operator="equal">
      <formula>$U$1</formula>
    </cfRule>
  </conditionalFormatting>
  <conditionalFormatting sqref="C212">
    <cfRule type="cellIs" dxfId="56" priority="838" operator="equal">
      <formula>$U$1</formula>
    </cfRule>
    <cfRule type="cellIs" dxfId="55" priority="839" operator="equal">
      <formula>$S$1</formula>
    </cfRule>
  </conditionalFormatting>
  <conditionalFormatting sqref="D212">
    <cfRule type="cellIs" dxfId="54" priority="836" operator="equal">
      <formula>$S$1</formula>
    </cfRule>
    <cfRule type="cellIs" dxfId="53" priority="837" operator="equal">
      <formula>$U$1</formula>
    </cfRule>
  </conditionalFormatting>
  <conditionalFormatting sqref="C237">
    <cfRule type="cellIs" dxfId="52" priority="834" operator="equal">
      <formula>$U$1</formula>
    </cfRule>
    <cfRule type="cellIs" dxfId="51" priority="835" operator="equal">
      <formula>$S$1</formula>
    </cfRule>
  </conditionalFormatting>
  <conditionalFormatting sqref="D237">
    <cfRule type="cellIs" dxfId="50" priority="832" operator="equal">
      <formula>$S$1</formula>
    </cfRule>
    <cfRule type="cellIs" dxfId="49" priority="833" operator="equal">
      <formula>$U$1</formula>
    </cfRule>
  </conditionalFormatting>
  <conditionalFormatting sqref="C106">
    <cfRule type="cellIs" dxfId="48" priority="830" operator="equal">
      <formula>$U$1</formula>
    </cfRule>
    <cfRule type="cellIs" dxfId="47" priority="831" operator="equal">
      <formula>$S$1</formula>
    </cfRule>
  </conditionalFormatting>
  <conditionalFormatting sqref="D106">
    <cfRule type="cellIs" dxfId="46" priority="828" operator="equal">
      <formula>$S$1</formula>
    </cfRule>
    <cfRule type="cellIs" dxfId="45" priority="829" operator="equal">
      <formula>$U$1</formula>
    </cfRule>
  </conditionalFormatting>
  <conditionalFormatting sqref="C81">
    <cfRule type="cellIs" dxfId="44" priority="826" operator="equal">
      <formula>$U$1</formula>
    </cfRule>
    <cfRule type="cellIs" dxfId="43" priority="827" operator="equal">
      <formula>$S$1</formula>
    </cfRule>
  </conditionalFormatting>
  <conditionalFormatting sqref="D81">
    <cfRule type="cellIs" dxfId="42" priority="824" operator="equal">
      <formula>$S$1</formula>
    </cfRule>
    <cfRule type="cellIs" dxfId="41" priority="825" operator="equal">
      <formula>$U$1</formula>
    </cfRule>
  </conditionalFormatting>
  <conditionalFormatting sqref="C56">
    <cfRule type="cellIs" dxfId="40" priority="822" operator="equal">
      <formula>$U$1</formula>
    </cfRule>
    <cfRule type="cellIs" dxfId="39" priority="823" operator="equal">
      <formula>$S$1</formula>
    </cfRule>
  </conditionalFormatting>
  <conditionalFormatting sqref="D56">
    <cfRule type="cellIs" dxfId="38" priority="820" operator="equal">
      <formula>$S$1</formula>
    </cfRule>
    <cfRule type="cellIs" dxfId="37" priority="821" operator="equal">
      <formula>$U$1</formula>
    </cfRule>
  </conditionalFormatting>
  <conditionalFormatting sqref="C31">
    <cfRule type="cellIs" dxfId="36" priority="818" operator="equal">
      <formula>$U$1</formula>
    </cfRule>
    <cfRule type="cellIs" dxfId="35" priority="819" operator="equal">
      <formula>$S$1</formula>
    </cfRule>
  </conditionalFormatting>
  <conditionalFormatting sqref="D31">
    <cfRule type="cellIs" dxfId="34" priority="816" operator="equal">
      <formula>$S$1</formula>
    </cfRule>
    <cfRule type="cellIs" dxfId="33" priority="817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12" zoomScale="90" zoomScaleNormal="90" workbookViewId="0">
      <pane xSplit="4" topLeftCell="G1" activePane="topRight" state="frozen"/>
      <selection activeCell="A109" sqref="A109"/>
      <selection pane="topRight" activeCell="AJ146" sqref="AJ146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$A$145</v>
      </c>
      <c r="D111" s="1" t="str">
        <f>ADDRESS(C121-1,D121,1,1)</f>
        <v>$AJ$145</v>
      </c>
      <c r="E111"/>
    </row>
    <row r="112" spans="1:5" x14ac:dyDescent="0.25">
      <c r="A112" s="30">
        <v>2.3579476910000019</v>
      </c>
      <c r="C112" s="1" t="str">
        <f>ADDRESS(C121,1,1,1)</f>
        <v>$A$146</v>
      </c>
      <c r="D112" s="1" t="str">
        <f>ADDRESS(C121,D121-1,1,1)</f>
        <v>$AI$146</v>
      </c>
      <c r="E112"/>
    </row>
    <row r="113" spans="1:22" x14ac:dyDescent="0.25">
      <c r="A113" s="30">
        <v>2.1435888100000016</v>
      </c>
      <c r="C113" s="1" t="str">
        <f>ADDRESS(C121+1,1,1,1)</f>
        <v>$A$147</v>
      </c>
      <c r="D113" s="1" t="str">
        <f>ADDRESS(C121-1,D121+1,1,1)</f>
        <v>$AK$145</v>
      </c>
    </row>
    <row r="114" spans="1:22" x14ac:dyDescent="0.25">
      <c r="A114" s="30">
        <v>1.9487171000000014</v>
      </c>
      <c r="C114" s="1" t="str">
        <f>ADDRESS(C121,D121,1,1)</f>
        <v>$AJ$146</v>
      </c>
      <c r="D114" s="1" t="str">
        <f>ADDRESS(C121+1,D121+1,1,1)</f>
        <v>$AK$147</v>
      </c>
    </row>
    <row r="115" spans="1:22" x14ac:dyDescent="0.25">
      <c r="A115" s="30">
        <v>1.7715610000000011</v>
      </c>
      <c r="C115" s="1" t="str">
        <f>ADDRESS(C121+1,D121,1,1)</f>
        <v>$AJ$147</v>
      </c>
    </row>
    <row r="116" spans="1:22" x14ac:dyDescent="0.25">
      <c r="A116" s="30">
        <v>1.6105100000000008</v>
      </c>
      <c r="C116" s="1">
        <f>C117-1</f>
        <v>145</v>
      </c>
    </row>
    <row r="117" spans="1:22" x14ac:dyDescent="0.25">
      <c r="A117" s="30">
        <v>1.4641000000000006</v>
      </c>
      <c r="C117" s="1">
        <f>C121</f>
        <v>146</v>
      </c>
      <c r="D117" s="1">
        <f>D121</f>
        <v>36</v>
      </c>
    </row>
    <row r="118" spans="1:22" x14ac:dyDescent="0.25">
      <c r="A118" s="30">
        <v>1.3310000000000004</v>
      </c>
      <c r="C118" s="1">
        <f>C117+1</f>
        <v>147</v>
      </c>
      <c r="D118" s="1">
        <f>D117+1</f>
        <v>37</v>
      </c>
    </row>
    <row r="119" spans="1:22" x14ac:dyDescent="0.25">
      <c r="A119" s="30">
        <v>1.2100000000000002</v>
      </c>
    </row>
    <row r="120" spans="1:22" x14ac:dyDescent="0.25">
      <c r="A120" s="30">
        <v>1.1000000000000001</v>
      </c>
      <c r="C120" s="1" t="s">
        <v>9</v>
      </c>
    </row>
    <row r="121" spans="1:22" x14ac:dyDescent="0.25">
      <c r="A121" s="30">
        <v>1</v>
      </c>
      <c r="C121" s="18">
        <v>146</v>
      </c>
      <c r="D121" s="19">
        <v>36</v>
      </c>
      <c r="E121" s="18" t="s">
        <v>8</v>
      </c>
    </row>
    <row r="122" spans="1:22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22" x14ac:dyDescent="0.25">
      <c r="A123" s="30">
        <v>0.82644628099173523</v>
      </c>
      <c r="C123" s="1" t="str">
        <f>"R"&amp;C121</f>
        <v>R146</v>
      </c>
      <c r="D123" s="1" t="str">
        <f>"C"&amp;D121</f>
        <v>C36</v>
      </c>
      <c r="F123" s="27" t="s">
        <v>7</v>
      </c>
      <c r="Q123" s="31" t="s">
        <v>8</v>
      </c>
    </row>
    <row r="124" spans="1:22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O124" s="27" t="s">
        <v>8</v>
      </c>
      <c r="Q124" s="27" t="s">
        <v>8</v>
      </c>
      <c r="R124" s="31" t="s">
        <v>7</v>
      </c>
    </row>
    <row r="125" spans="1:22" x14ac:dyDescent="0.25">
      <c r="A125" s="30">
        <v>0.68301345536507019</v>
      </c>
      <c r="F125" s="27" t="s">
        <v>7</v>
      </c>
      <c r="O125" s="27" t="s">
        <v>8</v>
      </c>
      <c r="P125" s="27" t="s">
        <v>7</v>
      </c>
      <c r="Q125" s="27" t="s">
        <v>8</v>
      </c>
      <c r="R125" s="27" t="s">
        <v>7</v>
      </c>
      <c r="S125" s="31"/>
    </row>
    <row r="126" spans="1:22" x14ac:dyDescent="0.25">
      <c r="A126" s="30">
        <v>0.6209213230591546</v>
      </c>
      <c r="C126" s="1" t="s">
        <v>10</v>
      </c>
      <c r="F126" s="27" t="s">
        <v>7</v>
      </c>
      <c r="O126" s="27" t="s">
        <v>8</v>
      </c>
      <c r="P126" s="27" t="s">
        <v>7</v>
      </c>
      <c r="Q126" s="27" t="s">
        <v>8</v>
      </c>
      <c r="R126" s="27" t="s">
        <v>7</v>
      </c>
      <c r="T126" s="31"/>
    </row>
    <row r="127" spans="1:22" x14ac:dyDescent="0.25">
      <c r="A127" s="30">
        <v>0.56447393005377677</v>
      </c>
      <c r="C127" s="30">
        <v>9.2295998177063854E-2</v>
      </c>
      <c r="D127"/>
      <c r="F127" s="27" t="s">
        <v>7</v>
      </c>
      <c r="O127" s="27" t="s">
        <v>8</v>
      </c>
      <c r="P127" s="27" t="s">
        <v>7</v>
      </c>
      <c r="Q127" s="27" t="s">
        <v>8</v>
      </c>
      <c r="R127" s="27" t="s">
        <v>7</v>
      </c>
      <c r="U127" s="31"/>
    </row>
    <row r="128" spans="1:22" x14ac:dyDescent="0.25">
      <c r="A128" s="30">
        <v>0.51315811823070612</v>
      </c>
      <c r="F128" s="27" t="s">
        <v>7</v>
      </c>
      <c r="O128" s="27" t="s">
        <v>8</v>
      </c>
      <c r="P128" s="27" t="s">
        <v>7</v>
      </c>
      <c r="Q128" s="27" t="s">
        <v>8</v>
      </c>
      <c r="R128" s="27" t="s">
        <v>7</v>
      </c>
      <c r="U128" s="32" t="s">
        <v>8</v>
      </c>
      <c r="V128" s="31"/>
    </row>
    <row r="129" spans="1:36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O129" s="27" t="s">
        <v>8</v>
      </c>
      <c r="P129" s="27" t="s">
        <v>7</v>
      </c>
      <c r="R129" s="27" t="s">
        <v>7</v>
      </c>
      <c r="S129" s="27" t="s">
        <v>8</v>
      </c>
      <c r="U129" s="27" t="s">
        <v>8</v>
      </c>
      <c r="V129" s="27" t="s">
        <v>7</v>
      </c>
      <c r="W129" s="31"/>
    </row>
    <row r="130" spans="1:36" x14ac:dyDescent="0.25">
      <c r="A130" s="30">
        <v>0.42409761837248428</v>
      </c>
      <c r="C130" s="6"/>
      <c r="D130" s="6"/>
      <c r="E130"/>
      <c r="F130" s="27" t="s">
        <v>7</v>
      </c>
      <c r="O130" s="27" t="s">
        <v>8</v>
      </c>
      <c r="R130" s="33" t="s">
        <v>7</v>
      </c>
      <c r="S130" s="27" t="s">
        <v>8</v>
      </c>
      <c r="T130" s="27" t="s">
        <v>7</v>
      </c>
      <c r="U130" s="27" t="s">
        <v>8</v>
      </c>
      <c r="V130" s="27" t="s">
        <v>7</v>
      </c>
      <c r="W130" s="27" t="s">
        <v>8</v>
      </c>
      <c r="X130" s="31"/>
    </row>
    <row r="131" spans="1:36" x14ac:dyDescent="0.25">
      <c r="A131" s="30">
        <v>0.38554328942953109</v>
      </c>
      <c r="E131"/>
      <c r="F131" s="27" t="s">
        <v>7</v>
      </c>
      <c r="O131" s="27" t="s">
        <v>8</v>
      </c>
      <c r="R131" s="27" t="s">
        <v>7</v>
      </c>
      <c r="S131" s="27" t="s">
        <v>8</v>
      </c>
      <c r="T131" s="27" t="s">
        <v>7</v>
      </c>
      <c r="U131" s="27" t="s">
        <v>8</v>
      </c>
      <c r="V131" s="27" t="s">
        <v>7</v>
      </c>
      <c r="W131" s="27" t="s">
        <v>8</v>
      </c>
      <c r="X131" s="27" t="s">
        <v>7</v>
      </c>
      <c r="Y131" s="31"/>
    </row>
    <row r="132" spans="1:36" x14ac:dyDescent="0.25">
      <c r="A132" s="30">
        <v>0.35049389948139187</v>
      </c>
      <c r="C132" s="1" t="s">
        <v>13</v>
      </c>
      <c r="E132"/>
      <c r="F132" s="27" t="s">
        <v>7</v>
      </c>
      <c r="O132" s="27" t="s">
        <v>8</v>
      </c>
      <c r="R132" s="27" t="s">
        <v>7</v>
      </c>
      <c r="S132" s="27" t="s">
        <v>8</v>
      </c>
      <c r="T132" s="27" t="s">
        <v>7</v>
      </c>
      <c r="V132" s="27" t="s">
        <v>7</v>
      </c>
      <c r="W132" s="27" t="s">
        <v>8</v>
      </c>
      <c r="X132" s="27" t="s">
        <v>7</v>
      </c>
      <c r="Z132" s="31"/>
    </row>
    <row r="133" spans="1:36" x14ac:dyDescent="0.25">
      <c r="A133" s="30">
        <v>0.31863081771035617</v>
      </c>
      <c r="C133" s="1" t="str">
        <f>C122</f>
        <v>O</v>
      </c>
      <c r="E133"/>
      <c r="F133" s="27" t="s">
        <v>7</v>
      </c>
      <c r="I133" s="27" t="s">
        <v>8</v>
      </c>
      <c r="O133" s="27" t="s">
        <v>8</v>
      </c>
      <c r="R133" s="27" t="s">
        <v>7</v>
      </c>
      <c r="V133" s="33" t="s">
        <v>7</v>
      </c>
      <c r="W133" s="27" t="s">
        <v>8</v>
      </c>
      <c r="X133" s="27" t="s">
        <v>7</v>
      </c>
      <c r="AA133" s="31"/>
    </row>
    <row r="134" spans="1:36" x14ac:dyDescent="0.25">
      <c r="A134" s="30">
        <v>0.28966437973668741</v>
      </c>
      <c r="C134"/>
      <c r="D134"/>
      <c r="E134"/>
      <c r="F134" s="27" t="s">
        <v>7</v>
      </c>
      <c r="I134" s="27" t="s">
        <v>8</v>
      </c>
      <c r="J134" s="27" t="s">
        <v>7</v>
      </c>
      <c r="M134" s="32" t="s">
        <v>8</v>
      </c>
      <c r="O134" s="27" t="s">
        <v>8</v>
      </c>
      <c r="V134" s="27" t="s">
        <v>7</v>
      </c>
      <c r="W134" s="27" t="s">
        <v>8</v>
      </c>
      <c r="X134" s="27" t="s">
        <v>7</v>
      </c>
      <c r="AB134" s="31"/>
    </row>
    <row r="135" spans="1:36" x14ac:dyDescent="0.25">
      <c r="A135" s="30">
        <v>0.2633312543060794</v>
      </c>
      <c r="C135" s="1" t="s">
        <v>14</v>
      </c>
      <c r="E135"/>
      <c r="F135" s="27" t="s">
        <v>7</v>
      </c>
      <c r="G135" s="27" t="s">
        <v>8</v>
      </c>
      <c r="I135" s="27" t="s">
        <v>8</v>
      </c>
      <c r="J135" s="27" t="s">
        <v>7</v>
      </c>
      <c r="K135" s="27" t="s">
        <v>8</v>
      </c>
      <c r="M135" s="27" t="s">
        <v>8</v>
      </c>
      <c r="N135" s="27" t="s">
        <v>7</v>
      </c>
      <c r="O135" s="27" t="s">
        <v>8</v>
      </c>
      <c r="V135" s="27" t="s">
        <v>7</v>
      </c>
      <c r="W135" s="27" t="s">
        <v>8</v>
      </c>
      <c r="X135" s="27" t="s">
        <v>7</v>
      </c>
      <c r="AC135" s="31"/>
    </row>
    <row r="136" spans="1:36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G136" s="27" t="s">
        <v>8</v>
      </c>
      <c r="H136" s="27" t="s">
        <v>7</v>
      </c>
      <c r="I136" s="27" t="s">
        <v>8</v>
      </c>
      <c r="J136" s="27" t="s">
        <v>7</v>
      </c>
      <c r="K136" s="27" t="s">
        <v>8</v>
      </c>
      <c r="L136" s="27" t="s">
        <v>7</v>
      </c>
      <c r="M136" s="27" t="s">
        <v>8</v>
      </c>
      <c r="N136" s="27" t="s">
        <v>7</v>
      </c>
      <c r="O136" s="27" t="s">
        <v>8</v>
      </c>
      <c r="V136" s="27" t="s">
        <v>7</v>
      </c>
      <c r="X136" s="27" t="s">
        <v>7</v>
      </c>
      <c r="Y136" s="27" t="s">
        <v>8</v>
      </c>
      <c r="AD136" s="31"/>
      <c r="AE136" s="27" t="s">
        <v>8</v>
      </c>
      <c r="AG136" s="27" t="s">
        <v>8</v>
      </c>
    </row>
    <row r="137" spans="1:36" x14ac:dyDescent="0.25">
      <c r="A137" s="30">
        <v>0.2176291357901482</v>
      </c>
      <c r="E137"/>
      <c r="F137" s="27" t="s">
        <v>7</v>
      </c>
      <c r="G137" s="27" t="s">
        <v>8</v>
      </c>
      <c r="H137" s="27" t="s">
        <v>7</v>
      </c>
      <c r="I137" s="27" t="s">
        <v>8</v>
      </c>
      <c r="J137" s="27" t="s">
        <v>7</v>
      </c>
      <c r="K137" s="27" t="s">
        <v>8</v>
      </c>
      <c r="L137" s="27" t="s">
        <v>7</v>
      </c>
      <c r="M137" s="27" t="s">
        <v>8</v>
      </c>
      <c r="N137" s="27" t="s">
        <v>7</v>
      </c>
      <c r="O137" s="27" t="s">
        <v>8</v>
      </c>
      <c r="X137" s="27" t="s">
        <v>7</v>
      </c>
      <c r="Y137" s="27" t="s">
        <v>8</v>
      </c>
      <c r="Z137" s="27" t="s">
        <v>7</v>
      </c>
      <c r="AA137" s="27" t="s">
        <v>8</v>
      </c>
      <c r="AE137" s="31" t="s">
        <v>8</v>
      </c>
      <c r="AF137" s="27" t="s">
        <v>7</v>
      </c>
      <c r="AG137" s="27" t="s">
        <v>8</v>
      </c>
      <c r="AH137" s="27" t="s">
        <v>7</v>
      </c>
    </row>
    <row r="138" spans="1:36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G138" s="27" t="s">
        <v>8</v>
      </c>
      <c r="H138" s="27" t="s">
        <v>7</v>
      </c>
      <c r="J138" s="27" t="s">
        <v>7</v>
      </c>
      <c r="L138" s="27" t="s">
        <v>7</v>
      </c>
      <c r="M138" s="27" t="s">
        <v>8</v>
      </c>
      <c r="N138" s="27" t="s">
        <v>7</v>
      </c>
      <c r="X138" s="27" t="s">
        <v>7</v>
      </c>
      <c r="Y138" s="27" t="s">
        <v>8</v>
      </c>
      <c r="Z138" s="27" t="s">
        <v>7</v>
      </c>
      <c r="AA138" s="27" t="s">
        <v>8</v>
      </c>
      <c r="AB138" s="27" t="s">
        <v>7</v>
      </c>
      <c r="AE138" s="27" t="s">
        <v>8</v>
      </c>
      <c r="AF138" s="31" t="s">
        <v>7</v>
      </c>
      <c r="AG138" s="27" t="s">
        <v>8</v>
      </c>
      <c r="AH138" s="27" t="s">
        <v>7</v>
      </c>
    </row>
    <row r="139" spans="1:36" x14ac:dyDescent="0.25">
      <c r="A139" s="30">
        <v>0.17985878990921333</v>
      </c>
      <c r="E139"/>
      <c r="F139" s="27" t="s">
        <v>7</v>
      </c>
      <c r="G139" s="27" t="s">
        <v>8</v>
      </c>
      <c r="L139" s="33" t="s">
        <v>7</v>
      </c>
      <c r="X139" s="27" t="s">
        <v>7</v>
      </c>
      <c r="Y139" s="27" t="s">
        <v>8</v>
      </c>
      <c r="Z139" s="27" t="s">
        <v>7</v>
      </c>
      <c r="AA139" s="27" t="s">
        <v>8</v>
      </c>
      <c r="AB139" s="27" t="s">
        <v>7</v>
      </c>
      <c r="AE139" s="32" t="s">
        <v>8</v>
      </c>
      <c r="AF139" s="27" t="s">
        <v>7</v>
      </c>
      <c r="AG139" s="27" t="s">
        <v>8</v>
      </c>
      <c r="AH139" s="27" t="s">
        <v>7</v>
      </c>
    </row>
    <row r="140" spans="1:36" x14ac:dyDescent="0.25">
      <c r="A140" s="30">
        <v>0.16350799082655756</v>
      </c>
      <c r="C140" s="1">
        <v>0</v>
      </c>
      <c r="E140"/>
      <c r="F140" s="27" t="s">
        <v>7</v>
      </c>
      <c r="G140" s="27" t="s">
        <v>8</v>
      </c>
      <c r="X140" s="27" t="s">
        <v>7</v>
      </c>
      <c r="Z140" s="27" t="s">
        <v>7</v>
      </c>
      <c r="AA140" s="27" t="s">
        <v>8</v>
      </c>
      <c r="AB140" s="27" t="s">
        <v>7</v>
      </c>
      <c r="AC140" s="18" t="s">
        <v>8</v>
      </c>
      <c r="AE140" s="27" t="s">
        <v>8</v>
      </c>
      <c r="AF140" s="27" t="s">
        <v>7</v>
      </c>
      <c r="AG140" s="27" t="s">
        <v>8</v>
      </c>
      <c r="AH140" s="27" t="s">
        <v>7</v>
      </c>
    </row>
    <row r="141" spans="1:36" x14ac:dyDescent="0.25">
      <c r="A141" s="30">
        <v>0.14864362802414322</v>
      </c>
      <c r="C141" s="1">
        <v>1</v>
      </c>
      <c r="E141"/>
      <c r="F141" s="27" t="s">
        <v>7</v>
      </c>
      <c r="Z141" s="27" t="s">
        <v>7</v>
      </c>
      <c r="AB141" s="27" t="s">
        <v>7</v>
      </c>
      <c r="AC141" s="27" t="s">
        <v>8</v>
      </c>
      <c r="AD141" s="27" t="s">
        <v>7</v>
      </c>
      <c r="AE141" s="27" t="s">
        <v>8</v>
      </c>
      <c r="AF141" s="27" t="s">
        <v>7</v>
      </c>
      <c r="AG141" s="27" t="s">
        <v>8</v>
      </c>
      <c r="AH141" s="27" t="s">
        <v>7</v>
      </c>
      <c r="AI141" s="27" t="s">
        <v>8</v>
      </c>
    </row>
    <row r="142" spans="1:36" x14ac:dyDescent="0.25">
      <c r="A142" s="30">
        <v>0.13513057093103928</v>
      </c>
      <c r="C142" s="1">
        <v>2</v>
      </c>
      <c r="E142"/>
      <c r="AB142" s="27" t="s">
        <v>7</v>
      </c>
      <c r="AC142" s="27" t="s">
        <v>8</v>
      </c>
      <c r="AD142" s="27" t="s">
        <v>7</v>
      </c>
      <c r="AE142" s="27" t="s">
        <v>8</v>
      </c>
      <c r="AF142" s="27" t="s">
        <v>7</v>
      </c>
      <c r="AH142" s="27" t="s">
        <v>7</v>
      </c>
      <c r="AI142" s="27" t="s">
        <v>8</v>
      </c>
      <c r="AJ142" s="27" t="s">
        <v>7</v>
      </c>
    </row>
    <row r="143" spans="1:36" x14ac:dyDescent="0.25">
      <c r="A143" s="30">
        <v>0.12284597357367205</v>
      </c>
      <c r="C143" s="1">
        <v>3</v>
      </c>
      <c r="E143"/>
      <c r="AB143" s="27" t="s">
        <v>7</v>
      </c>
      <c r="AC143" s="27" t="s">
        <v>8</v>
      </c>
      <c r="AD143" s="27" t="s">
        <v>7</v>
      </c>
      <c r="AH143" s="27" t="s">
        <v>7</v>
      </c>
      <c r="AI143" s="27" t="s">
        <v>8</v>
      </c>
      <c r="AJ143" s="27" t="s">
        <v>7</v>
      </c>
    </row>
    <row r="144" spans="1:36" x14ac:dyDescent="0.25">
      <c r="A144" s="30">
        <v>0.11167815779424731</v>
      </c>
      <c r="C144" s="1">
        <v>4</v>
      </c>
      <c r="E144"/>
      <c r="AB144" s="27" t="s">
        <v>7</v>
      </c>
      <c r="AC144" s="27" t="s">
        <v>8</v>
      </c>
      <c r="AH144" s="27" t="s">
        <v>7</v>
      </c>
      <c r="AJ144" s="27" t="s">
        <v>7</v>
      </c>
    </row>
    <row r="145" spans="1:36" x14ac:dyDescent="0.25">
      <c r="A145" s="30">
        <v>0.10152559799477026</v>
      </c>
      <c r="B145"/>
      <c r="C145"/>
      <c r="D145"/>
      <c r="E145"/>
      <c r="AB145" s="27" t="s">
        <v>7</v>
      </c>
      <c r="AC145" s="27" t="s">
        <v>8</v>
      </c>
      <c r="AJ145" s="27" t="s">
        <v>7</v>
      </c>
    </row>
    <row r="146" spans="1:36" x14ac:dyDescent="0.25">
      <c r="A146" s="30">
        <v>9.2295998177063854E-2</v>
      </c>
      <c r="B146"/>
      <c r="C146"/>
      <c r="D146"/>
      <c r="E146"/>
      <c r="AB146" s="27" t="s">
        <v>7</v>
      </c>
      <c r="AJ146" s="27" t="s">
        <v>7</v>
      </c>
    </row>
    <row r="147" spans="1:36" x14ac:dyDescent="0.25">
      <c r="A147" s="30">
        <v>8.3905452888239848E-2</v>
      </c>
      <c r="B147"/>
      <c r="C147"/>
      <c r="D147"/>
      <c r="E147"/>
    </row>
    <row r="148" spans="1:36" x14ac:dyDescent="0.25">
      <c r="A148" s="30">
        <v>7.6277684443854396E-2</v>
      </c>
      <c r="B148"/>
      <c r="C148"/>
      <c r="D148"/>
      <c r="E148"/>
    </row>
    <row r="149" spans="1:36" x14ac:dyDescent="0.25">
      <c r="A149" s="30">
        <v>6.9343349494413078E-2</v>
      </c>
      <c r="B149"/>
      <c r="C149"/>
      <c r="D149"/>
      <c r="E149"/>
    </row>
    <row r="150" spans="1:36" x14ac:dyDescent="0.25">
      <c r="A150" s="30">
        <v>6.3039408631284613E-2</v>
      </c>
      <c r="B150"/>
      <c r="C150"/>
      <c r="D150"/>
      <c r="E150"/>
    </row>
    <row r="151" spans="1:36" x14ac:dyDescent="0.25">
      <c r="A151" s="30">
        <v>5.7308553301167818E-2</v>
      </c>
      <c r="B151"/>
      <c r="C151"/>
      <c r="D151"/>
      <c r="E151"/>
    </row>
    <row r="152" spans="1:36" x14ac:dyDescent="0.25">
      <c r="A152" s="30">
        <v>5.2098684819243464E-2</v>
      </c>
      <c r="B152"/>
      <c r="C152"/>
      <c r="D152"/>
      <c r="E152"/>
    </row>
    <row r="153" spans="1:36" x14ac:dyDescent="0.25">
      <c r="A153" s="30">
        <v>4.7362440744766775E-2</v>
      </c>
      <c r="B153"/>
      <c r="C153"/>
      <c r="D153"/>
      <c r="E153"/>
    </row>
    <row r="154" spans="1:36" x14ac:dyDescent="0.25">
      <c r="A154" s="30">
        <v>4.3056764313424332E-2</v>
      </c>
      <c r="B154"/>
      <c r="C154"/>
      <c r="D154"/>
      <c r="E154"/>
    </row>
    <row r="155" spans="1:36" x14ac:dyDescent="0.25">
      <c r="A155" s="30">
        <v>3.9142513012203929E-2</v>
      </c>
      <c r="B155"/>
      <c r="C155"/>
      <c r="D155"/>
      <c r="E155"/>
    </row>
    <row r="156" spans="1:36" x14ac:dyDescent="0.25">
      <c r="A156" s="30">
        <v>3.55841027383672E-2</v>
      </c>
      <c r="B156"/>
      <c r="C156"/>
      <c r="D156"/>
      <c r="E156"/>
    </row>
    <row r="157" spans="1:36" x14ac:dyDescent="0.25">
      <c r="A157" s="30">
        <v>3.2349184307606541E-2</v>
      </c>
      <c r="B157"/>
      <c r="C157"/>
      <c r="D157"/>
      <c r="E157"/>
    </row>
    <row r="158" spans="1:36" x14ac:dyDescent="0.25">
      <c r="A158" s="30">
        <v>2.9408349370551395E-2</v>
      </c>
      <c r="B158"/>
      <c r="C158"/>
      <c r="D158"/>
      <c r="E158"/>
    </row>
    <row r="159" spans="1:36" x14ac:dyDescent="0.25">
      <c r="A159" s="30">
        <v>2.6734863064137627E-2</v>
      </c>
      <c r="B159"/>
      <c r="C159"/>
      <c r="D159"/>
      <c r="E159"/>
    </row>
    <row r="160" spans="1:36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34" operator="equal">
      <formula>$U$1</formula>
    </cfRule>
    <cfRule type="cellIs" dxfId="30" priority="835" operator="equal">
      <formula>$S$1</formula>
    </cfRule>
  </conditionalFormatting>
  <conditionalFormatting sqref="D136">
    <cfRule type="cellIs" dxfId="29" priority="832" operator="equal">
      <formula>$S$1</formula>
    </cfRule>
    <cfRule type="cellIs" dxfId="28" priority="833" operator="equal">
      <formula>$U$1</formula>
    </cfRule>
  </conditionalFormatting>
  <conditionalFormatting sqref="C102">
    <cfRule type="cellIs" dxfId="27" priority="830" operator="equal">
      <formula>$U$1</formula>
    </cfRule>
    <cfRule type="cellIs" dxfId="26" priority="831" operator="equal">
      <formula>$S$1</formula>
    </cfRule>
  </conditionalFormatting>
  <conditionalFormatting sqref="D102">
    <cfRule type="cellIs" dxfId="25" priority="828" operator="equal">
      <formula>$S$1</formula>
    </cfRule>
    <cfRule type="cellIs" dxfId="24" priority="829" operator="equal">
      <formula>$U$1</formula>
    </cfRule>
  </conditionalFormatting>
  <conditionalFormatting sqref="C77">
    <cfRule type="cellIs" dxfId="23" priority="826" operator="equal">
      <formula>$U$1</formula>
    </cfRule>
    <cfRule type="cellIs" dxfId="22" priority="827" operator="equal">
      <formula>$S$1</formula>
    </cfRule>
  </conditionalFormatting>
  <conditionalFormatting sqref="D77">
    <cfRule type="cellIs" dxfId="21" priority="824" operator="equal">
      <formula>$S$1</formula>
    </cfRule>
    <cfRule type="cellIs" dxfId="20" priority="825" operator="equal">
      <formula>$U$1</formula>
    </cfRule>
  </conditionalFormatting>
  <conditionalFormatting sqref="C52">
    <cfRule type="cellIs" dxfId="19" priority="822" operator="equal">
      <formula>$U$1</formula>
    </cfRule>
    <cfRule type="cellIs" dxfId="18" priority="823" operator="equal">
      <formula>$S$1</formula>
    </cfRule>
  </conditionalFormatting>
  <conditionalFormatting sqref="D52">
    <cfRule type="cellIs" dxfId="17" priority="820" operator="equal">
      <formula>$S$1</formula>
    </cfRule>
    <cfRule type="cellIs" dxfId="16" priority="821" operator="equal">
      <formula>$U$1</formula>
    </cfRule>
  </conditionalFormatting>
  <conditionalFormatting sqref="C26">
    <cfRule type="cellIs" dxfId="15" priority="818" operator="equal">
      <formula>$U$1</formula>
    </cfRule>
    <cfRule type="cellIs" dxfId="14" priority="819" operator="equal">
      <formula>$S$1</formula>
    </cfRule>
  </conditionalFormatting>
  <conditionalFormatting sqref="D26">
    <cfRule type="cellIs" dxfId="13" priority="816" operator="equal">
      <formula>$S$1</formula>
    </cfRule>
    <cfRule type="cellIs" dxfId="12" priority="817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8.7203726972378923E-2</v>
      </c>
      <c r="F3" s="30">
        <v>0.11686133436193799</v>
      </c>
      <c r="G3" s="30">
        <v>0.16443563297285677</v>
      </c>
      <c r="H3" s="25">
        <f>IF(G3="","",(3*(G3-F3))+E3)</f>
        <v>0.22992662280513526</v>
      </c>
      <c r="I3" s="7"/>
      <c r="J3" s="7">
        <f>(E3+G3)/2</f>
        <v>0.12581967997261784</v>
      </c>
      <c r="K3" s="7">
        <f>H3/2</f>
        <v>0.11496331140256763</v>
      </c>
      <c r="M3" s="26">
        <f>IF(OR(J3="",H3=""),"",H3/J3)</f>
        <v>1.8274297220846074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2022-01-28T01:23:12Z</dcterms:modified>
</cp:coreProperties>
</file>