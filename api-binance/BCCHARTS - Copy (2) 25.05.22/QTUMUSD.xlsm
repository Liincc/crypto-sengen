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0FD6C70-C225-40AA-9B14-DA81A424A5F4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95" i="1"/>
  <c r="Q1195" i="1" s="1"/>
  <c r="R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195" i="1"/>
  <c r="T119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22" i="4"/>
  <c r="C133" i="4" s="1"/>
  <c r="C136" i="4" s="1"/>
  <c r="R1194" i="1"/>
  <c r="S1194" i="1" s="1"/>
  <c r="T1194" i="1" s="1"/>
  <c r="R1193" i="1"/>
  <c r="S1193" i="1" s="1"/>
  <c r="T1193" i="1" s="1"/>
  <c r="C118" i="3"/>
  <c r="C122" i="3"/>
  <c r="C133" i="3" s="1"/>
  <c r="D136" i="3" s="1"/>
  <c r="R1192" i="1" l="1"/>
  <c r="R1191" i="1" s="1"/>
  <c r="C136" i="5"/>
  <c r="C138" i="5" s="1"/>
  <c r="D136" i="4"/>
  <c r="C138" i="4" s="1"/>
  <c r="C136" i="3"/>
  <c r="C138" i="3" s="1"/>
  <c r="S1192" i="1" l="1"/>
  <c r="T1192" i="1" s="1"/>
  <c r="R1190" i="1"/>
  <c r="S1191" i="1"/>
  <c r="T1191" i="1" s="1"/>
  <c r="R1189" i="1" l="1"/>
  <c r="S1190" i="1"/>
  <c r="T1190" i="1" s="1"/>
  <c r="R1188" i="1" l="1"/>
  <c r="S1189" i="1"/>
  <c r="T1189" i="1" s="1"/>
  <c r="R1187" i="1" l="1"/>
  <c r="S1188" i="1"/>
  <c r="T1188" i="1" s="1"/>
  <c r="R1186" i="1" l="1"/>
  <c r="S1187" i="1"/>
  <c r="T1187" i="1" s="1"/>
  <c r="R1185" i="1" l="1"/>
  <c r="S1186" i="1"/>
  <c r="T1186" i="1" s="1"/>
  <c r="R1184" i="1" l="1"/>
  <c r="S1185" i="1"/>
  <c r="T1185" i="1" s="1"/>
  <c r="R1183" i="1" l="1"/>
  <c r="S1184" i="1"/>
  <c r="T1184" i="1" s="1"/>
  <c r="R1182" i="1" l="1"/>
  <c r="S1183" i="1"/>
  <c r="T1183" i="1" s="1"/>
  <c r="R1181" i="1" l="1"/>
  <c r="S1182" i="1"/>
  <c r="T1182" i="1" s="1"/>
  <c r="R1180" i="1" l="1"/>
  <c r="S1181" i="1"/>
  <c r="T1181" i="1" s="1"/>
  <c r="R1179" i="1" l="1"/>
  <c r="S1180" i="1"/>
  <c r="T1180" i="1" s="1"/>
  <c r="R1178" i="1" l="1"/>
  <c r="S1179" i="1"/>
  <c r="T1179" i="1" s="1"/>
  <c r="R1177" i="1" l="1"/>
  <c r="S1178" i="1"/>
  <c r="T1178" i="1" s="1"/>
  <c r="R1176" i="1" l="1"/>
  <c r="S1177" i="1"/>
  <c r="T1177" i="1" s="1"/>
  <c r="R1175" i="1" l="1"/>
  <c r="S1176" i="1"/>
  <c r="T1176" i="1" s="1"/>
  <c r="R1174" i="1" l="1"/>
  <c r="S1175" i="1"/>
  <c r="T1175" i="1" s="1"/>
  <c r="R1173" i="1" l="1"/>
  <c r="S1174" i="1"/>
  <c r="T1174" i="1" s="1"/>
  <c r="R1172" i="1" l="1"/>
  <c r="S1173" i="1"/>
  <c r="T1173" i="1" s="1"/>
  <c r="R1171" i="1" l="1"/>
  <c r="S1172" i="1"/>
  <c r="T1172" i="1" s="1"/>
  <c r="R1170" i="1" l="1"/>
  <c r="S1171" i="1"/>
  <c r="T1171" i="1" s="1"/>
  <c r="R1169" i="1" l="1"/>
  <c r="S1170" i="1"/>
  <c r="T1170" i="1" s="1"/>
  <c r="R1168" i="1" l="1"/>
  <c r="S1169" i="1"/>
  <c r="T1169" i="1" s="1"/>
  <c r="R1167" i="1" l="1"/>
  <c r="S1168" i="1"/>
  <c r="T1168" i="1" s="1"/>
  <c r="R1166" i="1" l="1"/>
  <c r="S1167" i="1"/>
  <c r="T1167" i="1" s="1"/>
  <c r="R1165" i="1" l="1"/>
  <c r="S1166" i="1"/>
  <c r="T1166" i="1" s="1"/>
  <c r="R1164" i="1" l="1"/>
  <c r="S1165" i="1"/>
  <c r="T1165" i="1" s="1"/>
  <c r="R1163" i="1" l="1"/>
  <c r="S1164" i="1"/>
  <c r="T1164" i="1" s="1"/>
  <c r="R1162" i="1" l="1"/>
  <c r="S1163" i="1"/>
  <c r="T1163" i="1" s="1"/>
  <c r="R1161" i="1" l="1"/>
  <c r="S1162" i="1"/>
  <c r="T1162" i="1" s="1"/>
  <c r="R1160" i="1" l="1"/>
  <c r="S1161" i="1"/>
  <c r="T1161" i="1" s="1"/>
  <c r="R1159" i="1" l="1"/>
  <c r="S1160" i="1"/>
  <c r="T1160" i="1" s="1"/>
  <c r="R1158" i="1" l="1"/>
  <c r="S1159" i="1"/>
  <c r="T1159" i="1" s="1"/>
  <c r="R1157" i="1" l="1"/>
  <c r="S1158" i="1"/>
  <c r="T1158" i="1" s="1"/>
  <c r="R1156" i="1" l="1"/>
  <c r="S1157" i="1"/>
  <c r="T1157" i="1" s="1"/>
  <c r="R1155" i="1" l="1"/>
  <c r="S1156" i="1"/>
  <c r="T1156" i="1" s="1"/>
  <c r="R1154" i="1" l="1"/>
  <c r="S1155" i="1"/>
  <c r="T1155" i="1" s="1"/>
  <c r="R1153" i="1" l="1"/>
  <c r="S1154" i="1"/>
  <c r="T1154" i="1" s="1"/>
  <c r="R1152" i="1" l="1"/>
  <c r="S1153" i="1"/>
  <c r="T1153" i="1" s="1"/>
  <c r="R1151" i="1" l="1"/>
  <c r="S1152" i="1"/>
  <c r="T1152" i="1" s="1"/>
  <c r="R1150" i="1" l="1"/>
  <c r="S1151" i="1"/>
  <c r="T1151" i="1" s="1"/>
  <c r="R1149" i="1" l="1"/>
  <c r="S1150" i="1"/>
  <c r="T1150" i="1" s="1"/>
  <c r="R1148" i="1" l="1"/>
  <c r="S1149" i="1"/>
  <c r="T1149" i="1" s="1"/>
  <c r="R1147" i="1" l="1"/>
  <c r="S1148" i="1"/>
  <c r="T1148" i="1" s="1"/>
  <c r="R1146" i="1" l="1"/>
  <c r="S1147" i="1"/>
  <c r="T1147" i="1" s="1"/>
  <c r="R1145" i="1" l="1"/>
  <c r="S1146" i="1"/>
  <c r="T1146" i="1" s="1"/>
  <c r="R1144" i="1" l="1"/>
  <c r="S1145" i="1"/>
  <c r="T1145" i="1" s="1"/>
  <c r="R1143" i="1" l="1"/>
  <c r="S1144" i="1"/>
  <c r="T1144" i="1" s="1"/>
  <c r="R1142" i="1" l="1"/>
  <c r="S1143" i="1"/>
  <c r="T1143" i="1" s="1"/>
  <c r="R1141" i="1" l="1"/>
  <c r="S1142" i="1"/>
  <c r="T1142" i="1" s="1"/>
  <c r="R1140" i="1" l="1"/>
  <c r="S1141" i="1"/>
  <c r="T1141" i="1" s="1"/>
  <c r="R1139" i="1" l="1"/>
  <c r="S1140" i="1"/>
  <c r="T1140" i="1" s="1"/>
  <c r="R1138" i="1" l="1"/>
  <c r="S1139" i="1"/>
  <c r="T1139" i="1" s="1"/>
  <c r="R1137" i="1" l="1"/>
  <c r="S1138" i="1"/>
  <c r="T1138" i="1" s="1"/>
  <c r="R1136" i="1" l="1"/>
  <c r="S1137" i="1"/>
  <c r="T1137" i="1" s="1"/>
  <c r="R1135" i="1" l="1"/>
  <c r="S1136" i="1"/>
  <c r="T1136" i="1" s="1"/>
  <c r="R1134" i="1" l="1"/>
  <c r="S1135" i="1"/>
  <c r="T1135" i="1" s="1"/>
  <c r="R1133" i="1" l="1"/>
  <c r="S1134" i="1"/>
  <c r="T1134" i="1" s="1"/>
  <c r="R1132" i="1" l="1"/>
  <c r="S1133" i="1"/>
  <c r="T1133" i="1" s="1"/>
  <c r="R1131" i="1" l="1"/>
  <c r="S1132" i="1"/>
  <c r="T1132" i="1" s="1"/>
  <c r="R1130" i="1" l="1"/>
  <c r="S1131" i="1"/>
  <c r="T1131" i="1" s="1"/>
  <c r="R1129" i="1" l="1"/>
  <c r="S1130" i="1"/>
  <c r="T1130" i="1" s="1"/>
  <c r="R1128" i="1" l="1"/>
  <c r="S1129" i="1"/>
  <c r="T1129" i="1" s="1"/>
  <c r="R1127" i="1" l="1"/>
  <c r="S1128" i="1"/>
  <c r="T1128" i="1" s="1"/>
  <c r="R1126" i="1" l="1"/>
  <c r="S1127" i="1"/>
  <c r="T1127" i="1" s="1"/>
  <c r="R1125" i="1" l="1"/>
  <c r="S1126" i="1"/>
  <c r="T1126" i="1" s="1"/>
  <c r="R1124" i="1" l="1"/>
  <c r="S1125" i="1"/>
  <c r="T1125" i="1" s="1"/>
  <c r="R1123" i="1" l="1"/>
  <c r="S1124" i="1"/>
  <c r="T1124" i="1" s="1"/>
  <c r="R1122" i="1" l="1"/>
  <c r="S1123" i="1"/>
  <c r="T1123" i="1" s="1"/>
  <c r="R1121" i="1" l="1"/>
  <c r="S1122" i="1"/>
  <c r="T1122" i="1" s="1"/>
  <c r="R1120" i="1" l="1"/>
  <c r="S1121" i="1"/>
  <c r="T1121" i="1" s="1"/>
  <c r="R1119" i="1" l="1"/>
  <c r="S1120" i="1"/>
  <c r="T1120" i="1" s="1"/>
  <c r="R1118" i="1" l="1"/>
  <c r="S1119" i="1"/>
  <c r="T1119" i="1" s="1"/>
  <c r="R1117" i="1" l="1"/>
  <c r="S1118" i="1"/>
  <c r="T1118" i="1" s="1"/>
  <c r="R1116" i="1" l="1"/>
  <c r="S1117" i="1"/>
  <c r="T1117" i="1" s="1"/>
  <c r="R1115" i="1" l="1"/>
  <c r="S1116" i="1"/>
  <c r="T1116" i="1" s="1"/>
  <c r="R1114" i="1" l="1"/>
  <c r="S1115" i="1"/>
  <c r="T1115" i="1" s="1"/>
  <c r="R1113" i="1" l="1"/>
  <c r="S1114" i="1"/>
  <c r="T1114" i="1" s="1"/>
  <c r="R1112" i="1" l="1"/>
  <c r="S1113" i="1"/>
  <c r="T1113" i="1" s="1"/>
  <c r="R1111" i="1" l="1"/>
  <c r="S1112" i="1"/>
  <c r="T1112" i="1" s="1"/>
  <c r="R1110" i="1" l="1"/>
  <c r="S1111" i="1"/>
  <c r="T1111" i="1" s="1"/>
  <c r="R1109" i="1" l="1"/>
  <c r="S1110" i="1"/>
  <c r="T1110" i="1" s="1"/>
  <c r="R1108" i="1" l="1"/>
  <c r="S1109" i="1"/>
  <c r="T1109" i="1" s="1"/>
  <c r="R1107" i="1" l="1"/>
  <c r="S1108" i="1"/>
  <c r="T1108" i="1" s="1"/>
  <c r="R1106" i="1" l="1"/>
  <c r="S1107" i="1"/>
  <c r="T1107" i="1" s="1"/>
  <c r="R1105" i="1" l="1"/>
  <c r="S1106" i="1"/>
  <c r="T1106" i="1" s="1"/>
  <c r="R1104" i="1" l="1"/>
  <c r="S1105" i="1"/>
  <c r="T1105" i="1" s="1"/>
  <c r="R1103" i="1" l="1"/>
  <c r="S1104" i="1"/>
  <c r="T1104" i="1" s="1"/>
  <c r="R1102" i="1" l="1"/>
  <c r="S1103" i="1"/>
  <c r="T1103" i="1" s="1"/>
  <c r="R1101" i="1" l="1"/>
  <c r="S1102" i="1"/>
  <c r="T1102" i="1" s="1"/>
  <c r="R1100" i="1" l="1"/>
  <c r="S1101" i="1"/>
  <c r="T1101" i="1" s="1"/>
  <c r="R1099" i="1" l="1"/>
  <c r="S1100" i="1"/>
  <c r="T1100" i="1" s="1"/>
  <c r="R1098" i="1" l="1"/>
  <c r="S1099" i="1"/>
  <c r="T1099" i="1" s="1"/>
  <c r="R1097" i="1" l="1"/>
  <c r="S1098" i="1"/>
  <c r="T1098" i="1" s="1"/>
  <c r="R1096" i="1" l="1"/>
  <c r="S1097" i="1"/>
  <c r="T1097" i="1" s="1"/>
  <c r="R1095" i="1" l="1"/>
  <c r="S1096" i="1"/>
  <c r="T1096" i="1" s="1"/>
  <c r="R1094" i="1" l="1"/>
  <c r="S1095" i="1"/>
  <c r="T1095" i="1" s="1"/>
  <c r="R1093" i="1" l="1"/>
  <c r="S1094" i="1"/>
  <c r="T1094" i="1" s="1"/>
  <c r="R1092" i="1" l="1"/>
  <c r="S1093" i="1"/>
  <c r="T1093" i="1" s="1"/>
  <c r="R1091" i="1" l="1"/>
  <c r="S1092" i="1"/>
  <c r="T1092" i="1" s="1"/>
  <c r="R1090" i="1" l="1"/>
  <c r="S1091" i="1"/>
  <c r="T1091" i="1" s="1"/>
  <c r="R1089" i="1" l="1"/>
  <c r="S1090" i="1"/>
  <c r="T1090" i="1" s="1"/>
  <c r="R1088" i="1" l="1"/>
  <c r="S1089" i="1"/>
  <c r="T1089" i="1" s="1"/>
  <c r="R1087" i="1" l="1"/>
  <c r="S1088" i="1"/>
  <c r="T1088" i="1" s="1"/>
  <c r="R1086" i="1" l="1"/>
  <c r="S1087" i="1"/>
  <c r="T1087" i="1" s="1"/>
  <c r="R1085" i="1" l="1"/>
  <c r="S1086" i="1"/>
  <c r="T1086" i="1" s="1"/>
  <c r="R1084" i="1" l="1"/>
  <c r="S1085" i="1"/>
  <c r="T1085" i="1" s="1"/>
  <c r="R1083" i="1" l="1"/>
  <c r="S1084" i="1"/>
  <c r="T1084" i="1" s="1"/>
  <c r="R1082" i="1" l="1"/>
  <c r="S1083" i="1"/>
  <c r="T1083" i="1" s="1"/>
  <c r="R1081" i="1" l="1"/>
  <c r="S1082" i="1"/>
  <c r="T1082" i="1" s="1"/>
  <c r="R1080" i="1" l="1"/>
  <c r="S1081" i="1"/>
  <c r="T1081" i="1" s="1"/>
  <c r="R1079" i="1" l="1"/>
  <c r="S1080" i="1"/>
  <c r="T1080" i="1" s="1"/>
  <c r="R1078" i="1" l="1"/>
  <c r="S1079" i="1"/>
  <c r="T1079" i="1" s="1"/>
  <c r="R1077" i="1" l="1"/>
  <c r="S1078" i="1"/>
  <c r="T1078" i="1" s="1"/>
  <c r="R1076" i="1" l="1"/>
  <c r="S1077" i="1"/>
  <c r="T1077" i="1" s="1"/>
  <c r="R1075" i="1" l="1"/>
  <c r="S1076" i="1"/>
  <c r="T1076" i="1" s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<sst xmlns="http://schemas.openxmlformats.org/spreadsheetml/2006/main" count="10009" uniqueCount="34">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</sst>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5.4770000000000003</c:v>
                </c:pt>
                <c:pt idx="1">
                  <c:v>5.5860000000000003</c:v>
                </c:pt>
                <c:pt idx="2">
                  <c:v>5.5419999999999998</c:v>
                </c:pt>
                <c:pt idx="3">
                  <c:v>5.4640000000000004</c:v>
                </c:pt>
                <c:pt idx="4">
                  <c:v>5.8150000000000004</c:v>
                </c:pt>
                <c:pt idx="5">
                  <c:v>5.5890000000000004</c:v>
                </c:pt>
                <c:pt idx="6">
                  <c:v>6.1360000000000001</c:v>
                </c:pt>
                <c:pt idx="7">
                  <c:v>7.056</c:v>
                </c:pt>
                <c:pt idx="8">
                  <c:v>7.3970000000000002</c:v>
                </c:pt>
                <c:pt idx="9">
                  <c:v>7.8460000000000001</c:v>
                </c:pt>
                <c:pt idx="10">
                  <c:v>7.6820000000000004</c:v>
                </c:pt>
                <c:pt idx="11">
                  <c:v>8.0440000000000005</c:v>
                </c:pt>
                <c:pt idx="12">
                  <c:v>8.2430000000000003</c:v>
                </c:pt>
                <c:pt idx="13">
                  <c:v>7.8250000000000002</c:v>
                </c:pt>
                <c:pt idx="14">
                  <c:v>7.5759999999999996</c:v>
                </c:pt>
                <c:pt idx="15">
                  <c:v>7.9269999999999996</c:v>
                </c:pt>
                <c:pt idx="16">
                  <c:v>7.5140000000000002</c:v>
                </c:pt>
                <c:pt idx="17">
                  <c:v>7.2370000000000001</c:v>
                </c:pt>
                <c:pt idx="18">
                  <c:v>7.65</c:v>
                </c:pt>
                <c:pt idx="19">
                  <c:v>7.5960000000000001</c:v>
                </c:pt>
                <c:pt idx="20">
                  <c:v>7.883</c:v>
                </c:pt>
                <c:pt idx="21">
                  <c:v>8.3640000000000008</c:v>
                </c:pt>
                <c:pt idx="22">
                  <c:v>8.2330000000000005</c:v>
                </c:pt>
                <c:pt idx="23">
                  <c:v>9.0079999999999991</c:v>
                </c:pt>
                <c:pt idx="24">
                  <c:v>9.173</c:v>
                </c:pt>
                <c:pt idx="25">
                  <c:v>9.2330000000000005</c:v>
                </c:pt>
                <c:pt idx="26">
                  <c:v>8.9610000000000003</c:v>
                </c:pt>
                <c:pt idx="27">
                  <c:v>8.7159999999999993</c:v>
                </c:pt>
                <c:pt idx="28">
                  <c:v>8.8249999999999993</c:v>
                </c:pt>
                <c:pt idx="29">
                  <c:v>8.7690000000000001</c:v>
                </c:pt>
                <c:pt idx="30">
                  <c:v>9.0690000000000008</c:v>
                </c:pt>
                <c:pt idx="31">
                  <c:v>9.9909999999999997</c:v>
                </c:pt>
                <c:pt idx="32">
                  <c:v>9.9130000000000003</c:v>
                </c:pt>
                <c:pt idx="33">
                  <c:v>10.013</c:v>
                </c:pt>
                <c:pt idx="34">
                  <c:v>9.77</c:v>
                </c:pt>
                <c:pt idx="35">
                  <c:v>10.042</c:v>
                </c:pt>
                <c:pt idx="36">
                  <c:v>9.42</c:v>
                </c:pt>
                <c:pt idx="37">
                  <c:v>9.2070000000000007</c:v>
                </c:pt>
                <c:pt idx="38">
                  <c:v>8.9619999999999997</c:v>
                </c:pt>
                <c:pt idx="39">
                  <c:v>9.08</c:v>
                </c:pt>
                <c:pt idx="40">
                  <c:v>9.266</c:v>
                </c:pt>
                <c:pt idx="41">
                  <c:v>9.0879999999999992</c:v>
                </c:pt>
                <c:pt idx="42">
                  <c:v>9.39</c:v>
                </c:pt>
                <c:pt idx="43">
                  <c:v>9.7919999999999998</c:v>
                </c:pt>
                <c:pt idx="44">
                  <c:v>9.2059999999999995</c:v>
                </c:pt>
                <c:pt idx="45">
                  <c:v>8.84</c:v>
                </c:pt>
                <c:pt idx="46">
                  <c:v>10.005000000000001</c:v>
                </c:pt>
                <c:pt idx="47">
                  <c:v>9.5210000000000008</c:v>
                </c:pt>
                <c:pt idx="48">
                  <c:v>9.4060000000000006</c:v>
                </c:pt>
                <c:pt idx="49">
                  <c:v>9.8510000000000009</c:v>
                </c:pt>
                <c:pt idx="50">
                  <c:v>11.346</c:v>
                </c:pt>
                <c:pt idx="51">
                  <c:v>11.161</c:v>
                </c:pt>
                <c:pt idx="52">
                  <c:v>10.63</c:v>
                </c:pt>
                <c:pt idx="53">
                  <c:v>10.343</c:v>
                </c:pt>
                <c:pt idx="54">
                  <c:v>11.462999999999999</c:v>
                </c:pt>
                <c:pt idx="55">
                  <c:v>13.707000000000001</c:v>
                </c:pt>
                <c:pt idx="56">
                  <c:v>14.76</c:v>
                </c:pt>
                <c:pt idx="57">
                  <c:v>15.157999999999999</c:v>
                </c:pt>
                <c:pt idx="58">
                  <c:v>16.068000000000001</c:v>
                </c:pt>
                <c:pt idx="59">
                  <c:v>15.622999999999999</c:v>
                </c:pt>
                <c:pt idx="60">
                  <c:v>15.098000000000001</c:v>
                </c:pt>
                <c:pt idx="61">
                  <c:v>14.473000000000001</c:v>
                </c:pt>
                <c:pt idx="62">
                  <c:v>14.32</c:v>
                </c:pt>
                <c:pt idx="63">
                  <c:v>16.422999999999998</c:v>
                </c:pt>
                <c:pt idx="64">
                  <c:v>14.196</c:v>
                </c:pt>
                <c:pt idx="65">
                  <c:v>14.721</c:v>
                </c:pt>
                <c:pt idx="66">
                  <c:v>14.523999999999999</c:v>
                </c:pt>
                <c:pt idx="67">
                  <c:v>15.231</c:v>
                </c:pt>
                <c:pt idx="68">
                  <c:v>15.212</c:v>
                </c:pt>
                <c:pt idx="69">
                  <c:v>14.805999999999999</c:v>
                </c:pt>
                <c:pt idx="70">
                  <c:v>13.682</c:v>
                </c:pt>
                <c:pt idx="71">
                  <c:v>15.125</c:v>
                </c:pt>
                <c:pt idx="72">
                  <c:v>15.141</c:v>
                </c:pt>
                <c:pt idx="73">
                  <c:v>16.568000000000001</c:v>
                </c:pt>
                <c:pt idx="74">
                  <c:v>17.302</c:v>
                </c:pt>
                <c:pt idx="75">
                  <c:v>16.588000000000001</c:v>
                </c:pt>
                <c:pt idx="76">
                  <c:v>16.155999999999999</c:v>
                </c:pt>
                <c:pt idx="77">
                  <c:v>16.292000000000002</c:v>
                </c:pt>
                <c:pt idx="78">
                  <c:v>16.239000000000001</c:v>
                </c:pt>
                <c:pt idx="79">
                  <c:v>17.844000000000001</c:v>
                </c:pt>
                <c:pt idx="80">
                  <c:v>17.045000000000002</c:v>
                </c:pt>
                <c:pt idx="81">
                  <c:v>16.484999999999999</c:v>
                </c:pt>
                <c:pt idx="82">
                  <c:v>16.875</c:v>
                </c:pt>
                <c:pt idx="83">
                  <c:v>15.824999999999999</c:v>
                </c:pt>
                <c:pt idx="84">
                  <c:v>15.864000000000001</c:v>
                </c:pt>
                <c:pt idx="85">
                  <c:v>16.295999999999999</c:v>
                </c:pt>
                <c:pt idx="86">
                  <c:v>16.988</c:v>
                </c:pt>
                <c:pt idx="87">
                  <c:v>16.855</c:v>
                </c:pt>
                <c:pt idx="88">
                  <c:v>15.846</c:v>
                </c:pt>
                <c:pt idx="89">
                  <c:v>13.077999999999999</c:v>
                </c:pt>
                <c:pt idx="90">
                  <c:v>13.317</c:v>
                </c:pt>
                <c:pt idx="91">
                  <c:v>13.032999999999999</c:v>
                </c:pt>
                <c:pt idx="92">
                  <c:v>11.689</c:v>
                </c:pt>
                <c:pt idx="93">
                  <c:v>13.103999999999999</c:v>
                </c:pt>
                <c:pt idx="94">
                  <c:v>13.246</c:v>
                </c:pt>
                <c:pt idx="95">
                  <c:v>13.021000000000001</c:v>
                </c:pt>
                <c:pt idx="96">
                  <c:v>13.250999999999999</c:v>
                </c:pt>
                <c:pt idx="97">
                  <c:v>12.827</c:v>
                </c:pt>
                <c:pt idx="98">
                  <c:v>13.185</c:v>
                </c:pt>
                <c:pt idx="99">
                  <c:v>13.125999999999999</c:v>
                </c:pt>
                <c:pt idx="100">
                  <c:v>12.420999999999999</c:v>
                </c:pt>
                <c:pt idx="101">
                  <c:v>12.337</c:v>
                </c:pt>
                <c:pt idx="102">
                  <c:v>12.46</c:v>
                </c:pt>
                <c:pt idx="103">
                  <c:v>12.843</c:v>
                </c:pt>
                <c:pt idx="104">
                  <c:v>12.601000000000001</c:v>
                </c:pt>
                <c:pt idx="105">
                  <c:v>13.253</c:v>
                </c:pt>
                <c:pt idx="106">
                  <c:v>13.372</c:v>
                </c:pt>
                <c:pt idx="107">
                  <c:v>13.288</c:v>
                </c:pt>
                <c:pt idx="108">
                  <c:v>13.048</c:v>
                </c:pt>
                <c:pt idx="109">
                  <c:v>13.071</c:v>
                </c:pt>
                <c:pt idx="110">
                  <c:v>14.895</c:v>
                </c:pt>
                <c:pt idx="111">
                  <c:v>12.618</c:v>
                </c:pt>
                <c:pt idx="112">
                  <c:v>12.909000000000001</c:v>
                </c:pt>
                <c:pt idx="113">
                  <c:v>13.236000000000001</c:v>
                </c:pt>
                <c:pt idx="114">
                  <c:v>13.249000000000001</c:v>
                </c:pt>
                <c:pt idx="115">
                  <c:v>13.593</c:v>
                </c:pt>
                <c:pt idx="116">
                  <c:v>13.914999999999999</c:v>
                </c:pt>
                <c:pt idx="117">
                  <c:v>13.805</c:v>
                </c:pt>
                <c:pt idx="118">
                  <c:v>11.603</c:v>
                </c:pt>
                <c:pt idx="119">
                  <c:v>10.406000000000001</c:v>
                </c:pt>
                <c:pt idx="120">
                  <c:v>9.0470000000000006</c:v>
                </c:pt>
                <c:pt idx="121">
                  <c:v>8.6590000000000007</c:v>
                </c:pt>
                <c:pt idx="122">
                  <c:v>9.2520000000000007</c:v>
                </c:pt>
                <c:pt idx="123">
                  <c:v>9.5069999999999997</c:v>
                </c:pt>
                <c:pt idx="124">
                  <c:v>9.7149999999999999</c:v>
                </c:pt>
                <c:pt idx="125">
                  <c:v>9.9339999999999993</c:v>
                </c:pt>
                <c:pt idx="126">
                  <c:v>10.968999999999999</c:v>
                </c:pt>
                <c:pt idx="127">
                  <c:v>10.77</c:v>
                </c:pt>
                <c:pt idx="128">
                  <c:v>9.3249999999999993</c:v>
                </c:pt>
                <c:pt idx="129">
                  <c:v>10.928000000000001</c:v>
                </c:pt>
                <c:pt idx="130">
                  <c:v>12.17</c:v>
                </c:pt>
                <c:pt idx="131">
                  <c:v>12.548999999999999</c:v>
                </c:pt>
                <c:pt idx="132">
                  <c:v>12.496</c:v>
                </c:pt>
                <c:pt idx="133">
                  <c:v>12.672000000000001</c:v>
                </c:pt>
                <c:pt idx="134">
                  <c:v>13.04</c:v>
                </c:pt>
                <c:pt idx="135">
                  <c:v>12.845000000000001</c:v>
                </c:pt>
                <c:pt idx="136">
                  <c:v>12.478999999999999</c:v>
                </c:pt>
                <c:pt idx="137">
                  <c:v>13.404</c:v>
                </c:pt>
                <c:pt idx="138">
                  <c:v>12.792</c:v>
                </c:pt>
                <c:pt idx="139">
                  <c:v>12.78</c:v>
                </c:pt>
                <c:pt idx="140">
                  <c:v>13.401999999999999</c:v>
                </c:pt>
                <c:pt idx="141">
                  <c:v>12.465999999999999</c:v>
                </c:pt>
                <c:pt idx="142">
                  <c:v>12.52</c:v>
                </c:pt>
                <c:pt idx="143">
                  <c:v>15.619</c:v>
                </c:pt>
                <c:pt idx="144">
                  <c:v>16.111999999999998</c:v>
                </c:pt>
                <c:pt idx="145">
                  <c:v>14.146000000000001</c:v>
                </c:pt>
                <c:pt idx="146">
                  <c:v>13.597</c:v>
                </c:pt>
                <c:pt idx="147">
                  <c:v>13.249000000000001</c:v>
                </c:pt>
                <c:pt idx="148">
                  <c:v>13.23</c:v>
                </c:pt>
                <c:pt idx="149">
                  <c:v>12.414</c:v>
                </c:pt>
                <c:pt idx="150">
                  <c:v>12.217000000000001</c:v>
                </c:pt>
                <c:pt idx="151">
                  <c:v>12.926</c:v>
                </c:pt>
                <c:pt idx="152">
                  <c:v>12.597</c:v>
                </c:pt>
                <c:pt idx="153">
                  <c:v>12.853999999999999</c:v>
                </c:pt>
                <c:pt idx="154">
                  <c:v>11.821999999999999</c:v>
                </c:pt>
                <c:pt idx="155">
                  <c:v>12.961</c:v>
                </c:pt>
                <c:pt idx="156">
                  <c:v>12.666</c:v>
                </c:pt>
                <c:pt idx="157">
                  <c:v>13.816000000000001</c:v>
                </c:pt>
                <c:pt idx="158">
                  <c:v>13.647</c:v>
                </c:pt>
                <c:pt idx="159">
                  <c:v>13.727</c:v>
                </c:pt>
                <c:pt idx="160">
                  <c:v>14.151999999999999</c:v>
                </c:pt>
                <c:pt idx="161">
                  <c:v>13.314</c:v>
                </c:pt>
                <c:pt idx="162">
                  <c:v>12.929</c:v>
                </c:pt>
                <c:pt idx="163">
                  <c:v>12.446</c:v>
                </c:pt>
                <c:pt idx="164">
                  <c:v>13.249000000000001</c:v>
                </c:pt>
                <c:pt idx="165">
                  <c:v>13.778</c:v>
                </c:pt>
                <c:pt idx="166">
                  <c:v>14.1</c:v>
                </c:pt>
                <c:pt idx="167">
                  <c:v>13.981</c:v>
                </c:pt>
                <c:pt idx="168">
                  <c:v>10.31</c:v>
                </c:pt>
                <c:pt idx="169">
                  <c:v>10.795</c:v>
                </c:pt>
                <c:pt idx="170">
                  <c:v>10.689</c:v>
                </c:pt>
                <c:pt idx="171">
                  <c:v>10.755000000000001</c:v>
                </c:pt>
                <c:pt idx="172">
                  <c:v>10.247</c:v>
                </c:pt>
                <c:pt idx="173">
                  <c:v>10.89</c:v>
                </c:pt>
                <c:pt idx="174">
                  <c:v>8.7520000000000007</c:v>
                </c:pt>
                <c:pt idx="175">
                  <c:v>8.1329999999999991</c:v>
                </c:pt>
                <c:pt idx="176">
                  <c:v>7.9930000000000003</c:v>
                </c:pt>
                <c:pt idx="177">
                  <c:v>7.7789999999999999</c:v>
                </c:pt>
                <c:pt idx="178">
                  <c:v>7.9859999999999998</c:v>
                </c:pt>
                <c:pt idx="179">
                  <c:v>7.3319999999999999</c:v>
                </c:pt>
                <c:pt idx="180">
                  <c:v>7.9859999999999998</c:v>
                </c:pt>
                <c:pt idx="181">
                  <c:v>7.2279999999999998</c:v>
                </c:pt>
                <c:pt idx="182">
                  <c:v>6.766</c:v>
                </c:pt>
                <c:pt idx="183">
                  <c:v>6.6379999999999999</c:v>
                </c:pt>
                <c:pt idx="184">
                  <c:v>6.5140000000000002</c:v>
                </c:pt>
                <c:pt idx="185">
                  <c:v>6.3120000000000003</c:v>
                </c:pt>
                <c:pt idx="186">
                  <c:v>6.2130000000000001</c:v>
                </c:pt>
                <c:pt idx="187">
                  <c:v>6.0880000000000001</c:v>
                </c:pt>
                <c:pt idx="188">
                  <c:v>5.87</c:v>
                </c:pt>
                <c:pt idx="189">
                  <c:v>5.6</c:v>
                </c:pt>
                <c:pt idx="190">
                  <c:v>5.3879999999999999</c:v>
                </c:pt>
                <c:pt idx="191">
                  <c:v>4.9770000000000003</c:v>
                </c:pt>
                <c:pt idx="192">
                  <c:v>5.3140000000000001</c:v>
                </c:pt>
                <c:pt idx="193">
                  <c:v>5.67</c:v>
                </c:pt>
                <c:pt idx="194">
                  <c:v>5.5650000000000004</c:v>
                </c:pt>
                <c:pt idx="195">
                  <c:v>5.5279999999999996</c:v>
                </c:pt>
                <c:pt idx="196">
                  <c:v>5.92</c:v>
                </c:pt>
                <c:pt idx="197">
                  <c:v>6.2</c:v>
                </c:pt>
                <c:pt idx="198">
                  <c:v>6.2119999999999997</c:v>
                </c:pt>
                <c:pt idx="199">
                  <c:v>6.548</c:v>
                </c:pt>
                <c:pt idx="200">
                  <c:v>6.7</c:v>
                </c:pt>
                <c:pt idx="201">
                  <c:v>6.6390000000000002</c:v>
                </c:pt>
                <c:pt idx="202">
                  <c:v>6.7759999999999998</c:v>
                </c:pt>
                <c:pt idx="203">
                  <c:v>6.4950000000000001</c:v>
                </c:pt>
                <c:pt idx="204">
                  <c:v>7.0860000000000003</c:v>
                </c:pt>
                <c:pt idx="205">
                  <c:v>7.1669999999999998</c:v>
                </c:pt>
                <c:pt idx="206">
                  <c:v>6.952</c:v>
                </c:pt>
                <c:pt idx="207">
                  <c:v>7.3949999999999996</c:v>
                </c:pt>
                <c:pt idx="208">
                  <c:v>7.2510000000000003</c:v>
                </c:pt>
                <c:pt idx="209">
                  <c:v>7.06</c:v>
                </c:pt>
                <c:pt idx="210">
                  <c:v>7.0620000000000003</c:v>
                </c:pt>
                <c:pt idx="211">
                  <c:v>7.68</c:v>
                </c:pt>
                <c:pt idx="212">
                  <c:v>7.5659999999999998</c:v>
                </c:pt>
                <c:pt idx="213">
                  <c:v>6.3230000000000004</c:v>
                </c:pt>
                <c:pt idx="214">
                  <c:v>6.16</c:v>
                </c:pt>
                <c:pt idx="215">
                  <c:v>5.8220000000000001</c:v>
                </c:pt>
                <c:pt idx="216">
                  <c:v>5.5119999999999996</c:v>
                </c:pt>
                <c:pt idx="217">
                  <c:v>6.1749999999999998</c:v>
                </c:pt>
                <c:pt idx="218">
                  <c:v>5.8979999999999997</c:v>
                </c:pt>
                <c:pt idx="219">
                  <c:v>4.9969999999999999</c:v>
                </c:pt>
                <c:pt idx="220">
                  <c:v>5.4779999999999998</c:v>
                </c:pt>
                <c:pt idx="221">
                  <c:v>7.5449999999999999</c:v>
                </c:pt>
                <c:pt idx="222">
                  <c:v>7.6719999999999997</c:v>
                </c:pt>
                <c:pt idx="223">
                  <c:v>8.02</c:v>
                </c:pt>
                <c:pt idx="224">
                  <c:v>8.6319999999999997</c:v>
                </c:pt>
                <c:pt idx="225">
                  <c:v>8.6940000000000008</c:v>
                </c:pt>
                <c:pt idx="226">
                  <c:v>9.2569999999999997</c:v>
                </c:pt>
                <c:pt idx="227">
                  <c:v>9.4280000000000008</c:v>
                </c:pt>
                <c:pt idx="228">
                  <c:v>9.2430000000000003</c:v>
                </c:pt>
                <c:pt idx="229">
                  <c:v>8.5779999999999994</c:v>
                </c:pt>
                <c:pt idx="230">
                  <c:v>9.06</c:v>
                </c:pt>
                <c:pt idx="231">
                  <c:v>9.73</c:v>
                </c:pt>
                <c:pt idx="232">
                  <c:v>9.9339999999999993</c:v>
                </c:pt>
                <c:pt idx="233">
                  <c:v>9.3759999999999994</c:v>
                </c:pt>
                <c:pt idx="234">
                  <c:v>9.7010000000000005</c:v>
                </c:pt>
                <c:pt idx="235">
                  <c:v>11.07</c:v>
                </c:pt>
                <c:pt idx="236">
                  <c:v>10.927</c:v>
                </c:pt>
                <c:pt idx="237">
                  <c:v>11.295999999999999</c:v>
                </c:pt>
                <c:pt idx="238">
                  <c:v>12.41</c:v>
                </c:pt>
                <c:pt idx="239">
                  <c:v>12.096</c:v>
                </c:pt>
                <c:pt idx="240">
                  <c:v>11.87</c:v>
                </c:pt>
                <c:pt idx="241">
                  <c:v>12.401999999999999</c:v>
                </c:pt>
                <c:pt idx="242">
                  <c:v>11.412000000000001</c:v>
                </c:pt>
                <c:pt idx="243">
                  <c:v>11.254</c:v>
                </c:pt>
                <c:pt idx="244">
                  <c:v>12.116</c:v>
                </c:pt>
                <c:pt idx="245">
                  <c:v>14.614000000000001</c:v>
                </c:pt>
                <c:pt idx="246">
                  <c:v>12.605</c:v>
                </c:pt>
                <c:pt idx="247">
                  <c:v>11.603999999999999</c:v>
                </c:pt>
                <c:pt idx="248">
                  <c:v>11.282</c:v>
                </c:pt>
                <c:pt idx="249">
                  <c:v>8.109</c:v>
                </c:pt>
                <c:pt idx="250">
                  <c:v>9.6980000000000004</c:v>
                </c:pt>
                <c:pt idx="251">
                  <c:v>11.103999999999999</c:v>
                </c:pt>
                <c:pt idx="252">
                  <c:v>13.621</c:v>
                </c:pt>
                <c:pt idx="253">
                  <c:v>10.861000000000001</c:v>
                </c:pt>
                <c:pt idx="254">
                  <c:v>18.053000000000001</c:v>
                </c:pt>
                <c:pt idx="255">
                  <c:v>17.420000000000002</c:v>
                </c:pt>
                <c:pt idx="256">
                  <c:v>19.315000000000001</c:v>
                </c:pt>
                <c:pt idx="257">
                  <c:v>19.937999999999999</c:v>
                </c:pt>
                <c:pt idx="258">
                  <c:v>21.943999999999999</c:v>
                </c:pt>
                <c:pt idx="259">
                  <c:v>20.782</c:v>
                </c:pt>
                <c:pt idx="260">
                  <c:v>20.007999999999999</c:v>
                </c:pt>
                <c:pt idx="261">
                  <c:v>26.51</c:v>
                </c:pt>
                <c:pt idx="262">
                  <c:v>23.533999999999999</c:v>
                </c:pt>
                <c:pt idx="263">
                  <c:v>27.364999999999998</c:v>
                </c:pt>
                <c:pt idx="264">
                  <c:v>25.672999999999998</c:v>
                </c:pt>
                <c:pt idx="265">
                  <c:v>26.731999999999999</c:v>
                </c:pt>
                <c:pt idx="266">
                  <c:v>24.776</c:v>
                </c:pt>
                <c:pt idx="267">
                  <c:v>17.768000000000001</c:v>
                </c:pt>
                <c:pt idx="268">
                  <c:v>13.792999999999999</c:v>
                </c:pt>
                <c:pt idx="269">
                  <c:v>15.754</c:v>
                </c:pt>
                <c:pt idx="270">
                  <c:v>15.237</c:v>
                </c:pt>
                <c:pt idx="271">
                  <c:v>15.125999999999999</c:v>
                </c:pt>
                <c:pt idx="272">
                  <c:v>15.021000000000001</c:v>
                </c:pt>
                <c:pt idx="273">
                  <c:v>14.21</c:v>
                </c:pt>
                <c:pt idx="274">
                  <c:v>14.347</c:v>
                </c:pt>
                <c:pt idx="275">
                  <c:v>14.913</c:v>
                </c:pt>
                <c:pt idx="276">
                  <c:v>14.025</c:v>
                </c:pt>
                <c:pt idx="277">
                  <c:v>11.938000000000001</c:v>
                </c:pt>
                <c:pt idx="278">
                  <c:v>11.667999999999999</c:v>
                </c:pt>
                <c:pt idx="279">
                  <c:v>13.052</c:v>
                </c:pt>
                <c:pt idx="280">
                  <c:v>13.361000000000001</c:v>
                </c:pt>
                <c:pt idx="281">
                  <c:v>15.787000000000001</c:v>
                </c:pt>
                <c:pt idx="282">
                  <c:v>17.495999999999999</c:v>
                </c:pt>
                <c:pt idx="283">
                  <c:v>18.298999999999999</c:v>
                </c:pt>
                <c:pt idx="284">
                  <c:v>18.38</c:v>
                </c:pt>
                <c:pt idx="285">
                  <c:v>17.245999999999999</c:v>
                </c:pt>
                <c:pt idx="286">
                  <c:v>18.347999999999999</c:v>
                </c:pt>
                <c:pt idx="287">
                  <c:v>17.62</c:v>
                </c:pt>
                <c:pt idx="288">
                  <c:v>15.895</c:v>
                </c:pt>
                <c:pt idx="289">
                  <c:v>15.052</c:v>
                </c:pt>
                <c:pt idx="290">
                  <c:v>14.51</c:v>
                </c:pt>
                <c:pt idx="291">
                  <c:v>14.94</c:v>
                </c:pt>
                <c:pt idx="292">
                  <c:v>15.907</c:v>
                </c:pt>
                <c:pt idx="293">
                  <c:v>15.744999999999999</c:v>
                </c:pt>
                <c:pt idx="294">
                  <c:v>16.809000000000001</c:v>
                </c:pt>
                <c:pt idx="295">
                  <c:v>15.695</c:v>
                </c:pt>
                <c:pt idx="296">
                  <c:v>15.252000000000001</c:v>
                </c:pt>
                <c:pt idx="297">
                  <c:v>11.837999999999999</c:v>
                </c:pt>
                <c:pt idx="298">
                  <c:v>10.77</c:v>
                </c:pt>
                <c:pt idx="299">
                  <c:v>9.7490000000000006</c:v>
                </c:pt>
                <c:pt idx="300">
                  <c:v>10.178000000000001</c:v>
                </c:pt>
                <c:pt idx="301">
                  <c:v>10.032</c:v>
                </c:pt>
                <c:pt idx="302">
                  <c:v>9.3889999999999993</c:v>
                </c:pt>
                <c:pt idx="303">
                  <c:v>8.76</c:v>
                </c:pt>
                <c:pt idx="304">
                  <c:v>8.7530000000000001</c:v>
                </c:pt>
                <c:pt idx="305">
                  <c:v>8.2070000000000007</c:v>
                </c:pt>
                <c:pt idx="306">
                  <c:v>8.5350000000000001</c:v>
                </c:pt>
                <c:pt idx="307">
                  <c:v>8.6349999999999998</c:v>
                </c:pt>
                <c:pt idx="308">
                  <c:v>8.2249999999999996</c:v>
                </c:pt>
                <c:pt idx="309">
                  <c:v>7.226</c:v>
                </c:pt>
                <c:pt idx="310">
                  <c:v>6.9989999999999997</c:v>
                </c:pt>
                <c:pt idx="311">
                  <c:v>6.5380000000000003</c:v>
                </c:pt>
                <c:pt idx="312">
                  <c:v>6.5960000000000001</c:v>
                </c:pt>
                <c:pt idx="313">
                  <c:v>6.665</c:v>
                </c:pt>
                <c:pt idx="314">
                  <c:v>7.0049999999999999</c:v>
                </c:pt>
                <c:pt idx="315">
                  <c:v>6.3719999999999999</c:v>
                </c:pt>
                <c:pt idx="316">
                  <c:v>6.2080000000000002</c:v>
                </c:pt>
                <c:pt idx="317">
                  <c:v>6.3680000000000003</c:v>
                </c:pt>
                <c:pt idx="318">
                  <c:v>5.95</c:v>
                </c:pt>
                <c:pt idx="319">
                  <c:v>5.8319999999999999</c:v>
                </c:pt>
                <c:pt idx="320">
                  <c:v>6.1219999999999999</c:v>
                </c:pt>
                <c:pt idx="321">
                  <c:v>5.8369999999999997</c:v>
                </c:pt>
                <c:pt idx="322">
                  <c:v>6.1420000000000003</c:v>
                </c:pt>
                <c:pt idx="323">
                  <c:v>6.23</c:v>
                </c:pt>
                <c:pt idx="324">
                  <c:v>6.5579999999999998</c:v>
                </c:pt>
                <c:pt idx="325">
                  <c:v>6.3140000000000001</c:v>
                </c:pt>
                <c:pt idx="326">
                  <c:v>6.35</c:v>
                </c:pt>
                <c:pt idx="327">
                  <c:v>6.3150000000000004</c:v>
                </c:pt>
                <c:pt idx="328">
                  <c:v>6.5880000000000001</c:v>
                </c:pt>
                <c:pt idx="329">
                  <c:v>5.6849999999999996</c:v>
                </c:pt>
                <c:pt idx="330">
                  <c:v>5.34</c:v>
                </c:pt>
                <c:pt idx="331">
                  <c:v>5.1929999999999996</c:v>
                </c:pt>
                <c:pt idx="332">
                  <c:v>5.27</c:v>
                </c:pt>
                <c:pt idx="333">
                  <c:v>4.8550000000000004</c:v>
                </c:pt>
                <c:pt idx="334">
                  <c:v>5.2670000000000003</c:v>
                </c:pt>
                <c:pt idx="335">
                  <c:v>5.1840000000000002</c:v>
                </c:pt>
                <c:pt idx="336">
                  <c:v>5.1280000000000001</c:v>
                </c:pt>
                <c:pt idx="337">
                  <c:v>5.3029999999999999</c:v>
                </c:pt>
                <c:pt idx="338">
                  <c:v>5.1479999999999997</c:v>
                </c:pt>
                <c:pt idx="339">
                  <c:v>6.3890000000000002</c:v>
                </c:pt>
                <c:pt idx="340">
                  <c:v>7.1180000000000003</c:v>
                </c:pt>
                <c:pt idx="341">
                  <c:v>6.6929999999999996</c:v>
                </c:pt>
                <c:pt idx="342">
                  <c:v>7.2619999999999996</c:v>
                </c:pt>
                <c:pt idx="343">
                  <c:v>7.133</c:v>
                </c:pt>
                <c:pt idx="344">
                  <c:v>6.6390000000000002</c:v>
                </c:pt>
                <c:pt idx="345">
                  <c:v>6.4260000000000002</c:v>
                </c:pt>
                <c:pt idx="346">
                  <c:v>6.4119999999999999</c:v>
                </c:pt>
                <c:pt idx="347">
                  <c:v>6.9859999999999998</c:v>
                </c:pt>
                <c:pt idx="348">
                  <c:v>7.718</c:v>
                </c:pt>
                <c:pt idx="349">
                  <c:v>7.3449999999999998</c:v>
                </c:pt>
                <c:pt idx="350">
                  <c:v>7.4109999999999996</c:v>
                </c:pt>
                <c:pt idx="351">
                  <c:v>7.5140000000000002</c:v>
                </c:pt>
                <c:pt idx="352">
                  <c:v>5.0149999999999997</c:v>
                </c:pt>
                <c:pt idx="353">
                  <c:v>4.7309999999999999</c:v>
                </c:pt>
                <c:pt idx="354">
                  <c:v>4.2460000000000004</c:v>
                </c:pt>
                <c:pt idx="355">
                  <c:v>4.4320000000000004</c:v>
                </c:pt>
                <c:pt idx="356">
                  <c:v>3.8570000000000002</c:v>
                </c:pt>
                <c:pt idx="357">
                  <c:v>3.5059999999999998</c:v>
                </c:pt>
                <c:pt idx="358">
                  <c:v>3.6829999999999998</c:v>
                </c:pt>
                <c:pt idx="359">
                  <c:v>3.5430000000000001</c:v>
                </c:pt>
                <c:pt idx="360">
                  <c:v>3.4710000000000001</c:v>
                </c:pt>
                <c:pt idx="361">
                  <c:v>3.2829999999999999</c:v>
                </c:pt>
                <c:pt idx="362">
                  <c:v>3.2970000000000002</c:v>
                </c:pt>
                <c:pt idx="363">
                  <c:v>3.3069999999999999</c:v>
                </c:pt>
                <c:pt idx="364">
                  <c:v>3.2709999999999999</c:v>
                </c:pt>
                <c:pt idx="365">
                  <c:v>3.1120000000000001</c:v>
                </c:pt>
                <c:pt idx="366">
                  <c:v>3.4340000000000002</c:v>
                </c:pt>
                <c:pt idx="367">
                  <c:v>3.2839999999999998</c:v>
                </c:pt>
                <c:pt idx="368">
                  <c:v>3.5449999999999999</c:v>
                </c:pt>
                <c:pt idx="369">
                  <c:v>3.9380000000000002</c:v>
                </c:pt>
                <c:pt idx="370">
                  <c:v>2.9180000000000001</c:v>
                </c:pt>
                <c:pt idx="371">
                  <c:v>2.7360000000000002</c:v>
                </c:pt>
                <c:pt idx="372">
                  <c:v>3.238</c:v>
                </c:pt>
                <c:pt idx="373">
                  <c:v>3.161</c:v>
                </c:pt>
                <c:pt idx="374">
                  <c:v>3.3010000000000002</c:v>
                </c:pt>
                <c:pt idx="375">
                  <c:v>3.1880000000000002</c:v>
                </c:pt>
                <c:pt idx="376">
                  <c:v>3.056</c:v>
                </c:pt>
                <c:pt idx="377">
                  <c:v>2.9409999999999998</c:v>
                </c:pt>
                <c:pt idx="378">
                  <c:v>3.0209999999999999</c:v>
                </c:pt>
                <c:pt idx="379">
                  <c:v>2.948</c:v>
                </c:pt>
                <c:pt idx="380">
                  <c:v>2.75</c:v>
                </c:pt>
                <c:pt idx="381">
                  <c:v>2.8980000000000001</c:v>
                </c:pt>
                <c:pt idx="382">
                  <c:v>3.383</c:v>
                </c:pt>
                <c:pt idx="383">
                  <c:v>3.2280000000000002</c:v>
                </c:pt>
                <c:pt idx="384">
                  <c:v>2.8610000000000002</c:v>
                </c:pt>
                <c:pt idx="385">
                  <c:v>2.8940000000000001</c:v>
                </c:pt>
                <c:pt idx="386">
                  <c:v>3.0129999999999999</c:v>
                </c:pt>
                <c:pt idx="387">
                  <c:v>2.6120000000000001</c:v>
                </c:pt>
                <c:pt idx="388">
                  <c:v>2.5150000000000001</c:v>
                </c:pt>
                <c:pt idx="389">
                  <c:v>2.4660000000000002</c:v>
                </c:pt>
                <c:pt idx="390">
                  <c:v>2.2490000000000001</c:v>
                </c:pt>
                <c:pt idx="391">
                  <c:v>2.2679999999999998</c:v>
                </c:pt>
                <c:pt idx="392">
                  <c:v>2.222</c:v>
                </c:pt>
                <c:pt idx="393">
                  <c:v>2.2149999999999999</c:v>
                </c:pt>
                <c:pt idx="394">
                  <c:v>2.2709999999999999</c:v>
                </c:pt>
                <c:pt idx="395">
                  <c:v>2.3839999999999999</c:v>
                </c:pt>
                <c:pt idx="396">
                  <c:v>2.2749999999999999</c:v>
                </c:pt>
                <c:pt idx="397">
                  <c:v>2.2599999999999998</c:v>
                </c:pt>
                <c:pt idx="398">
                  <c:v>2.2879999999999998</c:v>
                </c:pt>
                <c:pt idx="399">
                  <c:v>2.3119999999999998</c:v>
                </c:pt>
                <c:pt idx="400">
                  <c:v>2.0960000000000001</c:v>
                </c:pt>
                <c:pt idx="401">
                  <c:v>2.5739999999999998</c:v>
                </c:pt>
                <c:pt idx="402">
                  <c:v>2.5920000000000001</c:v>
                </c:pt>
                <c:pt idx="403">
                  <c:v>2.802</c:v>
                </c:pt>
                <c:pt idx="404">
                  <c:v>2.8109999999999999</c:v>
                </c:pt>
                <c:pt idx="405">
                  <c:v>2.74</c:v>
                </c:pt>
                <c:pt idx="406">
                  <c:v>2.6880000000000002</c:v>
                </c:pt>
                <c:pt idx="407">
                  <c:v>2.766</c:v>
                </c:pt>
                <c:pt idx="408">
                  <c:v>2.5859999999999999</c:v>
                </c:pt>
                <c:pt idx="409">
                  <c:v>2.5209999999999999</c:v>
                </c:pt>
                <c:pt idx="410">
                  <c:v>2.5569999999999999</c:v>
                </c:pt>
                <c:pt idx="411">
                  <c:v>2.4689999999999999</c:v>
                </c:pt>
                <c:pt idx="412">
                  <c:v>2.3370000000000002</c:v>
                </c:pt>
                <c:pt idx="413">
                  <c:v>2.4300000000000002</c:v>
                </c:pt>
                <c:pt idx="414">
                  <c:v>2.4910000000000001</c:v>
                </c:pt>
                <c:pt idx="415">
                  <c:v>2.41</c:v>
                </c:pt>
                <c:pt idx="416">
                  <c:v>2.6120000000000001</c:v>
                </c:pt>
                <c:pt idx="417">
                  <c:v>2.653</c:v>
                </c:pt>
                <c:pt idx="418">
                  <c:v>2.718</c:v>
                </c:pt>
                <c:pt idx="419">
                  <c:v>2.5910000000000002</c:v>
                </c:pt>
                <c:pt idx="420">
                  <c:v>2.8769999999999998</c:v>
                </c:pt>
                <c:pt idx="421">
                  <c:v>2.7869999999999999</c:v>
                </c:pt>
                <c:pt idx="422">
                  <c:v>2.718</c:v>
                </c:pt>
                <c:pt idx="423">
                  <c:v>2.9319999999999999</c:v>
                </c:pt>
                <c:pt idx="424">
                  <c:v>2.734</c:v>
                </c:pt>
                <c:pt idx="425">
                  <c:v>2.69</c:v>
                </c:pt>
                <c:pt idx="426">
                  <c:v>2.6019999999999999</c:v>
                </c:pt>
                <c:pt idx="427">
                  <c:v>2.5219999999999998</c:v>
                </c:pt>
                <c:pt idx="428">
                  <c:v>2.9239999999999999</c:v>
                </c:pt>
                <c:pt idx="429">
                  <c:v>3.0790000000000002</c:v>
                </c:pt>
                <c:pt idx="430">
                  <c:v>2.794</c:v>
                </c:pt>
                <c:pt idx="431">
                  <c:v>2.5569999999999999</c:v>
                </c:pt>
                <c:pt idx="432">
                  <c:v>2.6949999999999998</c:v>
                </c:pt>
                <c:pt idx="433">
                  <c:v>2.3620000000000001</c:v>
                </c:pt>
                <c:pt idx="434">
                  <c:v>2.25</c:v>
                </c:pt>
                <c:pt idx="435">
                  <c:v>2.15</c:v>
                </c:pt>
                <c:pt idx="436">
                  <c:v>2.206</c:v>
                </c:pt>
                <c:pt idx="437">
                  <c:v>2.073</c:v>
                </c:pt>
                <c:pt idx="438">
                  <c:v>1.978</c:v>
                </c:pt>
                <c:pt idx="439">
                  <c:v>2.04</c:v>
                </c:pt>
                <c:pt idx="440">
                  <c:v>2.0939999999999999</c:v>
                </c:pt>
                <c:pt idx="441">
                  <c:v>2.0299999999999998</c:v>
                </c:pt>
                <c:pt idx="442">
                  <c:v>2.0539999999999998</c:v>
                </c:pt>
                <c:pt idx="443">
                  <c:v>2.0059999999999998</c:v>
                </c:pt>
                <c:pt idx="444">
                  <c:v>1.9890000000000001</c:v>
                </c:pt>
                <c:pt idx="445">
                  <c:v>2.0270000000000001</c:v>
                </c:pt>
                <c:pt idx="446">
                  <c:v>1.9490000000000001</c:v>
                </c:pt>
                <c:pt idx="447">
                  <c:v>2.0710000000000002</c:v>
                </c:pt>
                <c:pt idx="448">
                  <c:v>1.931</c:v>
                </c:pt>
                <c:pt idx="449">
                  <c:v>1.833</c:v>
                </c:pt>
                <c:pt idx="450">
                  <c:v>1.8680000000000001</c:v>
                </c:pt>
                <c:pt idx="451">
                  <c:v>1.9239999999999999</c:v>
                </c:pt>
                <c:pt idx="452">
                  <c:v>2.008</c:v>
                </c:pt>
                <c:pt idx="453">
                  <c:v>1.964</c:v>
                </c:pt>
                <c:pt idx="454">
                  <c:v>1.946</c:v>
                </c:pt>
                <c:pt idx="455">
                  <c:v>2.0329999999999999</c:v>
                </c:pt>
                <c:pt idx="456">
                  <c:v>2.0790000000000002</c:v>
                </c:pt>
                <c:pt idx="457">
                  <c:v>2.194</c:v>
                </c:pt>
                <c:pt idx="458">
                  <c:v>2.1739999999999999</c:v>
                </c:pt>
                <c:pt idx="459">
                  <c:v>2.2290000000000001</c:v>
                </c:pt>
                <c:pt idx="460">
                  <c:v>2.3119999999999998</c:v>
                </c:pt>
                <c:pt idx="461">
                  <c:v>2.2909999999999999</c:v>
                </c:pt>
                <c:pt idx="462">
                  <c:v>2.3410000000000002</c:v>
                </c:pt>
                <c:pt idx="463">
                  <c:v>2.2829999999999999</c:v>
                </c:pt>
                <c:pt idx="464">
                  <c:v>2.1459999999999999</c:v>
                </c:pt>
                <c:pt idx="465">
                  <c:v>2.2120000000000002</c:v>
                </c:pt>
                <c:pt idx="466">
                  <c:v>2.2160000000000002</c:v>
                </c:pt>
                <c:pt idx="467">
                  <c:v>2.1789999999999998</c:v>
                </c:pt>
                <c:pt idx="468">
                  <c:v>2.1659999999999999</c:v>
                </c:pt>
                <c:pt idx="469">
                  <c:v>2.23</c:v>
                </c:pt>
                <c:pt idx="470">
                  <c:v>2.254</c:v>
                </c:pt>
                <c:pt idx="471">
                  <c:v>2.33</c:v>
                </c:pt>
                <c:pt idx="472">
                  <c:v>2.3450000000000002</c:v>
                </c:pt>
                <c:pt idx="473">
                  <c:v>2.3540000000000001</c:v>
                </c:pt>
                <c:pt idx="474">
                  <c:v>2.2999999999999998</c:v>
                </c:pt>
                <c:pt idx="475">
                  <c:v>2.33</c:v>
                </c:pt>
                <c:pt idx="476">
                  <c:v>2.2509999999999999</c:v>
                </c:pt>
                <c:pt idx="477">
                  <c:v>2.1920000000000002</c:v>
                </c:pt>
                <c:pt idx="478">
                  <c:v>2.1720000000000002</c:v>
                </c:pt>
                <c:pt idx="479">
                  <c:v>2.302</c:v>
                </c:pt>
                <c:pt idx="480">
                  <c:v>2.306</c:v>
                </c:pt>
                <c:pt idx="481">
                  <c:v>2.2970000000000002</c:v>
                </c:pt>
                <c:pt idx="482">
                  <c:v>2.2879999999999998</c:v>
                </c:pt>
                <c:pt idx="483">
                  <c:v>2.3650000000000002</c:v>
                </c:pt>
                <c:pt idx="484">
                  <c:v>2.4350000000000001</c:v>
                </c:pt>
                <c:pt idx="485">
                  <c:v>2.4329999999999998</c:v>
                </c:pt>
                <c:pt idx="486">
                  <c:v>2.4249999999999998</c:v>
                </c:pt>
                <c:pt idx="487">
                  <c:v>2.37</c:v>
                </c:pt>
                <c:pt idx="488">
                  <c:v>2.399</c:v>
                </c:pt>
                <c:pt idx="489">
                  <c:v>2.36</c:v>
                </c:pt>
                <c:pt idx="490">
                  <c:v>2.319</c:v>
                </c:pt>
                <c:pt idx="491">
                  <c:v>2.1760000000000002</c:v>
                </c:pt>
                <c:pt idx="492">
                  <c:v>2.3410000000000002</c:v>
                </c:pt>
                <c:pt idx="493">
                  <c:v>2.2629999999999999</c:v>
                </c:pt>
                <c:pt idx="494">
                  <c:v>2.52</c:v>
                </c:pt>
                <c:pt idx="495">
                  <c:v>2.6309999999999998</c:v>
                </c:pt>
                <c:pt idx="496">
                  <c:v>2.8039999999999998</c:v>
                </c:pt>
                <c:pt idx="497">
                  <c:v>2.5659999999999998</c:v>
                </c:pt>
                <c:pt idx="498">
                  <c:v>2.448</c:v>
                </c:pt>
                <c:pt idx="499">
                  <c:v>2.4660000000000002</c:v>
                </c:pt>
                <c:pt idx="500">
                  <c:v>2.6389999999999998</c:v>
                </c:pt>
                <c:pt idx="501">
                  <c:v>2.6480000000000001</c:v>
                </c:pt>
                <c:pt idx="502">
                  <c:v>2.8540000000000001</c:v>
                </c:pt>
                <c:pt idx="503">
                  <c:v>2.8159999999999998</c:v>
                </c:pt>
                <c:pt idx="504">
                  <c:v>2.6219999999999999</c:v>
                </c:pt>
                <c:pt idx="505">
                  <c:v>2.4390000000000001</c:v>
                </c:pt>
                <c:pt idx="506">
                  <c:v>2.359</c:v>
                </c:pt>
                <c:pt idx="507">
                  <c:v>2.41</c:v>
                </c:pt>
                <c:pt idx="508">
                  <c:v>2.4220000000000002</c:v>
                </c:pt>
                <c:pt idx="509">
                  <c:v>2.3439999999999999</c:v>
                </c:pt>
                <c:pt idx="510">
                  <c:v>2.5779999999999998</c:v>
                </c:pt>
                <c:pt idx="511">
                  <c:v>2.3879999999999999</c:v>
                </c:pt>
                <c:pt idx="512">
                  <c:v>3.238</c:v>
                </c:pt>
                <c:pt idx="513">
                  <c:v>3.5179999999999998</c:v>
                </c:pt>
                <c:pt idx="514">
                  <c:v>3.359</c:v>
                </c:pt>
                <c:pt idx="515">
                  <c:v>3.4489999999999998</c:v>
                </c:pt>
                <c:pt idx="516">
                  <c:v>3.431</c:v>
                </c:pt>
                <c:pt idx="517">
                  <c:v>3.3420000000000001</c:v>
                </c:pt>
                <c:pt idx="518">
                  <c:v>3.37</c:v>
                </c:pt>
                <c:pt idx="519">
                  <c:v>3.7839999999999998</c:v>
                </c:pt>
                <c:pt idx="520">
                  <c:v>3.4820000000000002</c:v>
                </c:pt>
                <c:pt idx="521">
                  <c:v>3.8180000000000001</c:v>
                </c:pt>
                <c:pt idx="522">
                  <c:v>3.988</c:v>
                </c:pt>
                <c:pt idx="523">
                  <c:v>4.1619999999999999</c:v>
                </c:pt>
                <c:pt idx="524">
                  <c:v>3.7690000000000001</c:v>
                </c:pt>
                <c:pt idx="525">
                  <c:v>4.0780000000000003</c:v>
                </c:pt>
                <c:pt idx="526">
                  <c:v>3.2959999999999998</c:v>
                </c:pt>
                <c:pt idx="527">
                  <c:v>3.2930000000000001</c:v>
                </c:pt>
                <c:pt idx="528">
                  <c:v>3.4180000000000001</c:v>
                </c:pt>
                <c:pt idx="529">
                  <c:v>3.3359999999999999</c:v>
                </c:pt>
                <c:pt idx="530">
                  <c:v>3.0950000000000002</c:v>
                </c:pt>
                <c:pt idx="531">
                  <c:v>3.1</c:v>
                </c:pt>
                <c:pt idx="532">
                  <c:v>2.86</c:v>
                </c:pt>
                <c:pt idx="533">
                  <c:v>2.7989999999999999</c:v>
                </c:pt>
                <c:pt idx="534">
                  <c:v>2.722</c:v>
                </c:pt>
                <c:pt idx="535">
                  <c:v>2.9260000000000002</c:v>
                </c:pt>
                <c:pt idx="536">
                  <c:v>2.7170000000000001</c:v>
                </c:pt>
                <c:pt idx="537">
                  <c:v>2.7559999999999998</c:v>
                </c:pt>
                <c:pt idx="538">
                  <c:v>2.6419999999999999</c:v>
                </c:pt>
                <c:pt idx="539">
                  <c:v>2.762</c:v>
                </c:pt>
                <c:pt idx="540">
                  <c:v>2.7730000000000001</c:v>
                </c:pt>
                <c:pt idx="541">
                  <c:v>2.8479999999999999</c:v>
                </c:pt>
                <c:pt idx="542">
                  <c:v>2.621</c:v>
                </c:pt>
                <c:pt idx="543">
                  <c:v>2.403</c:v>
                </c:pt>
                <c:pt idx="544">
                  <c:v>2.65</c:v>
                </c:pt>
                <c:pt idx="545">
                  <c:v>2.42</c:v>
                </c:pt>
                <c:pt idx="546">
                  <c:v>2.3730000000000002</c:v>
                </c:pt>
                <c:pt idx="547">
                  <c:v>2.351</c:v>
                </c:pt>
                <c:pt idx="548">
                  <c:v>2.3740000000000001</c:v>
                </c:pt>
                <c:pt idx="549">
                  <c:v>2.3199999999999998</c:v>
                </c:pt>
                <c:pt idx="550">
                  <c:v>2.3570000000000002</c:v>
                </c:pt>
                <c:pt idx="551">
                  <c:v>2.4089999999999998</c:v>
                </c:pt>
                <c:pt idx="552">
                  <c:v>2.2869999999999999</c:v>
                </c:pt>
                <c:pt idx="553">
                  <c:v>2.3570000000000002</c:v>
                </c:pt>
                <c:pt idx="554">
                  <c:v>2.3759999999999999</c:v>
                </c:pt>
                <c:pt idx="555">
                  <c:v>2.351</c:v>
                </c:pt>
                <c:pt idx="556">
                  <c:v>2.2149999999999999</c:v>
                </c:pt>
                <c:pt idx="557">
                  <c:v>2.3439999999999999</c:v>
                </c:pt>
                <c:pt idx="558">
                  <c:v>2.3639999999999999</c:v>
                </c:pt>
                <c:pt idx="559">
                  <c:v>2.3919999999999999</c:v>
                </c:pt>
                <c:pt idx="560">
                  <c:v>2.3029999999999999</c:v>
                </c:pt>
                <c:pt idx="561">
                  <c:v>2.2930000000000001</c:v>
                </c:pt>
                <c:pt idx="562">
                  <c:v>2.3460000000000001</c:v>
                </c:pt>
                <c:pt idx="563">
                  <c:v>2.2109999999999999</c:v>
                </c:pt>
                <c:pt idx="564">
                  <c:v>2.0449999999999999</c:v>
                </c:pt>
                <c:pt idx="565">
                  <c:v>2.0790000000000002</c:v>
                </c:pt>
                <c:pt idx="566">
                  <c:v>2.0369999999999999</c:v>
                </c:pt>
                <c:pt idx="567">
                  <c:v>2.13</c:v>
                </c:pt>
                <c:pt idx="568">
                  <c:v>2.0190000000000001</c:v>
                </c:pt>
                <c:pt idx="569">
                  <c:v>1.8069999999999999</c:v>
                </c:pt>
                <c:pt idx="570">
                  <c:v>1.821</c:v>
                </c:pt>
                <c:pt idx="571">
                  <c:v>1.774</c:v>
                </c:pt>
                <c:pt idx="572">
                  <c:v>1.6950000000000001</c:v>
                </c:pt>
                <c:pt idx="573">
                  <c:v>1.6359999999999999</c:v>
                </c:pt>
                <c:pt idx="574">
                  <c:v>1.647</c:v>
                </c:pt>
                <c:pt idx="575">
                  <c:v>1.657</c:v>
                </c:pt>
                <c:pt idx="576">
                  <c:v>1.643</c:v>
                </c:pt>
                <c:pt idx="577">
                  <c:v>1.671</c:v>
                </c:pt>
                <c:pt idx="578">
                  <c:v>1.615</c:v>
                </c:pt>
                <c:pt idx="579">
                  <c:v>1.577</c:v>
                </c:pt>
                <c:pt idx="580">
                  <c:v>1.6779999999999999</c:v>
                </c:pt>
                <c:pt idx="581">
                  <c:v>1.718</c:v>
                </c:pt>
                <c:pt idx="582">
                  <c:v>1.736</c:v>
                </c:pt>
                <c:pt idx="583">
                  <c:v>1.796</c:v>
                </c:pt>
                <c:pt idx="584">
                  <c:v>1.8380000000000001</c:v>
                </c:pt>
                <c:pt idx="585">
                  <c:v>1.7290000000000001</c:v>
                </c:pt>
                <c:pt idx="586">
                  <c:v>1.68</c:v>
                </c:pt>
                <c:pt idx="587">
                  <c:v>1.6759999999999999</c:v>
                </c:pt>
                <c:pt idx="588">
                  <c:v>1.6819999999999999</c:v>
                </c:pt>
                <c:pt idx="589">
                  <c:v>1.71</c:v>
                </c:pt>
                <c:pt idx="590">
                  <c:v>1.732</c:v>
                </c:pt>
                <c:pt idx="591">
                  <c:v>1.6739999999999999</c:v>
                </c:pt>
                <c:pt idx="592">
                  <c:v>1.72</c:v>
                </c:pt>
                <c:pt idx="593">
                  <c:v>1.778</c:v>
                </c:pt>
                <c:pt idx="594">
                  <c:v>1.7450000000000001</c:v>
                </c:pt>
                <c:pt idx="595">
                  <c:v>1.6859999999999999</c:v>
                </c:pt>
                <c:pt idx="596">
                  <c:v>1.863</c:v>
                </c:pt>
                <c:pt idx="597">
                  <c:v>1.8049999999999999</c:v>
                </c:pt>
                <c:pt idx="598">
                  <c:v>1.825</c:v>
                </c:pt>
                <c:pt idx="599">
                  <c:v>1.8069999999999999</c:v>
                </c:pt>
                <c:pt idx="600">
                  <c:v>1.8480000000000001</c:v>
                </c:pt>
                <c:pt idx="601">
                  <c:v>1.798</c:v>
                </c:pt>
                <c:pt idx="602">
                  <c:v>1.8380000000000001</c:v>
                </c:pt>
                <c:pt idx="603">
                  <c:v>1.829</c:v>
                </c:pt>
                <c:pt idx="604">
                  <c:v>1.794</c:v>
                </c:pt>
                <c:pt idx="605">
                  <c:v>1.89</c:v>
                </c:pt>
                <c:pt idx="606">
                  <c:v>1.7470000000000001</c:v>
                </c:pt>
                <c:pt idx="607">
                  <c:v>1.802</c:v>
                </c:pt>
                <c:pt idx="608">
                  <c:v>1.6870000000000001</c:v>
                </c:pt>
                <c:pt idx="609">
                  <c:v>1.6890000000000001</c:v>
                </c:pt>
                <c:pt idx="610">
                  <c:v>1.635</c:v>
                </c:pt>
                <c:pt idx="611">
                  <c:v>1.6579999999999999</c:v>
                </c:pt>
                <c:pt idx="612">
                  <c:v>1.657</c:v>
                </c:pt>
                <c:pt idx="613">
                  <c:v>1.56</c:v>
                </c:pt>
                <c:pt idx="614">
                  <c:v>1.6679999999999999</c:v>
                </c:pt>
                <c:pt idx="615">
                  <c:v>1.7629999999999999</c:v>
                </c:pt>
                <c:pt idx="616">
                  <c:v>1.4970000000000001</c:v>
                </c:pt>
                <c:pt idx="617">
                  <c:v>1.5760000000000001</c:v>
                </c:pt>
                <c:pt idx="618">
                  <c:v>1.5820000000000001</c:v>
                </c:pt>
                <c:pt idx="619">
                  <c:v>1.579</c:v>
                </c:pt>
                <c:pt idx="620">
                  <c:v>1.5469999999999999</c:v>
                </c:pt>
                <c:pt idx="621">
                  <c:v>1.54</c:v>
                </c:pt>
                <c:pt idx="622">
                  <c:v>1.5009999999999999</c:v>
                </c:pt>
                <c:pt idx="623">
                  <c:v>1.536</c:v>
                </c:pt>
                <c:pt idx="624">
                  <c:v>1.49</c:v>
                </c:pt>
                <c:pt idx="625">
                  <c:v>1.468</c:v>
                </c:pt>
                <c:pt idx="626">
                  <c:v>1.401</c:v>
                </c:pt>
                <c:pt idx="627">
                  <c:v>1.4419999999999999</c:v>
                </c:pt>
                <c:pt idx="628">
                  <c:v>1.5940000000000001</c:v>
                </c:pt>
                <c:pt idx="629">
                  <c:v>1.657</c:v>
                </c:pt>
                <c:pt idx="630">
                  <c:v>1.5880000000000001</c:v>
                </c:pt>
                <c:pt idx="631">
                  <c:v>1.508</c:v>
                </c:pt>
                <c:pt idx="632">
                  <c:v>1.5469999999999999</c:v>
                </c:pt>
                <c:pt idx="633">
                  <c:v>1.5580000000000001</c:v>
                </c:pt>
                <c:pt idx="634">
                  <c:v>1.5840000000000001</c:v>
                </c:pt>
                <c:pt idx="635">
                  <c:v>1.6419999999999999</c:v>
                </c:pt>
                <c:pt idx="636">
                  <c:v>1.585</c:v>
                </c:pt>
                <c:pt idx="637">
                  <c:v>1.536</c:v>
                </c:pt>
                <c:pt idx="638">
                  <c:v>1.633</c:v>
                </c:pt>
                <c:pt idx="639">
                  <c:v>1.5269999999999999</c:v>
                </c:pt>
                <c:pt idx="640">
                  <c:v>1.5049999999999999</c:v>
                </c:pt>
                <c:pt idx="641">
                  <c:v>1.532</c:v>
                </c:pt>
                <c:pt idx="642">
                  <c:v>1.482</c:v>
                </c:pt>
                <c:pt idx="643">
                  <c:v>1.4259999999999999</c:v>
                </c:pt>
                <c:pt idx="644">
                  <c:v>1.389</c:v>
                </c:pt>
                <c:pt idx="645">
                  <c:v>1.367</c:v>
                </c:pt>
                <c:pt idx="646">
                  <c:v>1.3149999999999999</c:v>
                </c:pt>
                <c:pt idx="647">
                  <c:v>1.3109999999999999</c:v>
                </c:pt>
                <c:pt idx="648">
                  <c:v>1.391</c:v>
                </c:pt>
                <c:pt idx="649">
                  <c:v>1.4370000000000001</c:v>
                </c:pt>
                <c:pt idx="650">
                  <c:v>1.383</c:v>
                </c:pt>
                <c:pt idx="651">
                  <c:v>1.403</c:v>
                </c:pt>
                <c:pt idx="652">
                  <c:v>1.2949999999999999</c:v>
                </c:pt>
                <c:pt idx="653">
                  <c:v>1.331</c:v>
                </c:pt>
                <c:pt idx="654">
                  <c:v>1.341</c:v>
                </c:pt>
                <c:pt idx="655">
                  <c:v>1.36</c:v>
                </c:pt>
                <c:pt idx="656">
                  <c:v>1.3480000000000001</c:v>
                </c:pt>
                <c:pt idx="657">
                  <c:v>1.341</c:v>
                </c:pt>
                <c:pt idx="658">
                  <c:v>1.476</c:v>
                </c:pt>
                <c:pt idx="659">
                  <c:v>1.5</c:v>
                </c:pt>
                <c:pt idx="660">
                  <c:v>1.375</c:v>
                </c:pt>
                <c:pt idx="661">
                  <c:v>1.4159999999999999</c:v>
                </c:pt>
                <c:pt idx="662">
                  <c:v>1.258</c:v>
                </c:pt>
                <c:pt idx="663">
                  <c:v>1.29</c:v>
                </c:pt>
                <c:pt idx="664">
                  <c:v>1.268</c:v>
                </c:pt>
                <c:pt idx="665">
                  <c:v>1.268</c:v>
                </c:pt>
                <c:pt idx="666">
                  <c:v>1.2230000000000001</c:v>
                </c:pt>
                <c:pt idx="667">
                  <c:v>1.21</c:v>
                </c:pt>
                <c:pt idx="668">
                  <c:v>1.1970000000000001</c:v>
                </c:pt>
                <c:pt idx="669">
                  <c:v>1.141</c:v>
                </c:pt>
                <c:pt idx="670">
                  <c:v>1.2130000000000001</c:v>
                </c:pt>
                <c:pt idx="671">
                  <c:v>1.204</c:v>
                </c:pt>
                <c:pt idx="672">
                  <c:v>1.2769999999999999</c:v>
                </c:pt>
                <c:pt idx="673">
                  <c:v>1.2609999999999999</c:v>
                </c:pt>
                <c:pt idx="674">
                  <c:v>1.272</c:v>
                </c:pt>
                <c:pt idx="675">
                  <c:v>1.234</c:v>
                </c:pt>
                <c:pt idx="676">
                  <c:v>1.147</c:v>
                </c:pt>
                <c:pt idx="677">
                  <c:v>1.232</c:v>
                </c:pt>
                <c:pt idx="678">
                  <c:v>1.232</c:v>
                </c:pt>
                <c:pt idx="679">
                  <c:v>1.256</c:v>
                </c:pt>
                <c:pt idx="680">
                  <c:v>1.111</c:v>
                </c:pt>
                <c:pt idx="681">
                  <c:v>1.097</c:v>
                </c:pt>
                <c:pt idx="682">
                  <c:v>1.0469999999999999</c:v>
                </c:pt>
                <c:pt idx="683">
                  <c:v>1.2090000000000001</c:v>
                </c:pt>
                <c:pt idx="684">
                  <c:v>1.173</c:v>
                </c:pt>
                <c:pt idx="685">
                  <c:v>1.258</c:v>
                </c:pt>
                <c:pt idx="686">
                  <c:v>1.0389999999999999</c:v>
                </c:pt>
                <c:pt idx="687">
                  <c:v>1.9430000000000001</c:v>
                </c:pt>
                <c:pt idx="688">
                  <c:v>1.954</c:v>
                </c:pt>
                <c:pt idx="689">
                  <c:v>1.9430000000000001</c:v>
                </c:pt>
                <c:pt idx="690">
                  <c:v>1.893</c:v>
                </c:pt>
                <c:pt idx="691">
                  <c:v>2.2120000000000002</c:v>
                </c:pt>
                <c:pt idx="692">
                  <c:v>2.3140000000000001</c:v>
                </c:pt>
                <c:pt idx="693">
                  <c:v>2.194</c:v>
                </c:pt>
                <c:pt idx="694">
                  <c:v>2.1520000000000001</c:v>
                </c:pt>
                <c:pt idx="695">
                  <c:v>2.145</c:v>
                </c:pt>
                <c:pt idx="696">
                  <c:v>2.1819999999999999</c:v>
                </c:pt>
                <c:pt idx="697">
                  <c:v>2.028</c:v>
                </c:pt>
                <c:pt idx="698">
                  <c:v>2.0249999999999999</c:v>
                </c:pt>
                <c:pt idx="699">
                  <c:v>2.073</c:v>
                </c:pt>
                <c:pt idx="700">
                  <c:v>2.1230000000000002</c:v>
                </c:pt>
                <c:pt idx="701">
                  <c:v>2.097</c:v>
                </c:pt>
                <c:pt idx="702">
                  <c:v>2.3839999999999999</c:v>
                </c:pt>
                <c:pt idx="703">
                  <c:v>2.3580000000000001</c:v>
                </c:pt>
                <c:pt idx="704">
                  <c:v>2.4910000000000001</c:v>
                </c:pt>
                <c:pt idx="705">
                  <c:v>2.3879999999999999</c:v>
                </c:pt>
                <c:pt idx="706">
                  <c:v>2.4159999999999999</c:v>
                </c:pt>
                <c:pt idx="707">
                  <c:v>2.3889999999999998</c:v>
                </c:pt>
                <c:pt idx="708">
                  <c:v>2.4430000000000001</c:v>
                </c:pt>
                <c:pt idx="709">
                  <c:v>2.6389999999999998</c:v>
                </c:pt>
                <c:pt idx="710">
                  <c:v>2.5099999999999998</c:v>
                </c:pt>
                <c:pt idx="711">
                  <c:v>2.4929999999999999</c:v>
                </c:pt>
                <c:pt idx="712">
                  <c:v>2.69</c:v>
                </c:pt>
                <c:pt idx="713">
                  <c:v>3.032</c:v>
                </c:pt>
                <c:pt idx="714">
                  <c:v>2.8490000000000002</c:v>
                </c:pt>
                <c:pt idx="715">
                  <c:v>2.8050000000000002</c:v>
                </c:pt>
                <c:pt idx="716">
                  <c:v>2.7090000000000001</c:v>
                </c:pt>
                <c:pt idx="717">
                  <c:v>2.597</c:v>
                </c:pt>
                <c:pt idx="718">
                  <c:v>2.6970000000000001</c:v>
                </c:pt>
                <c:pt idx="719">
                  <c:v>2.6</c:v>
                </c:pt>
                <c:pt idx="720">
                  <c:v>2.5720000000000001</c:v>
                </c:pt>
                <c:pt idx="721">
                  <c:v>2.544</c:v>
                </c:pt>
                <c:pt idx="722">
                  <c:v>2.4420000000000002</c:v>
                </c:pt>
                <c:pt idx="723">
                  <c:v>2.3069999999999999</c:v>
                </c:pt>
                <c:pt idx="724">
                  <c:v>2.286</c:v>
                </c:pt>
                <c:pt idx="725">
                  <c:v>2.262</c:v>
                </c:pt>
                <c:pt idx="726">
                  <c:v>2.1930000000000001</c:v>
                </c:pt>
                <c:pt idx="727">
                  <c:v>2.125</c:v>
                </c:pt>
                <c:pt idx="728">
                  <c:v>2.1760000000000002</c:v>
                </c:pt>
                <c:pt idx="729">
                  <c:v>2.0659999999999998</c:v>
                </c:pt>
                <c:pt idx="730">
                  <c:v>2.052</c:v>
                </c:pt>
                <c:pt idx="731">
                  <c:v>1.9970000000000001</c:v>
                </c:pt>
                <c:pt idx="732">
                  <c:v>1.9350000000000001</c:v>
                </c:pt>
                <c:pt idx="733">
                  <c:v>1.867</c:v>
                </c:pt>
                <c:pt idx="734">
                  <c:v>1.89</c:v>
                </c:pt>
                <c:pt idx="735">
                  <c:v>1.89</c:v>
                </c:pt>
                <c:pt idx="736">
                  <c:v>1.994</c:v>
                </c:pt>
                <c:pt idx="737">
                  <c:v>1.95</c:v>
                </c:pt>
                <c:pt idx="738">
                  <c:v>1.923</c:v>
                </c:pt>
                <c:pt idx="739">
                  <c:v>1.931</c:v>
                </c:pt>
                <c:pt idx="740">
                  <c:v>2.0350000000000001</c:v>
                </c:pt>
                <c:pt idx="741">
                  <c:v>2.0920000000000001</c:v>
                </c:pt>
                <c:pt idx="742">
                  <c:v>1.9319999999999999</c:v>
                </c:pt>
                <c:pt idx="743">
                  <c:v>1.974</c:v>
                </c:pt>
                <c:pt idx="744">
                  <c:v>1.915</c:v>
                </c:pt>
                <c:pt idx="745">
                  <c:v>1.7010000000000001</c:v>
                </c:pt>
                <c:pt idx="746">
                  <c:v>1.754</c:v>
                </c:pt>
                <c:pt idx="747">
                  <c:v>1.74</c:v>
                </c:pt>
                <c:pt idx="748">
                  <c:v>1.734</c:v>
                </c:pt>
                <c:pt idx="749">
                  <c:v>1.6339999999999999</c:v>
                </c:pt>
                <c:pt idx="750">
                  <c:v>1.6830000000000001</c:v>
                </c:pt>
                <c:pt idx="751">
                  <c:v>1.7350000000000001</c:v>
                </c:pt>
                <c:pt idx="752">
                  <c:v>1.7470000000000001</c:v>
                </c:pt>
                <c:pt idx="753">
                  <c:v>1.631</c:v>
                </c:pt>
                <c:pt idx="754">
                  <c:v>1.6419999999999999</c:v>
                </c:pt>
                <c:pt idx="755">
                  <c:v>1.629</c:v>
                </c:pt>
                <c:pt idx="756">
                  <c:v>1.5329999999999999</c:v>
                </c:pt>
                <c:pt idx="757">
                  <c:v>1.603</c:v>
                </c:pt>
                <c:pt idx="758">
                  <c:v>1.6120000000000001</c:v>
                </c:pt>
                <c:pt idx="759">
                  <c:v>1.631</c:v>
                </c:pt>
                <c:pt idx="760">
                  <c:v>1.6659999999999999</c:v>
                </c:pt>
                <c:pt idx="761">
                  <c:v>1.627</c:v>
                </c:pt>
                <c:pt idx="762">
                  <c:v>1.611</c:v>
                </c:pt>
                <c:pt idx="763">
                  <c:v>1.589</c:v>
                </c:pt>
                <c:pt idx="764">
                  <c:v>1.587</c:v>
                </c:pt>
                <c:pt idx="765">
                  <c:v>1.603</c:v>
                </c:pt>
                <c:pt idx="766">
                  <c:v>1.6120000000000001</c:v>
                </c:pt>
                <c:pt idx="767">
                  <c:v>1.6819999999999999</c:v>
                </c:pt>
                <c:pt idx="768">
                  <c:v>1.619</c:v>
                </c:pt>
                <c:pt idx="769">
                  <c:v>1.6579999999999999</c:v>
                </c:pt>
                <c:pt idx="770">
                  <c:v>1.66</c:v>
                </c:pt>
                <c:pt idx="771">
                  <c:v>1.677</c:v>
                </c:pt>
                <c:pt idx="772">
                  <c:v>1.53</c:v>
                </c:pt>
                <c:pt idx="773">
                  <c:v>1.6539999999999999</c:v>
                </c:pt>
                <c:pt idx="774">
                  <c:v>1.7569999999999999</c:v>
                </c:pt>
                <c:pt idx="775">
                  <c:v>1.7490000000000001</c:v>
                </c:pt>
                <c:pt idx="776">
                  <c:v>1.865</c:v>
                </c:pt>
                <c:pt idx="777">
                  <c:v>1.8169999999999999</c:v>
                </c:pt>
                <c:pt idx="778">
                  <c:v>1.7490000000000001</c:v>
                </c:pt>
                <c:pt idx="779">
                  <c:v>1.7410000000000001</c:v>
                </c:pt>
                <c:pt idx="780">
                  <c:v>1.738</c:v>
                </c:pt>
                <c:pt idx="781">
                  <c:v>1.7430000000000001</c:v>
                </c:pt>
                <c:pt idx="782">
                  <c:v>1.742</c:v>
                </c:pt>
                <c:pt idx="783">
                  <c:v>1.748</c:v>
                </c:pt>
                <c:pt idx="784">
                  <c:v>1.73</c:v>
                </c:pt>
                <c:pt idx="785">
                  <c:v>1.704</c:v>
                </c:pt>
                <c:pt idx="786">
                  <c:v>1.7529999999999999</c:v>
                </c:pt>
                <c:pt idx="787">
                  <c:v>1.752</c:v>
                </c:pt>
                <c:pt idx="788">
                  <c:v>1.7829999999999999</c:v>
                </c:pt>
                <c:pt idx="789">
                  <c:v>1.79</c:v>
                </c:pt>
                <c:pt idx="790">
                  <c:v>1.8819999999999999</c:v>
                </c:pt>
                <c:pt idx="791">
                  <c:v>1.802</c:v>
                </c:pt>
                <c:pt idx="792">
                  <c:v>1.7170000000000001</c:v>
                </c:pt>
                <c:pt idx="793">
                  <c:v>1.665</c:v>
                </c:pt>
                <c:pt idx="794">
                  <c:v>1.6160000000000001</c:v>
                </c:pt>
                <c:pt idx="795">
                  <c:v>1.605</c:v>
                </c:pt>
                <c:pt idx="796">
                  <c:v>1.744</c:v>
                </c:pt>
                <c:pt idx="797">
                  <c:v>1.66</c:v>
                </c:pt>
                <c:pt idx="798">
                  <c:v>1.786</c:v>
                </c:pt>
                <c:pt idx="799">
                  <c:v>1.901</c:v>
                </c:pt>
                <c:pt idx="800">
                  <c:v>1.9259999999999999</c:v>
                </c:pt>
                <c:pt idx="801">
                  <c:v>1.964</c:v>
                </c:pt>
                <c:pt idx="802">
                  <c:v>2.13</c:v>
                </c:pt>
                <c:pt idx="803">
                  <c:v>2.145</c:v>
                </c:pt>
                <c:pt idx="804">
                  <c:v>2.17</c:v>
                </c:pt>
                <c:pt idx="805">
                  <c:v>2.3079999999999998</c:v>
                </c:pt>
                <c:pt idx="806">
                  <c:v>2.266</c:v>
                </c:pt>
                <c:pt idx="807">
                  <c:v>2.25</c:v>
                </c:pt>
                <c:pt idx="808">
                  <c:v>2.109</c:v>
                </c:pt>
                <c:pt idx="809">
                  <c:v>2.1850000000000001</c:v>
                </c:pt>
                <c:pt idx="810">
                  <c:v>2.1360000000000001</c:v>
                </c:pt>
                <c:pt idx="811">
                  <c:v>2.153</c:v>
                </c:pt>
                <c:pt idx="812">
                  <c:v>2.2050000000000001</c:v>
                </c:pt>
                <c:pt idx="813">
                  <c:v>2.2829999999999999</c:v>
                </c:pt>
                <c:pt idx="814">
                  <c:v>2.258</c:v>
                </c:pt>
                <c:pt idx="815">
                  <c:v>2.2709999999999999</c:v>
                </c:pt>
                <c:pt idx="816">
                  <c:v>2.1320000000000001</c:v>
                </c:pt>
                <c:pt idx="817">
                  <c:v>2.1829999999999998</c:v>
                </c:pt>
                <c:pt idx="818">
                  <c:v>2.1560000000000001</c:v>
                </c:pt>
                <c:pt idx="819">
                  <c:v>2.1440000000000001</c:v>
                </c:pt>
                <c:pt idx="820">
                  <c:v>2.1920000000000002</c:v>
                </c:pt>
                <c:pt idx="821">
                  <c:v>2.2989999999999999</c:v>
                </c:pt>
                <c:pt idx="822">
                  <c:v>2.306</c:v>
                </c:pt>
                <c:pt idx="823">
                  <c:v>2.3109999999999999</c:v>
                </c:pt>
                <c:pt idx="824">
                  <c:v>1.837</c:v>
                </c:pt>
                <c:pt idx="825">
                  <c:v>1.774</c:v>
                </c:pt>
                <c:pt idx="826">
                  <c:v>1.585</c:v>
                </c:pt>
                <c:pt idx="827">
                  <c:v>1.556</c:v>
                </c:pt>
                <c:pt idx="828">
                  <c:v>1.67</c:v>
                </c:pt>
                <c:pt idx="829">
                  <c:v>1.702</c:v>
                </c:pt>
                <c:pt idx="830">
                  <c:v>1.7190000000000001</c:v>
                </c:pt>
                <c:pt idx="831">
                  <c:v>1.6830000000000001</c:v>
                </c:pt>
                <c:pt idx="832">
                  <c:v>1.6950000000000001</c:v>
                </c:pt>
                <c:pt idx="833">
                  <c:v>1.74</c:v>
                </c:pt>
                <c:pt idx="834">
                  <c:v>1.6719999999999999</c:v>
                </c:pt>
                <c:pt idx="835">
                  <c:v>1.7410000000000001</c:v>
                </c:pt>
                <c:pt idx="836">
                  <c:v>1.8260000000000001</c:v>
                </c:pt>
                <c:pt idx="837">
                  <c:v>1.7909999999999999</c:v>
                </c:pt>
                <c:pt idx="838">
                  <c:v>1.772</c:v>
                </c:pt>
                <c:pt idx="839">
                  <c:v>1.782</c:v>
                </c:pt>
                <c:pt idx="840">
                  <c:v>1.802</c:v>
                </c:pt>
                <c:pt idx="841">
                  <c:v>1.86</c:v>
                </c:pt>
                <c:pt idx="842">
                  <c:v>1.7989999999999999</c:v>
                </c:pt>
                <c:pt idx="843">
                  <c:v>1.788</c:v>
                </c:pt>
                <c:pt idx="844">
                  <c:v>1.694</c:v>
                </c:pt>
                <c:pt idx="845">
                  <c:v>1.718</c:v>
                </c:pt>
                <c:pt idx="846">
                  <c:v>1.6919999999999999</c:v>
                </c:pt>
                <c:pt idx="847">
                  <c:v>1.6830000000000001</c:v>
                </c:pt>
                <c:pt idx="848">
                  <c:v>1.7110000000000001</c:v>
                </c:pt>
                <c:pt idx="849">
                  <c:v>1.6839999999999999</c:v>
                </c:pt>
                <c:pt idx="850">
                  <c:v>1.7090000000000001</c:v>
                </c:pt>
                <c:pt idx="851">
                  <c:v>1.629</c:v>
                </c:pt>
                <c:pt idx="852">
                  <c:v>1.6559999999999999</c:v>
                </c:pt>
                <c:pt idx="853">
                  <c:v>1.625</c:v>
                </c:pt>
                <c:pt idx="854">
                  <c:v>1.6</c:v>
                </c:pt>
                <c:pt idx="855">
                  <c:v>1.6419999999999999</c:v>
                </c:pt>
                <c:pt idx="856">
                  <c:v>1.5580000000000001</c:v>
                </c:pt>
                <c:pt idx="857">
                  <c:v>1.96</c:v>
                </c:pt>
                <c:pt idx="858">
                  <c:v>2.0960000000000001</c:v>
                </c:pt>
                <c:pt idx="859">
                  <c:v>2.149</c:v>
                </c:pt>
                <c:pt idx="860">
                  <c:v>2.1960000000000002</c:v>
                </c:pt>
                <c:pt idx="861">
                  <c:v>2.2130000000000001</c:v>
                </c:pt>
                <c:pt idx="862">
                  <c:v>2.2669999999999999</c:v>
                </c:pt>
                <c:pt idx="863">
                  <c:v>2.1019999999999999</c:v>
                </c:pt>
                <c:pt idx="864">
                  <c:v>2.0449999999999999</c:v>
                </c:pt>
                <c:pt idx="865">
                  <c:v>2.069</c:v>
                </c:pt>
                <c:pt idx="866">
                  <c:v>2.056</c:v>
                </c:pt>
                <c:pt idx="867">
                  <c:v>2.0129999999999999</c:v>
                </c:pt>
                <c:pt idx="868">
                  <c:v>2.004</c:v>
                </c:pt>
                <c:pt idx="869">
                  <c:v>1.9970000000000001</c:v>
                </c:pt>
                <c:pt idx="870">
                  <c:v>2.0249999999999999</c:v>
                </c:pt>
                <c:pt idx="871">
                  <c:v>2.0830000000000002</c:v>
                </c:pt>
                <c:pt idx="872">
                  <c:v>2.1219999999999999</c:v>
                </c:pt>
                <c:pt idx="873">
                  <c:v>2.0230000000000001</c:v>
                </c:pt>
                <c:pt idx="874">
                  <c:v>1.95</c:v>
                </c:pt>
                <c:pt idx="875">
                  <c:v>2.016</c:v>
                </c:pt>
                <c:pt idx="876">
                  <c:v>2.0840000000000001</c:v>
                </c:pt>
                <c:pt idx="877">
                  <c:v>2.15</c:v>
                </c:pt>
                <c:pt idx="878">
                  <c:v>2.1469999999999998</c:v>
                </c:pt>
                <c:pt idx="879">
                  <c:v>2.0950000000000002</c:v>
                </c:pt>
                <c:pt idx="880">
                  <c:v>2.0960000000000001</c:v>
                </c:pt>
                <c:pt idx="881">
                  <c:v>2.1190000000000002</c:v>
                </c:pt>
                <c:pt idx="882">
                  <c:v>2.1059999999999999</c:v>
                </c:pt>
                <c:pt idx="883">
                  <c:v>2.2240000000000002</c:v>
                </c:pt>
                <c:pt idx="884">
                  <c:v>2.472</c:v>
                </c:pt>
                <c:pt idx="885">
                  <c:v>2.5339999999999998</c:v>
                </c:pt>
                <c:pt idx="886">
                  <c:v>2.536</c:v>
                </c:pt>
                <c:pt idx="887">
                  <c:v>2.5499999999999998</c:v>
                </c:pt>
                <c:pt idx="888">
                  <c:v>2.6030000000000002</c:v>
                </c:pt>
                <c:pt idx="889">
                  <c:v>2.54</c:v>
                </c:pt>
                <c:pt idx="890">
                  <c:v>2.4900000000000002</c:v>
                </c:pt>
                <c:pt idx="891">
                  <c:v>2.613</c:v>
                </c:pt>
                <c:pt idx="892">
                  <c:v>2.6890000000000001</c:v>
                </c:pt>
                <c:pt idx="893">
                  <c:v>2.5449999999999999</c:v>
                </c:pt>
                <c:pt idx="894">
                  <c:v>2.4550000000000001</c:v>
                </c:pt>
                <c:pt idx="895">
                  <c:v>2.29</c:v>
                </c:pt>
                <c:pt idx="896">
                  <c:v>2.3759999999999999</c:v>
                </c:pt>
                <c:pt idx="897">
                  <c:v>2.347</c:v>
                </c:pt>
                <c:pt idx="898">
                  <c:v>2.6419999999999999</c:v>
                </c:pt>
                <c:pt idx="899">
                  <c:v>2.706</c:v>
                </c:pt>
                <c:pt idx="900">
                  <c:v>2.7749999999999999</c:v>
                </c:pt>
                <c:pt idx="901">
                  <c:v>2.657</c:v>
                </c:pt>
                <c:pt idx="902">
                  <c:v>2.6309999999999998</c:v>
                </c:pt>
                <c:pt idx="903">
                  <c:v>2.8079999999999998</c:v>
                </c:pt>
                <c:pt idx="904">
                  <c:v>2.9140000000000001</c:v>
                </c:pt>
                <c:pt idx="905">
                  <c:v>2.9319999999999999</c:v>
                </c:pt>
                <c:pt idx="906">
                  <c:v>3.0939999999999999</c:v>
                </c:pt>
                <c:pt idx="907">
                  <c:v>3.0169999999999999</c:v>
                </c:pt>
                <c:pt idx="908">
                  <c:v>3.0430000000000001</c:v>
                </c:pt>
                <c:pt idx="909">
                  <c:v>3.0009999999999999</c:v>
                </c:pt>
                <c:pt idx="910">
                  <c:v>3.024</c:v>
                </c:pt>
                <c:pt idx="911">
                  <c:v>3.0569999999999999</c:v>
                </c:pt>
                <c:pt idx="912">
                  <c:v>2.883</c:v>
                </c:pt>
                <c:pt idx="913">
                  <c:v>2.8919999999999999</c:v>
                </c:pt>
                <c:pt idx="914">
                  <c:v>2.907</c:v>
                </c:pt>
                <c:pt idx="915">
                  <c:v>2.895</c:v>
                </c:pt>
                <c:pt idx="916">
                  <c:v>3.1019999999999999</c:v>
                </c:pt>
                <c:pt idx="917">
                  <c:v>3.0720000000000001</c:v>
                </c:pt>
                <c:pt idx="918">
                  <c:v>2.948</c:v>
                </c:pt>
                <c:pt idx="919">
                  <c:v>2.8490000000000002</c:v>
                </c:pt>
                <c:pt idx="920">
                  <c:v>3.0430000000000001</c:v>
                </c:pt>
                <c:pt idx="921">
                  <c:v>3.2320000000000002</c:v>
                </c:pt>
                <c:pt idx="922">
                  <c:v>3.2789999999999999</c:v>
                </c:pt>
                <c:pt idx="923">
                  <c:v>3.169</c:v>
                </c:pt>
                <c:pt idx="924">
                  <c:v>3.0859999999999999</c:v>
                </c:pt>
                <c:pt idx="925">
                  <c:v>2.7909999999999999</c:v>
                </c:pt>
                <c:pt idx="926">
                  <c:v>2.6789999999999998</c:v>
                </c:pt>
                <c:pt idx="927">
                  <c:v>3.1629999999999998</c:v>
                </c:pt>
                <c:pt idx="928">
                  <c:v>3.0649999999999999</c:v>
                </c:pt>
                <c:pt idx="929">
                  <c:v>3.581</c:v>
                </c:pt>
                <c:pt idx="930">
                  <c:v>3.8260000000000001</c:v>
                </c:pt>
                <c:pt idx="931">
                  <c:v>3.573</c:v>
                </c:pt>
                <c:pt idx="932">
                  <c:v>4.2329999999999997</c:v>
                </c:pt>
                <c:pt idx="933">
                  <c:v>4.8010000000000002</c:v>
                </c:pt>
                <c:pt idx="934">
                  <c:v>4.9980000000000002</c:v>
                </c:pt>
                <c:pt idx="935">
                  <c:v>4.8419999999999996</c:v>
                </c:pt>
                <c:pt idx="936">
                  <c:v>4.782</c:v>
                </c:pt>
                <c:pt idx="937">
                  <c:v>4.7409999999999997</c:v>
                </c:pt>
                <c:pt idx="938">
                  <c:v>4.84</c:v>
                </c:pt>
                <c:pt idx="939">
                  <c:v>5.181</c:v>
                </c:pt>
                <c:pt idx="940">
                  <c:v>5.258</c:v>
                </c:pt>
                <c:pt idx="941">
                  <c:v>4.9290000000000003</c:v>
                </c:pt>
                <c:pt idx="942">
                  <c:v>4.9340000000000002</c:v>
                </c:pt>
                <c:pt idx="943">
                  <c:v>5.5720000000000001</c:v>
                </c:pt>
                <c:pt idx="944">
                  <c:v>5.3070000000000004</c:v>
                </c:pt>
                <c:pt idx="945">
                  <c:v>4.375</c:v>
                </c:pt>
                <c:pt idx="946">
                  <c:v>5.2320000000000002</c:v>
                </c:pt>
                <c:pt idx="947">
                  <c:v>5.282</c:v>
                </c:pt>
                <c:pt idx="948">
                  <c:v>4.1879999999999997</c:v>
                </c:pt>
                <c:pt idx="949">
                  <c:v>3.8889999999999998</c:v>
                </c:pt>
                <c:pt idx="950">
                  <c:v>3.927</c:v>
                </c:pt>
                <c:pt idx="951">
                  <c:v>3.5779999999999998</c:v>
                </c:pt>
                <c:pt idx="952">
                  <c:v>3.5019999999999998</c:v>
                </c:pt>
                <c:pt idx="953">
                  <c:v>3.58</c:v>
                </c:pt>
                <c:pt idx="954">
                  <c:v>3.5579999999999998</c:v>
                </c:pt>
                <c:pt idx="955">
                  <c:v>3.6480000000000001</c:v>
                </c:pt>
                <c:pt idx="956">
                  <c:v>3.6509999999999998</c:v>
                </c:pt>
                <c:pt idx="957">
                  <c:v>3.5110000000000001</c:v>
                </c:pt>
                <c:pt idx="958">
                  <c:v>3.403</c:v>
                </c:pt>
                <c:pt idx="959">
                  <c:v>3.3069999999999999</c:v>
                </c:pt>
                <c:pt idx="960">
                  <c:v>3.21</c:v>
                </c:pt>
                <c:pt idx="961">
                  <c:v>3.1320000000000001</c:v>
                </c:pt>
                <c:pt idx="962">
                  <c:v>3.2050000000000001</c:v>
                </c:pt>
                <c:pt idx="963">
                  <c:v>2.9159999999999999</c:v>
                </c:pt>
                <c:pt idx="964">
                  <c:v>2.996</c:v>
                </c:pt>
                <c:pt idx="965">
                  <c:v>3.13</c:v>
                </c:pt>
                <c:pt idx="966">
                  <c:v>3.004</c:v>
                </c:pt>
                <c:pt idx="967">
                  <c:v>3.016</c:v>
                </c:pt>
                <c:pt idx="968">
                  <c:v>2.9649999999999999</c:v>
                </c:pt>
                <c:pt idx="969">
                  <c:v>3.15</c:v>
                </c:pt>
                <c:pt idx="970">
                  <c:v>3.6080000000000001</c:v>
                </c:pt>
                <c:pt idx="971">
                  <c:v>3.508</c:v>
                </c:pt>
                <c:pt idx="972">
                  <c:v>3.298</c:v>
                </c:pt>
                <c:pt idx="973">
                  <c:v>3.1139999999999999</c:v>
                </c:pt>
                <c:pt idx="974">
                  <c:v>3.298</c:v>
                </c:pt>
                <c:pt idx="975">
                  <c:v>3.2240000000000002</c:v>
                </c:pt>
                <c:pt idx="976">
                  <c:v>3.1920000000000002</c:v>
                </c:pt>
                <c:pt idx="977">
                  <c:v>3.0619999999999998</c:v>
                </c:pt>
                <c:pt idx="978">
                  <c:v>2.899</c:v>
                </c:pt>
                <c:pt idx="979">
                  <c:v>2.9159999999999999</c:v>
                </c:pt>
                <c:pt idx="980">
                  <c:v>2.8719999999999999</c:v>
                </c:pt>
                <c:pt idx="981">
                  <c:v>2.8530000000000002</c:v>
                </c:pt>
                <c:pt idx="982">
                  <c:v>3.153</c:v>
                </c:pt>
                <c:pt idx="983">
                  <c:v>3.09</c:v>
                </c:pt>
                <c:pt idx="984">
                  <c:v>3.14</c:v>
                </c:pt>
                <c:pt idx="985">
                  <c:v>2.8260000000000001</c:v>
                </c:pt>
                <c:pt idx="986">
                  <c:v>2.887</c:v>
                </c:pt>
                <c:pt idx="987">
                  <c:v>3.1349999999999998</c:v>
                </c:pt>
                <c:pt idx="988">
                  <c:v>3.2509999999999999</c:v>
                </c:pt>
                <c:pt idx="989">
                  <c:v>2.7719999999999998</c:v>
                </c:pt>
                <c:pt idx="990">
                  <c:v>2.4900000000000002</c:v>
                </c:pt>
                <c:pt idx="991">
                  <c:v>2.4209999999999998</c:v>
                </c:pt>
                <c:pt idx="992">
                  <c:v>2.5049999999999999</c:v>
                </c:pt>
                <c:pt idx="993">
                  <c:v>2.355</c:v>
                </c:pt>
                <c:pt idx="994">
                  <c:v>2.3420000000000001</c:v>
                </c:pt>
                <c:pt idx="995">
                  <c:v>2.42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E-48C5-9E9F-9CC72F467D7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2.3471452466075071</c:v>
                </c:pt>
                <c:pt idx="1">
                  <c:v>2.348306876607507</c:v>
                </c:pt>
                <c:pt idx="2">
                  <c:v>2.3545726585931068</c:v>
                </c:pt>
                <c:pt idx="3">
                  <c:v>2.348605982373595</c:v>
                </c:pt>
                <c:pt idx="4">
                  <c:v>2.3442848701348926</c:v>
                </c:pt>
                <c:pt idx="5">
                  <c:v>2.3337046787392883</c:v>
                </c:pt>
                <c:pt idx="6">
                  <c:v>2.3368067472248897</c:v>
                </c:pt>
                <c:pt idx="7">
                  <c:v>2.3513083610551924</c:v>
                </c:pt>
                <c:pt idx="8">
                  <c:v>2.3566356825610404</c:v>
                </c:pt>
                <c:pt idx="9">
                  <c:v>2.3612829587069375</c:v>
                </c:pt>
                <c:pt idx="10">
                  <c:v>2.3554391371731951</c:v>
                </c:pt>
                <c:pt idx="11">
                  <c:v>2.3578927869731947</c:v>
                </c:pt>
                <c:pt idx="12">
                  <c:v>2.3594428520316741</c:v>
                </c:pt>
                <c:pt idx="13">
                  <c:v>2.374769943520199</c:v>
                </c:pt>
                <c:pt idx="14">
                  <c:v>2.3722530497405376</c:v>
                </c:pt>
                <c:pt idx="15">
                  <c:v>2.3784118329072048</c:v>
                </c:pt>
                <c:pt idx="16">
                  <c:v>2.3709359009737407</c:v>
                </c:pt>
                <c:pt idx="17">
                  <c:v>2.3648748785246543</c:v>
                </c:pt>
                <c:pt idx="18">
                  <c:v>2.3672828540928719</c:v>
                </c:pt>
                <c:pt idx="19">
                  <c:v>2.368344830570535</c:v>
                </c:pt>
                <c:pt idx="20">
                  <c:v>2.3722977016908522</c:v>
                </c:pt>
                <c:pt idx="21">
                  <c:v>2.3814971611716884</c:v>
                </c:pt>
                <c:pt idx="22">
                  <c:v>2.3721423495656278</c:v>
                </c:pt>
                <c:pt idx="23">
                  <c:v>2.37866465164843</c:v>
                </c:pt>
                <c:pt idx="24">
                  <c:v>2.3832672838039857</c:v>
                </c:pt>
                <c:pt idx="25">
                  <c:v>2.4119554859320131</c:v>
                </c:pt>
                <c:pt idx="26">
                  <c:v>2.4086304241575771</c:v>
                </c:pt>
                <c:pt idx="27">
                  <c:v>2.4045149883773576</c:v>
                </c:pt>
                <c:pt idx="28">
                  <c:v>2.4058642324888329</c:v>
                </c:pt>
                <c:pt idx="29">
                  <c:v>2.4040376230614471</c:v>
                </c:pt>
                <c:pt idx="30">
                  <c:v>2.4106310678471607</c:v>
                </c:pt>
                <c:pt idx="31">
                  <c:v>2.4209345642981024</c:v>
                </c:pt>
                <c:pt idx="32">
                  <c:v>2.4260095366002608</c:v>
                </c:pt>
                <c:pt idx="33">
                  <c:v>2.422673017877913</c:v>
                </c:pt>
                <c:pt idx="34">
                  <c:v>2.4201120042849928</c:v>
                </c:pt>
                <c:pt idx="35">
                  <c:v>2.4307252985835004</c:v>
                </c:pt>
                <c:pt idx="36">
                  <c:v>2.4250428330456768</c:v>
                </c:pt>
                <c:pt idx="37">
                  <c:v>2.4241931465979154</c:v>
                </c:pt>
                <c:pt idx="38">
                  <c:v>2.4204125977738418</c:v>
                </c:pt>
                <c:pt idx="39">
                  <c:v>2.4192811643612777</c:v>
                </c:pt>
                <c:pt idx="40">
                  <c:v>2.4249404230956952</c:v>
                </c:pt>
                <c:pt idx="41">
                  <c:v>2.4230264570601081</c:v>
                </c:pt>
                <c:pt idx="42">
                  <c:v>2.4258690573527906</c:v>
                </c:pt>
                <c:pt idx="43">
                  <c:v>2.436941994614354</c:v>
                </c:pt>
                <c:pt idx="44">
                  <c:v>2.4260725976217885</c:v>
                </c:pt>
                <c:pt idx="45">
                  <c:v>2.4210022216552614</c:v>
                </c:pt>
                <c:pt idx="46">
                  <c:v>2.4298780393144348</c:v>
                </c:pt>
                <c:pt idx="47">
                  <c:v>2.4275436085639153</c:v>
                </c:pt>
                <c:pt idx="48">
                  <c:v>2.427005737557546</c:v>
                </c:pt>
                <c:pt idx="49">
                  <c:v>2.4413037022682897</c:v>
                </c:pt>
                <c:pt idx="50">
                  <c:v>2.4637563712682895</c:v>
                </c:pt>
                <c:pt idx="51">
                  <c:v>2.4556773682299098</c:v>
                </c:pt>
                <c:pt idx="52">
                  <c:v>2.4497043938156535</c:v>
                </c:pt>
                <c:pt idx="53">
                  <c:v>2.4172768928679336</c:v>
                </c:pt>
                <c:pt idx="54">
                  <c:v>2.4281120450716758</c:v>
                </c:pt>
                <c:pt idx="55">
                  <c:v>2.418090947500998</c:v>
                </c:pt>
                <c:pt idx="56">
                  <c:v>2.4255417278141915</c:v>
                </c:pt>
                <c:pt idx="57">
                  <c:v>2.4240249537988743</c:v>
                </c:pt>
                <c:pt idx="58">
                  <c:v>2.4440791208884716</c:v>
                </c:pt>
                <c:pt idx="59">
                  <c:v>2.4447248631327896</c:v>
                </c:pt>
                <c:pt idx="60">
                  <c:v>2.4361256439912804</c:v>
                </c:pt>
                <c:pt idx="61">
                  <c:v>2.4247152027575365</c:v>
                </c:pt>
                <c:pt idx="62">
                  <c:v>2.4252779924965475</c:v>
                </c:pt>
                <c:pt idx="63">
                  <c:v>2.4508633971340203</c:v>
                </c:pt>
                <c:pt idx="64">
                  <c:v>2.421106815002017</c:v>
                </c:pt>
                <c:pt idx="65">
                  <c:v>2.4244016155803116</c:v>
                </c:pt>
                <c:pt idx="66">
                  <c:v>2.4190875569754331</c:v>
                </c:pt>
                <c:pt idx="67">
                  <c:v>2.429608648583276</c:v>
                </c:pt>
                <c:pt idx="68">
                  <c:v>2.4379826301163234</c:v>
                </c:pt>
                <c:pt idx="69">
                  <c:v>2.4332295376045643</c:v>
                </c:pt>
                <c:pt idx="70">
                  <c:v>2.4217898221222494</c:v>
                </c:pt>
                <c:pt idx="71">
                  <c:v>2.4348728061548681</c:v>
                </c:pt>
                <c:pt idx="72">
                  <c:v>2.4295925027225862</c:v>
                </c:pt>
                <c:pt idx="73">
                  <c:v>2.4340241826071858</c:v>
                </c:pt>
                <c:pt idx="74">
                  <c:v>2.453927512059944</c:v>
                </c:pt>
                <c:pt idx="75">
                  <c:v>2.4506910538089572</c:v>
                </c:pt>
                <c:pt idx="76">
                  <c:v>2.4465436746471538</c:v>
                </c:pt>
                <c:pt idx="77">
                  <c:v>2.4403789593571714</c:v>
                </c:pt>
                <c:pt idx="78">
                  <c:v>2.4382165229693853</c:v>
                </c:pt>
                <c:pt idx="79">
                  <c:v>2.445865468569385</c:v>
                </c:pt>
                <c:pt idx="80">
                  <c:v>2.4346053169533897</c:v>
                </c:pt>
                <c:pt idx="81">
                  <c:v>2.4243746763491938</c:v>
                </c:pt>
                <c:pt idx="82">
                  <c:v>2.4280570647032604</c:v>
                </c:pt>
                <c:pt idx="83">
                  <c:v>2.4266413007668364</c:v>
                </c:pt>
                <c:pt idx="84">
                  <c:v>2.4281607197990178</c:v>
                </c:pt>
                <c:pt idx="85">
                  <c:v>2.431723408280186</c:v>
                </c:pt>
                <c:pt idx="86">
                  <c:v>2.4259160987332753</c:v>
                </c:pt>
                <c:pt idx="87">
                  <c:v>2.4475139629200586</c:v>
                </c:pt>
                <c:pt idx="88">
                  <c:v>2.4458785475475207</c:v>
                </c:pt>
                <c:pt idx="89">
                  <c:v>2.3788660022483756</c:v>
                </c:pt>
                <c:pt idx="90">
                  <c:v>2.377154978696463</c:v>
                </c:pt>
                <c:pt idx="91">
                  <c:v>2.3672707518565748</c:v>
                </c:pt>
                <c:pt idx="92">
                  <c:v>2.3587337115246481</c:v>
                </c:pt>
                <c:pt idx="93">
                  <c:v>2.3641761729797763</c:v>
                </c:pt>
                <c:pt idx="94">
                  <c:v>2.3719880903909911</c:v>
                </c:pt>
                <c:pt idx="95">
                  <c:v>2.3700058186587074</c:v>
                </c:pt>
                <c:pt idx="96">
                  <c:v>2.3703955887110637</c:v>
                </c:pt>
                <c:pt idx="97">
                  <c:v>2.3647905762002206</c:v>
                </c:pt>
                <c:pt idx="98">
                  <c:v>2.3746290784517172</c:v>
                </c:pt>
                <c:pt idx="99">
                  <c:v>2.3931022871352301</c:v>
                </c:pt>
                <c:pt idx="100">
                  <c:v>2.3817433038976268</c:v>
                </c:pt>
                <c:pt idx="101">
                  <c:v>2.3807581521189709</c:v>
                </c:pt>
                <c:pt idx="102">
                  <c:v>2.3810913043456918</c:v>
                </c:pt>
                <c:pt idx="103">
                  <c:v>2.3798145826963859</c:v>
                </c:pt>
                <c:pt idx="104">
                  <c:v>2.3781229310626548</c:v>
                </c:pt>
                <c:pt idx="105">
                  <c:v>2.3914311445139824</c:v>
                </c:pt>
                <c:pt idx="106">
                  <c:v>2.3959854145747115</c:v>
                </c:pt>
                <c:pt idx="107">
                  <c:v>2.3839405409474277</c:v>
                </c:pt>
                <c:pt idx="108">
                  <c:v>2.3673792161784917</c:v>
                </c:pt>
                <c:pt idx="109">
                  <c:v>2.371977138503615</c:v>
                </c:pt>
                <c:pt idx="110">
                  <c:v>2.4046667702237317</c:v>
                </c:pt>
                <c:pt idx="111">
                  <c:v>2.3670754150474278</c:v>
                </c:pt>
                <c:pt idx="112">
                  <c:v>2.3762869872392085</c:v>
                </c:pt>
                <c:pt idx="113">
                  <c:v>2.3840665243792918</c:v>
                </c:pt>
                <c:pt idx="114">
                  <c:v>2.3737533857041053</c:v>
                </c:pt>
                <c:pt idx="115">
                  <c:v>2.3758996156222341</c:v>
                </c:pt>
                <c:pt idx="116">
                  <c:v>2.3820796011807586</c:v>
                </c:pt>
                <c:pt idx="117">
                  <c:v>2.3732317739166073</c:v>
                </c:pt>
                <c:pt idx="118">
                  <c:v>2.3182628205193336</c:v>
                </c:pt>
                <c:pt idx="119">
                  <c:v>2.2936617597049511</c:v>
                </c:pt>
                <c:pt idx="120">
                  <c:v>2.2608924936417103</c:v>
                </c:pt>
                <c:pt idx="121">
                  <c:v>2.257879386397426</c:v>
                </c:pt>
                <c:pt idx="122">
                  <c:v>2.2695873489266085</c:v>
                </c:pt>
                <c:pt idx="123">
                  <c:v>2.2824591910883343</c:v>
                </c:pt>
                <c:pt idx="124">
                  <c:v>2.2725309003266201</c:v>
                </c:pt>
                <c:pt idx="125">
                  <c:v>2.2737897568789549</c:v>
                </c:pt>
                <c:pt idx="126">
                  <c:v>2.2792575877402395</c:v>
                </c:pt>
                <c:pt idx="127">
                  <c:v>2.2658761904947311</c:v>
                </c:pt>
                <c:pt idx="128">
                  <c:v>2.2477755550943876</c:v>
                </c:pt>
                <c:pt idx="129">
                  <c:v>2.266847599577146</c:v>
                </c:pt>
                <c:pt idx="130">
                  <c:v>2.2760331620470433</c:v>
                </c:pt>
                <c:pt idx="131">
                  <c:v>2.2791647103867874</c:v>
                </c:pt>
                <c:pt idx="132">
                  <c:v>2.279055720013381</c:v>
                </c:pt>
                <c:pt idx="133">
                  <c:v>2.2876673330343942</c:v>
                </c:pt>
                <c:pt idx="134">
                  <c:v>2.2942038471581907</c:v>
                </c:pt>
                <c:pt idx="135">
                  <c:v>2.2833743759527114</c:v>
                </c:pt>
                <c:pt idx="136">
                  <c:v>2.2725894853873339</c:v>
                </c:pt>
                <c:pt idx="137">
                  <c:v>2.2798685832521461</c:v>
                </c:pt>
                <c:pt idx="138">
                  <c:v>2.2709578753351862</c:v>
                </c:pt>
                <c:pt idx="139">
                  <c:v>2.2784171711457124</c:v>
                </c:pt>
                <c:pt idx="140">
                  <c:v>2.2938773852646124</c:v>
                </c:pt>
                <c:pt idx="141">
                  <c:v>2.2896274803786185</c:v>
                </c:pt>
                <c:pt idx="142">
                  <c:v>2.2644738105263404</c:v>
                </c:pt>
                <c:pt idx="143">
                  <c:v>2.2783605211253373</c:v>
                </c:pt>
                <c:pt idx="144">
                  <c:v>2.3029886115194427</c:v>
                </c:pt>
                <c:pt idx="145">
                  <c:v>2.2648088222197242</c:v>
                </c:pt>
                <c:pt idx="146">
                  <c:v>2.2561479101007103</c:v>
                </c:pt>
                <c:pt idx="147">
                  <c:v>2.2479763630186085</c:v>
                </c:pt>
                <c:pt idx="148">
                  <c:v>2.2550814901023521</c:v>
                </c:pt>
                <c:pt idx="149">
                  <c:v>2.2387998662016897</c:v>
                </c:pt>
                <c:pt idx="150">
                  <c:v>2.2365287295057832</c:v>
                </c:pt>
                <c:pt idx="151">
                  <c:v>2.2457987473843626</c:v>
                </c:pt>
                <c:pt idx="152">
                  <c:v>2.2539226378178561</c:v>
                </c:pt>
                <c:pt idx="153">
                  <c:v>2.2563419467928556</c:v>
                </c:pt>
                <c:pt idx="154">
                  <c:v>2.2408460979312057</c:v>
                </c:pt>
                <c:pt idx="155">
                  <c:v>2.2555770471012058</c:v>
                </c:pt>
                <c:pt idx="156">
                  <c:v>2.2381679365012057</c:v>
                </c:pt>
                <c:pt idx="157">
                  <c:v>2.2907371574614754</c:v>
                </c:pt>
                <c:pt idx="158">
                  <c:v>2.2874224477891469</c:v>
                </c:pt>
                <c:pt idx="159">
                  <c:v>2.2876177415398513</c:v>
                </c:pt>
                <c:pt idx="160">
                  <c:v>2.2990042995658255</c:v>
                </c:pt>
                <c:pt idx="161">
                  <c:v>2.2586688233766132</c:v>
                </c:pt>
                <c:pt idx="162">
                  <c:v>2.2065921065741665</c:v>
                </c:pt>
                <c:pt idx="163">
                  <c:v>2.2151095498827464</c:v>
                </c:pt>
                <c:pt idx="164">
                  <c:v>2.2499547566871287</c:v>
                </c:pt>
                <c:pt idx="165">
                  <c:v>2.2751834271436695</c:v>
                </c:pt>
                <c:pt idx="166">
                  <c:v>2.2607375069333755</c:v>
                </c:pt>
                <c:pt idx="167">
                  <c:v>2.2924885893606084</c:v>
                </c:pt>
                <c:pt idx="168">
                  <c:v>2.219635225321182</c:v>
                </c:pt>
                <c:pt idx="169">
                  <c:v>2.2350888666459818</c:v>
                </c:pt>
                <c:pt idx="170">
                  <c:v>2.2523837720930091</c:v>
                </c:pt>
                <c:pt idx="171">
                  <c:v>2.2391005602026945</c:v>
                </c:pt>
                <c:pt idx="172">
                  <c:v>2.2523101234640661</c:v>
                </c:pt>
                <c:pt idx="173">
                  <c:v>2.2902521113799206</c:v>
                </c:pt>
                <c:pt idx="174">
                  <c:v>2.1924955144267875</c:v>
                </c:pt>
                <c:pt idx="175">
                  <c:v>2.1648148562906289</c:v>
                </c:pt>
                <c:pt idx="176">
                  <c:v>2.1497372629440998</c:v>
                </c:pt>
                <c:pt idx="177">
                  <c:v>2.1341920263728578</c:v>
                </c:pt>
                <c:pt idx="178">
                  <c:v>2.1313425837739692</c:v>
                </c:pt>
                <c:pt idx="179">
                  <c:v>2.1062450198084655</c:v>
                </c:pt>
                <c:pt idx="180">
                  <c:v>2.1255879181996864</c:v>
                </c:pt>
                <c:pt idx="181">
                  <c:v>2.1051057257186079</c:v>
                </c:pt>
                <c:pt idx="182">
                  <c:v>2.0907446396822666</c:v>
                </c:pt>
                <c:pt idx="183">
                  <c:v>2.0839290198961109</c:v>
                </c:pt>
                <c:pt idx="184">
                  <c:v>2.0760349883370606</c:v>
                </c:pt>
                <c:pt idx="185">
                  <c:v>2.0638572486343363</c:v>
                </c:pt>
                <c:pt idx="186">
                  <c:v>2.0854250314278202</c:v>
                </c:pt>
                <c:pt idx="187">
                  <c:v>2.0728378414501361</c:v>
                </c:pt>
                <c:pt idx="188">
                  <c:v>2.0731453322733451</c:v>
                </c:pt>
                <c:pt idx="189">
                  <c:v>2.065165425065449</c:v>
                </c:pt>
                <c:pt idx="190">
                  <c:v>2.058572405943631</c:v>
                </c:pt>
                <c:pt idx="191">
                  <c:v>2.0496035664274856</c:v>
                </c:pt>
                <c:pt idx="192">
                  <c:v>2.05718455575294</c:v>
                </c:pt>
                <c:pt idx="193">
                  <c:v>2.0643974366263018</c:v>
                </c:pt>
                <c:pt idx="194">
                  <c:v>2.0656663146014362</c:v>
                </c:pt>
                <c:pt idx="195">
                  <c:v>2.0653027100718861</c:v>
                </c:pt>
                <c:pt idx="196">
                  <c:v>2.0783558778701954</c:v>
                </c:pt>
                <c:pt idx="197">
                  <c:v>2.0842126033851214</c:v>
                </c:pt>
                <c:pt idx="198">
                  <c:v>2.0785932945919909</c:v>
                </c:pt>
                <c:pt idx="199">
                  <c:v>2.084675238496946</c:v>
                </c:pt>
                <c:pt idx="200">
                  <c:v>2.0902917209038918</c:v>
                </c:pt>
                <c:pt idx="201">
                  <c:v>2.0864292602807688</c:v>
                </c:pt>
                <c:pt idx="202">
                  <c:v>2.0877446202457897</c:v>
                </c:pt>
                <c:pt idx="203">
                  <c:v>2.0778307657332182</c:v>
                </c:pt>
                <c:pt idx="204">
                  <c:v>2.090615236434461</c:v>
                </c:pt>
                <c:pt idx="205">
                  <c:v>2.1004920683859405</c:v>
                </c:pt>
                <c:pt idx="206">
                  <c:v>2.1002324776829751</c:v>
                </c:pt>
                <c:pt idx="207">
                  <c:v>2.1085677872856596</c:v>
                </c:pt>
                <c:pt idx="208">
                  <c:v>2.1077122920201208</c:v>
                </c:pt>
                <c:pt idx="209">
                  <c:v>2.1046040954619696</c:v>
                </c:pt>
                <c:pt idx="210">
                  <c:v>2.0994225405954974</c:v>
                </c:pt>
                <c:pt idx="211">
                  <c:v>2.1102311973571877</c:v>
                </c:pt>
                <c:pt idx="212">
                  <c:v>2.0809604489032747</c:v>
                </c:pt>
                <c:pt idx="213">
                  <c:v>2.0492664497699318</c:v>
                </c:pt>
                <c:pt idx="214">
                  <c:v>2.0414034435751267</c:v>
                </c:pt>
                <c:pt idx="215">
                  <c:v>2.0247402886446166</c:v>
                </c:pt>
                <c:pt idx="216">
                  <c:v>2.0008040870302581</c:v>
                </c:pt>
                <c:pt idx="217">
                  <c:v>2.0269879093514258</c:v>
                </c:pt>
                <c:pt idx="218">
                  <c:v>2.006710473043122</c:v>
                </c:pt>
                <c:pt idx="219">
                  <c:v>1.980185349691949</c:v>
                </c:pt>
                <c:pt idx="220">
                  <c:v>1.9971981312263589</c:v>
                </c:pt>
                <c:pt idx="221">
                  <c:v>2.0402190907255293</c:v>
                </c:pt>
                <c:pt idx="222">
                  <c:v>2.0299055654971028</c:v>
                </c:pt>
                <c:pt idx="223">
                  <c:v>2.0390854758799084</c:v>
                </c:pt>
                <c:pt idx="224">
                  <c:v>2.0448294175214432</c:v>
                </c:pt>
                <c:pt idx="225">
                  <c:v>2.0488143556891369</c:v>
                </c:pt>
                <c:pt idx="226">
                  <c:v>2.0577222242244058</c:v>
                </c:pt>
                <c:pt idx="227">
                  <c:v>2.0614832894866364</c:v>
                </c:pt>
                <c:pt idx="228">
                  <c:v>2.0503676560273272</c:v>
                </c:pt>
                <c:pt idx="229">
                  <c:v>2.0380371500501497</c:v>
                </c:pt>
                <c:pt idx="230">
                  <c:v>2.0406026327488749</c:v>
                </c:pt>
                <c:pt idx="231">
                  <c:v>2.0507585061610634</c:v>
                </c:pt>
                <c:pt idx="232">
                  <c:v>2.0637623224496591</c:v>
                </c:pt>
                <c:pt idx="233">
                  <c:v>2.0445978957533817</c:v>
                </c:pt>
                <c:pt idx="234">
                  <c:v>2.0338798433979295</c:v>
                </c:pt>
                <c:pt idx="235">
                  <c:v>2.0491198476482548</c:v>
                </c:pt>
                <c:pt idx="236">
                  <c:v>2.0444056636400401</c:v>
                </c:pt>
                <c:pt idx="237">
                  <c:v>2.0507017424378664</c:v>
                </c:pt>
                <c:pt idx="238">
                  <c:v>2.0618209785454424</c:v>
                </c:pt>
                <c:pt idx="239">
                  <c:v>2.0556759962874067</c:v>
                </c:pt>
                <c:pt idx="240">
                  <c:v>2.0446897501245731</c:v>
                </c:pt>
                <c:pt idx="241">
                  <c:v>2.0488889174804013</c:v>
                </c:pt>
                <c:pt idx="242">
                  <c:v>2.0185868928590014</c:v>
                </c:pt>
                <c:pt idx="243">
                  <c:v>2.0044286849899189</c:v>
                </c:pt>
                <c:pt idx="244">
                  <c:v>2.018292988586964</c:v>
                </c:pt>
                <c:pt idx="245">
                  <c:v>2.0522105185182893</c:v>
                </c:pt>
                <c:pt idx="246">
                  <c:v>1.9870984424990337</c:v>
                </c:pt>
                <c:pt idx="247">
                  <c:v>1.9578629163538892</c:v>
                </c:pt>
                <c:pt idx="248">
                  <c:v>1.9711636619605706</c:v>
                </c:pt>
                <c:pt idx="249">
                  <c:v>1.903452206812194</c:v>
                </c:pt>
                <c:pt idx="250">
                  <c:v>1.9219156483604518</c:v>
                </c:pt>
                <c:pt idx="251">
                  <c:v>1.9434478054418969</c:v>
                </c:pt>
                <c:pt idx="252">
                  <c:v>1.9715862864275369</c:v>
                </c:pt>
                <c:pt idx="253">
                  <c:v>1.8980621045250232</c:v>
                </c:pt>
                <c:pt idx="254">
                  <c:v>1.9397405672178549</c:v>
                </c:pt>
                <c:pt idx="255">
                  <c:v>1.9284520236845606</c:v>
                </c:pt>
                <c:pt idx="256">
                  <c:v>1.9415254963421791</c:v>
                </c:pt>
                <c:pt idx="257">
                  <c:v>1.9558096535837635</c:v>
                </c:pt>
                <c:pt idx="258">
                  <c:v>1.9803036524922033</c:v>
                </c:pt>
                <c:pt idx="259">
                  <c:v>1.964686707851071</c:v>
                </c:pt>
                <c:pt idx="260">
                  <c:v>1.9392706639938362</c:v>
                </c:pt>
                <c:pt idx="261">
                  <c:v>1.9785886072515435</c:v>
                </c:pt>
                <c:pt idx="262">
                  <c:v>1.9187833764561739</c:v>
                </c:pt>
                <c:pt idx="263">
                  <c:v>1.9422779995517845</c:v>
                </c:pt>
                <c:pt idx="264">
                  <c:v>1.957979050535682</c:v>
                </c:pt>
                <c:pt idx="265">
                  <c:v>1.9335684680260177</c:v>
                </c:pt>
                <c:pt idx="266">
                  <c:v>2.092929064442048</c:v>
                </c:pt>
                <c:pt idx="267">
                  <c:v>1.9320083349531214</c:v>
                </c:pt>
                <c:pt idx="268">
                  <c:v>1.8801328954391594</c:v>
                </c:pt>
                <c:pt idx="269">
                  <c:v>1.912032040142067</c:v>
                </c:pt>
                <c:pt idx="270">
                  <c:v>1.9090490736582806</c:v>
                </c:pt>
                <c:pt idx="271">
                  <c:v>1.9217142610464542</c:v>
                </c:pt>
                <c:pt idx="272">
                  <c:v>1.9157963518631778</c:v>
                </c:pt>
                <c:pt idx="273">
                  <c:v>1.8937277438958608</c:v>
                </c:pt>
                <c:pt idx="274">
                  <c:v>1.8908701801537429</c:v>
                </c:pt>
                <c:pt idx="275">
                  <c:v>1.8943137824080585</c:v>
                </c:pt>
                <c:pt idx="276">
                  <c:v>1.8682802419348992</c:v>
                </c:pt>
                <c:pt idx="277">
                  <c:v>1.8172165830702727</c:v>
                </c:pt>
                <c:pt idx="278">
                  <c:v>1.8233315676690234</c:v>
                </c:pt>
                <c:pt idx="279">
                  <c:v>1.8651076504712307</c:v>
                </c:pt>
                <c:pt idx="280">
                  <c:v>1.7931841784938538</c:v>
                </c:pt>
                <c:pt idx="281">
                  <c:v>1.8613355022236366</c:v>
                </c:pt>
                <c:pt idx="282">
                  <c:v>1.8988618222999507</c:v>
                </c:pt>
                <c:pt idx="283">
                  <c:v>1.8960372533761223</c:v>
                </c:pt>
                <c:pt idx="284">
                  <c:v>1.97653865371171</c:v>
                </c:pt>
                <c:pt idx="285">
                  <c:v>1.8740471367026732</c:v>
                </c:pt>
                <c:pt idx="286">
                  <c:v>1.915384043949858</c:v>
                </c:pt>
                <c:pt idx="287">
                  <c:v>1.86370292625033</c:v>
                </c:pt>
                <c:pt idx="288">
                  <c:v>1.834666936637396</c:v>
                </c:pt>
                <c:pt idx="289">
                  <c:v>1.8288172222089329</c:v>
                </c:pt>
                <c:pt idx="290">
                  <c:v>1.8195736008813468</c:v>
                </c:pt>
                <c:pt idx="291">
                  <c:v>1.8534850030140171</c:v>
                </c:pt>
                <c:pt idx="292">
                  <c:v>1.869675701466448</c:v>
                </c:pt>
                <c:pt idx="293">
                  <c:v>1.8567953877199777</c:v>
                </c:pt>
                <c:pt idx="294">
                  <c:v>1.8685397263345853</c:v>
                </c:pt>
                <c:pt idx="295">
                  <c:v>1.7918506906481984</c:v>
                </c:pt>
                <c:pt idx="296">
                  <c:v>1.8047317330259138</c:v>
                </c:pt>
                <c:pt idx="297">
                  <c:v>1.6615418088290281</c:v>
                </c:pt>
                <c:pt idx="298">
                  <c:v>1.6244338970173562</c:v>
                </c:pt>
                <c:pt idx="299">
                  <c:v>1.5950948788059882</c:v>
                </c:pt>
                <c:pt idx="300">
                  <c:v>1.6524726800546643</c:v>
                </c:pt>
                <c:pt idx="301">
                  <c:v>1.6479698941892715</c:v>
                </c:pt>
                <c:pt idx="302">
                  <c:v>1.669934460936378</c:v>
                </c:pt>
                <c:pt idx="303">
                  <c:v>1.6225639130010219</c:v>
                </c:pt>
                <c:pt idx="304">
                  <c:v>1.6533482557870489</c:v>
                </c:pt>
                <c:pt idx="305">
                  <c:v>1.6185109243676483</c:v>
                </c:pt>
                <c:pt idx="306">
                  <c:v>1.6243242093909334</c:v>
                </c:pt>
                <c:pt idx="307">
                  <c:v>1.647471686142844</c:v>
                </c:pt>
                <c:pt idx="308">
                  <c:v>1.6973017733300853</c:v>
                </c:pt>
                <c:pt idx="309">
                  <c:v>1.6020833701918797</c:v>
                </c:pt>
                <c:pt idx="310">
                  <c:v>1.6620909490096984</c:v>
                </c:pt>
                <c:pt idx="311">
                  <c:v>1.6308298324306787</c:v>
                </c:pt>
                <c:pt idx="312">
                  <c:v>1.6648808943184146</c:v>
                </c:pt>
                <c:pt idx="313">
                  <c:v>1.6648808943184146</c:v>
                </c:pt>
                <c:pt idx="314">
                  <c:v>1.6973800874882723</c:v>
                </c:pt>
                <c:pt idx="315">
                  <c:v>1.6822482507050078</c:v>
                </c:pt>
                <c:pt idx="316">
                  <c:v>1.684687978522672</c:v>
                </c:pt>
                <c:pt idx="317">
                  <c:v>1.6784848078389991</c:v>
                </c:pt>
                <c:pt idx="318">
                  <c:v>1.6356159463460476</c:v>
                </c:pt>
                <c:pt idx="319">
                  <c:v>1.615809618038123</c:v>
                </c:pt>
                <c:pt idx="320">
                  <c:v>1.6350449658128579</c:v>
                </c:pt>
                <c:pt idx="321">
                  <c:v>1.6103350463932979</c:v>
                </c:pt>
                <c:pt idx="322">
                  <c:v>1.6217560791439578</c:v>
                </c:pt>
                <c:pt idx="323">
                  <c:v>1.6092306645840988</c:v>
                </c:pt>
                <c:pt idx="324">
                  <c:v>1.6225946143478602</c:v>
                </c:pt>
                <c:pt idx="325">
                  <c:v>1.593648021428633</c:v>
                </c:pt>
                <c:pt idx="326">
                  <c:v>1.5782309116985329</c:v>
                </c:pt>
                <c:pt idx="327">
                  <c:v>1.5744686863993296</c:v>
                </c:pt>
                <c:pt idx="328">
                  <c:v>1.5706970812780252</c:v>
                </c:pt>
                <c:pt idx="329">
                  <c:v>1.4861858553321261</c:v>
                </c:pt>
                <c:pt idx="330">
                  <c:v>1.4621521452770914</c:v>
                </c:pt>
                <c:pt idx="331">
                  <c:v>1.4603695735355915</c:v>
                </c:pt>
                <c:pt idx="332">
                  <c:v>1.4559316949719718</c:v>
                </c:pt>
                <c:pt idx="333">
                  <c:v>1.4277237654912702</c:v>
                </c:pt>
                <c:pt idx="334">
                  <c:v>1.4351967036518798</c:v>
                </c:pt>
                <c:pt idx="335">
                  <c:v>1.4570092392208795</c:v>
                </c:pt>
                <c:pt idx="336">
                  <c:v>1.4353127727572184</c:v>
                </c:pt>
                <c:pt idx="337">
                  <c:v>1.4752925142965707</c:v>
                </c:pt>
                <c:pt idx="338">
                  <c:v>1.4661524849122254</c:v>
                </c:pt>
                <c:pt idx="339">
                  <c:v>1.4853229143104776</c:v>
                </c:pt>
                <c:pt idx="340">
                  <c:v>1.474053536978011</c:v>
                </c:pt>
                <c:pt idx="341">
                  <c:v>1.447708173968302</c:v>
                </c:pt>
                <c:pt idx="342">
                  <c:v>1.4646683058329992</c:v>
                </c:pt>
                <c:pt idx="343">
                  <c:v>1.4453434681846125</c:v>
                </c:pt>
                <c:pt idx="344">
                  <c:v>1.4175863137696787</c:v>
                </c:pt>
                <c:pt idx="345">
                  <c:v>1.3829865887058366</c:v>
                </c:pt>
                <c:pt idx="346">
                  <c:v>1.3868648035821307</c:v>
                </c:pt>
                <c:pt idx="347">
                  <c:v>1.373818256961622</c:v>
                </c:pt>
                <c:pt idx="348">
                  <c:v>1.4125874576524375</c:v>
                </c:pt>
                <c:pt idx="349">
                  <c:v>1.3404026681398724</c:v>
                </c:pt>
                <c:pt idx="350">
                  <c:v>1.4050571664326643</c:v>
                </c:pt>
                <c:pt idx="351">
                  <c:v>1.5655388491051256</c:v>
                </c:pt>
                <c:pt idx="352">
                  <c:v>1.2172379738023833</c:v>
                </c:pt>
                <c:pt idx="353">
                  <c:v>1.1894088235352365</c:v>
                </c:pt>
                <c:pt idx="354">
                  <c:v>1.1090931382136247</c:v>
                </c:pt>
                <c:pt idx="355">
                  <c:v>1.0912425893640525</c:v>
                </c:pt>
                <c:pt idx="356">
                  <c:v>1.0059428147576857</c:v>
                </c:pt>
                <c:pt idx="357">
                  <c:v>0.97685439877257929</c:v>
                </c:pt>
                <c:pt idx="358">
                  <c:v>0.9835622384663506</c:v>
                </c:pt>
                <c:pt idx="359">
                  <c:v>0.95855086756200281</c:v>
                </c:pt>
                <c:pt idx="360">
                  <c:v>0.93679698055543792</c:v>
                </c:pt>
                <c:pt idx="361">
                  <c:v>0.89330208896297292</c:v>
                </c:pt>
                <c:pt idx="362">
                  <c:v>0.9157918751362526</c:v>
                </c:pt>
                <c:pt idx="363">
                  <c:v>0.89625459681799524</c:v>
                </c:pt>
                <c:pt idx="364">
                  <c:v>0.94264622244886276</c:v>
                </c:pt>
                <c:pt idx="365">
                  <c:v>0.92586693606950787</c:v>
                </c:pt>
                <c:pt idx="366">
                  <c:v>0.95604880384898272</c:v>
                </c:pt>
                <c:pt idx="367">
                  <c:v>0.92206536680711615</c:v>
                </c:pt>
                <c:pt idx="368">
                  <c:v>0.97518044558884276</c:v>
                </c:pt>
                <c:pt idx="369">
                  <c:v>1.0694578774433883</c:v>
                </c:pt>
                <c:pt idx="370">
                  <c:v>0.89832137545909096</c:v>
                </c:pt>
                <c:pt idx="371">
                  <c:v>0.87808093592091274</c:v>
                </c:pt>
                <c:pt idx="372">
                  <c:v>0.91234999665418892</c:v>
                </c:pt>
                <c:pt idx="373">
                  <c:v>0.87632071358530672</c:v>
                </c:pt>
                <c:pt idx="374">
                  <c:v>0.92076852909537377</c:v>
                </c:pt>
                <c:pt idx="375">
                  <c:v>0.88362502463391035</c:v>
                </c:pt>
                <c:pt idx="376">
                  <c:v>0.85090624464302256</c:v>
                </c:pt>
                <c:pt idx="377">
                  <c:v>0.85746002639125107</c:v>
                </c:pt>
                <c:pt idx="378">
                  <c:v>0.86455919055982822</c:v>
                </c:pt>
                <c:pt idx="379">
                  <c:v>0.8486531843974755</c:v>
                </c:pt>
                <c:pt idx="380">
                  <c:v>0.82620345184714905</c:v>
                </c:pt>
                <c:pt idx="381">
                  <c:v>0.84215401999439821</c:v>
                </c:pt>
                <c:pt idx="382">
                  <c:v>0.86335236960037665</c:v>
                </c:pt>
                <c:pt idx="383">
                  <c:v>0.84282388924018714</c:v>
                </c:pt>
                <c:pt idx="384">
                  <c:v>0.79974943377996521</c:v>
                </c:pt>
                <c:pt idx="385">
                  <c:v>0.7842991433703651</c:v>
                </c:pt>
                <c:pt idx="386">
                  <c:v>0.80573593456247272</c:v>
                </c:pt>
                <c:pt idx="387">
                  <c:v>0.74899168763702162</c:v>
                </c:pt>
                <c:pt idx="388">
                  <c:v>0.71175371940399146</c:v>
                </c:pt>
                <c:pt idx="389">
                  <c:v>0.70095202199958162</c:v>
                </c:pt>
                <c:pt idx="390">
                  <c:v>0.67253476404269186</c:v>
                </c:pt>
                <c:pt idx="391">
                  <c:v>0.66776511150230711</c:v>
                </c:pt>
                <c:pt idx="392">
                  <c:v>0.67099105065230735</c:v>
                </c:pt>
                <c:pt idx="393">
                  <c:v>0.66698381069334178</c:v>
                </c:pt>
                <c:pt idx="394">
                  <c:v>0.67109509561714331</c:v>
                </c:pt>
                <c:pt idx="395">
                  <c:v>0.67370669594428623</c:v>
                </c:pt>
                <c:pt idx="396">
                  <c:v>0.66333051350969607</c:v>
                </c:pt>
                <c:pt idx="397">
                  <c:v>0.66271179818421344</c:v>
                </c:pt>
                <c:pt idx="398">
                  <c:v>0.65673895673214455</c:v>
                </c:pt>
                <c:pt idx="399">
                  <c:v>0.66373882787014449</c:v>
                </c:pt>
                <c:pt idx="400">
                  <c:v>0.6325819852188288</c:v>
                </c:pt>
                <c:pt idx="401">
                  <c:v>0.64610010775140092</c:v>
                </c:pt>
                <c:pt idx="402">
                  <c:v>0.63758854126500097</c:v>
                </c:pt>
                <c:pt idx="403">
                  <c:v>0.65392869519512764</c:v>
                </c:pt>
                <c:pt idx="404">
                  <c:v>0.65717112655970045</c:v>
                </c:pt>
                <c:pt idx="405">
                  <c:v>0.66132541658970045</c:v>
                </c:pt>
                <c:pt idx="406">
                  <c:v>0.65632411763438392</c:v>
                </c:pt>
                <c:pt idx="407">
                  <c:v>0.67372740105581252</c:v>
                </c:pt>
                <c:pt idx="408">
                  <c:v>0.6589077047087929</c:v>
                </c:pt>
                <c:pt idx="409">
                  <c:v>0.65305294524840074</c:v>
                </c:pt>
                <c:pt idx="410">
                  <c:v>0.65168347276754979</c:v>
                </c:pt>
                <c:pt idx="411">
                  <c:v>0.64854364816906873</c:v>
                </c:pt>
                <c:pt idx="412">
                  <c:v>0.64177149225469798</c:v>
                </c:pt>
                <c:pt idx="413">
                  <c:v>0.64725750987405273</c:v>
                </c:pt>
                <c:pt idx="414">
                  <c:v>0.6477289725769666</c:v>
                </c:pt>
                <c:pt idx="415">
                  <c:v>0.63262159284696662</c:v>
                </c:pt>
                <c:pt idx="416">
                  <c:v>0.64238345964758892</c:v>
                </c:pt>
                <c:pt idx="417">
                  <c:v>0.64455476049258886</c:v>
                </c:pt>
                <c:pt idx="418">
                  <c:v>0.64679316523958308</c:v>
                </c:pt>
                <c:pt idx="419">
                  <c:v>0.63945972049524979</c:v>
                </c:pt>
                <c:pt idx="420">
                  <c:v>0.65997494782614119</c:v>
                </c:pt>
                <c:pt idx="421">
                  <c:v>0.66185428879931196</c:v>
                </c:pt>
                <c:pt idx="422">
                  <c:v>0.65649251859396607</c:v>
                </c:pt>
                <c:pt idx="423">
                  <c:v>0.68264384703649472</c:v>
                </c:pt>
                <c:pt idx="424">
                  <c:v>0.67462257283409233</c:v>
                </c:pt>
                <c:pt idx="425">
                  <c:v>0.67165163238353243</c:v>
                </c:pt>
                <c:pt idx="426">
                  <c:v>0.65905430667593745</c:v>
                </c:pt>
                <c:pt idx="427">
                  <c:v>0.63122700526193765</c:v>
                </c:pt>
                <c:pt idx="428">
                  <c:v>0.66584516409274996</c:v>
                </c:pt>
                <c:pt idx="429">
                  <c:v>0.70147139774196154</c:v>
                </c:pt>
                <c:pt idx="430">
                  <c:v>0.64597028796923417</c:v>
                </c:pt>
                <c:pt idx="431">
                  <c:v>0.59118607018913572</c:v>
                </c:pt>
                <c:pt idx="432">
                  <c:v>0.5926026537880934</c:v>
                </c:pt>
                <c:pt idx="433">
                  <c:v>0.53736560132209354</c:v>
                </c:pt>
                <c:pt idx="434">
                  <c:v>0.53088649966078461</c:v>
                </c:pt>
                <c:pt idx="435">
                  <c:v>0.51561968221935606</c:v>
                </c:pt>
                <c:pt idx="436">
                  <c:v>0.51833294193089452</c:v>
                </c:pt>
                <c:pt idx="437">
                  <c:v>0.4877288832098946</c:v>
                </c:pt>
                <c:pt idx="438">
                  <c:v>0.4754868942324752</c:v>
                </c:pt>
                <c:pt idx="439">
                  <c:v>0.48194994798515134</c:v>
                </c:pt>
                <c:pt idx="440">
                  <c:v>0.48762321794596764</c:v>
                </c:pt>
                <c:pt idx="441">
                  <c:v>0.46988506802156771</c:v>
                </c:pt>
                <c:pt idx="442">
                  <c:v>0.48757608485520415</c:v>
                </c:pt>
                <c:pt idx="443">
                  <c:v>0.49405409097694331</c:v>
                </c:pt>
                <c:pt idx="444">
                  <c:v>0.48611523169585907</c:v>
                </c:pt>
                <c:pt idx="445">
                  <c:v>0.48611523169585902</c:v>
                </c:pt>
                <c:pt idx="446">
                  <c:v>0.47527215382360083</c:v>
                </c:pt>
                <c:pt idx="447">
                  <c:v>0.5107597043245099</c:v>
                </c:pt>
                <c:pt idx="448">
                  <c:v>0.48798862124243447</c:v>
                </c:pt>
                <c:pt idx="449">
                  <c:v>0.46948982583074211</c:v>
                </c:pt>
                <c:pt idx="450">
                  <c:v>0.46322712702991564</c:v>
                </c:pt>
                <c:pt idx="451">
                  <c:v>0.4624675037620295</c:v>
                </c:pt>
                <c:pt idx="452">
                  <c:v>0.47814997036431522</c:v>
                </c:pt>
                <c:pt idx="453">
                  <c:v>0.46987076805157552</c:v>
                </c:pt>
                <c:pt idx="454">
                  <c:v>0.47102019170713105</c:v>
                </c:pt>
                <c:pt idx="455">
                  <c:v>0.47868355659713102</c:v>
                </c:pt>
                <c:pt idx="456">
                  <c:v>0.4874770702271311</c:v>
                </c:pt>
                <c:pt idx="457">
                  <c:v>0.50632238684473585</c:v>
                </c:pt>
                <c:pt idx="458">
                  <c:v>0.50055703287728137</c:v>
                </c:pt>
                <c:pt idx="459">
                  <c:v>0.51097869116651795</c:v>
                </c:pt>
                <c:pt idx="460">
                  <c:v>0.51958570552251782</c:v>
                </c:pt>
                <c:pt idx="461">
                  <c:v>0.51590599047590791</c:v>
                </c:pt>
                <c:pt idx="462">
                  <c:v>0.51394431185772604</c:v>
                </c:pt>
                <c:pt idx="463">
                  <c:v>0.51273596014736567</c:v>
                </c:pt>
                <c:pt idx="464">
                  <c:v>0.49400523422507508</c:v>
                </c:pt>
                <c:pt idx="465">
                  <c:v>0.50377968508001891</c:v>
                </c:pt>
                <c:pt idx="466">
                  <c:v>0.49623091706030875</c:v>
                </c:pt>
                <c:pt idx="467">
                  <c:v>0.48853928627364213</c:v>
                </c:pt>
                <c:pt idx="468">
                  <c:v>0.48760193297716337</c:v>
                </c:pt>
                <c:pt idx="469">
                  <c:v>0.49112480978913425</c:v>
                </c:pt>
                <c:pt idx="470">
                  <c:v>0.48340648600913438</c:v>
                </c:pt>
                <c:pt idx="471">
                  <c:v>0.50317549714104282</c:v>
                </c:pt>
                <c:pt idx="472">
                  <c:v>0.51290926264297543</c:v>
                </c:pt>
                <c:pt idx="473">
                  <c:v>0.51566001401809736</c:v>
                </c:pt>
                <c:pt idx="474">
                  <c:v>0.5084046812690497</c:v>
                </c:pt>
                <c:pt idx="475">
                  <c:v>0.52762019265176163</c:v>
                </c:pt>
                <c:pt idx="476">
                  <c:v>0.50759023230952383</c:v>
                </c:pt>
                <c:pt idx="477">
                  <c:v>0.48993945906179387</c:v>
                </c:pt>
                <c:pt idx="478">
                  <c:v>0.46768665043679386</c:v>
                </c:pt>
                <c:pt idx="479">
                  <c:v>0.49054449033299641</c:v>
                </c:pt>
                <c:pt idx="480">
                  <c:v>0.48456948783464199</c:v>
                </c:pt>
                <c:pt idx="481">
                  <c:v>0.47594608850178477</c:v>
                </c:pt>
                <c:pt idx="482">
                  <c:v>0.47907034606898469</c:v>
                </c:pt>
                <c:pt idx="483">
                  <c:v>0.47941746995303125</c:v>
                </c:pt>
                <c:pt idx="484">
                  <c:v>0.49433595242095574</c:v>
                </c:pt>
                <c:pt idx="485">
                  <c:v>0.4868803029795557</c:v>
                </c:pt>
                <c:pt idx="486">
                  <c:v>0.48004766061138687</c:v>
                </c:pt>
                <c:pt idx="487">
                  <c:v>0.49796785147599876</c:v>
                </c:pt>
                <c:pt idx="488">
                  <c:v>0.50098033950744691</c:v>
                </c:pt>
                <c:pt idx="489">
                  <c:v>0.48664592161502268</c:v>
                </c:pt>
                <c:pt idx="490">
                  <c:v>0.47351351851073709</c:v>
                </c:pt>
                <c:pt idx="491">
                  <c:v>0.44841866798834468</c:v>
                </c:pt>
                <c:pt idx="492">
                  <c:v>0.47996103973507631</c:v>
                </c:pt>
                <c:pt idx="493">
                  <c:v>0.43497139111793337</c:v>
                </c:pt>
                <c:pt idx="494">
                  <c:v>0.49453098048413052</c:v>
                </c:pt>
                <c:pt idx="495">
                  <c:v>0.50308330774885779</c:v>
                </c:pt>
                <c:pt idx="496">
                  <c:v>0.54368926599885792</c:v>
                </c:pt>
                <c:pt idx="497">
                  <c:v>0.50759964515983358</c:v>
                </c:pt>
                <c:pt idx="498">
                  <c:v>0.48807801664468797</c:v>
                </c:pt>
                <c:pt idx="499">
                  <c:v>0.49892375974230307</c:v>
                </c:pt>
                <c:pt idx="500">
                  <c:v>0.52248168615280111</c:v>
                </c:pt>
                <c:pt idx="501">
                  <c:v>0.52583738951280112</c:v>
                </c:pt>
                <c:pt idx="502">
                  <c:v>0.54222415728166318</c:v>
                </c:pt>
                <c:pt idx="503">
                  <c:v>0.5302350833688827</c:v>
                </c:pt>
                <c:pt idx="504">
                  <c:v>0.47659778653219553</c:v>
                </c:pt>
                <c:pt idx="505">
                  <c:v>0.43978275366571407</c:v>
                </c:pt>
                <c:pt idx="506">
                  <c:v>0.42742600852896695</c:v>
                </c:pt>
                <c:pt idx="507">
                  <c:v>0.43528097973959684</c:v>
                </c:pt>
                <c:pt idx="508">
                  <c:v>0.42583308183332552</c:v>
                </c:pt>
                <c:pt idx="509">
                  <c:v>0.3923950185846517</c:v>
                </c:pt>
                <c:pt idx="510">
                  <c:v>0.43034032923881838</c:v>
                </c:pt>
                <c:pt idx="511">
                  <c:v>0.35326388746655341</c:v>
                </c:pt>
                <c:pt idx="512">
                  <c:v>0.42026244654161937</c:v>
                </c:pt>
                <c:pt idx="513">
                  <c:v>0.47152881441438688</c:v>
                </c:pt>
                <c:pt idx="514">
                  <c:v>0.43881186987912379</c:v>
                </c:pt>
                <c:pt idx="515">
                  <c:v>0.46801068675077329</c:v>
                </c:pt>
                <c:pt idx="516">
                  <c:v>0.49765811706245755</c:v>
                </c:pt>
                <c:pt idx="517">
                  <c:v>0.47990512780168831</c:v>
                </c:pt>
                <c:pt idx="518">
                  <c:v>0.49590167551410586</c:v>
                </c:pt>
                <c:pt idx="519">
                  <c:v>0.54532431241105328</c:v>
                </c:pt>
                <c:pt idx="520">
                  <c:v>0.52013043567100048</c:v>
                </c:pt>
                <c:pt idx="521">
                  <c:v>0.57658862642777886</c:v>
                </c:pt>
                <c:pt idx="522">
                  <c:v>0.62733084095879821</c:v>
                </c:pt>
                <c:pt idx="523">
                  <c:v>0.65323987206213163</c:v>
                </c:pt>
                <c:pt idx="524">
                  <c:v>0.57222544979668333</c:v>
                </c:pt>
                <c:pt idx="525">
                  <c:v>0.98225664871843832</c:v>
                </c:pt>
                <c:pt idx="526">
                  <c:v>0.85428885873491556</c:v>
                </c:pt>
                <c:pt idx="527">
                  <c:v>0.84028099706727466</c:v>
                </c:pt>
                <c:pt idx="528">
                  <c:v>0.87242678947828201</c:v>
                </c:pt>
                <c:pt idx="529">
                  <c:v>0.87180149463850554</c:v>
                </c:pt>
                <c:pt idx="530">
                  <c:v>0.84078302058811605</c:v>
                </c:pt>
                <c:pt idx="531">
                  <c:v>0.85326833969720695</c:v>
                </c:pt>
                <c:pt idx="532">
                  <c:v>0.78613814151024031</c:v>
                </c:pt>
                <c:pt idx="533">
                  <c:v>0.74579031825744024</c:v>
                </c:pt>
                <c:pt idx="534">
                  <c:v>0.71355898139057339</c:v>
                </c:pt>
                <c:pt idx="535">
                  <c:v>0.7304883642697424</c:v>
                </c:pt>
                <c:pt idx="536">
                  <c:v>0.70193632285150709</c:v>
                </c:pt>
                <c:pt idx="537">
                  <c:v>0.69891500926989625</c:v>
                </c:pt>
                <c:pt idx="538">
                  <c:v>0.68154833680950422</c:v>
                </c:pt>
                <c:pt idx="539">
                  <c:v>0.68618254492254771</c:v>
                </c:pt>
                <c:pt idx="540">
                  <c:v>0.67984108275567656</c:v>
                </c:pt>
                <c:pt idx="541">
                  <c:v>0.69459524606699719</c:v>
                </c:pt>
                <c:pt idx="542">
                  <c:v>0.66392836974402425</c:v>
                </c:pt>
                <c:pt idx="543">
                  <c:v>0.63963334097118474</c:v>
                </c:pt>
                <c:pt idx="544">
                  <c:v>0.66734500431278221</c:v>
                </c:pt>
                <c:pt idx="545">
                  <c:v>0.63584333700255569</c:v>
                </c:pt>
                <c:pt idx="546">
                  <c:v>0.62556426096578166</c:v>
                </c:pt>
                <c:pt idx="547">
                  <c:v>0.62010801149277073</c:v>
                </c:pt>
                <c:pt idx="548">
                  <c:v>0.6439861053879059</c:v>
                </c:pt>
                <c:pt idx="549">
                  <c:v>0.61615457257315065</c:v>
                </c:pt>
                <c:pt idx="550">
                  <c:v>0.59130113144815089</c:v>
                </c:pt>
                <c:pt idx="551">
                  <c:v>0.60537732324858073</c:v>
                </c:pt>
                <c:pt idx="552">
                  <c:v>0.58574873687186857</c:v>
                </c:pt>
                <c:pt idx="553">
                  <c:v>0.60525036315214265</c:v>
                </c:pt>
                <c:pt idx="554">
                  <c:v>0.61027730572971817</c:v>
                </c:pt>
                <c:pt idx="555">
                  <c:v>0.59606622943244547</c:v>
                </c:pt>
                <c:pt idx="556">
                  <c:v>0.56458607569648789</c:v>
                </c:pt>
                <c:pt idx="557">
                  <c:v>0.58820003956105937</c:v>
                </c:pt>
                <c:pt idx="558">
                  <c:v>0.58437030562202708</c:v>
                </c:pt>
                <c:pt idx="559">
                  <c:v>0.58333244112529825</c:v>
                </c:pt>
                <c:pt idx="560">
                  <c:v>0.54765624984536643</c:v>
                </c:pt>
                <c:pt idx="561">
                  <c:v>0.50362975338493188</c:v>
                </c:pt>
                <c:pt idx="562">
                  <c:v>0.55016008116733173</c:v>
                </c:pt>
                <c:pt idx="563">
                  <c:v>0.50284472345722342</c:v>
                </c:pt>
                <c:pt idx="564">
                  <c:v>0.47024858736183889</c:v>
                </c:pt>
                <c:pt idx="565">
                  <c:v>0.46564703529115864</c:v>
                </c:pt>
                <c:pt idx="566">
                  <c:v>0.44128807091579014</c:v>
                </c:pt>
                <c:pt idx="567">
                  <c:v>0.44509957385400639</c:v>
                </c:pt>
                <c:pt idx="568">
                  <c:v>0.44206485465868722</c:v>
                </c:pt>
                <c:pt idx="569">
                  <c:v>0.41366077858332678</c:v>
                </c:pt>
                <c:pt idx="570">
                  <c:v>0.40707704298907388</c:v>
                </c:pt>
                <c:pt idx="571">
                  <c:v>0.39183327002740731</c:v>
                </c:pt>
                <c:pt idx="572">
                  <c:v>0.37605771747815359</c:v>
                </c:pt>
                <c:pt idx="573">
                  <c:v>0.3606664974769227</c:v>
                </c:pt>
                <c:pt idx="574">
                  <c:v>0.37160074626538431</c:v>
                </c:pt>
                <c:pt idx="575">
                  <c:v>0.37025607570836305</c:v>
                </c:pt>
                <c:pt idx="576">
                  <c:v>0.36638936235150588</c:v>
                </c:pt>
                <c:pt idx="577">
                  <c:v>0.37010750679150589</c:v>
                </c:pt>
                <c:pt idx="578">
                  <c:v>0.35774487099150581</c:v>
                </c:pt>
                <c:pt idx="579">
                  <c:v>0.35342652301817246</c:v>
                </c:pt>
                <c:pt idx="580">
                  <c:v>0.35724908332952843</c:v>
                </c:pt>
                <c:pt idx="581">
                  <c:v>0.36273147555607166</c:v>
                </c:pt>
                <c:pt idx="582">
                  <c:v>0.35641957730478957</c:v>
                </c:pt>
                <c:pt idx="583">
                  <c:v>0.36459729516227252</c:v>
                </c:pt>
                <c:pt idx="584">
                  <c:v>0.36937843782973911</c:v>
                </c:pt>
                <c:pt idx="585">
                  <c:v>0.35223739762486733</c:v>
                </c:pt>
                <c:pt idx="586">
                  <c:v>0.35082825677275464</c:v>
                </c:pt>
                <c:pt idx="587">
                  <c:v>0.34531728580730014</c:v>
                </c:pt>
                <c:pt idx="588">
                  <c:v>0.34172147872878161</c:v>
                </c:pt>
                <c:pt idx="589">
                  <c:v>0.34185994911211498</c:v>
                </c:pt>
                <c:pt idx="590">
                  <c:v>0.33920908479614093</c:v>
                </c:pt>
                <c:pt idx="591">
                  <c:v>0.33040269729464672</c:v>
                </c:pt>
                <c:pt idx="592">
                  <c:v>0.32226375270264673</c:v>
                </c:pt>
                <c:pt idx="593">
                  <c:v>0.32719858248416572</c:v>
                </c:pt>
                <c:pt idx="594">
                  <c:v>0.31786147157784989</c:v>
                </c:pt>
                <c:pt idx="595">
                  <c:v>0.31257034375638648</c:v>
                </c:pt>
                <c:pt idx="596">
                  <c:v>0.3366667032811233</c:v>
                </c:pt>
                <c:pt idx="597">
                  <c:v>0.32810683778907207</c:v>
                </c:pt>
                <c:pt idx="598">
                  <c:v>0.3328084605027084</c:v>
                </c:pt>
                <c:pt idx="599">
                  <c:v>0.32840357780670842</c:v>
                </c:pt>
                <c:pt idx="600">
                  <c:v>0.32689210035425226</c:v>
                </c:pt>
                <c:pt idx="601">
                  <c:v>0.31498195530060519</c:v>
                </c:pt>
                <c:pt idx="602">
                  <c:v>0.32620274915515057</c:v>
                </c:pt>
                <c:pt idx="603">
                  <c:v>0.3224008081970024</c:v>
                </c:pt>
                <c:pt idx="604">
                  <c:v>0.3101596361063047</c:v>
                </c:pt>
                <c:pt idx="605">
                  <c:v>0.31687180631565959</c:v>
                </c:pt>
                <c:pt idx="606">
                  <c:v>0.28620024657891541</c:v>
                </c:pt>
                <c:pt idx="607">
                  <c:v>0.30640874136152407</c:v>
                </c:pt>
                <c:pt idx="608">
                  <c:v>0.28676270172890655</c:v>
                </c:pt>
                <c:pt idx="609">
                  <c:v>0.28541668159992106</c:v>
                </c:pt>
                <c:pt idx="610">
                  <c:v>0.2732239220232543</c:v>
                </c:pt>
                <c:pt idx="611">
                  <c:v>0.27804807477378068</c:v>
                </c:pt>
                <c:pt idx="612">
                  <c:v>0.26028521575573943</c:v>
                </c:pt>
                <c:pt idx="613">
                  <c:v>0.23800725982454676</c:v>
                </c:pt>
                <c:pt idx="614">
                  <c:v>0.26272947945420966</c:v>
                </c:pt>
                <c:pt idx="615">
                  <c:v>0.28576411707275812</c:v>
                </c:pt>
                <c:pt idx="616">
                  <c:v>0.2493852576840081</c:v>
                </c:pt>
                <c:pt idx="617">
                  <c:v>0.25568276564431341</c:v>
                </c:pt>
                <c:pt idx="618">
                  <c:v>0.25854840405709123</c:v>
                </c:pt>
                <c:pt idx="619">
                  <c:v>0.2502270609584471</c:v>
                </c:pt>
                <c:pt idx="620">
                  <c:v>0.24856194615701854</c:v>
                </c:pt>
                <c:pt idx="621">
                  <c:v>0.25463682929510367</c:v>
                </c:pt>
                <c:pt idx="622">
                  <c:v>0.24609876020406912</c:v>
                </c:pt>
                <c:pt idx="623">
                  <c:v>0.25598637444936329</c:v>
                </c:pt>
                <c:pt idx="624">
                  <c:v>0.23919491771743556</c:v>
                </c:pt>
                <c:pt idx="625">
                  <c:v>0.23528770107343558</c:v>
                </c:pt>
                <c:pt idx="626">
                  <c:v>0.2235015794234356</c:v>
                </c:pt>
                <c:pt idx="627">
                  <c:v>0.229990069925677</c:v>
                </c:pt>
                <c:pt idx="628">
                  <c:v>0.24477255904093123</c:v>
                </c:pt>
                <c:pt idx="629">
                  <c:v>0.26784216367764879</c:v>
                </c:pt>
                <c:pt idx="630">
                  <c:v>0.25764813685894133</c:v>
                </c:pt>
                <c:pt idx="631">
                  <c:v>0.2463069051203699</c:v>
                </c:pt>
                <c:pt idx="632">
                  <c:v>0.25601109893322699</c:v>
                </c:pt>
                <c:pt idx="633">
                  <c:v>0.25692344690427965</c:v>
                </c:pt>
                <c:pt idx="634">
                  <c:v>0.24619561600645354</c:v>
                </c:pt>
                <c:pt idx="635">
                  <c:v>0.25252531142219264</c:v>
                </c:pt>
                <c:pt idx="636">
                  <c:v>0.24523512150607329</c:v>
                </c:pt>
                <c:pt idx="637">
                  <c:v>0.24620271563442278</c:v>
                </c:pt>
                <c:pt idx="638">
                  <c:v>0.26783272396295932</c:v>
                </c:pt>
                <c:pt idx="639">
                  <c:v>0.25323821746995184</c:v>
                </c:pt>
                <c:pt idx="640">
                  <c:v>0.24685141989125617</c:v>
                </c:pt>
                <c:pt idx="641">
                  <c:v>0.2448679483326848</c:v>
                </c:pt>
                <c:pt idx="642">
                  <c:v>0.23956816587549379</c:v>
                </c:pt>
                <c:pt idx="643">
                  <c:v>0.23630707146611876</c:v>
                </c:pt>
                <c:pt idx="644">
                  <c:v>0.23651893304558544</c:v>
                </c:pt>
                <c:pt idx="645">
                  <c:v>0.23460155393175569</c:v>
                </c:pt>
                <c:pt idx="646">
                  <c:v>0.22857097900681894</c:v>
                </c:pt>
                <c:pt idx="647">
                  <c:v>0.2309512885240283</c:v>
                </c:pt>
                <c:pt idx="648">
                  <c:v>0.24710976402009127</c:v>
                </c:pt>
                <c:pt idx="649">
                  <c:v>0.25308040369352874</c:v>
                </c:pt>
                <c:pt idx="650">
                  <c:v>0.24508244528797318</c:v>
                </c:pt>
                <c:pt idx="651">
                  <c:v>0.24908909433797313</c:v>
                </c:pt>
                <c:pt idx="652">
                  <c:v>0.23267625160774061</c:v>
                </c:pt>
                <c:pt idx="653">
                  <c:v>0.24329412534171319</c:v>
                </c:pt>
                <c:pt idx="654">
                  <c:v>0.2477517760462587</c:v>
                </c:pt>
                <c:pt idx="655">
                  <c:v>0.23930820191096461</c:v>
                </c:pt>
                <c:pt idx="656">
                  <c:v>0.24163282020148008</c:v>
                </c:pt>
                <c:pt idx="657">
                  <c:v>0.24127359846564672</c:v>
                </c:pt>
                <c:pt idx="658">
                  <c:v>0.25642618732544964</c:v>
                </c:pt>
                <c:pt idx="659">
                  <c:v>0.25661962762426688</c:v>
                </c:pt>
                <c:pt idx="660">
                  <c:v>0.22943462162213912</c:v>
                </c:pt>
                <c:pt idx="661">
                  <c:v>0.24073766108154504</c:v>
                </c:pt>
                <c:pt idx="662">
                  <c:v>0.21581442241682111</c:v>
                </c:pt>
                <c:pt idx="663">
                  <c:v>0.22032769161957974</c:v>
                </c:pt>
                <c:pt idx="664">
                  <c:v>0.21209081419161369</c:v>
                </c:pt>
                <c:pt idx="665">
                  <c:v>0.2140286961296137</c:v>
                </c:pt>
                <c:pt idx="666">
                  <c:v>0.2132875201608137</c:v>
                </c:pt>
                <c:pt idx="667">
                  <c:v>0.2039021469214588</c:v>
                </c:pt>
                <c:pt idx="668">
                  <c:v>0.20433394124492038</c:v>
                </c:pt>
                <c:pt idx="669">
                  <c:v>0.19868354294825369</c:v>
                </c:pt>
                <c:pt idx="670">
                  <c:v>0.20707376865290483</c:v>
                </c:pt>
                <c:pt idx="671">
                  <c:v>0.1979003483114414</c:v>
                </c:pt>
                <c:pt idx="672">
                  <c:v>0.21038321460721918</c:v>
                </c:pt>
                <c:pt idx="673">
                  <c:v>0.20002665735631012</c:v>
                </c:pt>
                <c:pt idx="674">
                  <c:v>0.19064025448063446</c:v>
                </c:pt>
                <c:pt idx="675">
                  <c:v>0.17651463990444399</c:v>
                </c:pt>
                <c:pt idx="676">
                  <c:v>0.16252989734080761</c:v>
                </c:pt>
                <c:pt idx="677">
                  <c:v>0.18248447970280762</c:v>
                </c:pt>
                <c:pt idx="678">
                  <c:v>0.1808562924434618</c:v>
                </c:pt>
                <c:pt idx="679">
                  <c:v>0.18642722269536657</c:v>
                </c:pt>
                <c:pt idx="680">
                  <c:v>0.16859147201654834</c:v>
                </c:pt>
                <c:pt idx="681">
                  <c:v>0.1476548984597523</c:v>
                </c:pt>
                <c:pt idx="682">
                  <c:v>0.14408018561039748</c:v>
                </c:pt>
                <c:pt idx="683">
                  <c:v>0.14833354742850827</c:v>
                </c:pt>
                <c:pt idx="684">
                  <c:v>0.15255716472096725</c:v>
                </c:pt>
                <c:pt idx="685">
                  <c:v>0.16915910718493116</c:v>
                </c:pt>
                <c:pt idx="686">
                  <c:v>9.8447729965610783E-2</c:v>
                </c:pt>
                <c:pt idx="687">
                  <c:v>0.17781792313872988</c:v>
                </c:pt>
                <c:pt idx="688">
                  <c:v>0.16612841125417288</c:v>
                </c:pt>
                <c:pt idx="689">
                  <c:v>0.15566392497036763</c:v>
                </c:pt>
                <c:pt idx="690">
                  <c:v>0.13277201971563704</c:v>
                </c:pt>
                <c:pt idx="691">
                  <c:v>0.16201994363842773</c:v>
                </c:pt>
                <c:pt idx="692">
                  <c:v>0.17013801017611999</c:v>
                </c:pt>
                <c:pt idx="693">
                  <c:v>0.15648105440756921</c:v>
                </c:pt>
                <c:pt idx="694">
                  <c:v>0.15823825412833847</c:v>
                </c:pt>
                <c:pt idx="695">
                  <c:v>0.15430072032704809</c:v>
                </c:pt>
                <c:pt idx="696">
                  <c:v>0.15134448518704807</c:v>
                </c:pt>
                <c:pt idx="697">
                  <c:v>0.14202932379152569</c:v>
                </c:pt>
                <c:pt idx="698">
                  <c:v>0.14466088378522318</c:v>
                </c:pt>
                <c:pt idx="699">
                  <c:v>0.15814173905483489</c:v>
                </c:pt>
                <c:pt idx="700">
                  <c:v>0.16133379456483493</c:v>
                </c:pt>
                <c:pt idx="701">
                  <c:v>0.15743991360908266</c:v>
                </c:pt>
                <c:pt idx="702">
                  <c:v>0.18773548038716267</c:v>
                </c:pt>
                <c:pt idx="703">
                  <c:v>0.21330977379656713</c:v>
                </c:pt>
                <c:pt idx="704">
                  <c:v>0.21851223277474896</c:v>
                </c:pt>
                <c:pt idx="705">
                  <c:v>0.21099257194586002</c:v>
                </c:pt>
                <c:pt idx="706">
                  <c:v>0.21121176205986003</c:v>
                </c:pt>
                <c:pt idx="707">
                  <c:v>0.21121176205986003</c:v>
                </c:pt>
                <c:pt idx="708">
                  <c:v>0.20947799902143646</c:v>
                </c:pt>
                <c:pt idx="709">
                  <c:v>0.22957611530612609</c:v>
                </c:pt>
                <c:pt idx="710">
                  <c:v>0.20178003733055361</c:v>
                </c:pt>
                <c:pt idx="711">
                  <c:v>0.15463067349962942</c:v>
                </c:pt>
                <c:pt idx="712">
                  <c:v>0.15902055080163588</c:v>
                </c:pt>
                <c:pt idx="713">
                  <c:v>0.17782497441928297</c:v>
                </c:pt>
                <c:pt idx="714">
                  <c:v>0.16248006300185006</c:v>
                </c:pt>
                <c:pt idx="715">
                  <c:v>0.16703829054682837</c:v>
                </c:pt>
                <c:pt idx="716">
                  <c:v>0.16613478505486956</c:v>
                </c:pt>
                <c:pt idx="717">
                  <c:v>0.15087417886868773</c:v>
                </c:pt>
                <c:pt idx="718">
                  <c:v>0.15159730502011629</c:v>
                </c:pt>
                <c:pt idx="719">
                  <c:v>0.13982339659646767</c:v>
                </c:pt>
                <c:pt idx="720">
                  <c:v>0.12756241158016224</c:v>
                </c:pt>
                <c:pt idx="721">
                  <c:v>0.12877732538399786</c:v>
                </c:pt>
                <c:pt idx="722">
                  <c:v>0.11640640341379578</c:v>
                </c:pt>
                <c:pt idx="723">
                  <c:v>0.10459822904265938</c:v>
                </c:pt>
                <c:pt idx="724">
                  <c:v>9.2971156123740503E-2</c:v>
                </c:pt>
                <c:pt idx="725">
                  <c:v>9.7756303179740475E-2</c:v>
                </c:pt>
                <c:pt idx="726">
                  <c:v>9.8066733410175272E-2</c:v>
                </c:pt>
                <c:pt idx="727">
                  <c:v>9.0398896606224688E-2</c:v>
                </c:pt>
                <c:pt idx="728">
                  <c:v>9.0398896606224688E-2</c:v>
                </c:pt>
                <c:pt idx="729">
                  <c:v>7.6780228421609226E-2</c:v>
                </c:pt>
                <c:pt idx="730">
                  <c:v>7.8803622924835059E-2</c:v>
                </c:pt>
                <c:pt idx="731">
                  <c:v>7.0884537618834995E-2</c:v>
                </c:pt>
                <c:pt idx="732">
                  <c:v>6.631356435550162E-2</c:v>
                </c:pt>
                <c:pt idx="733">
                  <c:v>6.214265681264447E-2</c:v>
                </c:pt>
                <c:pt idx="734">
                  <c:v>6.2795101780422233E-2</c:v>
                </c:pt>
                <c:pt idx="735">
                  <c:v>5.7539524150605724E-2</c:v>
                </c:pt>
                <c:pt idx="736">
                  <c:v>6.0573054593568702E-2</c:v>
                </c:pt>
                <c:pt idx="737">
                  <c:v>5.972043832773534E-2</c:v>
                </c:pt>
                <c:pt idx="738">
                  <c:v>5.4892752695735361E-2</c:v>
                </c:pt>
                <c:pt idx="739">
                  <c:v>4.7556374265275599E-2</c:v>
                </c:pt>
                <c:pt idx="740">
                  <c:v>5.5107210899059379E-2</c:v>
                </c:pt>
                <c:pt idx="741">
                  <c:v>5.8928098856873938E-2</c:v>
                </c:pt>
                <c:pt idx="742">
                  <c:v>4.9383594586240996E-2</c:v>
                </c:pt>
                <c:pt idx="743">
                  <c:v>4.9095720963174327E-2</c:v>
                </c:pt>
                <c:pt idx="744">
                  <c:v>5.5477067501659164E-2</c:v>
                </c:pt>
                <c:pt idx="745">
                  <c:v>3.3313658748123025E-2</c:v>
                </c:pt>
                <c:pt idx="746">
                  <c:v>3.900110572622429E-2</c:v>
                </c:pt>
                <c:pt idx="747">
                  <c:v>4.3341566019557617E-2</c:v>
                </c:pt>
                <c:pt idx="748">
                  <c:v>4.693307795289095E-2</c:v>
                </c:pt>
                <c:pt idx="749">
                  <c:v>3.9573141370255291E-2</c:v>
                </c:pt>
                <c:pt idx="750">
                  <c:v>4.2468798944497739E-2</c:v>
                </c:pt>
                <c:pt idx="751">
                  <c:v>4.8276479641866155E-2</c:v>
                </c:pt>
                <c:pt idx="752">
                  <c:v>4.6179269320765201E-2</c:v>
                </c:pt>
                <c:pt idx="753">
                  <c:v>3.8150612601565173E-2</c:v>
                </c:pt>
                <c:pt idx="754">
                  <c:v>4.095810704367045E-2</c:v>
                </c:pt>
                <c:pt idx="755">
                  <c:v>3.7910704249596375E-2</c:v>
                </c:pt>
                <c:pt idx="756">
                  <c:v>3.3029010558956372E-2</c:v>
                </c:pt>
                <c:pt idx="757">
                  <c:v>3.6731350449995336E-2</c:v>
                </c:pt>
                <c:pt idx="758">
                  <c:v>3.8311772089995345E-2</c:v>
                </c:pt>
                <c:pt idx="759">
                  <c:v>3.8701975762604028E-2</c:v>
                </c:pt>
                <c:pt idx="760">
                  <c:v>3.9873749926125163E-2</c:v>
                </c:pt>
                <c:pt idx="761">
                  <c:v>3.9538195700740554E-2</c:v>
                </c:pt>
                <c:pt idx="762">
                  <c:v>3.9995390757558737E-2</c:v>
                </c:pt>
                <c:pt idx="763">
                  <c:v>3.7743296739065589E-2</c:v>
                </c:pt>
                <c:pt idx="764">
                  <c:v>3.9364398118704146E-2</c:v>
                </c:pt>
                <c:pt idx="765">
                  <c:v>3.8682298673704152E-2</c:v>
                </c:pt>
                <c:pt idx="766">
                  <c:v>3.941562605220416E-2</c:v>
                </c:pt>
                <c:pt idx="767">
                  <c:v>4.4831306292301226E-2</c:v>
                </c:pt>
                <c:pt idx="768">
                  <c:v>3.9709754886660217E-2</c:v>
                </c:pt>
                <c:pt idx="769">
                  <c:v>4.1837042132346493E-2</c:v>
                </c:pt>
                <c:pt idx="770">
                  <c:v>4.0505474152018647E-2</c:v>
                </c:pt>
                <c:pt idx="771">
                  <c:v>3.8553525637732948E-2</c:v>
                </c:pt>
                <c:pt idx="772">
                  <c:v>3.1608510247994957E-2</c:v>
                </c:pt>
                <c:pt idx="773">
                  <c:v>4.0671966360202733E-2</c:v>
                </c:pt>
                <c:pt idx="774">
                  <c:v>4.5485573726028822E-2</c:v>
                </c:pt>
                <c:pt idx="775">
                  <c:v>4.1553136334816713E-2</c:v>
                </c:pt>
                <c:pt idx="776">
                  <c:v>5.0701683895769095E-2</c:v>
                </c:pt>
                <c:pt idx="777">
                  <c:v>5.2547914201941937E-2</c:v>
                </c:pt>
                <c:pt idx="778">
                  <c:v>4.7086207502914174E-2</c:v>
                </c:pt>
                <c:pt idx="779">
                  <c:v>4.1169011564403474E-2</c:v>
                </c:pt>
                <c:pt idx="780">
                  <c:v>3.8262125671934308E-2</c:v>
                </c:pt>
                <c:pt idx="781">
                  <c:v>4.1726867980116121E-2</c:v>
                </c:pt>
                <c:pt idx="782">
                  <c:v>4.1387557450704347E-2</c:v>
                </c:pt>
                <c:pt idx="783">
                  <c:v>4.3011571513747827E-2</c:v>
                </c:pt>
                <c:pt idx="784">
                  <c:v>3.8551122213033535E-2</c:v>
                </c:pt>
                <c:pt idx="785">
                  <c:v>3.4563578141682205E-2</c:v>
                </c:pt>
                <c:pt idx="786">
                  <c:v>3.8223980220773113E-2</c:v>
                </c:pt>
                <c:pt idx="787">
                  <c:v>3.7969572889283758E-2</c:v>
                </c:pt>
                <c:pt idx="788">
                  <c:v>3.87920490485767E-2</c:v>
                </c:pt>
                <c:pt idx="789">
                  <c:v>3.6658268344112427E-2</c:v>
                </c:pt>
                <c:pt idx="790">
                  <c:v>4.0829358832573957E-2</c:v>
                </c:pt>
                <c:pt idx="791">
                  <c:v>3.6779107629212632E-2</c:v>
                </c:pt>
                <c:pt idx="792">
                  <c:v>3.6572361951461144E-2</c:v>
                </c:pt>
                <c:pt idx="793">
                  <c:v>2.8115517840926373E-2</c:v>
                </c:pt>
                <c:pt idx="794">
                  <c:v>2.3435711397968607E-2</c:v>
                </c:pt>
                <c:pt idx="795">
                  <c:v>1.8059748323113821E-2</c:v>
                </c:pt>
                <c:pt idx="796">
                  <c:v>2.5782790546035179E-2</c:v>
                </c:pt>
                <c:pt idx="797">
                  <c:v>1.280508304442679E-2</c:v>
                </c:pt>
                <c:pt idx="798">
                  <c:v>1.5697185500537905E-2</c:v>
                </c:pt>
                <c:pt idx="799">
                  <c:v>1.8464640157714932E-2</c:v>
                </c:pt>
                <c:pt idx="800">
                  <c:v>2.1802902208455682E-2</c:v>
                </c:pt>
                <c:pt idx="801">
                  <c:v>1.5531783799884291E-2</c:v>
                </c:pt>
                <c:pt idx="802">
                  <c:v>2.2178125579837345E-2</c:v>
                </c:pt>
                <c:pt idx="803">
                  <c:v>2.2664459365131454E-2</c:v>
                </c:pt>
                <c:pt idx="804">
                  <c:v>2.6485195425978894E-2</c:v>
                </c:pt>
                <c:pt idx="805">
                  <c:v>3.4318246207690986E-2</c:v>
                </c:pt>
                <c:pt idx="806">
                  <c:v>3.193396457722588E-2</c:v>
                </c:pt>
                <c:pt idx="807">
                  <c:v>2.7147299976774786E-2</c:v>
                </c:pt>
                <c:pt idx="808">
                  <c:v>7.2122804185088913E-3</c:v>
                </c:pt>
                <c:pt idx="809">
                  <c:v>4.9764589961559656E-2</c:v>
                </c:pt>
                <c:pt idx="810">
                  <c:v>-1.4402663674358844E-2</c:v>
                </c:pt>
                <c:pt idx="811">
                  <c:v>-1.4402663674359063E-2</c:v>
                </c:pt>
                <c:pt idx="812">
                  <c:v>-1.3830908183692205E-2</c:v>
                </c:pt>
                <c:pt idx="813">
                  <c:v>8.6823221155284541E-3</c:v>
                </c:pt>
                <c:pt idx="814">
                  <c:v>1.6167369129765966E-2</c:v>
                </c:pt>
                <c:pt idx="815">
                  <c:v>-1.1812933333826197E-2</c:v>
                </c:pt>
                <c:pt idx="816">
                  <c:v>-2.1044020263749273E-2</c:v>
                </c:pt>
                <c:pt idx="817">
                  <c:v>-2.0667297065672358E-2</c:v>
                </c:pt>
                <c:pt idx="818">
                  <c:v>-1.9998997851227909E-2</c:v>
                </c:pt>
                <c:pt idx="819">
                  <c:v>-2.3091771812155763E-2</c:v>
                </c:pt>
                <c:pt idx="820">
                  <c:v>-2.1444562689037498E-2</c:v>
                </c:pt>
                <c:pt idx="821">
                  <c:v>-1.9422479234275602E-2</c:v>
                </c:pt>
                <c:pt idx="822">
                  <c:v>-1.7837649171836573E-2</c:v>
                </c:pt>
                <c:pt idx="823">
                  <c:v>-2.2085344469079957E-3</c:v>
                </c:pt>
                <c:pt idx="824">
                  <c:v>-1.9493093959803909E-2</c:v>
                </c:pt>
                <c:pt idx="825">
                  <c:v>-2.0356634650784289E-2</c:v>
                </c:pt>
                <c:pt idx="826">
                  <c:v>-2.555830464311188E-2</c:v>
                </c:pt>
                <c:pt idx="827">
                  <c:v>-2.6522471593287321E-2</c:v>
                </c:pt>
                <c:pt idx="828">
                  <c:v>-2.4637440014398434E-2</c:v>
                </c:pt>
                <c:pt idx="829">
                  <c:v>-2.336216157930409E-2</c:v>
                </c:pt>
                <c:pt idx="830">
                  <c:v>-2.3041716249304092E-2</c:v>
                </c:pt>
                <c:pt idx="831">
                  <c:v>-2.4299809162637423E-2</c:v>
                </c:pt>
                <c:pt idx="832">
                  <c:v>-2.4160477505808159E-2</c:v>
                </c:pt>
                <c:pt idx="833">
                  <c:v>-2.3898153997293312E-2</c:v>
                </c:pt>
                <c:pt idx="834">
                  <c:v>-2.561572580284887E-2</c:v>
                </c:pt>
                <c:pt idx="835">
                  <c:v>-2.5145414223974691E-2</c:v>
                </c:pt>
                <c:pt idx="836">
                  <c:v>-2.1514110083607728E-2</c:v>
                </c:pt>
                <c:pt idx="837">
                  <c:v>-2.3973887154642212E-2</c:v>
                </c:pt>
                <c:pt idx="838">
                  <c:v>-2.4256066912887824E-2</c:v>
                </c:pt>
                <c:pt idx="839">
                  <c:v>-2.2380862795287833E-2</c:v>
                </c:pt>
                <c:pt idx="840">
                  <c:v>-2.1555258811883575E-2</c:v>
                </c:pt>
                <c:pt idx="841">
                  <c:v>-2.0295029430984705E-2</c:v>
                </c:pt>
                <c:pt idx="842">
                  <c:v>-2.2564535186468587E-2</c:v>
                </c:pt>
                <c:pt idx="843">
                  <c:v>-2.2150169420164227E-2</c:v>
                </c:pt>
                <c:pt idx="844">
                  <c:v>-2.4711118483878518E-2</c:v>
                </c:pt>
                <c:pt idx="845">
                  <c:v>-2.46195979166654E-2</c:v>
                </c:pt>
                <c:pt idx="846">
                  <c:v>-2.573287572999873E-2</c:v>
                </c:pt>
                <c:pt idx="847">
                  <c:v>-2.5913764873447005E-2</c:v>
                </c:pt>
                <c:pt idx="848">
                  <c:v>-2.6223119102613681E-2</c:v>
                </c:pt>
                <c:pt idx="849">
                  <c:v>-2.931765833261368E-2</c:v>
                </c:pt>
                <c:pt idx="850">
                  <c:v>-2.6038155758700627E-2</c:v>
                </c:pt>
                <c:pt idx="851">
                  <c:v>-2.9918191594687886E-2</c:v>
                </c:pt>
                <c:pt idx="852">
                  <c:v>-3.0984438246524623E-2</c:v>
                </c:pt>
                <c:pt idx="853">
                  <c:v>-3.1914514738832306E-2</c:v>
                </c:pt>
                <c:pt idx="854">
                  <c:v>-3.3819172543594213E-2</c:v>
                </c:pt>
                <c:pt idx="855">
                  <c:v>-3.4112502660155065E-2</c:v>
                </c:pt>
                <c:pt idx="856">
                  <c:v>-3.7030870772419212E-2</c:v>
                </c:pt>
                <c:pt idx="857">
                  <c:v>-3.160464056641922E-2</c:v>
                </c:pt>
                <c:pt idx="858">
                  <c:v>-2.7588133872500295E-2</c:v>
                </c:pt>
                <c:pt idx="859">
                  <c:v>-2.7343796306048683E-2</c:v>
                </c:pt>
                <c:pt idx="860">
                  <c:v>-2.6390543676048674E-2</c:v>
                </c:pt>
                <c:pt idx="861">
                  <c:v>-2.6970781542282444E-2</c:v>
                </c:pt>
                <c:pt idx="862">
                  <c:v>-2.9760221382183934E-2</c:v>
                </c:pt>
                <c:pt idx="863">
                  <c:v>-3.3318237882183924E-2</c:v>
                </c:pt>
                <c:pt idx="864">
                  <c:v>-3.4049663551149439E-2</c:v>
                </c:pt>
                <c:pt idx="865">
                  <c:v>-3.4200535491816092E-2</c:v>
                </c:pt>
                <c:pt idx="866">
                  <c:v>-3.4450103230290657E-2</c:v>
                </c:pt>
                <c:pt idx="867">
                  <c:v>-3.5343903619504138E-2</c:v>
                </c:pt>
                <c:pt idx="868">
                  <c:v>-3.5252863564184986E-2</c:v>
                </c:pt>
                <c:pt idx="869">
                  <c:v>-3.6423408535128383E-2</c:v>
                </c:pt>
                <c:pt idx="870">
                  <c:v>-3.594235923136601E-2</c:v>
                </c:pt>
                <c:pt idx="871">
                  <c:v>-3.4297636796284045E-2</c:v>
                </c:pt>
                <c:pt idx="872">
                  <c:v>-3.6005670523597502E-2</c:v>
                </c:pt>
                <c:pt idx="873">
                  <c:v>-3.8756881942337673E-2</c:v>
                </c:pt>
                <c:pt idx="874">
                  <c:v>-4.3305234115240898E-2</c:v>
                </c:pt>
                <c:pt idx="875">
                  <c:v>-4.083635893673343E-2</c:v>
                </c:pt>
                <c:pt idx="876">
                  <c:v>-3.9626440613304864E-2</c:v>
                </c:pt>
                <c:pt idx="877">
                  <c:v>-3.7925589405612553E-2</c:v>
                </c:pt>
                <c:pt idx="878">
                  <c:v>-3.7740601961766394E-2</c:v>
                </c:pt>
                <c:pt idx="879">
                  <c:v>-4.0378776114074096E-2</c:v>
                </c:pt>
                <c:pt idx="880">
                  <c:v>-4.0609091125502664E-2</c:v>
                </c:pt>
                <c:pt idx="881">
                  <c:v>-4.0825434605601681E-2</c:v>
                </c:pt>
                <c:pt idx="882">
                  <c:v>-4.0639162063101683E-2</c:v>
                </c:pt>
                <c:pt idx="883">
                  <c:v>-3.9918907418078423E-2</c:v>
                </c:pt>
                <c:pt idx="884">
                  <c:v>-3.477565061841742E-2</c:v>
                </c:pt>
                <c:pt idx="885">
                  <c:v>-3.4381416755209879E-2</c:v>
                </c:pt>
                <c:pt idx="886">
                  <c:v>-3.3559889175110859E-2</c:v>
                </c:pt>
                <c:pt idx="887">
                  <c:v>-3.3122837130798943E-2</c:v>
                </c:pt>
                <c:pt idx="888">
                  <c:v>-3.2570237104752424E-2</c:v>
                </c:pt>
                <c:pt idx="889">
                  <c:v>-3.4168406661946676E-2</c:v>
                </c:pt>
                <c:pt idx="890">
                  <c:v>-3.5596473255037585E-2</c:v>
                </c:pt>
                <c:pt idx="891">
                  <c:v>-3.5031884339211505E-2</c:v>
                </c:pt>
                <c:pt idx="892">
                  <c:v>-3.4519035991670527E-2</c:v>
                </c:pt>
                <c:pt idx="893">
                  <c:v>-3.6701180334858301E-2</c:v>
                </c:pt>
                <c:pt idx="894">
                  <c:v>-3.6303223429288274E-2</c:v>
                </c:pt>
                <c:pt idx="895">
                  <c:v>-3.910912942944534E-2</c:v>
                </c:pt>
                <c:pt idx="896">
                  <c:v>-3.8498512087740792E-2</c:v>
                </c:pt>
                <c:pt idx="897">
                  <c:v>-3.95954304426775E-2</c:v>
                </c:pt>
                <c:pt idx="898">
                  <c:v>-3.5999675029046725E-2</c:v>
                </c:pt>
                <c:pt idx="899">
                  <c:v>-3.5982776526528197E-2</c:v>
                </c:pt>
                <c:pt idx="900">
                  <c:v>-3.5369924016150842E-2</c:v>
                </c:pt>
                <c:pt idx="901">
                  <c:v>-3.6408330100766224E-2</c:v>
                </c:pt>
                <c:pt idx="902">
                  <c:v>-3.6582667290766216E-2</c:v>
                </c:pt>
                <c:pt idx="903">
                  <c:v>-3.4776992418389163E-2</c:v>
                </c:pt>
                <c:pt idx="904">
                  <c:v>-3.4226402242198681E-2</c:v>
                </c:pt>
                <c:pt idx="905">
                  <c:v>-3.2976899268060758E-2</c:v>
                </c:pt>
                <c:pt idx="906">
                  <c:v>-3.0245032826840098E-2</c:v>
                </c:pt>
                <c:pt idx="907">
                  <c:v>-2.9658928469393282E-2</c:v>
                </c:pt>
                <c:pt idx="908">
                  <c:v>-2.9613144719581954E-2</c:v>
                </c:pt>
                <c:pt idx="909">
                  <c:v>-2.9696678011160913E-2</c:v>
                </c:pt>
                <c:pt idx="910">
                  <c:v>-2.852654326116091E-2</c:v>
                </c:pt>
                <c:pt idx="911">
                  <c:v>-2.9921588090631106E-2</c:v>
                </c:pt>
                <c:pt idx="912">
                  <c:v>-2.842646398660233E-2</c:v>
                </c:pt>
                <c:pt idx="913">
                  <c:v>-2.8603787798367038E-2</c:v>
                </c:pt>
                <c:pt idx="914">
                  <c:v>-2.8638883164652743E-2</c:v>
                </c:pt>
                <c:pt idx="915">
                  <c:v>-3.0172126851243649E-2</c:v>
                </c:pt>
                <c:pt idx="916">
                  <c:v>-2.7391011398823828E-2</c:v>
                </c:pt>
                <c:pt idx="917">
                  <c:v>-2.9568166040307698E-2</c:v>
                </c:pt>
                <c:pt idx="918">
                  <c:v>-3.0509575131966692E-2</c:v>
                </c:pt>
                <c:pt idx="919">
                  <c:v>-3.3639181088789112E-2</c:v>
                </c:pt>
                <c:pt idx="920">
                  <c:v>-2.7787992868976052E-2</c:v>
                </c:pt>
                <c:pt idx="921">
                  <c:v>-2.5076414413242726E-2</c:v>
                </c:pt>
                <c:pt idx="922">
                  <c:v>-2.4886778232319651E-2</c:v>
                </c:pt>
                <c:pt idx="923">
                  <c:v>-2.6705260233839411E-2</c:v>
                </c:pt>
                <c:pt idx="924">
                  <c:v>-3.0668735215716669E-2</c:v>
                </c:pt>
                <c:pt idx="925">
                  <c:v>-3.6245693879839676E-2</c:v>
                </c:pt>
                <c:pt idx="926">
                  <c:v>-3.9018170646073443E-2</c:v>
                </c:pt>
                <c:pt idx="927">
                  <c:v>-3.2608759455195063E-2</c:v>
                </c:pt>
                <c:pt idx="928">
                  <c:v>-3.606671291315424E-2</c:v>
                </c:pt>
                <c:pt idx="929">
                  <c:v>-2.9876778612597778E-2</c:v>
                </c:pt>
                <c:pt idx="930">
                  <c:v>-2.8651993871760567E-2</c:v>
                </c:pt>
                <c:pt idx="931">
                  <c:v>-3.5262378904903434E-2</c:v>
                </c:pt>
                <c:pt idx="932">
                  <c:v>-2.6040436464903428E-2</c:v>
                </c:pt>
                <c:pt idx="933">
                  <c:v>-2.2299020868323541E-2</c:v>
                </c:pt>
                <c:pt idx="934">
                  <c:v>-2.050418100076257E-2</c:v>
                </c:pt>
                <c:pt idx="935">
                  <c:v>-2.2908616981678606E-2</c:v>
                </c:pt>
                <c:pt idx="936">
                  <c:v>-2.5320552552058326E-2</c:v>
                </c:pt>
                <c:pt idx="937">
                  <c:v>-2.3710414727984248E-2</c:v>
                </c:pt>
                <c:pt idx="938">
                  <c:v>-2.0638488643793362E-2</c:v>
                </c:pt>
                <c:pt idx="939">
                  <c:v>-1.6609926625120373E-2</c:v>
                </c:pt>
                <c:pt idx="940">
                  <c:v>-1.9010456336073817E-2</c:v>
                </c:pt>
                <c:pt idx="941">
                  <c:v>-3.2882028215626198E-2</c:v>
                </c:pt>
                <c:pt idx="942">
                  <c:v>-3.9120269987318518E-2</c:v>
                </c:pt>
                <c:pt idx="943">
                  <c:v>-2.9724678142058248E-2</c:v>
                </c:pt>
                <c:pt idx="944">
                  <c:v>-3.6238911398329424E-2</c:v>
                </c:pt>
                <c:pt idx="945">
                  <c:v>-5.1054578024133906E-2</c:v>
                </c:pt>
                <c:pt idx="946">
                  <c:v>-3.7183893146379279E-2</c:v>
                </c:pt>
                <c:pt idx="947">
                  <c:v>-2.9995702892867588E-2</c:v>
                </c:pt>
                <c:pt idx="948">
                  <c:v>-4.9484967558117585E-2</c:v>
                </c:pt>
                <c:pt idx="949">
                  <c:v>-5.4266518071592759E-2</c:v>
                </c:pt>
                <c:pt idx="950">
                  <c:v>-4.9381864550851994E-2</c:v>
                </c:pt>
                <c:pt idx="951">
                  <c:v>-5.2503657016832871E-2</c:v>
                </c:pt>
                <c:pt idx="952">
                  <c:v>-5.425114830674882E-2</c:v>
                </c:pt>
                <c:pt idx="953">
                  <c:v>-5.4413217581294263E-2</c:v>
                </c:pt>
                <c:pt idx="954">
                  <c:v>-5.3097162457960929E-2</c:v>
                </c:pt>
                <c:pt idx="955">
                  <c:v>-5.1362765347960915E-2</c:v>
                </c:pt>
                <c:pt idx="956">
                  <c:v>-5.1079039953488357E-2</c:v>
                </c:pt>
                <c:pt idx="957">
                  <c:v>-5.3646852281488348E-2</c:v>
                </c:pt>
                <c:pt idx="958">
                  <c:v>-5.4118564808591167E-2</c:v>
                </c:pt>
                <c:pt idx="959">
                  <c:v>-5.6932036026283474E-2</c:v>
                </c:pt>
                <c:pt idx="960">
                  <c:v>-5.7104824790635812E-2</c:v>
                </c:pt>
                <c:pt idx="961">
                  <c:v>-5.9005592784714754E-2</c:v>
                </c:pt>
                <c:pt idx="962">
                  <c:v>-5.8255443031761174E-2</c:v>
                </c:pt>
                <c:pt idx="963">
                  <c:v>-6.1938632645494519E-2</c:v>
                </c:pt>
                <c:pt idx="964">
                  <c:v>-6.1561169241669808E-2</c:v>
                </c:pt>
                <c:pt idx="965">
                  <c:v>-5.8283396491755644E-2</c:v>
                </c:pt>
                <c:pt idx="966">
                  <c:v>-5.9115866991140256E-2</c:v>
                </c:pt>
                <c:pt idx="967">
                  <c:v>-6.0678801293997393E-2</c:v>
                </c:pt>
                <c:pt idx="968">
                  <c:v>-6.2046144693670598E-2</c:v>
                </c:pt>
                <c:pt idx="969">
                  <c:v>-5.868663962543115E-2</c:v>
                </c:pt>
                <c:pt idx="970">
                  <c:v>-5.2657963884106762E-2</c:v>
                </c:pt>
                <c:pt idx="971">
                  <c:v>-5.4739664226963906E-2</c:v>
                </c:pt>
                <c:pt idx="972">
                  <c:v>-5.3199434565328926E-2</c:v>
                </c:pt>
                <c:pt idx="973">
                  <c:v>-5.6595554314075008E-2</c:v>
                </c:pt>
                <c:pt idx="974">
                  <c:v>-5.029158638182863E-2</c:v>
                </c:pt>
                <c:pt idx="975">
                  <c:v>-5.2701641919152574E-2</c:v>
                </c:pt>
                <c:pt idx="976">
                  <c:v>-5.433698265465918E-2</c:v>
                </c:pt>
                <c:pt idx="977">
                  <c:v>-5.6049727407885004E-2</c:v>
                </c:pt>
                <c:pt idx="978">
                  <c:v>-5.9564420156850512E-2</c:v>
                </c:pt>
                <c:pt idx="979">
                  <c:v>-5.9405462036735565E-2</c:v>
                </c:pt>
                <c:pt idx="980">
                  <c:v>-5.8373848581107418E-2</c:v>
                </c:pt>
                <c:pt idx="981">
                  <c:v>-6.2279253099319698E-2</c:v>
                </c:pt>
                <c:pt idx="982">
                  <c:v>-5.7951051951951285E-2</c:v>
                </c:pt>
                <c:pt idx="983">
                  <c:v>-5.8592841425028214E-2</c:v>
                </c:pt>
                <c:pt idx="984">
                  <c:v>-6.3596089001644762E-2</c:v>
                </c:pt>
                <c:pt idx="985">
                  <c:v>-6.8564961399922394E-2</c:v>
                </c:pt>
                <c:pt idx="986">
                  <c:v>-6.8078177860267222E-2</c:v>
                </c:pt>
                <c:pt idx="987">
                  <c:v>-6.6589047457020475E-2</c:v>
                </c:pt>
                <c:pt idx="988">
                  <c:v>-5.9750256933569133E-2</c:v>
                </c:pt>
                <c:pt idx="989">
                  <c:v>-6.4751958372066237E-2</c:v>
                </c:pt>
                <c:pt idx="990">
                  <c:v>-6.992234366250219E-2</c:v>
                </c:pt>
                <c:pt idx="991">
                  <c:v>-7.0390728404236894E-2</c:v>
                </c:pt>
                <c:pt idx="992">
                  <c:v>-6.8667609121833784E-2</c:v>
                </c:pt>
                <c:pt idx="993">
                  <c:v>-6.9309350823555632E-2</c:v>
                </c:pt>
                <c:pt idx="994">
                  <c:v>-7.0579683742305638E-2</c:v>
                </c:pt>
                <c:pt idx="995">
                  <c:v>-6.9331576580366872E-2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1E-48C5-9E9F-9CC72F467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43952"/>
        <c:axId val="643149360"/>
      </c:lineChart>
      <c:dateAx>
        <c:axId val="643143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49360"/>
        <c:crosses val="autoZero"/>
        <c:auto val="1"/>
        <c:lblOffset val="100"/>
        <c:baseTimeUnit val="days"/>
      </c:dateAx>
      <c:valAx>
        <c:axId val="64314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4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516B6E-5426-4774-8B82-BA7514BC020F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3873B2-A145-4951-8228-210B9B7028D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35.685000000000002</v>
      </c>
      <c r="D2" s="4">
        <f>MIN(D3:D1912)</f>
        <v>0.71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5.5869999999999997</v>
      </c>
      <c r="C5">
        <v>5.641</v>
      </c>
      <c r="D5">
        <v>5.4770000000000003</v>
      </c>
      <c r="E5">
        <v>5.4770000000000003</v>
      </c>
      <c r="F5">
        <v>116163</v>
      </c>
      <c r="G5">
        <v>5.4770000000000003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-116163</v>
      </c>
      <c r="R5">
        <f t="shared" ref="R5" si="2">R6+Q5</f>
        <v>234714524.66075072</v>
      </c>
      <c r="S5">
        <f t="shared" ref="S5" si="3">R5/100000</f>
        <v>2347.145246607507</v>
      </c>
      <c r="T5">
        <f t="shared" ref="T5" si="4">S5/1000</f>
        <v>2.3471452466075071</v>
      </c>
    </row>
    <row r="6" spans="1:20" x14ac:dyDescent="0.25">
      <c r="A6" s="5">
        <v>44587</v>
      </c>
      <c r="B6">
        <v>5.5460000000000003</v>
      </c>
      <c r="C6">
        <v>6.0620000000000003</v>
      </c>
      <c r="D6">
        <v>5.4370000000000003</v>
      </c>
      <c r="E6">
        <v>5.5860000000000003</v>
      </c>
      <c r="F6">
        <v>1197588.3</v>
      </c>
      <c r="G6">
        <v>5.5860000000000003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-0.52319999999999989</v>
      </c>
      <c r="Q6">
        <f t="shared" ref="Q6" si="6">F6*P6</f>
        <v>-626578.19855999993</v>
      </c>
      <c r="R6">
        <f t="shared" ref="R6" si="7">R7+Q6</f>
        <v>234830687.66075072</v>
      </c>
      <c r="S6">
        <f t="shared" ref="S6" si="8">R6/100000</f>
        <v>2348.3068766075071</v>
      </c>
      <c r="T6">
        <f t="shared" ref="T6" si="9">S6/1000</f>
        <v>2.348306876607507</v>
      </c>
    </row>
    <row r="7" spans="1:20" x14ac:dyDescent="0.25">
      <c r="A7" s="5">
        <v>44586</v>
      </c>
      <c r="B7">
        <v>5.4619999999999997</v>
      </c>
      <c r="C7">
        <v>5.5979999999999999</v>
      </c>
      <c r="D7">
        <v>5.3109999999999999</v>
      </c>
      <c r="E7">
        <v>5.5419999999999998</v>
      </c>
      <c r="F7">
        <v>978534.9</v>
      </c>
      <c r="G7">
        <v>5.5419999999999998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0.60975609756097515</v>
      </c>
      <c r="Q7">
        <f t="shared" ref="Q7" si="11">F7*P7</f>
        <v>596667.62195121904</v>
      </c>
      <c r="R7">
        <f t="shared" ref="R7" si="12">R8+Q7</f>
        <v>235457265.85931072</v>
      </c>
      <c r="S7">
        <f t="shared" ref="S7" si="13">R7/100000</f>
        <v>2354.572658593107</v>
      </c>
      <c r="T7">
        <f t="shared" ref="T7" si="14">S7/1000</f>
        <v>2.3545726585931068</v>
      </c>
    </row>
    <row r="8" spans="1:20" x14ac:dyDescent="0.25">
      <c r="A8" s="5">
        <v>44585</v>
      </c>
      <c r="B8">
        <v>5.8079999999999998</v>
      </c>
      <c r="C8">
        <v>5.8109999999999999</v>
      </c>
      <c r="D8">
        <v>4.9480000000000004</v>
      </c>
      <c r="E8">
        <v>5.4640000000000004</v>
      </c>
      <c r="F8">
        <v>2206579.7999999998</v>
      </c>
      <c r="G8">
        <v>5.4640000000000004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0.19582850521436915</v>
      </c>
      <c r="Q8">
        <f t="shared" ref="Q8" si="16">F8*P8</f>
        <v>432111.22387022158</v>
      </c>
      <c r="R8">
        <f t="shared" ref="R8" si="17">R9+Q8</f>
        <v>234860598.23735949</v>
      </c>
      <c r="S8">
        <f t="shared" ref="S8" si="18">R8/100000</f>
        <v>2348.605982373595</v>
      </c>
      <c r="T8">
        <f t="shared" ref="T8" si="19">S8/1000</f>
        <v>2.348605982373595</v>
      </c>
    </row>
    <row r="9" spans="1:20" x14ac:dyDescent="0.25">
      <c r="A9" s="5">
        <v>44584</v>
      </c>
      <c r="B9">
        <v>5.5910000000000002</v>
      </c>
      <c r="C9">
        <v>5.8550000000000004</v>
      </c>
      <c r="D9">
        <v>5.4909999999999997</v>
      </c>
      <c r="E9">
        <v>5.8150000000000004</v>
      </c>
      <c r="F9">
        <v>1356052.7</v>
      </c>
      <c r="G9">
        <v>5.8150000000000004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0.78021978021978045</v>
      </c>
      <c r="Q9">
        <f t="shared" ref="Q9" si="21">F9*P9</f>
        <v>1058019.1395604399</v>
      </c>
      <c r="R9">
        <f t="shared" ref="R9" si="22">R10+Q9</f>
        <v>234428487.01348928</v>
      </c>
      <c r="S9">
        <f t="shared" ref="S9" si="23">R9/100000</f>
        <v>2344.2848701348926</v>
      </c>
      <c r="T9">
        <f t="shared" ref="T9" si="24">S9/1000</f>
        <v>2.3442848701348926</v>
      </c>
    </row>
    <row r="10" spans="1:20" x14ac:dyDescent="0.25">
      <c r="A10" s="5">
        <v>44583</v>
      </c>
      <c r="B10">
        <v>6.1360000000000001</v>
      </c>
      <c r="C10">
        <v>6.2539999999999996</v>
      </c>
      <c r="D10">
        <v>5.04</v>
      </c>
      <c r="E10">
        <v>5.5890000000000004</v>
      </c>
      <c r="F10">
        <v>3246475.122</v>
      </c>
      <c r="G10">
        <v>5.5890000000000004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-9.5551894563425707E-2</v>
      </c>
      <c r="Q10">
        <f t="shared" ref="Q10" si="26">F10*P10</f>
        <v>-310206.84856012859</v>
      </c>
      <c r="R10">
        <f t="shared" ref="R10" si="27">R11+Q10</f>
        <v>233370467.87392884</v>
      </c>
      <c r="S10">
        <f t="shared" ref="S10" si="28">R10/100000</f>
        <v>2333.7046787392883</v>
      </c>
      <c r="T10">
        <f t="shared" ref="T10" si="29">S10/1000</f>
        <v>2.3337046787392883</v>
      </c>
    </row>
    <row r="11" spans="1:20" x14ac:dyDescent="0.25">
      <c r="A11" s="5">
        <v>44582</v>
      </c>
      <c r="B11">
        <v>7.0439999999999996</v>
      </c>
      <c r="C11">
        <v>7.1420000000000003</v>
      </c>
      <c r="D11">
        <v>5.9870000000000001</v>
      </c>
      <c r="E11">
        <v>6.1360000000000001</v>
      </c>
      <c r="F11">
        <v>1954418.2</v>
      </c>
      <c r="G11">
        <v>6.1360000000000001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-0.74199134199134198</v>
      </c>
      <c r="Q11">
        <f t="shared" ref="Q11" si="31">F11*P11</f>
        <v>-1450161.3830303031</v>
      </c>
      <c r="R11">
        <f t="shared" ref="R11" si="32">R12+Q11</f>
        <v>233680674.72248897</v>
      </c>
      <c r="S11">
        <f t="shared" ref="S11" si="33">R11/100000</f>
        <v>2336.8067472248895</v>
      </c>
      <c r="T11">
        <f t="shared" ref="T11" si="34">S11/1000</f>
        <v>2.3368067472248897</v>
      </c>
    </row>
    <row r="12" spans="1:20" x14ac:dyDescent="0.25">
      <c r="A12" s="5">
        <v>44581</v>
      </c>
      <c r="B12">
        <v>7.3929999999999998</v>
      </c>
      <c r="C12">
        <v>7.6749999999999998</v>
      </c>
      <c r="D12">
        <v>6.9909999999999997</v>
      </c>
      <c r="E12">
        <v>7.056</v>
      </c>
      <c r="F12">
        <v>657741.5</v>
      </c>
      <c r="G12">
        <v>7.056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-0.80994152046783519</v>
      </c>
      <c r="Q12">
        <f t="shared" ref="Q12" si="36">F12*P12</f>
        <v>-532732.15058479458</v>
      </c>
      <c r="R12">
        <f t="shared" ref="R12" si="37">R13+Q12</f>
        <v>235130836.10551926</v>
      </c>
      <c r="S12">
        <f t="shared" ref="S12" si="38">R12/100000</f>
        <v>2351.3083610551926</v>
      </c>
      <c r="T12">
        <f t="shared" ref="T12" si="39">S12/1000</f>
        <v>2.3513083610551924</v>
      </c>
    </row>
    <row r="13" spans="1:20" x14ac:dyDescent="0.25">
      <c r="A13" s="5">
        <v>44580</v>
      </c>
      <c r="B13">
        <v>7.8490000000000002</v>
      </c>
      <c r="C13">
        <v>7.9119999999999999</v>
      </c>
      <c r="D13">
        <v>7.2539999999999996</v>
      </c>
      <c r="E13">
        <v>7.3970000000000002</v>
      </c>
      <c r="F13">
        <v>822018.2</v>
      </c>
      <c r="G13">
        <v>7.3970000000000002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-0.56534954407294646</v>
      </c>
      <c r="Q13">
        <f t="shared" ref="Q13" si="41">F13*P13</f>
        <v>-464727.6145896641</v>
      </c>
      <c r="R13">
        <f t="shared" ref="R13" si="42">R14+Q13</f>
        <v>235663568.25610405</v>
      </c>
      <c r="S13">
        <f t="shared" ref="S13" si="43">R13/100000</f>
        <v>2356.6356825610405</v>
      </c>
      <c r="T13">
        <f t="shared" ref="T13" si="44">S13/1000</f>
        <v>2.3566356825610404</v>
      </c>
    </row>
    <row r="14" spans="1:20" x14ac:dyDescent="0.25">
      <c r="A14" s="5">
        <v>44579</v>
      </c>
      <c r="B14">
        <v>7.6829999999999998</v>
      </c>
      <c r="C14">
        <v>7.9450000000000003</v>
      </c>
      <c r="D14">
        <v>7.4560000000000004</v>
      </c>
      <c r="E14">
        <v>7.8460000000000001</v>
      </c>
      <c r="F14">
        <v>982003</v>
      </c>
      <c r="G14">
        <v>7.8460000000000001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0.59509202453987642</v>
      </c>
      <c r="Q14">
        <f t="shared" ref="Q14" si="46">F14*P14</f>
        <v>584382.15337423224</v>
      </c>
      <c r="R14">
        <f t="shared" ref="R14" si="47">R15+Q14</f>
        <v>236128295.87069371</v>
      </c>
      <c r="S14">
        <f t="shared" ref="S14" si="48">R14/100000</f>
        <v>2361.2829587069373</v>
      </c>
      <c r="T14">
        <f t="shared" ref="T14" si="49">S14/1000</f>
        <v>2.3612829587069375</v>
      </c>
    </row>
    <row r="15" spans="1:20" x14ac:dyDescent="0.25">
      <c r="A15" s="5">
        <v>44578</v>
      </c>
      <c r="B15">
        <v>8.0459999999999994</v>
      </c>
      <c r="C15">
        <v>8.0559999999999992</v>
      </c>
      <c r="D15">
        <v>7.5460000000000003</v>
      </c>
      <c r="E15">
        <v>7.6820000000000004</v>
      </c>
      <c r="F15">
        <v>525782.1</v>
      </c>
      <c r="G15">
        <v>7.6820000000000004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-0.46666666666666506</v>
      </c>
      <c r="Q15">
        <f t="shared" ref="Q15" si="51">F15*P15</f>
        <v>-245364.97999999914</v>
      </c>
      <c r="R15">
        <f t="shared" ref="R15" si="52">R16+Q15</f>
        <v>235543913.71731949</v>
      </c>
      <c r="S15">
        <f t="shared" ref="S15" si="53">R15/100000</f>
        <v>2355.4391371731949</v>
      </c>
      <c r="T15">
        <f t="shared" ref="T15" si="54">S15/1000</f>
        <v>2.3554391371731951</v>
      </c>
    </row>
    <row r="16" spans="1:20" x14ac:dyDescent="0.25">
      <c r="A16" s="5">
        <v>44577</v>
      </c>
      <c r="B16">
        <v>8.2449999999999992</v>
      </c>
      <c r="C16">
        <v>8.25</v>
      </c>
      <c r="D16">
        <v>7.9080000000000004</v>
      </c>
      <c r="E16">
        <v>8.0440000000000005</v>
      </c>
      <c r="F16">
        <v>757317.5</v>
      </c>
      <c r="G16">
        <v>8.0440000000000005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-0.20467836257309788</v>
      </c>
      <c r="Q16">
        <f t="shared" ref="Q16" si="56">F16*P16</f>
        <v>-155006.50584795204</v>
      </c>
      <c r="R16">
        <f t="shared" ref="R16" si="57">R17+Q16</f>
        <v>235789278.69731948</v>
      </c>
      <c r="S16">
        <f t="shared" ref="S16" si="58">R16/100000</f>
        <v>2357.8927869731947</v>
      </c>
      <c r="T16">
        <f t="shared" ref="T16" si="59">S16/1000</f>
        <v>2.3578927869731947</v>
      </c>
    </row>
    <row r="17" spans="1:20" x14ac:dyDescent="0.25">
      <c r="A17" s="5">
        <v>44576</v>
      </c>
      <c r="B17">
        <v>7.8220000000000001</v>
      </c>
      <c r="C17">
        <v>9.2609999999999992</v>
      </c>
      <c r="D17">
        <v>7.7359999999999998</v>
      </c>
      <c r="E17">
        <v>8.2430000000000003</v>
      </c>
      <c r="F17">
        <v>4574132</v>
      </c>
      <c r="G17">
        <v>8.2430000000000003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-0.33508196721311378</v>
      </c>
      <c r="Q17">
        <f t="shared" ref="Q17" si="61">F17*P17</f>
        <v>-1532709.1488524545</v>
      </c>
      <c r="R17">
        <f t="shared" ref="R17" si="62">R18+Q17</f>
        <v>235944285.20316744</v>
      </c>
      <c r="S17">
        <f t="shared" ref="S17" si="63">R17/100000</f>
        <v>2359.4428520316742</v>
      </c>
      <c r="T17">
        <f t="shared" ref="T17" si="64">S17/1000</f>
        <v>2.3594428520316741</v>
      </c>
    </row>
    <row r="18" spans="1:20" x14ac:dyDescent="0.25">
      <c r="A18" s="5">
        <v>44575</v>
      </c>
      <c r="B18">
        <v>7.5670000000000002</v>
      </c>
      <c r="C18">
        <v>7.984</v>
      </c>
      <c r="D18">
        <v>7.5119999999999996</v>
      </c>
      <c r="E18">
        <v>7.8250000000000002</v>
      </c>
      <c r="F18">
        <v>771411.6</v>
      </c>
      <c r="G18">
        <v>7.8250000000000002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0.32627118644067937</v>
      </c>
      <c r="Q18">
        <f t="shared" ref="Q18" si="66">F18*P18</f>
        <v>251689.37796610277</v>
      </c>
      <c r="R18">
        <f t="shared" ref="R18" si="67">R19+Q18</f>
        <v>237476994.35201991</v>
      </c>
      <c r="S18">
        <f t="shared" ref="S18" si="68">R18/100000</f>
        <v>2374.7699435201989</v>
      </c>
      <c r="T18">
        <f t="shared" ref="T18" si="69">S18/1000</f>
        <v>2.374769943520199</v>
      </c>
    </row>
    <row r="19" spans="1:20" x14ac:dyDescent="0.25">
      <c r="A19" s="5">
        <v>44574</v>
      </c>
      <c r="B19">
        <v>7.9269999999999996</v>
      </c>
      <c r="C19">
        <v>8.0129999999999999</v>
      </c>
      <c r="D19">
        <v>7.5449999999999999</v>
      </c>
      <c r="E19">
        <v>7.5759999999999996</v>
      </c>
      <c r="F19">
        <v>709928.7</v>
      </c>
      <c r="G19">
        <v>7.5759999999999996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-0.86752136752136877</v>
      </c>
      <c r="Q19">
        <f t="shared" ref="Q19" si="71">F19*P19</f>
        <v>-615878.31666666747</v>
      </c>
      <c r="R19">
        <f t="shared" ref="R19" si="72">R20+Q19</f>
        <v>237225304.9740538</v>
      </c>
      <c r="S19">
        <f t="shared" ref="S19" si="73">R19/100000</f>
        <v>2372.2530497405378</v>
      </c>
      <c r="T19">
        <f t="shared" ref="T19" si="74">S19/1000</f>
        <v>2.3722530497405376</v>
      </c>
    </row>
    <row r="20" spans="1:20" x14ac:dyDescent="0.25">
      <c r="A20" s="5">
        <v>44573</v>
      </c>
      <c r="B20">
        <v>7.5149999999999997</v>
      </c>
      <c r="C20">
        <v>7.9740000000000002</v>
      </c>
      <c r="D20">
        <v>7.4630000000000001</v>
      </c>
      <c r="E20">
        <v>7.9269999999999996</v>
      </c>
      <c r="F20">
        <v>916115.4</v>
      </c>
      <c r="G20">
        <v>7.9269999999999996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0.81604696673189592</v>
      </c>
      <c r="Q20">
        <f t="shared" ref="Q20" si="76">F20*P20</f>
        <v>747593.19334637758</v>
      </c>
      <c r="R20">
        <f t="shared" ref="R20" si="77">R21+Q20</f>
        <v>237841183.29072046</v>
      </c>
      <c r="S20">
        <f t="shared" ref="S20" si="78">R20/100000</f>
        <v>2378.4118329072048</v>
      </c>
      <c r="T20">
        <f t="shared" ref="T20" si="79">S20/1000</f>
        <v>2.3784118329072048</v>
      </c>
    </row>
    <row r="21" spans="1:20" x14ac:dyDescent="0.25">
      <c r="A21" s="5">
        <v>44572</v>
      </c>
      <c r="B21">
        <v>7.2329999999999997</v>
      </c>
      <c r="C21">
        <v>7.5549999999999997</v>
      </c>
      <c r="D21">
        <v>7.1719999999999997</v>
      </c>
      <c r="E21">
        <v>7.5140000000000002</v>
      </c>
      <c r="F21">
        <v>771219.8</v>
      </c>
      <c r="G21">
        <v>7.5140000000000002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0.78590078328981994</v>
      </c>
      <c r="Q21">
        <f t="shared" ref="Q21" si="81">F21*P21</f>
        <v>606102.24490861828</v>
      </c>
      <c r="R21">
        <f t="shared" ref="R21" si="82">R22+Q21</f>
        <v>237093590.09737408</v>
      </c>
      <c r="S21">
        <f t="shared" ref="S21" si="83">R21/100000</f>
        <v>2370.9359009737409</v>
      </c>
      <c r="T21">
        <f t="shared" ref="T21" si="84">S21/1000</f>
        <v>2.3709359009737407</v>
      </c>
    </row>
    <row r="22" spans="1:20" x14ac:dyDescent="0.25">
      <c r="A22" s="5">
        <v>44571</v>
      </c>
      <c r="B22">
        <v>7.649</v>
      </c>
      <c r="C22">
        <v>7.7779999999999996</v>
      </c>
      <c r="D22">
        <v>6.8579999999999997</v>
      </c>
      <c r="E22">
        <v>7.2370000000000001</v>
      </c>
      <c r="F22">
        <v>1367492.298</v>
      </c>
      <c r="G22">
        <v>7.2370000000000001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-0.17608695652173809</v>
      </c>
      <c r="Q22">
        <f t="shared" ref="Q22" si="86">F22*P22</f>
        <v>-240797.5568217377</v>
      </c>
      <c r="R22">
        <f t="shared" ref="R22" si="87">R23+Q22</f>
        <v>236487487.85246545</v>
      </c>
      <c r="S22">
        <f t="shared" ref="S22" si="88">R22/100000</f>
        <v>2364.8748785246544</v>
      </c>
      <c r="T22">
        <f t="shared" ref="T22" si="89">S22/1000</f>
        <v>2.3648748785246543</v>
      </c>
    </row>
    <row r="23" spans="1:20" x14ac:dyDescent="0.25">
      <c r="A23" s="5">
        <v>44570</v>
      </c>
      <c r="B23">
        <v>7.5970000000000004</v>
      </c>
      <c r="C23">
        <v>7.8280000000000003</v>
      </c>
      <c r="D23">
        <v>7.5369999999999999</v>
      </c>
      <c r="E23">
        <v>7.65</v>
      </c>
      <c r="F23">
        <v>475438.7</v>
      </c>
      <c r="G23">
        <v>7.65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-0.22336769759449973</v>
      </c>
      <c r="Q23">
        <f t="shared" ref="Q23" si="91">F23*P23</f>
        <v>-106197.64776632209</v>
      </c>
      <c r="R23">
        <f t="shared" ref="R23" si="92">R24+Q23</f>
        <v>236728285.40928718</v>
      </c>
      <c r="S23">
        <f t="shared" ref="S23" si="93">R23/100000</f>
        <v>2367.2828540928717</v>
      </c>
      <c r="T23">
        <f t="shared" ref="T23" si="94">S23/1000</f>
        <v>2.3672828540928719</v>
      </c>
    </row>
    <row r="24" spans="1:20" x14ac:dyDescent="0.25">
      <c r="A24" s="5">
        <v>44569</v>
      </c>
      <c r="B24">
        <v>7.8849999999999998</v>
      </c>
      <c r="C24">
        <v>8.0950000000000006</v>
      </c>
      <c r="D24">
        <v>7.37</v>
      </c>
      <c r="E24">
        <v>7.5960000000000001</v>
      </c>
      <c r="F24">
        <v>1049755.1510000001</v>
      </c>
      <c r="G24">
        <v>7.5960000000000001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-0.37655172413793153</v>
      </c>
      <c r="Q24">
        <f t="shared" ref="Q24" si="96">F24*P24</f>
        <v>-395287.11203172471</v>
      </c>
      <c r="R24">
        <f t="shared" ref="R24" si="97">R25+Q24</f>
        <v>236834483.05705351</v>
      </c>
      <c r="S24">
        <f t="shared" ref="S24" si="98">R24/100000</f>
        <v>2368.3448305705351</v>
      </c>
      <c r="T24">
        <f t="shared" ref="T24" si="99">S24/1000</f>
        <v>2.368344830570535</v>
      </c>
    </row>
    <row r="25" spans="1:20" x14ac:dyDescent="0.25">
      <c r="A25" s="5">
        <v>44568</v>
      </c>
      <c r="B25">
        <v>8.3550000000000004</v>
      </c>
      <c r="C25">
        <v>8.51</v>
      </c>
      <c r="D25">
        <v>7.649</v>
      </c>
      <c r="E25">
        <v>7.883</v>
      </c>
      <c r="F25">
        <v>2015454.1</v>
      </c>
      <c r="G25">
        <v>7.883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-0.45644599303135874</v>
      </c>
      <c r="Q25">
        <f t="shared" ref="Q25" si="101">F25*P25</f>
        <v>-919945.94808362343</v>
      </c>
      <c r="R25">
        <f t="shared" ref="R25" si="102">R26+Q25</f>
        <v>237229770.16908523</v>
      </c>
      <c r="S25">
        <f t="shared" ref="S25" si="103">R25/100000</f>
        <v>2372.2977016908521</v>
      </c>
      <c r="T25">
        <f t="shared" ref="T25" si="104">S25/1000</f>
        <v>2.3722977016908522</v>
      </c>
    </row>
    <row r="26" spans="1:20" x14ac:dyDescent="0.25">
      <c r="A26" s="5">
        <v>44567</v>
      </c>
      <c r="B26">
        <v>8.2420000000000009</v>
      </c>
      <c r="C26">
        <v>8.4290000000000003</v>
      </c>
      <c r="D26">
        <v>8</v>
      </c>
      <c r="E26">
        <v>8.3640000000000008</v>
      </c>
      <c r="F26">
        <v>1342212.1</v>
      </c>
      <c r="G26">
        <v>8.3640000000000008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0.69696969696969946</v>
      </c>
      <c r="Q26">
        <f t="shared" ref="Q26" si="106">F26*P26</f>
        <v>935481.16060606402</v>
      </c>
      <c r="R26">
        <f t="shared" ref="R26" si="107">R27+Q26</f>
        <v>238149716.11716884</v>
      </c>
      <c r="S26">
        <f t="shared" ref="S26" si="108">R26/100000</f>
        <v>2381.4971611716883</v>
      </c>
      <c r="T26">
        <f t="shared" ref="T26" si="109">S26/1000</f>
        <v>2.3814971611716884</v>
      </c>
    </row>
    <row r="27" spans="1:20" x14ac:dyDescent="0.25">
      <c r="A27" s="5">
        <v>44566</v>
      </c>
      <c r="B27">
        <v>9.0030000000000001</v>
      </c>
      <c r="C27">
        <v>9.2780000000000005</v>
      </c>
      <c r="D27">
        <v>7.8970000000000002</v>
      </c>
      <c r="E27">
        <v>8.2330000000000005</v>
      </c>
      <c r="F27">
        <v>1270423.0149999999</v>
      </c>
      <c r="G27">
        <v>8.2330000000000005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-0.51339608979000684</v>
      </c>
      <c r="Q27">
        <f t="shared" ref="Q27" si="111">F27*P27</f>
        <v>-652230.20828023111</v>
      </c>
      <c r="R27">
        <f t="shared" ref="R27" si="112">R28+Q27</f>
        <v>237214234.95656279</v>
      </c>
      <c r="S27">
        <f t="shared" ref="S27" si="113">R27/100000</f>
        <v>2372.1423495656277</v>
      </c>
      <c r="T27">
        <f t="shared" ref="T27" si="114">S27/1000</f>
        <v>2.3721423495656278</v>
      </c>
    </row>
    <row r="28" spans="1:20" x14ac:dyDescent="0.25">
      <c r="A28" s="5">
        <v>44565</v>
      </c>
      <c r="B28">
        <v>9.1760000000000002</v>
      </c>
      <c r="C28">
        <v>9.32</v>
      </c>
      <c r="D28">
        <v>8.9149999999999991</v>
      </c>
      <c r="E28">
        <v>9.0079999999999991</v>
      </c>
      <c r="F28">
        <v>851171.7</v>
      </c>
      <c r="G28">
        <v>9.0079999999999991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-0.54074074074074219</v>
      </c>
      <c r="Q28">
        <f t="shared" ref="Q28" si="116">F28*P28</f>
        <v>-460263.21555555676</v>
      </c>
      <c r="R28">
        <f t="shared" ref="R28" si="117">R29+Q28</f>
        <v>237866465.16484302</v>
      </c>
      <c r="S28">
        <f t="shared" ref="S28" si="118">R28/100000</f>
        <v>2378.6646516484302</v>
      </c>
      <c r="T28">
        <f t="shared" ref="T28" si="119">S28/1000</f>
        <v>2.37866465164843</v>
      </c>
    </row>
    <row r="29" spans="1:20" x14ac:dyDescent="0.25">
      <c r="A29" s="5">
        <v>44564</v>
      </c>
      <c r="B29">
        <v>9.2249999999999996</v>
      </c>
      <c r="C29">
        <v>10.180999999999999</v>
      </c>
      <c r="D29">
        <v>9.0250000000000004</v>
      </c>
      <c r="E29">
        <v>9.173</v>
      </c>
      <c r="F29">
        <v>3856228.1</v>
      </c>
      <c r="G29">
        <v>9.173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-0.74394463667820099</v>
      </c>
      <c r="Q29">
        <f t="shared" ref="Q29" si="121">F29*P29</f>
        <v>-2868820.2128027692</v>
      </c>
      <c r="R29">
        <f t="shared" ref="R29" si="122">R30+Q29</f>
        <v>238326728.38039857</v>
      </c>
      <c r="S29">
        <f t="shared" ref="S29" si="123">R29/100000</f>
        <v>2383.2672838039857</v>
      </c>
      <c r="T29">
        <f t="shared" ref="T29" si="124">S29/1000</f>
        <v>2.3832672838039857</v>
      </c>
    </row>
    <row r="30" spans="1:20" x14ac:dyDescent="0.25">
      <c r="A30" s="5">
        <v>44563</v>
      </c>
      <c r="B30">
        <v>8.9550000000000001</v>
      </c>
      <c r="C30">
        <v>9.3550000000000004</v>
      </c>
      <c r="D30">
        <v>8.8230000000000004</v>
      </c>
      <c r="E30">
        <v>9.2330000000000005</v>
      </c>
      <c r="F30">
        <v>614212.80000000005</v>
      </c>
      <c r="G30">
        <v>9.2330000000000005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0.54135338345864703</v>
      </c>
      <c r="Q30">
        <f t="shared" ref="Q30" si="126">F30*P30</f>
        <v>332506.17744360928</v>
      </c>
      <c r="R30">
        <f t="shared" ref="R30" si="127">R31+Q30</f>
        <v>241195548.59320134</v>
      </c>
      <c r="S30">
        <f t="shared" ref="S30" si="128">R30/100000</f>
        <v>2411.9554859320133</v>
      </c>
      <c r="T30">
        <f t="shared" ref="T30" si="129">S30/1000</f>
        <v>2.4119554859320131</v>
      </c>
    </row>
    <row r="31" spans="1:20" x14ac:dyDescent="0.25">
      <c r="A31" s="5">
        <v>44562</v>
      </c>
      <c r="B31">
        <v>8.718</v>
      </c>
      <c r="C31">
        <v>8.9619999999999997</v>
      </c>
      <c r="D31">
        <v>8.6890000000000001</v>
      </c>
      <c r="E31">
        <v>8.9610000000000003</v>
      </c>
      <c r="F31">
        <v>414580.8</v>
      </c>
      <c r="G31">
        <v>8.9610000000000003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0.9926739926739967</v>
      </c>
      <c r="Q31">
        <f t="shared" ref="Q31" si="131">F31*P31</f>
        <v>411543.57802197966</v>
      </c>
      <c r="R31">
        <f t="shared" ref="R31" si="132">R32+Q31</f>
        <v>240863042.41575772</v>
      </c>
      <c r="S31">
        <f t="shared" ref="S31" si="133">R31/100000</f>
        <v>2408.6304241575772</v>
      </c>
      <c r="T31">
        <f t="shared" ref="T31" si="134">S31/1000</f>
        <v>2.4086304241575771</v>
      </c>
    </row>
    <row r="32" spans="1:20" x14ac:dyDescent="0.25">
      <c r="A32" s="5">
        <v>44561</v>
      </c>
      <c r="B32">
        <v>8.8230000000000004</v>
      </c>
      <c r="C32">
        <v>9.0739999999999998</v>
      </c>
      <c r="D32">
        <v>8.4640000000000004</v>
      </c>
      <c r="E32">
        <v>8.7159999999999993</v>
      </c>
      <c r="F32">
        <v>776451.8</v>
      </c>
      <c r="G32">
        <v>8.7159999999999993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-0.17377049180328155</v>
      </c>
      <c r="Q32">
        <f t="shared" ref="Q32" si="136">F32*P32</f>
        <v>-134924.41114754323</v>
      </c>
      <c r="R32">
        <f t="shared" ref="R32" si="137">R33+Q32</f>
        <v>240451498.83773574</v>
      </c>
      <c r="S32">
        <f t="shared" ref="S32" si="138">R32/100000</f>
        <v>2404.5149883773574</v>
      </c>
      <c r="T32">
        <f t="shared" ref="T32" si="139">S32/1000</f>
        <v>2.4045149883773576</v>
      </c>
    </row>
    <row r="33" spans="1:20" x14ac:dyDescent="0.25">
      <c r="A33" s="5">
        <v>44560</v>
      </c>
      <c r="B33">
        <v>8.7690000000000001</v>
      </c>
      <c r="C33">
        <v>9</v>
      </c>
      <c r="D33">
        <v>8.5180000000000007</v>
      </c>
      <c r="E33">
        <v>8.8249999999999993</v>
      </c>
      <c r="F33">
        <v>666989.19999999995</v>
      </c>
      <c r="G33">
        <v>8.8249999999999993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0.27385892116182176</v>
      </c>
      <c r="Q33">
        <f t="shared" ref="Q33" si="141">F33*P33</f>
        <v>182660.94273858654</v>
      </c>
      <c r="R33">
        <f t="shared" ref="R33" si="142">R34+Q33</f>
        <v>240586423.24888328</v>
      </c>
      <c r="S33">
        <f t="shared" ref="S33" si="143">R33/100000</f>
        <v>2405.8642324888328</v>
      </c>
      <c r="T33">
        <f t="shared" ref="T33" si="144">S33/1000</f>
        <v>2.4058642324888329</v>
      </c>
    </row>
    <row r="34" spans="1:20" x14ac:dyDescent="0.25">
      <c r="A34" s="5">
        <v>44559</v>
      </c>
      <c r="B34">
        <v>9.0679999999999996</v>
      </c>
      <c r="C34">
        <v>9.2439999999999998</v>
      </c>
      <c r="D34">
        <v>8.7119999999999997</v>
      </c>
      <c r="E34">
        <v>8.7690000000000001</v>
      </c>
      <c r="F34">
        <v>839165.7</v>
      </c>
      <c r="G34">
        <v>8.7690000000000001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-0.78571428571428426</v>
      </c>
      <c r="Q34">
        <f t="shared" ref="Q34" si="146">F34*P34</f>
        <v>-659344.47857142729</v>
      </c>
      <c r="R34">
        <f t="shared" ref="R34" si="147">R35+Q34</f>
        <v>240403762.30614468</v>
      </c>
      <c r="S34">
        <f t="shared" ref="S34" si="148">R34/100000</f>
        <v>2404.037623061447</v>
      </c>
      <c r="T34">
        <f t="shared" ref="T34" si="149">S34/1000</f>
        <v>2.4040376230614471</v>
      </c>
    </row>
    <row r="35" spans="1:20" x14ac:dyDescent="0.25">
      <c r="A35" s="5">
        <v>44558</v>
      </c>
      <c r="B35">
        <v>9.9920000000000009</v>
      </c>
      <c r="C35">
        <v>9.9969999999999999</v>
      </c>
      <c r="D35">
        <v>8.9879999999999995</v>
      </c>
      <c r="E35">
        <v>9.0690000000000008</v>
      </c>
      <c r="F35">
        <v>1227417.7</v>
      </c>
      <c r="G35">
        <v>9.0690000000000008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-0.83944499504459613</v>
      </c>
      <c r="Q35">
        <f t="shared" ref="Q35" si="151">F35*P35</f>
        <v>-1030349.6450941495</v>
      </c>
      <c r="R35">
        <f t="shared" ref="R35" si="152">R36+Q35</f>
        <v>241063106.7847161</v>
      </c>
      <c r="S35">
        <f t="shared" ref="S35" si="153">R35/100000</f>
        <v>2410.6310678471609</v>
      </c>
      <c r="T35">
        <f t="shared" ref="T35" si="154">S35/1000</f>
        <v>2.4106310678471607</v>
      </c>
    </row>
    <row r="36" spans="1:20" x14ac:dyDescent="0.25">
      <c r="A36" s="5">
        <v>44557</v>
      </c>
      <c r="B36">
        <v>9.9109999999999996</v>
      </c>
      <c r="C36">
        <v>10.409000000000001</v>
      </c>
      <c r="D36">
        <v>9.8529999999999998</v>
      </c>
      <c r="E36">
        <v>9.9909999999999997</v>
      </c>
      <c r="F36">
        <v>1007744.5</v>
      </c>
      <c r="G36">
        <v>9.9909999999999997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-0.50359712230215947</v>
      </c>
      <c r="Q36">
        <f t="shared" ref="Q36" si="156">F36*P36</f>
        <v>-507497.23021582857</v>
      </c>
      <c r="R36">
        <f t="shared" ref="R36" si="157">R37+Q36</f>
        <v>242093456.42981026</v>
      </c>
      <c r="S36">
        <f t="shared" ref="S36" si="158">R36/100000</f>
        <v>2420.9345642981025</v>
      </c>
      <c r="T36">
        <f t="shared" ref="T36" si="159">S36/1000</f>
        <v>2.4209345642981024</v>
      </c>
    </row>
    <row r="37" spans="1:20" x14ac:dyDescent="0.25">
      <c r="A37" s="5">
        <v>44556</v>
      </c>
      <c r="B37">
        <v>10.013999999999999</v>
      </c>
      <c r="C37">
        <v>10.045999999999999</v>
      </c>
      <c r="D37">
        <v>9.6029999999999998</v>
      </c>
      <c r="E37">
        <v>9.9130000000000003</v>
      </c>
      <c r="F37">
        <v>835072.2</v>
      </c>
      <c r="G37">
        <v>9.9130000000000003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0.39954853273138041</v>
      </c>
      <c r="Q37">
        <f t="shared" ref="Q37" si="161">F37*P37</f>
        <v>333651.87223476585</v>
      </c>
      <c r="R37">
        <f t="shared" ref="R37" si="162">R38+Q37</f>
        <v>242600953.66002607</v>
      </c>
      <c r="S37">
        <f t="shared" ref="S37" si="163">R37/100000</f>
        <v>2426.0095366002606</v>
      </c>
      <c r="T37">
        <f t="shared" ref="T37" si="164">S37/1000</f>
        <v>2.4260095366002608</v>
      </c>
    </row>
    <row r="38" spans="1:20" x14ac:dyDescent="0.25">
      <c r="A38" s="5">
        <v>44555</v>
      </c>
      <c r="B38">
        <v>9.77</v>
      </c>
      <c r="C38">
        <v>10.15</v>
      </c>
      <c r="D38">
        <v>9.6980000000000004</v>
      </c>
      <c r="E38">
        <v>10.013</v>
      </c>
      <c r="F38">
        <v>650324.80000000005</v>
      </c>
      <c r="G38">
        <v>10.013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0.39380530973451122</v>
      </c>
      <c r="Q38">
        <f t="shared" ref="Q38" si="166">F38*P38</f>
        <v>256101.35929203409</v>
      </c>
      <c r="R38">
        <f t="shared" ref="R38" si="167">R39+Q38</f>
        <v>242267301.78779131</v>
      </c>
      <c r="S38">
        <f t="shared" ref="S38" si="168">R38/100000</f>
        <v>2422.673017877913</v>
      </c>
      <c r="T38">
        <f t="shared" ref="T38" si="169">S38/1000</f>
        <v>2.422673017877913</v>
      </c>
    </row>
    <row r="39" spans="1:20" x14ac:dyDescent="0.25">
      <c r="A39" s="5">
        <v>44554</v>
      </c>
      <c r="B39">
        <v>10.052</v>
      </c>
      <c r="C39">
        <v>10.55</v>
      </c>
      <c r="D39">
        <v>9.6790000000000003</v>
      </c>
      <c r="E39">
        <v>9.77</v>
      </c>
      <c r="F39">
        <v>1341680.6000000001</v>
      </c>
      <c r="G39">
        <v>9.77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-0.79104477611940471</v>
      </c>
      <c r="Q39">
        <f t="shared" ref="Q39" si="171">F39*P39</f>
        <v>-1061329.4298507487</v>
      </c>
      <c r="R39">
        <f t="shared" ref="R39" si="172">R40+Q39</f>
        <v>242011200.42849928</v>
      </c>
      <c r="S39">
        <f t="shared" ref="S39" si="173">R39/100000</f>
        <v>2420.112004284993</v>
      </c>
      <c r="T39">
        <f t="shared" ref="T39" si="174">S39/1000</f>
        <v>2.4201120042849928</v>
      </c>
    </row>
    <row r="40" spans="1:20" x14ac:dyDescent="0.25">
      <c r="A40" s="5">
        <v>44553</v>
      </c>
      <c r="B40">
        <v>9.4209999999999994</v>
      </c>
      <c r="C40">
        <v>10.273</v>
      </c>
      <c r="D40">
        <v>9.3079999999999998</v>
      </c>
      <c r="E40">
        <v>10.042</v>
      </c>
      <c r="F40">
        <v>1090174.8</v>
      </c>
      <c r="G40">
        <v>10.042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0.52124352331606238</v>
      </c>
      <c r="Q40">
        <f t="shared" ref="Q40" si="176">F40*P40</f>
        <v>568246.55378238368</v>
      </c>
      <c r="R40">
        <f t="shared" ref="R40" si="177">R41+Q40</f>
        <v>243072529.85835004</v>
      </c>
      <c r="S40">
        <f t="shared" ref="S40" si="178">R40/100000</f>
        <v>2430.7252985835003</v>
      </c>
      <c r="T40">
        <f t="shared" ref="T40" si="179">S40/1000</f>
        <v>2.4307252985835004</v>
      </c>
    </row>
    <row r="41" spans="1:20" x14ac:dyDescent="0.25">
      <c r="A41" s="5">
        <v>44552</v>
      </c>
      <c r="B41">
        <v>9.2110000000000003</v>
      </c>
      <c r="C41">
        <v>9.6340000000000003</v>
      </c>
      <c r="D41">
        <v>9.1649999999999991</v>
      </c>
      <c r="E41">
        <v>9.42</v>
      </c>
      <c r="F41">
        <v>971958.4</v>
      </c>
      <c r="G41">
        <v>9.42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8.7420042643923807E-2</v>
      </c>
      <c r="Q41">
        <f t="shared" ref="Q41" si="181">F41*P41</f>
        <v>84968.644776119952</v>
      </c>
      <c r="R41">
        <f t="shared" ref="R41" si="182">R42+Q41</f>
        <v>242504283.30456766</v>
      </c>
      <c r="S41">
        <f t="shared" ref="S41" si="183">R41/100000</f>
        <v>2425.0428330456766</v>
      </c>
      <c r="T41">
        <f t="shared" ref="T41" si="184">S41/1000</f>
        <v>2.4250428330456768</v>
      </c>
    </row>
    <row r="42" spans="1:20" x14ac:dyDescent="0.25">
      <c r="A42" s="5">
        <v>44551</v>
      </c>
      <c r="B42">
        <v>8.9700000000000006</v>
      </c>
      <c r="C42">
        <v>9.2889999999999997</v>
      </c>
      <c r="D42">
        <v>8.8569999999999993</v>
      </c>
      <c r="E42">
        <v>9.2070000000000007</v>
      </c>
      <c r="F42">
        <v>609401.9</v>
      </c>
      <c r="G42">
        <v>9.2070000000000007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0.62037037037037546</v>
      </c>
      <c r="Q42">
        <f t="shared" ref="Q42" si="186">F42*P42</f>
        <v>378054.88240741054</v>
      </c>
      <c r="R42">
        <f t="shared" ref="R42" si="187">R43+Q42</f>
        <v>242419314.65979156</v>
      </c>
      <c r="S42">
        <f t="shared" ref="S42" si="188">R42/100000</f>
        <v>2424.1931465979155</v>
      </c>
      <c r="T42">
        <f t="shared" ref="T42" si="189">S42/1000</f>
        <v>2.4241931465979154</v>
      </c>
    </row>
    <row r="43" spans="1:20" x14ac:dyDescent="0.25">
      <c r="A43" s="5">
        <v>44550</v>
      </c>
      <c r="B43">
        <v>9.0790000000000006</v>
      </c>
      <c r="C43">
        <v>9.2140000000000004</v>
      </c>
      <c r="D43">
        <v>8.625</v>
      </c>
      <c r="E43">
        <v>8.9619999999999997</v>
      </c>
      <c r="F43">
        <v>784016.8</v>
      </c>
      <c r="G43">
        <v>8.9619999999999997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0.14431239388794401</v>
      </c>
      <c r="Q43">
        <f t="shared" ref="Q43" si="191">F43*P43</f>
        <v>113143.34125636543</v>
      </c>
      <c r="R43">
        <f t="shared" ref="R43" si="192">R44+Q43</f>
        <v>242041259.77738416</v>
      </c>
      <c r="S43">
        <f t="shared" ref="S43" si="193">R43/100000</f>
        <v>2420.4125977738418</v>
      </c>
      <c r="T43">
        <f t="shared" ref="T43" si="194">S43/1000</f>
        <v>2.4204125977738418</v>
      </c>
    </row>
    <row r="44" spans="1:20" x14ac:dyDescent="0.25">
      <c r="A44" s="5">
        <v>44549</v>
      </c>
      <c r="B44">
        <v>9.26</v>
      </c>
      <c r="C44">
        <v>9.4380000000000006</v>
      </c>
      <c r="D44">
        <v>9.0690000000000008</v>
      </c>
      <c r="E44">
        <v>9.08</v>
      </c>
      <c r="F44">
        <v>601805.9</v>
      </c>
      <c r="G44">
        <v>9.08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-0.94037940379404206</v>
      </c>
      <c r="Q44">
        <f t="shared" ref="Q44" si="196">F44*P44</f>
        <v>-565925.87344173691</v>
      </c>
      <c r="R44">
        <f t="shared" ref="R44" si="197">R45+Q44</f>
        <v>241928116.43612778</v>
      </c>
      <c r="S44">
        <f t="shared" ref="S44" si="198">R44/100000</f>
        <v>2419.2811643612777</v>
      </c>
      <c r="T44">
        <f t="shared" ref="T44" si="199">S44/1000</f>
        <v>2.4192811643612777</v>
      </c>
    </row>
    <row r="45" spans="1:20" x14ac:dyDescent="0.25">
      <c r="A45" s="5">
        <v>44548</v>
      </c>
      <c r="B45">
        <v>9.0860000000000003</v>
      </c>
      <c r="C45">
        <v>9.4429999999999996</v>
      </c>
      <c r="D45">
        <v>8.8810000000000002</v>
      </c>
      <c r="E45">
        <v>9.266</v>
      </c>
      <c r="F45">
        <v>517138.9</v>
      </c>
      <c r="G45">
        <v>9.266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0.37010676156583705</v>
      </c>
      <c r="Q45">
        <f t="shared" ref="Q45" si="201">F45*P45</f>
        <v>191396.60355871925</v>
      </c>
      <c r="R45">
        <f t="shared" ref="R45" si="202">R46+Q45</f>
        <v>242494042.30956951</v>
      </c>
      <c r="S45">
        <f t="shared" ref="S45" si="203">R45/100000</f>
        <v>2424.9404230956952</v>
      </c>
      <c r="T45">
        <f t="shared" ref="T45" si="204">S45/1000</f>
        <v>2.4249404230956952</v>
      </c>
    </row>
    <row r="46" spans="1:20" x14ac:dyDescent="0.25">
      <c r="A46" s="5">
        <v>44547</v>
      </c>
      <c r="B46">
        <v>9.39</v>
      </c>
      <c r="C46">
        <v>9.5280000000000005</v>
      </c>
      <c r="D46">
        <v>8.8719999999999999</v>
      </c>
      <c r="E46">
        <v>9.0879999999999992</v>
      </c>
      <c r="F46">
        <v>832475.8</v>
      </c>
      <c r="G46">
        <v>9.0879999999999992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-0.34146341463414903</v>
      </c>
      <c r="Q46">
        <f t="shared" ref="Q46" si="206">F46*P46</f>
        <v>-284260.02926829492</v>
      </c>
      <c r="R46">
        <f t="shared" ref="R46" si="207">R47+Q46</f>
        <v>242302645.70601079</v>
      </c>
      <c r="S46">
        <f t="shared" ref="S46" si="208">R46/100000</f>
        <v>2423.026457060108</v>
      </c>
      <c r="T46">
        <f t="shared" ref="T46" si="209">S46/1000</f>
        <v>2.4230264570601081</v>
      </c>
    </row>
    <row r="47" spans="1:20" x14ac:dyDescent="0.25">
      <c r="A47" s="5">
        <v>44546</v>
      </c>
      <c r="B47">
        <v>9.7919999999999998</v>
      </c>
      <c r="C47">
        <v>10.003</v>
      </c>
      <c r="D47">
        <v>9.3759999999999994</v>
      </c>
      <c r="E47">
        <v>9.39</v>
      </c>
      <c r="F47">
        <v>1159053.7</v>
      </c>
      <c r="G47">
        <v>9.39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-0.95534290271132027</v>
      </c>
      <c r="Q47">
        <f t="shared" ref="Q47" si="211">F47*P47</f>
        <v>-1107293.7261562957</v>
      </c>
      <c r="R47">
        <f t="shared" ref="R47" si="212">R48+Q47</f>
        <v>242586905.73527908</v>
      </c>
      <c r="S47">
        <f t="shared" ref="S47" si="213">R47/100000</f>
        <v>2425.8690573527906</v>
      </c>
      <c r="T47">
        <f t="shared" ref="T47" si="214">S47/1000</f>
        <v>2.4258690573527906</v>
      </c>
    </row>
    <row r="48" spans="1:20" x14ac:dyDescent="0.25">
      <c r="A48" s="5">
        <v>44545</v>
      </c>
      <c r="B48">
        <v>9.2119999999999997</v>
      </c>
      <c r="C48">
        <v>10.065</v>
      </c>
      <c r="D48">
        <v>8.7200000000000006</v>
      </c>
      <c r="E48">
        <v>9.7919999999999998</v>
      </c>
      <c r="F48">
        <v>1829704.5</v>
      </c>
      <c r="G48">
        <v>9.7919999999999998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0.59405204460966554</v>
      </c>
      <c r="Q48">
        <f t="shared" ref="Q48" si="216">F48*P48</f>
        <v>1086939.6992565058</v>
      </c>
      <c r="R48">
        <f t="shared" ref="R48" si="217">R49+Q48</f>
        <v>243694199.46143538</v>
      </c>
      <c r="S48">
        <f t="shared" ref="S48" si="218">R48/100000</f>
        <v>2436.9419946143539</v>
      </c>
      <c r="T48">
        <f t="shared" ref="T48" si="219">S48/1000</f>
        <v>2.436941994614354</v>
      </c>
    </row>
    <row r="49" spans="1:20" x14ac:dyDescent="0.25">
      <c r="A49" s="5">
        <v>44544</v>
      </c>
      <c r="B49">
        <v>8.8350000000000009</v>
      </c>
      <c r="C49">
        <v>9.5730000000000004</v>
      </c>
      <c r="D49">
        <v>8.6170000000000009</v>
      </c>
      <c r="E49">
        <v>9.2059999999999995</v>
      </c>
      <c r="F49">
        <v>2183459.2000000002</v>
      </c>
      <c r="G49">
        <v>9.2059999999999995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0.2322175732217551</v>
      </c>
      <c r="Q49">
        <f t="shared" ref="Q49" si="221">F49*P49</f>
        <v>507037.59665271483</v>
      </c>
      <c r="R49">
        <f t="shared" ref="R49" si="222">R50+Q49</f>
        <v>242607259.76217887</v>
      </c>
      <c r="S49">
        <f t="shared" ref="S49" si="223">R49/100000</f>
        <v>2426.0725976217886</v>
      </c>
      <c r="T49">
        <f t="shared" ref="T49" si="224">S49/1000</f>
        <v>2.4260725976217885</v>
      </c>
    </row>
    <row r="50" spans="1:20" x14ac:dyDescent="0.25">
      <c r="A50" s="5">
        <v>44543</v>
      </c>
      <c r="B50">
        <v>10.002000000000001</v>
      </c>
      <c r="C50">
        <v>10.045999999999999</v>
      </c>
      <c r="D50">
        <v>8.6669999999999998</v>
      </c>
      <c r="E50">
        <v>8.84</v>
      </c>
      <c r="F50">
        <v>1184874.3999999999</v>
      </c>
      <c r="G50">
        <v>8.84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-0.7490935460478606</v>
      </c>
      <c r="Q50">
        <f t="shared" ref="Q50" si="226">F50*P50</f>
        <v>-887581.7659173311</v>
      </c>
      <c r="R50">
        <f t="shared" ref="R50" si="227">R51+Q50</f>
        <v>242100222.16552615</v>
      </c>
      <c r="S50">
        <f t="shared" ref="S50" si="228">R50/100000</f>
        <v>2421.0022216552616</v>
      </c>
      <c r="T50">
        <f t="shared" ref="T50" si="229">S50/1000</f>
        <v>2.4210022216552614</v>
      </c>
    </row>
    <row r="51" spans="1:20" x14ac:dyDescent="0.25">
      <c r="A51" s="5">
        <v>44542</v>
      </c>
      <c r="B51">
        <v>10.09</v>
      </c>
      <c r="C51">
        <v>10.147</v>
      </c>
      <c r="D51">
        <v>9.6660000000000004</v>
      </c>
      <c r="E51">
        <v>10.005000000000001</v>
      </c>
      <c r="F51">
        <v>569980.30000000005</v>
      </c>
      <c r="G51">
        <v>10.005000000000001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0.40956340956341164</v>
      </c>
      <c r="Q51">
        <f t="shared" ref="Q51" si="231">F51*P51</f>
        <v>233443.07505197625</v>
      </c>
      <c r="R51">
        <f t="shared" ref="R51" si="232">R52+Q51</f>
        <v>242987803.93144348</v>
      </c>
      <c r="S51">
        <f t="shared" ref="S51" si="233">R51/100000</f>
        <v>2429.8780393144348</v>
      </c>
      <c r="T51">
        <f t="shared" ref="T51" si="234">S51/1000</f>
        <v>2.4298780393144348</v>
      </c>
    </row>
    <row r="52" spans="1:20" x14ac:dyDescent="0.25">
      <c r="A52" s="5">
        <v>44541</v>
      </c>
      <c r="B52">
        <v>9.4090000000000007</v>
      </c>
      <c r="C52">
        <v>9.5719999999999992</v>
      </c>
      <c r="D52">
        <v>9.2579999999999991</v>
      </c>
      <c r="E52">
        <v>9.5210000000000008</v>
      </c>
      <c r="F52">
        <v>79665.8</v>
      </c>
      <c r="G52">
        <v>9.5210000000000008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0.67515923566880021</v>
      </c>
      <c r="Q52">
        <f t="shared" ref="Q52" si="236">F52*P52</f>
        <v>53787.100636943505</v>
      </c>
      <c r="R52">
        <f t="shared" ref="R52" si="237">R53+Q52</f>
        <v>242754360.85639152</v>
      </c>
      <c r="S52">
        <f t="shared" ref="S52" si="238">R52/100000</f>
        <v>2427.5436085639153</v>
      </c>
      <c r="T52">
        <f t="shared" ref="T52" si="239">S52/1000</f>
        <v>2.4275436085639153</v>
      </c>
    </row>
    <row r="53" spans="1:20" x14ac:dyDescent="0.25">
      <c r="A53" s="5">
        <v>44540</v>
      </c>
      <c r="B53">
        <v>9.8439999999999994</v>
      </c>
      <c r="C53">
        <v>10.225</v>
      </c>
      <c r="D53">
        <v>9.3780000000000001</v>
      </c>
      <c r="E53">
        <v>9.4060000000000006</v>
      </c>
      <c r="F53">
        <v>1531021</v>
      </c>
      <c r="G53">
        <v>9.4060000000000006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-0.93388429752066004</v>
      </c>
      <c r="Q53">
        <f t="shared" ref="Q53" si="241">F53*P53</f>
        <v>-1429796.4710743784</v>
      </c>
      <c r="R53">
        <f t="shared" ref="R53" si="242">R54+Q53</f>
        <v>242700573.75575459</v>
      </c>
      <c r="S53">
        <f t="shared" ref="S53" si="243">R53/100000</f>
        <v>2427.0057375575461</v>
      </c>
      <c r="T53">
        <f t="shared" ref="T53" si="244">S53/1000</f>
        <v>2.427005737557546</v>
      </c>
    </row>
    <row r="54" spans="1:20" x14ac:dyDescent="0.25">
      <c r="A54" s="5">
        <v>44539</v>
      </c>
      <c r="B54">
        <v>11.347</v>
      </c>
      <c r="C54">
        <v>11.404999999999999</v>
      </c>
      <c r="D54">
        <v>9.67</v>
      </c>
      <c r="E54">
        <v>9.8510000000000009</v>
      </c>
      <c r="F54">
        <v>2837245.5</v>
      </c>
      <c r="G54">
        <v>9.8510000000000009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-0.79135446685878852</v>
      </c>
      <c r="Q54">
        <f t="shared" ref="Q54" si="246">F54*P54</f>
        <v>-2245266.8999999966</v>
      </c>
      <c r="R54">
        <f t="shared" ref="R54" si="247">R55+Q54</f>
        <v>244130370.22682896</v>
      </c>
      <c r="S54">
        <f t="shared" ref="S54" si="248">R54/100000</f>
        <v>2441.3037022682897</v>
      </c>
      <c r="T54">
        <f t="shared" ref="T54" si="249">S54/1000</f>
        <v>2.4413037022682897</v>
      </c>
    </row>
    <row r="55" spans="1:20" x14ac:dyDescent="0.25">
      <c r="A55" s="5">
        <v>44538</v>
      </c>
      <c r="B55">
        <v>11.156000000000001</v>
      </c>
      <c r="C55">
        <v>11.59</v>
      </c>
      <c r="D55">
        <v>10.651999999999999</v>
      </c>
      <c r="E55">
        <v>11.346</v>
      </c>
      <c r="F55">
        <v>1684023.3</v>
      </c>
      <c r="G55">
        <v>11.346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0.47974413646055519</v>
      </c>
      <c r="Q55">
        <f t="shared" ref="Q55" si="251">F55*P55</f>
        <v>807900.30383795453</v>
      </c>
      <c r="R55">
        <f t="shared" ref="R55" si="252">R56+Q55</f>
        <v>246375637.12682897</v>
      </c>
      <c r="S55">
        <f t="shared" ref="S55" si="253">R55/100000</f>
        <v>2463.7563712682895</v>
      </c>
      <c r="T55">
        <f t="shared" ref="T55" si="254">S55/1000</f>
        <v>2.4637563712682895</v>
      </c>
    </row>
    <row r="56" spans="1:20" x14ac:dyDescent="0.25">
      <c r="A56" s="5">
        <v>44537</v>
      </c>
      <c r="B56">
        <v>10.635999999999999</v>
      </c>
      <c r="C56">
        <v>11.759</v>
      </c>
      <c r="D56">
        <v>10.272</v>
      </c>
      <c r="E56">
        <v>11.161</v>
      </c>
      <c r="F56">
        <v>3052169.4</v>
      </c>
      <c r="G56">
        <v>11.161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0.19569603227975693</v>
      </c>
      <c r="Q56">
        <f t="shared" ref="Q56" si="256">F56*P56</f>
        <v>597297.44142568635</v>
      </c>
      <c r="R56">
        <f t="shared" ref="R56" si="257">R57+Q56</f>
        <v>245567736.82299101</v>
      </c>
      <c r="S56">
        <f t="shared" ref="S56" si="258">R56/100000</f>
        <v>2455.6773682299099</v>
      </c>
      <c r="T56">
        <f t="shared" ref="T56" si="259">S56/1000</f>
        <v>2.4556773682299098</v>
      </c>
    </row>
    <row r="57" spans="1:20" x14ac:dyDescent="0.25">
      <c r="A57" s="5">
        <v>44536</v>
      </c>
      <c r="B57">
        <v>10.352</v>
      </c>
      <c r="C57">
        <v>10.753</v>
      </c>
      <c r="D57">
        <v>8.9550000000000001</v>
      </c>
      <c r="E57">
        <v>10.63</v>
      </c>
      <c r="F57">
        <v>3756742.7</v>
      </c>
      <c r="G57">
        <v>10.63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0.86318131256952246</v>
      </c>
      <c r="Q57">
        <f t="shared" ref="Q57" si="261">F57*P57</f>
        <v>3242750.0947719719</v>
      </c>
      <c r="R57">
        <f t="shared" ref="R57" si="262">R58+Q57</f>
        <v>244970439.38156533</v>
      </c>
      <c r="S57">
        <f t="shared" ref="S57" si="263">R57/100000</f>
        <v>2449.7043938156535</v>
      </c>
      <c r="T57">
        <f t="shared" ref="T57" si="264">S57/1000</f>
        <v>2.4497043938156535</v>
      </c>
    </row>
    <row r="58" spans="1:20" x14ac:dyDescent="0.25">
      <c r="A58" s="5">
        <v>44535</v>
      </c>
      <c r="B58">
        <v>11.462999999999999</v>
      </c>
      <c r="C58">
        <v>11.7</v>
      </c>
      <c r="D58">
        <v>9.7759999999999998</v>
      </c>
      <c r="E58">
        <v>10.343</v>
      </c>
      <c r="F58">
        <v>2638839.6</v>
      </c>
      <c r="G58">
        <v>10.343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-0.41060291060291026</v>
      </c>
      <c r="Q58">
        <f t="shared" ref="Q58" si="266">F58*P58</f>
        <v>-1083515.2203742196</v>
      </c>
      <c r="R58">
        <f t="shared" ref="R58" si="267">R59+Q58</f>
        <v>241727689.28679335</v>
      </c>
      <c r="S58">
        <f t="shared" ref="S58" si="268">R58/100000</f>
        <v>2417.2768928679334</v>
      </c>
      <c r="T58">
        <f t="shared" ref="T58" si="269">S58/1000</f>
        <v>2.4172768928679336</v>
      </c>
    </row>
    <row r="59" spans="1:20" x14ac:dyDescent="0.25">
      <c r="A59" s="5">
        <v>44534</v>
      </c>
      <c r="B59">
        <v>13.707000000000001</v>
      </c>
      <c r="C59">
        <v>13.747</v>
      </c>
      <c r="D59">
        <v>8.0229999999999997</v>
      </c>
      <c r="E59">
        <v>11.462999999999999</v>
      </c>
      <c r="F59">
        <v>4962003.676</v>
      </c>
      <c r="G59">
        <v>11.462999999999999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0.20195667365478664</v>
      </c>
      <c r="Q59">
        <f t="shared" ref="Q59" si="271">F59*P59</f>
        <v>1002109.7570677837</v>
      </c>
      <c r="R59">
        <f t="shared" ref="R59" si="272">R60+Q59</f>
        <v>242811204.50716758</v>
      </c>
      <c r="S59">
        <f t="shared" ref="S59" si="273">R59/100000</f>
        <v>2428.1120450716758</v>
      </c>
      <c r="T59">
        <f t="shared" ref="T59" si="274">S59/1000</f>
        <v>2.4281120450716758</v>
      </c>
    </row>
    <row r="60" spans="1:20" x14ac:dyDescent="0.25">
      <c r="A60" s="5">
        <v>44533</v>
      </c>
      <c r="B60">
        <v>14.766</v>
      </c>
      <c r="C60">
        <v>14.875999999999999</v>
      </c>
      <c r="D60">
        <v>13.254</v>
      </c>
      <c r="E60">
        <v>13.707000000000001</v>
      </c>
      <c r="F60">
        <v>1687872.3</v>
      </c>
      <c r="G60">
        <v>13.707000000000001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-0.44143033292231665</v>
      </c>
      <c r="Q60">
        <f t="shared" ref="Q60" si="276">F60*P60</f>
        <v>-745078.03131935629</v>
      </c>
      <c r="R60">
        <f t="shared" ref="R60" si="277">R61+Q60</f>
        <v>241809094.75009981</v>
      </c>
      <c r="S60">
        <f t="shared" ref="S60" si="278">R60/100000</f>
        <v>2418.090947500998</v>
      </c>
      <c r="T60">
        <f t="shared" ref="T60" si="279">S60/1000</f>
        <v>2.418090947500998</v>
      </c>
    </row>
    <row r="61" spans="1:20" x14ac:dyDescent="0.25">
      <c r="A61" s="5">
        <v>44532</v>
      </c>
      <c r="B61">
        <v>15.157</v>
      </c>
      <c r="C61">
        <v>15.182</v>
      </c>
      <c r="D61">
        <v>14.268000000000001</v>
      </c>
      <c r="E61">
        <v>14.76</v>
      </c>
      <c r="F61">
        <v>1980473.5</v>
      </c>
      <c r="G61">
        <v>14.76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7.6586433260392259E-2</v>
      </c>
      <c r="Q61">
        <f t="shared" ref="Q61" si="281">F61*P61</f>
        <v>151677.40153172548</v>
      </c>
      <c r="R61">
        <f t="shared" ref="R61" si="282">R62+Q61</f>
        <v>242554172.78141916</v>
      </c>
      <c r="S61">
        <f t="shared" ref="S61" si="283">R61/100000</f>
        <v>2425.5417278141917</v>
      </c>
      <c r="T61">
        <f t="shared" ref="T61" si="284">S61/1000</f>
        <v>2.4255417278141915</v>
      </c>
    </row>
    <row r="62" spans="1:20" x14ac:dyDescent="0.25">
      <c r="A62" s="5">
        <v>44531</v>
      </c>
      <c r="B62">
        <v>16.065999999999999</v>
      </c>
      <c r="C62">
        <v>16.571999999999999</v>
      </c>
      <c r="D62">
        <v>14.909000000000001</v>
      </c>
      <c r="E62">
        <v>15.157999999999999</v>
      </c>
      <c r="F62">
        <v>2862667.8</v>
      </c>
      <c r="G62">
        <v>15.157999999999999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-0.70054119061936382</v>
      </c>
      <c r="Q62">
        <f t="shared" ref="Q62" si="286">F62*P62</f>
        <v>-2005416.7089597147</v>
      </c>
      <c r="R62">
        <f t="shared" ref="R62" si="287">R63+Q62</f>
        <v>242402495.37988743</v>
      </c>
      <c r="S62">
        <f t="shared" ref="S62" si="288">R62/100000</f>
        <v>2424.0249537988743</v>
      </c>
      <c r="T62">
        <f t="shared" ref="T62" si="289">S62/1000</f>
        <v>2.4240249537988743</v>
      </c>
    </row>
    <row r="63" spans="1:20" x14ac:dyDescent="0.25">
      <c r="A63" s="5">
        <v>44530</v>
      </c>
      <c r="B63">
        <v>15.622999999999999</v>
      </c>
      <c r="C63">
        <v>17.5</v>
      </c>
      <c r="D63">
        <v>14.683999999999999</v>
      </c>
      <c r="E63">
        <v>16.068000000000001</v>
      </c>
      <c r="F63">
        <v>3788354.5</v>
      </c>
      <c r="G63">
        <v>16.068000000000001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-1.7045454545453295E-2</v>
      </c>
      <c r="Q63">
        <f t="shared" ref="Q63" si="291">F63*P63</f>
        <v>-64574.224431813447</v>
      </c>
      <c r="R63">
        <f t="shared" ref="R63" si="292">R64+Q63</f>
        <v>244407912.08884716</v>
      </c>
      <c r="S63">
        <f t="shared" ref="S63" si="293">R63/100000</f>
        <v>2444.0791208884716</v>
      </c>
      <c r="T63">
        <f t="shared" ref="T63" si="294">S63/1000</f>
        <v>2.4440791208884716</v>
      </c>
    </row>
    <row r="64" spans="1:20" x14ac:dyDescent="0.25">
      <c r="A64" s="5">
        <v>44529</v>
      </c>
      <c r="B64">
        <v>15.095000000000001</v>
      </c>
      <c r="C64">
        <v>15.993</v>
      </c>
      <c r="D64">
        <v>14.721</v>
      </c>
      <c r="E64">
        <v>15.622999999999999</v>
      </c>
      <c r="F64">
        <v>2056053.9</v>
      </c>
      <c r="G64">
        <v>15.622999999999999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0.41823899371069034</v>
      </c>
      <c r="Q64">
        <f t="shared" ref="Q64" si="296">F64*P64</f>
        <v>859921.91415094037</v>
      </c>
      <c r="R64">
        <f t="shared" ref="R64" si="297">R65+Q64</f>
        <v>244472486.31327897</v>
      </c>
      <c r="S64">
        <f t="shared" ref="S64" si="298">R64/100000</f>
        <v>2444.7248631327898</v>
      </c>
      <c r="T64">
        <f t="shared" ref="T64" si="299">S64/1000</f>
        <v>2.4447248631327896</v>
      </c>
    </row>
    <row r="65" spans="1:20" x14ac:dyDescent="0.25">
      <c r="A65" s="5">
        <v>44528</v>
      </c>
      <c r="B65">
        <v>14.461</v>
      </c>
      <c r="C65">
        <v>15.227</v>
      </c>
      <c r="D65">
        <v>13.52</v>
      </c>
      <c r="E65">
        <v>15.098000000000001</v>
      </c>
      <c r="F65">
        <v>1344211.4</v>
      </c>
      <c r="G65">
        <v>15.098000000000001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0.84885764499121319</v>
      </c>
      <c r="Q65">
        <f t="shared" ref="Q65" si="301">F65*P65</f>
        <v>1141044.1233743415</v>
      </c>
      <c r="R65">
        <f t="shared" ref="R65" si="302">R66+Q65</f>
        <v>243612564.39912802</v>
      </c>
      <c r="S65">
        <f t="shared" ref="S65" si="303">R65/100000</f>
        <v>2436.1256439912804</v>
      </c>
      <c r="T65">
        <f t="shared" ref="T65" si="304">S65/1000</f>
        <v>2.4361256439912804</v>
      </c>
    </row>
    <row r="66" spans="1:20" x14ac:dyDescent="0.25">
      <c r="A66" s="5">
        <v>44527</v>
      </c>
      <c r="B66">
        <v>14.301</v>
      </c>
      <c r="C66">
        <v>14.852</v>
      </c>
      <c r="D66">
        <v>14.124000000000001</v>
      </c>
      <c r="E66">
        <v>14.473000000000001</v>
      </c>
      <c r="F66">
        <v>1365703.1</v>
      </c>
      <c r="G66">
        <v>14.473000000000001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-4.1208791208790341E-2</v>
      </c>
      <c r="Q66">
        <f t="shared" ref="Q66" si="306">F66*P66</f>
        <v>-56278.973901097721</v>
      </c>
      <c r="R66">
        <f t="shared" ref="R66" si="307">R67+Q66</f>
        <v>242471520.27575368</v>
      </c>
      <c r="S66">
        <f t="shared" ref="S66" si="308">R66/100000</f>
        <v>2424.7152027575366</v>
      </c>
      <c r="T66">
        <f t="shared" ref="T66" si="309">S66/1000</f>
        <v>2.4247152027575365</v>
      </c>
    </row>
    <row r="67" spans="1:20" x14ac:dyDescent="0.25">
      <c r="A67" s="5">
        <v>44526</v>
      </c>
      <c r="B67">
        <v>16.414000000000001</v>
      </c>
      <c r="C67">
        <v>16.597999999999999</v>
      </c>
      <c r="D67">
        <v>13.811999999999999</v>
      </c>
      <c r="E67">
        <v>14.32</v>
      </c>
      <c r="F67">
        <v>4027171.6</v>
      </c>
      <c r="G67">
        <v>14.32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-0.6353194544149311</v>
      </c>
      <c r="Q67">
        <f t="shared" ref="Q67" si="311">F67*P67</f>
        <v>-2558540.4637473053</v>
      </c>
      <c r="R67">
        <f t="shared" ref="R67" si="312">R68+Q67</f>
        <v>242527799.24965477</v>
      </c>
      <c r="S67">
        <f t="shared" ref="S67" si="313">R67/100000</f>
        <v>2425.2779924965475</v>
      </c>
      <c r="T67">
        <f t="shared" ref="T67" si="314">S67/1000</f>
        <v>2.4252779924965475</v>
      </c>
    </row>
    <row r="68" spans="1:20" x14ac:dyDescent="0.25">
      <c r="A68" s="5">
        <v>44525</v>
      </c>
      <c r="B68">
        <v>14.43</v>
      </c>
      <c r="C68">
        <v>17.146000000000001</v>
      </c>
      <c r="D68">
        <v>14.237</v>
      </c>
      <c r="E68">
        <v>16.422999999999998</v>
      </c>
      <c r="F68">
        <v>5916739.4000000004</v>
      </c>
      <c r="G68">
        <v>16.422999999999998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0.50292196631144559</v>
      </c>
      <c r="Q68">
        <f t="shared" ref="Q68" si="316">F68*P68</f>
        <v>2975658.2132004029</v>
      </c>
      <c r="R68">
        <f t="shared" ref="R68" si="317">R69+Q68</f>
        <v>245086339.71340206</v>
      </c>
      <c r="S68">
        <f t="shared" ref="S68" si="318">R68/100000</f>
        <v>2450.8633971340205</v>
      </c>
      <c r="T68">
        <f t="shared" ref="T68" si="319">S68/1000</f>
        <v>2.4508633971340203</v>
      </c>
    </row>
    <row r="69" spans="1:20" x14ac:dyDescent="0.25">
      <c r="A69" s="5">
        <v>44524</v>
      </c>
      <c r="B69">
        <v>14.718</v>
      </c>
      <c r="C69">
        <v>14.795</v>
      </c>
      <c r="D69">
        <v>14.15</v>
      </c>
      <c r="E69">
        <v>14.196</v>
      </c>
      <c r="F69">
        <v>384294.1</v>
      </c>
      <c r="G69">
        <v>14.196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-0.85736434108527315</v>
      </c>
      <c r="Q69">
        <f t="shared" ref="Q69" si="321">F69*P69</f>
        <v>-329480.05782945803</v>
      </c>
      <c r="R69">
        <f t="shared" ref="R69" si="322">R70+Q69</f>
        <v>242110681.50020167</v>
      </c>
      <c r="S69">
        <f t="shared" ref="S69" si="323">R69/100000</f>
        <v>2421.1068150020169</v>
      </c>
      <c r="T69">
        <f t="shared" ref="T69" si="324">S69/1000</f>
        <v>2.421106815002017</v>
      </c>
    </row>
    <row r="70" spans="1:20" x14ac:dyDescent="0.25">
      <c r="A70" s="5">
        <v>44523</v>
      </c>
      <c r="B70">
        <v>14.523999999999999</v>
      </c>
      <c r="C70">
        <v>14.935</v>
      </c>
      <c r="D70">
        <v>14.115</v>
      </c>
      <c r="E70">
        <v>14.721</v>
      </c>
      <c r="F70">
        <v>1111614.3</v>
      </c>
      <c r="G70">
        <v>14.721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0.47804878048780408</v>
      </c>
      <c r="Q70">
        <f t="shared" ref="Q70" si="326">F70*P70</f>
        <v>531405.86048780405</v>
      </c>
      <c r="R70">
        <f t="shared" ref="R70" si="327">R71+Q70</f>
        <v>242440161.55803114</v>
      </c>
      <c r="S70">
        <f t="shared" ref="S70" si="328">R70/100000</f>
        <v>2424.4016155803115</v>
      </c>
      <c r="T70">
        <f t="shared" ref="T70" si="329">S70/1000</f>
        <v>2.4244016155803116</v>
      </c>
    </row>
    <row r="71" spans="1:20" x14ac:dyDescent="0.25">
      <c r="A71" s="5">
        <v>44522</v>
      </c>
      <c r="B71">
        <v>15.228</v>
      </c>
      <c r="C71">
        <v>15.323</v>
      </c>
      <c r="D71">
        <v>14.456</v>
      </c>
      <c r="E71">
        <v>14.523999999999999</v>
      </c>
      <c r="F71">
        <v>1247850.3999999999</v>
      </c>
      <c r="G71">
        <v>14.523999999999999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-0.84313725490196179</v>
      </c>
      <c r="Q71">
        <f t="shared" ref="Q71" si="331">F71*P71</f>
        <v>-1052109.1607843149</v>
      </c>
      <c r="R71">
        <f t="shared" ref="R71" si="332">R72+Q71</f>
        <v>241908755.69754332</v>
      </c>
      <c r="S71">
        <f t="shared" ref="S71" si="333">R71/100000</f>
        <v>2419.087556975433</v>
      </c>
      <c r="T71">
        <f t="shared" ref="T71" si="334">S71/1000</f>
        <v>2.4190875569754331</v>
      </c>
    </row>
    <row r="72" spans="1:20" x14ac:dyDescent="0.25">
      <c r="A72" s="5">
        <v>44521</v>
      </c>
      <c r="B72">
        <v>15.214</v>
      </c>
      <c r="C72">
        <v>16.148</v>
      </c>
      <c r="D72">
        <v>14.983000000000001</v>
      </c>
      <c r="E72">
        <v>15.231</v>
      </c>
      <c r="F72">
        <v>1458249.4</v>
      </c>
      <c r="G72">
        <v>15.231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-0.5742489270386274</v>
      </c>
      <c r="Q72">
        <f t="shared" ref="Q72" si="336">F72*P72</f>
        <v>-837398.15330472216</v>
      </c>
      <c r="R72">
        <f t="shared" ref="R72" si="337">R73+Q72</f>
        <v>242960864.85832763</v>
      </c>
      <c r="S72">
        <f t="shared" ref="S72" si="338">R72/100000</f>
        <v>2429.6086485832761</v>
      </c>
      <c r="T72">
        <f t="shared" ref="T72" si="339">S72/1000</f>
        <v>2.429608648583276</v>
      </c>
    </row>
    <row r="73" spans="1:20" x14ac:dyDescent="0.25">
      <c r="A73" s="5">
        <v>44520</v>
      </c>
      <c r="B73">
        <v>14.805999999999999</v>
      </c>
      <c r="C73">
        <v>15.5</v>
      </c>
      <c r="D73">
        <v>14.436999999999999</v>
      </c>
      <c r="E73">
        <v>15.212</v>
      </c>
      <c r="F73">
        <v>1037482</v>
      </c>
      <c r="G73">
        <v>15.212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0.45813734713076182</v>
      </c>
      <c r="Q73">
        <f t="shared" ref="Q73" si="341">F73*P73</f>
        <v>475309.25117591704</v>
      </c>
      <c r="R73">
        <f t="shared" ref="R73" si="342">R74+Q73</f>
        <v>243798263.01163235</v>
      </c>
      <c r="S73">
        <f t="shared" ref="S73" si="343">R73/100000</f>
        <v>2437.9826301163234</v>
      </c>
      <c r="T73">
        <f t="shared" ref="T73" si="344">S73/1000</f>
        <v>2.4379826301163234</v>
      </c>
    </row>
    <row r="74" spans="1:20" x14ac:dyDescent="0.25">
      <c r="A74" s="5">
        <v>44519</v>
      </c>
      <c r="B74">
        <v>13.682</v>
      </c>
      <c r="C74">
        <v>15.14</v>
      </c>
      <c r="D74">
        <v>13.273999999999999</v>
      </c>
      <c r="E74">
        <v>14.805999999999999</v>
      </c>
      <c r="F74">
        <v>1781845.5</v>
      </c>
      <c r="G74">
        <v>14.805999999999999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0.64201500535905554</v>
      </c>
      <c r="Q74">
        <f t="shared" ref="Q74" si="346">F74*P74</f>
        <v>1143971.548231509</v>
      </c>
      <c r="R74">
        <f t="shared" ref="R74" si="347">R75+Q74</f>
        <v>243322953.76045644</v>
      </c>
      <c r="S74">
        <f t="shared" ref="S74" si="348">R74/100000</f>
        <v>2433.2295376045645</v>
      </c>
      <c r="T74">
        <f t="shared" ref="T74" si="349">S74/1000</f>
        <v>2.4332295376045643</v>
      </c>
    </row>
    <row r="75" spans="1:20" x14ac:dyDescent="0.25">
      <c r="A75" s="5">
        <v>44518</v>
      </c>
      <c r="B75">
        <v>15.124000000000001</v>
      </c>
      <c r="C75">
        <v>15.526</v>
      </c>
      <c r="D75">
        <v>13.38</v>
      </c>
      <c r="E75">
        <v>13.682</v>
      </c>
      <c r="F75">
        <v>1820757.7</v>
      </c>
      <c r="G75">
        <v>13.682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-0.71854613233923603</v>
      </c>
      <c r="Q75">
        <f t="shared" ref="Q75" si="351">F75*P75</f>
        <v>-1308298.403261883</v>
      </c>
      <c r="R75">
        <f t="shared" ref="R75" si="352">R76+Q75</f>
        <v>242178982.21222493</v>
      </c>
      <c r="S75">
        <f t="shared" ref="S75" si="353">R75/100000</f>
        <v>2421.7898221222495</v>
      </c>
      <c r="T75">
        <f t="shared" ref="T75" si="354">S75/1000</f>
        <v>2.4217898221222494</v>
      </c>
    </row>
    <row r="76" spans="1:20" x14ac:dyDescent="0.25">
      <c r="A76" s="5">
        <v>44517</v>
      </c>
      <c r="B76">
        <v>15.135</v>
      </c>
      <c r="C76">
        <v>15.491</v>
      </c>
      <c r="D76">
        <v>14.413</v>
      </c>
      <c r="E76">
        <v>15.125</v>
      </c>
      <c r="F76">
        <v>1645135</v>
      </c>
      <c r="G76">
        <v>15.125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0.32096474953617837</v>
      </c>
      <c r="Q76">
        <f t="shared" ref="Q76" si="356">F76*P76</f>
        <v>528030.3432282008</v>
      </c>
      <c r="R76">
        <f t="shared" ref="R76" si="357">R77+Q76</f>
        <v>243487280.6154868</v>
      </c>
      <c r="S76">
        <f t="shared" ref="S76" si="358">R76/100000</f>
        <v>2434.8728061548682</v>
      </c>
      <c r="T76">
        <f t="shared" ref="T76" si="359">S76/1000</f>
        <v>2.4348728061548681</v>
      </c>
    </row>
    <row r="77" spans="1:20" x14ac:dyDescent="0.25">
      <c r="A77" s="5">
        <v>44516</v>
      </c>
      <c r="B77">
        <v>16.571999999999999</v>
      </c>
      <c r="C77">
        <v>16.574000000000002</v>
      </c>
      <c r="D77">
        <v>14.138999999999999</v>
      </c>
      <c r="E77">
        <v>15.141</v>
      </c>
      <c r="F77">
        <v>2503744.9</v>
      </c>
      <c r="G77">
        <v>15.141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-0.17700205338809058</v>
      </c>
      <c r="Q77">
        <f t="shared" ref="Q77" si="361">F77*P77</f>
        <v>-443167.98845995951</v>
      </c>
      <c r="R77">
        <f t="shared" ref="R77" si="362">R78+Q77</f>
        <v>242959250.27225861</v>
      </c>
      <c r="S77">
        <f t="shared" ref="S77" si="363">R77/100000</f>
        <v>2429.5925027225862</v>
      </c>
      <c r="T77">
        <f t="shared" ref="T77" si="364">S77/1000</f>
        <v>2.4295925027225862</v>
      </c>
    </row>
    <row r="78" spans="1:20" x14ac:dyDescent="0.25">
      <c r="A78" s="5">
        <v>44515</v>
      </c>
      <c r="B78">
        <v>17.309999999999999</v>
      </c>
      <c r="C78">
        <v>17.838000000000001</v>
      </c>
      <c r="D78">
        <v>16.515000000000001</v>
      </c>
      <c r="E78">
        <v>16.568000000000001</v>
      </c>
      <c r="F78">
        <v>2163689.7999999998</v>
      </c>
      <c r="G78">
        <v>16.568000000000001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-0.91987906273620434</v>
      </c>
      <c r="Q78">
        <f t="shared" ref="Q78" si="366">F78*P78</f>
        <v>-1990332.9452758853</v>
      </c>
      <c r="R78">
        <f t="shared" ref="R78" si="367">R79+Q78</f>
        <v>243402418.26071855</v>
      </c>
      <c r="S78">
        <f t="shared" ref="S78" si="368">R78/100000</f>
        <v>2434.0241826071856</v>
      </c>
      <c r="T78">
        <f t="shared" ref="T78" si="369">S78/1000</f>
        <v>2.4340241826071858</v>
      </c>
    </row>
    <row r="79" spans="1:20" x14ac:dyDescent="0.25">
      <c r="A79" s="5">
        <v>44514</v>
      </c>
      <c r="B79">
        <v>16.587</v>
      </c>
      <c r="C79">
        <v>18.12</v>
      </c>
      <c r="D79">
        <v>16.347000000000001</v>
      </c>
      <c r="E79">
        <v>17.302</v>
      </c>
      <c r="F79">
        <v>4188496.7</v>
      </c>
      <c r="G79">
        <v>17.302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7.7270163564578068E-2</v>
      </c>
      <c r="Q79">
        <f t="shared" ref="Q79" si="371">F79*P79</f>
        <v>323645.82509869547</v>
      </c>
      <c r="R79">
        <f t="shared" ref="R79" si="372">R80+Q79</f>
        <v>245392751.20599443</v>
      </c>
      <c r="S79">
        <f t="shared" ref="S79" si="373">R79/100000</f>
        <v>2453.9275120599441</v>
      </c>
      <c r="T79">
        <f t="shared" ref="T79" si="374">S79/1000</f>
        <v>2.453927512059944</v>
      </c>
    </row>
    <row r="80" spans="1:20" x14ac:dyDescent="0.25">
      <c r="A80" s="5">
        <v>44513</v>
      </c>
      <c r="B80">
        <v>16.149999999999999</v>
      </c>
      <c r="C80">
        <v>16.829000000000001</v>
      </c>
      <c r="D80">
        <v>16.074999999999999</v>
      </c>
      <c r="E80">
        <v>16.588000000000001</v>
      </c>
      <c r="F80">
        <v>1149677.8999999999</v>
      </c>
      <c r="G80">
        <v>16.588000000000001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0.36074270557029381</v>
      </c>
      <c r="Q80">
        <f t="shared" ref="Q80" si="376">F80*P80</f>
        <v>414737.91618037364</v>
      </c>
      <c r="R80">
        <f t="shared" ref="R80" si="377">R81+Q80</f>
        <v>245069105.38089573</v>
      </c>
      <c r="S80">
        <f t="shared" ref="S80" si="378">R80/100000</f>
        <v>2450.6910538089573</v>
      </c>
      <c r="T80">
        <f t="shared" ref="T80" si="379">S80/1000</f>
        <v>2.4506910538089572</v>
      </c>
    </row>
    <row r="81" spans="1:20" x14ac:dyDescent="0.25">
      <c r="A81" s="5">
        <v>44512</v>
      </c>
      <c r="B81">
        <v>16.283000000000001</v>
      </c>
      <c r="C81">
        <v>16.5</v>
      </c>
      <c r="D81">
        <v>15.362</v>
      </c>
      <c r="E81">
        <v>16.155999999999999</v>
      </c>
      <c r="F81">
        <v>1558988</v>
      </c>
      <c r="G81">
        <v>16.155999999999999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0.39543057996484848</v>
      </c>
      <c r="Q81">
        <f t="shared" ref="Q81" si="381">F81*P81</f>
        <v>616471.5289982392</v>
      </c>
      <c r="R81">
        <f t="shared" ref="R81" si="382">R82+Q81</f>
        <v>244654367.46471536</v>
      </c>
      <c r="S81">
        <f t="shared" ref="S81" si="383">R81/100000</f>
        <v>2446.5436746471537</v>
      </c>
      <c r="T81">
        <f t="shared" ref="T81" si="384">S81/1000</f>
        <v>2.4465436746471538</v>
      </c>
    </row>
    <row r="82" spans="1:20" x14ac:dyDescent="0.25">
      <c r="A82" s="5">
        <v>44511</v>
      </c>
      <c r="B82">
        <v>16.231999999999999</v>
      </c>
      <c r="C82">
        <v>16.559999999999999</v>
      </c>
      <c r="D82">
        <v>15.904999999999999</v>
      </c>
      <c r="E82">
        <v>16.292000000000002</v>
      </c>
      <c r="F82">
        <v>1190248.6000000001</v>
      </c>
      <c r="G82">
        <v>16.292000000000002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0.18167938931298508</v>
      </c>
      <c r="Q82">
        <f t="shared" ref="Q82" si="386">F82*P82</f>
        <v>216243.63877863548</v>
      </c>
      <c r="R82">
        <f t="shared" ref="R82" si="387">R83+Q82</f>
        <v>244037895.93571714</v>
      </c>
      <c r="S82">
        <f t="shared" ref="S82" si="388">R82/100000</f>
        <v>2440.3789593571714</v>
      </c>
      <c r="T82">
        <f t="shared" ref="T82" si="389">S82/1000</f>
        <v>2.4403789593571714</v>
      </c>
    </row>
    <row r="83" spans="1:20" x14ac:dyDescent="0.25">
      <c r="A83" s="5">
        <v>44510</v>
      </c>
      <c r="B83">
        <v>17.849</v>
      </c>
      <c r="C83">
        <v>18.015999999999998</v>
      </c>
      <c r="D83">
        <v>15.201000000000001</v>
      </c>
      <c r="E83">
        <v>16.239000000000001</v>
      </c>
      <c r="F83">
        <v>2913637.6</v>
      </c>
      <c r="G83">
        <v>16.239000000000001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-0.26252220248667774</v>
      </c>
      <c r="Q83">
        <f t="shared" ref="Q83" si="391">F83*P83</f>
        <v>-764894.55999999773</v>
      </c>
      <c r="R83">
        <f t="shared" ref="R83" si="392">R84+Q83</f>
        <v>243821652.29693851</v>
      </c>
      <c r="S83">
        <f t="shared" ref="S83" si="393">R83/100000</f>
        <v>2438.2165229693851</v>
      </c>
      <c r="T83">
        <f t="shared" ref="T83" si="394">S83/1000</f>
        <v>2.4382165229693853</v>
      </c>
    </row>
    <row r="84" spans="1:20" x14ac:dyDescent="0.25">
      <c r="A84" s="5">
        <v>44509</v>
      </c>
      <c r="B84">
        <v>17.052</v>
      </c>
      <c r="C84">
        <v>18.434000000000001</v>
      </c>
      <c r="D84">
        <v>16.670999999999999</v>
      </c>
      <c r="E84">
        <v>17.844000000000001</v>
      </c>
      <c r="F84">
        <v>3405085.3</v>
      </c>
      <c r="G84">
        <v>17.844000000000001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0.33068633011911597</v>
      </c>
      <c r="Q84">
        <f t="shared" ref="Q84" si="396">F84*P84</f>
        <v>1126015.161599549</v>
      </c>
      <c r="R84">
        <f t="shared" ref="R84" si="397">R85+Q84</f>
        <v>244586546.85693851</v>
      </c>
      <c r="S84">
        <f t="shared" ref="S84" si="398">R84/100000</f>
        <v>2445.865468569385</v>
      </c>
      <c r="T84">
        <f t="shared" ref="T84" si="399">S84/1000</f>
        <v>2.445865468569385</v>
      </c>
    </row>
    <row r="85" spans="1:20" x14ac:dyDescent="0.25">
      <c r="A85" s="5">
        <v>44508</v>
      </c>
      <c r="B85">
        <v>16.484000000000002</v>
      </c>
      <c r="C85">
        <v>17.402000000000001</v>
      </c>
      <c r="D85">
        <v>15.972</v>
      </c>
      <c r="E85">
        <v>17.045000000000002</v>
      </c>
      <c r="F85">
        <v>2043270.4</v>
      </c>
      <c r="G85">
        <v>17.045000000000002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0.50069930069930213</v>
      </c>
      <c r="Q85">
        <f t="shared" ref="Q85" si="401">F85*P85</f>
        <v>1023064.0604195833</v>
      </c>
      <c r="R85">
        <f t="shared" ref="R85" si="402">R86+Q85</f>
        <v>243460531.69533896</v>
      </c>
      <c r="S85">
        <f t="shared" ref="S85" si="403">R85/100000</f>
        <v>2434.6053169533898</v>
      </c>
      <c r="T85">
        <f t="shared" ref="T85" si="404">S85/1000</f>
        <v>2.4346053169533897</v>
      </c>
    </row>
    <row r="86" spans="1:20" x14ac:dyDescent="0.25">
      <c r="A86" s="5">
        <v>44507</v>
      </c>
      <c r="B86">
        <v>16.875</v>
      </c>
      <c r="C86">
        <v>16.882000000000001</v>
      </c>
      <c r="D86">
        <v>16.254999999999999</v>
      </c>
      <c r="E86">
        <v>16.484999999999999</v>
      </c>
      <c r="F86">
        <v>1382549.4</v>
      </c>
      <c r="G86">
        <v>16.484999999999999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-0.2663476874003205</v>
      </c>
      <c r="Q86">
        <f t="shared" ref="Q86" si="406">F86*P86</f>
        <v>-368238.83540670061</v>
      </c>
      <c r="R86">
        <f t="shared" ref="R86" si="407">R87+Q86</f>
        <v>242437467.63491938</v>
      </c>
      <c r="S86">
        <f t="shared" ref="S86" si="408">R86/100000</f>
        <v>2424.3746763491936</v>
      </c>
      <c r="T86">
        <f t="shared" ref="T86" si="409">S86/1000</f>
        <v>2.4243746763491938</v>
      </c>
    </row>
    <row r="87" spans="1:20" x14ac:dyDescent="0.25">
      <c r="A87" s="5">
        <v>44506</v>
      </c>
      <c r="B87">
        <v>15.833</v>
      </c>
      <c r="C87">
        <v>17.978999999999999</v>
      </c>
      <c r="D87">
        <v>15.714</v>
      </c>
      <c r="E87">
        <v>16.875</v>
      </c>
      <c r="F87">
        <v>5625798.7999999998</v>
      </c>
      <c r="G87">
        <v>16.875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2.5165562913907466E-2</v>
      </c>
      <c r="Q87">
        <f t="shared" ref="Q87" si="411">F87*P87</f>
        <v>141576.39364238511</v>
      </c>
      <c r="R87">
        <f t="shared" ref="R87" si="412">R88+Q87</f>
        <v>242805706.47032607</v>
      </c>
      <c r="S87">
        <f t="shared" ref="S87" si="413">R87/100000</f>
        <v>2428.0570647032605</v>
      </c>
      <c r="T87">
        <f t="shared" ref="T87" si="414">S87/1000</f>
        <v>2.4280570647032604</v>
      </c>
    </row>
    <row r="88" spans="1:20" x14ac:dyDescent="0.25">
      <c r="A88" s="5">
        <v>44505</v>
      </c>
      <c r="B88">
        <v>15.875</v>
      </c>
      <c r="C88">
        <v>16.289000000000001</v>
      </c>
      <c r="D88">
        <v>15.45</v>
      </c>
      <c r="E88">
        <v>15.824999999999999</v>
      </c>
      <c r="F88">
        <v>1432351.2</v>
      </c>
      <c r="G88">
        <v>15.824999999999999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-0.10607866507747551</v>
      </c>
      <c r="Q88">
        <f t="shared" ref="Q88" si="416">F88*P88</f>
        <v>-151941.90321812013</v>
      </c>
      <c r="R88">
        <f t="shared" ref="R88" si="417">R89+Q88</f>
        <v>242664130.07668367</v>
      </c>
      <c r="S88">
        <f t="shared" ref="S88" si="418">R88/100000</f>
        <v>2426.6413007668366</v>
      </c>
      <c r="T88">
        <f t="shared" ref="T88" si="419">S88/1000</f>
        <v>2.4266413007668364</v>
      </c>
    </row>
    <row r="89" spans="1:20" x14ac:dyDescent="0.25">
      <c r="A89" s="5">
        <v>44504</v>
      </c>
      <c r="B89">
        <v>16.286999999999999</v>
      </c>
      <c r="C89">
        <v>16.649999999999999</v>
      </c>
      <c r="D89">
        <v>15.349</v>
      </c>
      <c r="E89">
        <v>15.864000000000001</v>
      </c>
      <c r="F89">
        <v>1710353.4</v>
      </c>
      <c r="G89">
        <v>15.864000000000001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-0.20830130668716185</v>
      </c>
      <c r="Q89">
        <f t="shared" ref="Q89" si="421">F89*P89</f>
        <v>-356268.84811682999</v>
      </c>
      <c r="R89">
        <f t="shared" ref="R89" si="422">R90+Q89</f>
        <v>242816071.97990179</v>
      </c>
      <c r="S89">
        <f t="shared" ref="S89" si="423">R89/100000</f>
        <v>2428.1607197990179</v>
      </c>
      <c r="T89">
        <f t="shared" ref="T89" si="424">S89/1000</f>
        <v>2.4281607197990178</v>
      </c>
    </row>
    <row r="90" spans="1:20" x14ac:dyDescent="0.25">
      <c r="A90" s="5">
        <v>44503</v>
      </c>
      <c r="B90">
        <v>16.989999999999998</v>
      </c>
      <c r="C90">
        <v>17.013999999999999</v>
      </c>
      <c r="D90">
        <v>15.266</v>
      </c>
      <c r="E90">
        <v>16.295999999999999</v>
      </c>
      <c r="F90">
        <v>3253582.4</v>
      </c>
      <c r="G90">
        <v>16.295999999999999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0.1784897025171622</v>
      </c>
      <c r="Q90">
        <f t="shared" ref="Q90" si="426">F90*P90</f>
        <v>580730.95469107467</v>
      </c>
      <c r="R90">
        <f t="shared" ref="R90" si="427">R91+Q90</f>
        <v>243172340.82801861</v>
      </c>
      <c r="S90">
        <f t="shared" ref="S90" si="428">R90/100000</f>
        <v>2431.723408280186</v>
      </c>
      <c r="T90">
        <f t="shared" ref="T90" si="429">S90/1000</f>
        <v>2.431723408280186</v>
      </c>
    </row>
    <row r="91" spans="1:20" x14ac:dyDescent="0.25">
      <c r="A91" s="5">
        <v>44502</v>
      </c>
      <c r="B91">
        <v>16.855</v>
      </c>
      <c r="C91">
        <v>18.100999999999999</v>
      </c>
      <c r="D91">
        <v>16.617999999999999</v>
      </c>
      <c r="E91">
        <v>16.988</v>
      </c>
      <c r="F91">
        <v>4310852.3</v>
      </c>
      <c r="G91">
        <v>16.988</v>
      </c>
      <c r="L91" t="s">
        <v>7</v>
      </c>
      <c r="M91" t="s">
        <v>8</v>
      </c>
      <c r="N91" t="s">
        <v>8</v>
      </c>
      <c r="P91">
        <f t="shared" ref="P91" si="430">IF(C91=D91,0,((E91-D91)-(C91-E91))/(C91-D91))</f>
        <v>-0.50101146325016743</v>
      </c>
      <c r="Q91">
        <f t="shared" ref="Q91" si="431">F91*P91</f>
        <v>-2159786.4186783498</v>
      </c>
      <c r="R91">
        <f t="shared" ref="R91" si="432">R92+Q91</f>
        <v>242591609.87332752</v>
      </c>
      <c r="S91">
        <f t="shared" ref="S91" si="433">R91/100000</f>
        <v>2425.9160987332752</v>
      </c>
      <c r="T91">
        <f t="shared" ref="T91" si="434">S91/1000</f>
        <v>2.4259160987332753</v>
      </c>
    </row>
    <row r="92" spans="1:20" x14ac:dyDescent="0.25">
      <c r="A92" s="5">
        <v>44501</v>
      </c>
      <c r="B92">
        <v>15.846</v>
      </c>
      <c r="C92">
        <v>19.3</v>
      </c>
      <c r="D92">
        <v>14.363</v>
      </c>
      <c r="E92">
        <v>16.855</v>
      </c>
      <c r="F92">
        <v>17178820.625999998</v>
      </c>
      <c r="G92">
        <v>16.855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9.5199513874823956E-3</v>
      </c>
      <c r="Q92">
        <f t="shared" ref="Q92" si="436">F92*P92</f>
        <v>163541.53725379988</v>
      </c>
      <c r="R92">
        <f t="shared" ref="R92" si="437">R93+Q92</f>
        <v>244751396.29200587</v>
      </c>
      <c r="S92">
        <f t="shared" ref="S92" si="438">R92/100000</f>
        <v>2447.5139629200585</v>
      </c>
      <c r="T92">
        <f t="shared" ref="T92" si="439">S92/1000</f>
        <v>2.4475139629200586</v>
      </c>
    </row>
    <row r="93" spans="1:20" x14ac:dyDescent="0.25">
      <c r="A93" s="5">
        <v>44500</v>
      </c>
      <c r="B93">
        <v>13.087</v>
      </c>
      <c r="C93">
        <v>16.423999999999999</v>
      </c>
      <c r="D93">
        <v>12.914</v>
      </c>
      <c r="E93">
        <v>15.846</v>
      </c>
      <c r="F93">
        <v>9992100</v>
      </c>
      <c r="G93">
        <v>15.846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0.67065527065527097</v>
      </c>
      <c r="Q93">
        <f t="shared" ref="Q93" si="441">F93*P93</f>
        <v>6701254.5299145328</v>
      </c>
      <c r="R93">
        <f t="shared" ref="R93" si="442">R94+Q93</f>
        <v>244587854.75475207</v>
      </c>
      <c r="S93">
        <f t="shared" ref="S93" si="443">R93/100000</f>
        <v>2445.8785475475206</v>
      </c>
      <c r="T93">
        <f t="shared" ref="T93" si="444">S93/1000</f>
        <v>2.4458785475475207</v>
      </c>
    </row>
    <row r="94" spans="1:20" x14ac:dyDescent="0.25">
      <c r="A94" s="5">
        <v>44499</v>
      </c>
      <c r="B94">
        <v>13.307</v>
      </c>
      <c r="C94">
        <v>13.4</v>
      </c>
      <c r="D94">
        <v>12.667999999999999</v>
      </c>
      <c r="E94">
        <v>13.077999999999999</v>
      </c>
      <c r="F94">
        <v>1423260.5</v>
      </c>
      <c r="G94">
        <v>13.077999999999999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0.1202185792349714</v>
      </c>
      <c r="Q94">
        <f t="shared" ref="Q94" si="446">F94*P94</f>
        <v>171102.35519125502</v>
      </c>
      <c r="R94">
        <f t="shared" ref="R94" si="447">R95+Q94</f>
        <v>237886600.22483754</v>
      </c>
      <c r="S94">
        <f t="shared" ref="S94" si="448">R94/100000</f>
        <v>2378.8660022483755</v>
      </c>
      <c r="T94">
        <f t="shared" ref="T94" si="449">S94/1000</f>
        <v>2.3788660022483756</v>
      </c>
    </row>
    <row r="95" spans="1:20" x14ac:dyDescent="0.25">
      <c r="A95" s="5">
        <v>44498</v>
      </c>
      <c r="B95">
        <v>13.035</v>
      </c>
      <c r="C95">
        <v>13.462</v>
      </c>
      <c r="D95">
        <v>12.75</v>
      </c>
      <c r="E95">
        <v>13.317</v>
      </c>
      <c r="F95">
        <v>1667670.5</v>
      </c>
      <c r="G95">
        <v>13.317</v>
      </c>
      <c r="L95" t="s">
        <v>7</v>
      </c>
      <c r="M95" t="s">
        <v>8</v>
      </c>
      <c r="N95" t="s">
        <v>7</v>
      </c>
      <c r="P95">
        <f t="shared" ref="P95" si="450">IF(C95=D95,0,((E95-D95)-(C95-E95))/(C95-D95))</f>
        <v>0.59269662921348421</v>
      </c>
      <c r="Q95">
        <f t="shared" ref="Q95" si="451">F95*P95</f>
        <v>988422.68398876581</v>
      </c>
      <c r="R95">
        <f t="shared" ref="R95" si="452">R96+Q95</f>
        <v>237715497.86964628</v>
      </c>
      <c r="S95">
        <f t="shared" ref="S95" si="453">R95/100000</f>
        <v>2377.1549786964629</v>
      </c>
      <c r="T95">
        <f t="shared" ref="T95" si="454">S95/1000</f>
        <v>2.377154978696463</v>
      </c>
    </row>
    <row r="96" spans="1:20" x14ac:dyDescent="0.25">
      <c r="A96" s="5">
        <v>44497</v>
      </c>
      <c r="B96">
        <v>11.689</v>
      </c>
      <c r="C96">
        <v>13.776</v>
      </c>
      <c r="D96">
        <v>11.643000000000001</v>
      </c>
      <c r="E96">
        <v>13.032999999999999</v>
      </c>
      <c r="F96">
        <v>2814452.4</v>
      </c>
      <c r="G96">
        <v>13.032999999999999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0.30332864510079638</v>
      </c>
      <c r="Q96">
        <f t="shared" ref="Q96" si="456">F96*P96</f>
        <v>853704.03319268452</v>
      </c>
      <c r="R96">
        <f t="shared" ref="R96" si="457">R97+Q96</f>
        <v>236727075.1856575</v>
      </c>
      <c r="S96">
        <f t="shared" ref="S96" si="458">R96/100000</f>
        <v>2367.2707518565749</v>
      </c>
      <c r="T96">
        <f t="shared" ref="T96" si="459">S96/1000</f>
        <v>2.3672707518565748</v>
      </c>
    </row>
    <row r="97" spans="1:20" x14ac:dyDescent="0.25">
      <c r="A97" s="5">
        <v>44496</v>
      </c>
      <c r="B97">
        <v>13.108000000000001</v>
      </c>
      <c r="C97">
        <v>13.206</v>
      </c>
      <c r="D97">
        <v>10.71</v>
      </c>
      <c r="E97">
        <v>11.689</v>
      </c>
      <c r="F97">
        <v>2524978.4</v>
      </c>
      <c r="G97">
        <v>11.689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-0.215544871794872</v>
      </c>
      <c r="Q97">
        <f t="shared" ref="Q97" si="461">F97*P97</f>
        <v>-544246.14551282104</v>
      </c>
      <c r="R97">
        <f t="shared" ref="R97" si="462">R98+Q97</f>
        <v>235873371.15246481</v>
      </c>
      <c r="S97">
        <f t="shared" ref="S97" si="463">R97/100000</f>
        <v>2358.7337115246482</v>
      </c>
      <c r="T97">
        <f t="shared" ref="T97" si="464">S97/1000</f>
        <v>2.3587337115246481</v>
      </c>
    </row>
    <row r="98" spans="1:20" x14ac:dyDescent="0.25">
      <c r="A98" s="5">
        <v>44495</v>
      </c>
      <c r="B98">
        <v>13.246</v>
      </c>
      <c r="C98">
        <v>13.677</v>
      </c>
      <c r="D98">
        <v>12.928000000000001</v>
      </c>
      <c r="E98">
        <v>13.103999999999999</v>
      </c>
      <c r="F98">
        <v>1473835.3</v>
      </c>
      <c r="G98">
        <v>13.103999999999999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-0.53004005340454297</v>
      </c>
      <c r="Q98">
        <f t="shared" ref="Q98" si="466">F98*P98</f>
        <v>-781191.74112150061</v>
      </c>
      <c r="R98">
        <f t="shared" ref="R98" si="467">R99+Q98</f>
        <v>236417617.29797763</v>
      </c>
      <c r="S98">
        <f t="shared" ref="S98" si="468">R98/100000</f>
        <v>2364.1761729797763</v>
      </c>
      <c r="T98">
        <f t="shared" ref="T98" si="469">S98/1000</f>
        <v>2.3641761729797763</v>
      </c>
    </row>
    <row r="99" spans="1:20" x14ac:dyDescent="0.25">
      <c r="A99" s="5">
        <v>44494</v>
      </c>
      <c r="B99">
        <v>13.026</v>
      </c>
      <c r="C99">
        <v>13.422000000000001</v>
      </c>
      <c r="D99">
        <v>12.914</v>
      </c>
      <c r="E99">
        <v>13.246</v>
      </c>
      <c r="F99">
        <v>645509</v>
      </c>
      <c r="G99">
        <v>13.246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0.30708661417322897</v>
      </c>
      <c r="Q99">
        <f t="shared" ref="Q99" si="471">F99*P99</f>
        <v>198227.17322834686</v>
      </c>
      <c r="R99">
        <f t="shared" ref="R99" si="472">R100+Q99</f>
        <v>237198809.03909913</v>
      </c>
      <c r="S99">
        <f t="shared" ref="S99" si="473">R99/100000</f>
        <v>2371.9880903909911</v>
      </c>
      <c r="T99">
        <f t="shared" ref="T99" si="474">S99/1000</f>
        <v>2.3719880903909911</v>
      </c>
    </row>
    <row r="100" spans="1:20" x14ac:dyDescent="0.25">
      <c r="A100" s="5">
        <v>44493</v>
      </c>
      <c r="B100">
        <v>13.257999999999999</v>
      </c>
      <c r="C100">
        <v>13.417999999999999</v>
      </c>
      <c r="D100">
        <v>12.654</v>
      </c>
      <c r="E100">
        <v>13.021000000000001</v>
      </c>
      <c r="F100">
        <v>992614.40000000002</v>
      </c>
      <c r="G100">
        <v>13.021000000000001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-3.9267015706803153E-2</v>
      </c>
      <c r="Q100">
        <f t="shared" ref="Q100" si="476">F100*P100</f>
        <v>-38977.00523559899</v>
      </c>
      <c r="R100">
        <f t="shared" ref="R100" si="477">R101+Q100</f>
        <v>237000581.86587077</v>
      </c>
      <c r="S100">
        <f t="shared" ref="S100" si="478">R100/100000</f>
        <v>2370.0058186587075</v>
      </c>
      <c r="T100">
        <f t="shared" ref="T100" si="479">S100/1000</f>
        <v>2.3700058186587074</v>
      </c>
    </row>
    <row r="101" spans="1:20" x14ac:dyDescent="0.25">
      <c r="A101" s="5">
        <v>44492</v>
      </c>
      <c r="B101">
        <v>12.833</v>
      </c>
      <c r="C101">
        <v>13.43</v>
      </c>
      <c r="D101">
        <v>12.6</v>
      </c>
      <c r="E101">
        <v>13.250999999999999</v>
      </c>
      <c r="F101">
        <v>985627.2</v>
      </c>
      <c r="G101">
        <v>13.250999999999999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0.56867469879518007</v>
      </c>
      <c r="Q101">
        <f t="shared" ref="Q101" si="481">F101*P101</f>
        <v>560501.25108433666</v>
      </c>
      <c r="R101">
        <f t="shared" ref="R101" si="482">R102+Q101</f>
        <v>237039558.87110639</v>
      </c>
      <c r="S101">
        <f t="shared" ref="S101" si="483">R101/100000</f>
        <v>2370.3955887110637</v>
      </c>
      <c r="T101">
        <f t="shared" ref="T101" si="484">S101/1000</f>
        <v>2.3703955887110637</v>
      </c>
    </row>
    <row r="102" spans="1:20" x14ac:dyDescent="0.25">
      <c r="A102" s="5">
        <v>44491</v>
      </c>
      <c r="B102">
        <v>13.175000000000001</v>
      </c>
      <c r="C102">
        <v>13.397</v>
      </c>
      <c r="D102">
        <v>12.561999999999999</v>
      </c>
      <c r="E102">
        <v>12.827</v>
      </c>
      <c r="F102">
        <v>2693491.6</v>
      </c>
      <c r="G102">
        <v>12.827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-0.36526946107784358</v>
      </c>
      <c r="Q102">
        <f t="shared" ref="Q102" si="486">F102*P102</f>
        <v>-983850.22514969867</v>
      </c>
      <c r="R102">
        <f t="shared" ref="R102" si="487">R103+Q102</f>
        <v>236479057.62002206</v>
      </c>
      <c r="S102">
        <f t="shared" ref="S102" si="488">R102/100000</f>
        <v>2364.7905762002206</v>
      </c>
      <c r="T102">
        <f t="shared" ref="T102" si="489">S102/1000</f>
        <v>2.3647905762002206</v>
      </c>
    </row>
    <row r="103" spans="1:20" x14ac:dyDescent="0.25">
      <c r="A103" s="5">
        <v>44490</v>
      </c>
      <c r="B103">
        <v>13.115</v>
      </c>
      <c r="C103">
        <v>14.183</v>
      </c>
      <c r="D103">
        <v>12.976000000000001</v>
      </c>
      <c r="E103">
        <v>13.185</v>
      </c>
      <c r="F103">
        <v>2826002.9</v>
      </c>
      <c r="G103">
        <v>13.185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-0.65368682684341373</v>
      </c>
      <c r="Q103">
        <f t="shared" ref="Q103" si="491">F103*P103</f>
        <v>-1847320.8683512849</v>
      </c>
      <c r="R103">
        <f t="shared" ref="R103" si="492">R104+Q103</f>
        <v>237462907.84517175</v>
      </c>
      <c r="S103">
        <f t="shared" ref="S103" si="493">R103/100000</f>
        <v>2374.6290784517173</v>
      </c>
      <c r="T103">
        <f t="shared" ref="T103" si="494">S103/1000</f>
        <v>2.3746290784517172</v>
      </c>
    </row>
    <row r="104" spans="1:20" x14ac:dyDescent="0.25">
      <c r="A104" s="5">
        <v>44489</v>
      </c>
      <c r="B104">
        <v>12.422000000000001</v>
      </c>
      <c r="C104">
        <v>13.131</v>
      </c>
      <c r="D104">
        <v>12.163</v>
      </c>
      <c r="E104">
        <v>13.125999999999999</v>
      </c>
      <c r="F104">
        <v>1147755.3</v>
      </c>
      <c r="G104">
        <v>13.125999999999999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0.98966942148760173</v>
      </c>
      <c r="Q104">
        <f t="shared" ref="Q104" si="496">F104*P104</f>
        <v>1135898.3237603288</v>
      </c>
      <c r="R104">
        <f t="shared" ref="R104" si="497">R105+Q104</f>
        <v>239310228.71352303</v>
      </c>
      <c r="S104">
        <f t="shared" ref="S104" si="498">R104/100000</f>
        <v>2393.1022871352302</v>
      </c>
      <c r="T104">
        <f t="shared" ref="T104" si="499">S104/1000</f>
        <v>2.3931022871352301</v>
      </c>
    </row>
    <row r="105" spans="1:20" x14ac:dyDescent="0.25">
      <c r="A105" s="5">
        <v>44488</v>
      </c>
      <c r="B105">
        <v>12.334</v>
      </c>
      <c r="C105">
        <v>12.645</v>
      </c>
      <c r="D105">
        <v>12.138999999999999</v>
      </c>
      <c r="E105">
        <v>12.420999999999999</v>
      </c>
      <c r="F105">
        <v>859460</v>
      </c>
      <c r="G105">
        <v>12.420999999999999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0.11462450592885337</v>
      </c>
      <c r="Q105">
        <f t="shared" ref="Q105" si="501">F105*P105</f>
        <v>98515.177865612321</v>
      </c>
      <c r="R105">
        <f t="shared" ref="R105" si="502">R106+Q105</f>
        <v>238174330.3897627</v>
      </c>
      <c r="S105">
        <f t="shared" ref="S105" si="503">R105/100000</f>
        <v>2381.7433038976269</v>
      </c>
      <c r="T105">
        <f t="shared" ref="T105" si="504">S105/1000</f>
        <v>2.3817433038976268</v>
      </c>
    </row>
    <row r="106" spans="1:20" x14ac:dyDescent="0.25">
      <c r="A106" s="5">
        <v>44487</v>
      </c>
      <c r="B106">
        <v>12.471</v>
      </c>
      <c r="C106">
        <v>12.593999999999999</v>
      </c>
      <c r="D106">
        <v>12.1</v>
      </c>
      <c r="E106">
        <v>12.337</v>
      </c>
      <c r="F106">
        <v>822886</v>
      </c>
      <c r="G106">
        <v>12.337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-4.0485829959513324E-2</v>
      </c>
      <c r="Q106">
        <f t="shared" ref="Q106" si="506">F106*P106</f>
        <v>-33315.222672064083</v>
      </c>
      <c r="R106">
        <f t="shared" ref="R106" si="507">R107+Q106</f>
        <v>238075815.21189708</v>
      </c>
      <c r="S106">
        <f t="shared" ref="S106" si="508">R106/100000</f>
        <v>2380.7581521189709</v>
      </c>
      <c r="T106">
        <f t="shared" ref="T106" si="509">S106/1000</f>
        <v>2.3807581521189709</v>
      </c>
    </row>
    <row r="107" spans="1:20" x14ac:dyDescent="0.25">
      <c r="A107" s="5">
        <v>44486</v>
      </c>
      <c r="B107">
        <v>12.837999999999999</v>
      </c>
      <c r="C107">
        <v>12.971</v>
      </c>
      <c r="D107">
        <v>11.819000000000001</v>
      </c>
      <c r="E107">
        <v>12.46</v>
      </c>
      <c r="F107">
        <v>1131371.8</v>
      </c>
      <c r="G107">
        <v>12.46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0.11284722222222297</v>
      </c>
      <c r="Q107">
        <f t="shared" ref="Q107" si="511">F107*P107</f>
        <v>127672.16493055641</v>
      </c>
      <c r="R107">
        <f t="shared" ref="R107" si="512">R108+Q107</f>
        <v>238109130.43456915</v>
      </c>
      <c r="S107">
        <f t="shared" ref="S107" si="513">R107/100000</f>
        <v>2381.0913043456917</v>
      </c>
      <c r="T107">
        <f t="shared" ref="T107" si="514">S107/1000</f>
        <v>2.3810913043456918</v>
      </c>
    </row>
    <row r="108" spans="1:20" x14ac:dyDescent="0.25">
      <c r="A108" s="5">
        <v>44485</v>
      </c>
      <c r="B108">
        <v>12.603</v>
      </c>
      <c r="C108">
        <v>13.1</v>
      </c>
      <c r="D108">
        <v>12.513</v>
      </c>
      <c r="E108">
        <v>12.843</v>
      </c>
      <c r="F108">
        <v>1360273.3</v>
      </c>
      <c r="G108">
        <v>12.843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0.12436115843270942</v>
      </c>
      <c r="Q108">
        <f t="shared" ref="Q108" si="516">F108*P108</f>
        <v>169165.16337308448</v>
      </c>
      <c r="R108">
        <f t="shared" ref="R108" si="517">R109+Q108</f>
        <v>237981458.2696386</v>
      </c>
      <c r="S108">
        <f t="shared" ref="S108" si="518">R108/100000</f>
        <v>2379.814582696386</v>
      </c>
      <c r="T108">
        <f t="shared" ref="T108" si="519">S108/1000</f>
        <v>2.3798145826963859</v>
      </c>
    </row>
    <row r="109" spans="1:20" x14ac:dyDescent="0.25">
      <c r="A109" s="5">
        <v>44484</v>
      </c>
      <c r="B109">
        <v>13.253</v>
      </c>
      <c r="C109">
        <v>13.358000000000001</v>
      </c>
      <c r="D109">
        <v>12.454000000000001</v>
      </c>
      <c r="E109">
        <v>12.601000000000001</v>
      </c>
      <c r="F109">
        <v>1972233.6</v>
      </c>
      <c r="G109">
        <v>12.601000000000001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-0.67477876106194634</v>
      </c>
      <c r="Q109">
        <f t="shared" ref="Q109" si="521">F109*P109</f>
        <v>-1330821.3451327423</v>
      </c>
      <c r="R109">
        <f t="shared" ref="R109" si="522">R110+Q109</f>
        <v>237812293.10626552</v>
      </c>
      <c r="S109">
        <f t="shared" ref="S109" si="523">R109/100000</f>
        <v>2378.122931062655</v>
      </c>
      <c r="T109">
        <f t="shared" ref="T109" si="524">S109/1000</f>
        <v>2.3781229310626548</v>
      </c>
    </row>
    <row r="110" spans="1:20" x14ac:dyDescent="0.25">
      <c r="A110" s="5">
        <v>44483</v>
      </c>
      <c r="B110">
        <v>13.375999999999999</v>
      </c>
      <c r="C110">
        <v>13.585000000000001</v>
      </c>
      <c r="D110">
        <v>13.090999999999999</v>
      </c>
      <c r="E110">
        <v>13.253</v>
      </c>
      <c r="F110">
        <v>1323417.3</v>
      </c>
      <c r="G110">
        <v>13.253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-0.3441295546558692</v>
      </c>
      <c r="Q110">
        <f t="shared" ref="Q110" si="526">F110*P110</f>
        <v>-455427.00607287284</v>
      </c>
      <c r="R110">
        <f t="shared" ref="R110" si="527">R111+Q110</f>
        <v>239143114.45139825</v>
      </c>
      <c r="S110">
        <f t="shared" ref="S110" si="528">R110/100000</f>
        <v>2391.4311445139824</v>
      </c>
      <c r="T110">
        <f t="shared" ref="T110" si="529">S110/1000</f>
        <v>2.3914311445139824</v>
      </c>
    </row>
    <row r="111" spans="1:20" x14ac:dyDescent="0.25">
      <c r="A111" s="5">
        <v>44482</v>
      </c>
      <c r="B111">
        <v>13.28</v>
      </c>
      <c r="C111">
        <v>13.451000000000001</v>
      </c>
      <c r="D111">
        <v>12.63</v>
      </c>
      <c r="E111">
        <v>13.372</v>
      </c>
      <c r="F111">
        <v>1491529.6</v>
      </c>
      <c r="G111">
        <v>13.372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0.80755176613885349</v>
      </c>
      <c r="Q111">
        <f t="shared" ref="Q111" si="531">F111*P111</f>
        <v>1204487.3627283778</v>
      </c>
      <c r="R111">
        <f t="shared" ref="R111" si="532">R112+Q111</f>
        <v>239598541.45747113</v>
      </c>
      <c r="S111">
        <f t="shared" ref="S111" si="533">R111/100000</f>
        <v>2395.9854145747113</v>
      </c>
      <c r="T111">
        <f t="shared" ref="T111" si="534">S111/1000</f>
        <v>2.3959854145747115</v>
      </c>
    </row>
    <row r="112" spans="1:20" x14ac:dyDescent="0.25">
      <c r="A112" s="5">
        <v>44481</v>
      </c>
      <c r="B112">
        <v>13.048</v>
      </c>
      <c r="C112">
        <v>13.319000000000001</v>
      </c>
      <c r="D112">
        <v>12.276</v>
      </c>
      <c r="E112">
        <v>13.288</v>
      </c>
      <c r="F112">
        <v>1760801.4</v>
      </c>
      <c r="G112">
        <v>13.288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0.94055608820709391</v>
      </c>
      <c r="Q112">
        <f t="shared" ref="Q112" si="536">F112*P112</f>
        <v>1656132.4768935745</v>
      </c>
      <c r="R112">
        <f t="shared" ref="R112" si="537">R113+Q112</f>
        <v>238394054.09474275</v>
      </c>
      <c r="S112">
        <f t="shared" ref="S112" si="538">R112/100000</f>
        <v>2383.9405409474275</v>
      </c>
      <c r="T112">
        <f t="shared" ref="T112" si="539">S112/1000</f>
        <v>2.3839405409474277</v>
      </c>
    </row>
    <row r="113" spans="1:20" x14ac:dyDescent="0.25">
      <c r="A113" s="5">
        <v>44480</v>
      </c>
      <c r="B113">
        <v>13.063000000000001</v>
      </c>
      <c r="C113">
        <v>13.551</v>
      </c>
      <c r="D113">
        <v>12.739000000000001</v>
      </c>
      <c r="E113">
        <v>13.048</v>
      </c>
      <c r="F113">
        <v>1924491.2</v>
      </c>
      <c r="G113">
        <v>13.048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-0.23891625615763668</v>
      </c>
      <c r="Q113">
        <f t="shared" ref="Q113" si="541">F113*P113</f>
        <v>-459792.2325123176</v>
      </c>
      <c r="R113">
        <f t="shared" ref="R113" si="542">R114+Q113</f>
        <v>236737921.61784917</v>
      </c>
      <c r="S113">
        <f t="shared" ref="S113" si="543">R113/100000</f>
        <v>2367.3792161784918</v>
      </c>
      <c r="T113">
        <f t="shared" ref="T113" si="544">S113/1000</f>
        <v>2.3673792161784917</v>
      </c>
    </row>
    <row r="114" spans="1:20" x14ac:dyDescent="0.25">
      <c r="A114" s="5">
        <v>44479</v>
      </c>
      <c r="B114">
        <v>14.895</v>
      </c>
      <c r="C114">
        <v>15.06</v>
      </c>
      <c r="D114">
        <v>13.002000000000001</v>
      </c>
      <c r="E114">
        <v>13.071</v>
      </c>
      <c r="F114">
        <v>3503919.9</v>
      </c>
      <c r="G114">
        <v>13.071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-0.93294460641399513</v>
      </c>
      <c r="Q114">
        <f t="shared" ref="Q114" si="546">F114*P114</f>
        <v>-3268963.1720116651</v>
      </c>
      <c r="R114">
        <f t="shared" ref="R114" si="547">R115+Q114</f>
        <v>237197713.8503615</v>
      </c>
      <c r="S114">
        <f t="shared" ref="S114" si="548">R114/100000</f>
        <v>2371.9771385036152</v>
      </c>
      <c r="T114">
        <f t="shared" ref="T114" si="549">S114/1000</f>
        <v>2.371977138503615</v>
      </c>
    </row>
    <row r="115" spans="1:20" x14ac:dyDescent="0.25">
      <c r="A115" s="5">
        <v>44478</v>
      </c>
      <c r="B115">
        <v>12.619</v>
      </c>
      <c r="C115">
        <v>14.986000000000001</v>
      </c>
      <c r="D115">
        <v>12.513</v>
      </c>
      <c r="E115">
        <v>14.895</v>
      </c>
      <c r="F115">
        <v>4057766.1</v>
      </c>
      <c r="G115">
        <v>14.895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0.92640517589971605</v>
      </c>
      <c r="Q115">
        <f t="shared" ref="Q115" si="551">F115*P115</f>
        <v>3759135.5176304048</v>
      </c>
      <c r="R115">
        <f t="shared" ref="R115" si="552">R116+Q115</f>
        <v>240466677.02237317</v>
      </c>
      <c r="S115">
        <f t="shared" ref="S115" si="553">R115/100000</f>
        <v>2404.6667702237319</v>
      </c>
      <c r="T115">
        <f t="shared" ref="T115" si="554">S115/1000</f>
        <v>2.4046667702237317</v>
      </c>
    </row>
    <row r="116" spans="1:20" x14ac:dyDescent="0.25">
      <c r="A116" s="5">
        <v>44477</v>
      </c>
      <c r="B116">
        <v>12.906000000000001</v>
      </c>
      <c r="C116">
        <v>13.1</v>
      </c>
      <c r="D116">
        <v>12.516</v>
      </c>
      <c r="E116">
        <v>12.618</v>
      </c>
      <c r="F116">
        <v>1415673.2</v>
      </c>
      <c r="G116">
        <v>12.618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-0.65068493150684803</v>
      </c>
      <c r="Q116">
        <f t="shared" ref="Q116" si="556">F116*P116</f>
        <v>-921157.21917808033</v>
      </c>
      <c r="R116">
        <f t="shared" ref="R116" si="557">R117+Q116</f>
        <v>236707541.50474277</v>
      </c>
      <c r="S116">
        <f t="shared" ref="S116" si="558">R116/100000</f>
        <v>2367.0754150474277</v>
      </c>
      <c r="T116">
        <f t="shared" ref="T116" si="559">S116/1000</f>
        <v>2.3670754150474278</v>
      </c>
    </row>
    <row r="117" spans="1:20" x14ac:dyDescent="0.25">
      <c r="A117" s="5">
        <v>44476</v>
      </c>
      <c r="B117">
        <v>13.231999999999999</v>
      </c>
      <c r="C117">
        <v>13.374000000000001</v>
      </c>
      <c r="D117">
        <v>12.653</v>
      </c>
      <c r="E117">
        <v>12.909000000000001</v>
      </c>
      <c r="F117">
        <v>2683754.2000000002</v>
      </c>
      <c r="G117">
        <v>12.909000000000001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-0.28987517337031843</v>
      </c>
      <c r="Q117">
        <f t="shared" ref="Q117" si="561">F117*P117</f>
        <v>-777953.71400832024</v>
      </c>
      <c r="R117">
        <f t="shared" ref="R117" si="562">R118+Q117</f>
        <v>237628698.72392085</v>
      </c>
      <c r="S117">
        <f t="shared" ref="S117" si="563">R117/100000</f>
        <v>2376.2869872392084</v>
      </c>
      <c r="T117">
        <f t="shared" ref="T117" si="564">S117/1000</f>
        <v>2.3762869872392085</v>
      </c>
    </row>
    <row r="118" spans="1:20" x14ac:dyDescent="0.25">
      <c r="A118" s="5">
        <v>44475</v>
      </c>
      <c r="B118">
        <v>13.255000000000001</v>
      </c>
      <c r="C118">
        <v>13.951000000000001</v>
      </c>
      <c r="D118">
        <v>12.073</v>
      </c>
      <c r="E118">
        <v>13.236000000000001</v>
      </c>
      <c r="F118">
        <v>4323230.9000000004</v>
      </c>
      <c r="G118">
        <v>13.236000000000001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0.23855165069222597</v>
      </c>
      <c r="Q118">
        <f t="shared" ref="Q118" si="566">F118*P118</f>
        <v>1031313.8675186378</v>
      </c>
      <c r="R118">
        <f t="shared" ref="R118" si="567">R119+Q118</f>
        <v>238406652.43792918</v>
      </c>
      <c r="S118">
        <f t="shared" ref="S118" si="568">R118/100000</f>
        <v>2384.0665243792919</v>
      </c>
      <c r="T118">
        <f t="shared" ref="T118" si="569">S118/1000</f>
        <v>2.3840665243792918</v>
      </c>
    </row>
    <row r="119" spans="1:20" x14ac:dyDescent="0.25">
      <c r="A119" s="5">
        <v>44474</v>
      </c>
      <c r="B119">
        <v>13.707000000000001</v>
      </c>
      <c r="C119">
        <v>13.795999999999999</v>
      </c>
      <c r="D119">
        <v>12.77</v>
      </c>
      <c r="E119">
        <v>13.249000000000001</v>
      </c>
      <c r="F119">
        <v>3238282.2</v>
      </c>
      <c r="G119">
        <v>13.249000000000001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-6.6276803118906283E-2</v>
      </c>
      <c r="Q119">
        <f t="shared" ref="Q119" si="571">F119*P119</f>
        <v>-214622.9918128587</v>
      </c>
      <c r="R119">
        <f t="shared" ref="R119" si="572">R120+Q119</f>
        <v>237375338.57041055</v>
      </c>
      <c r="S119">
        <f t="shared" ref="S119" si="573">R119/100000</f>
        <v>2373.7533857041053</v>
      </c>
      <c r="T119">
        <f t="shared" ref="T119" si="574">S119/1000</f>
        <v>2.3737533857041053</v>
      </c>
    </row>
    <row r="120" spans="1:20" x14ac:dyDescent="0.25">
      <c r="A120" s="5">
        <v>44473</v>
      </c>
      <c r="B120">
        <v>13.98</v>
      </c>
      <c r="C120">
        <v>14.5</v>
      </c>
      <c r="D120">
        <v>12.928000000000001</v>
      </c>
      <c r="E120">
        <v>13.593</v>
      </c>
      <c r="F120">
        <v>4014436.9</v>
      </c>
      <c r="G120">
        <v>13.593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-0.15394402035623475</v>
      </c>
      <c r="Q120">
        <f t="shared" ref="Q120" si="576">F120*P120</f>
        <v>-617998.55585241993</v>
      </c>
      <c r="R120">
        <f t="shared" ref="R120" si="577">R121+Q120</f>
        <v>237589961.5622234</v>
      </c>
      <c r="S120">
        <f t="shared" ref="S120" si="578">R120/100000</f>
        <v>2375.8996156222343</v>
      </c>
      <c r="T120">
        <f t="shared" ref="T120" si="579">S120/1000</f>
        <v>2.3758996156222341</v>
      </c>
    </row>
    <row r="121" spans="1:20" x14ac:dyDescent="0.25">
      <c r="A121" s="5">
        <v>44472</v>
      </c>
      <c r="B121">
        <v>13.804</v>
      </c>
      <c r="C121">
        <v>14.68</v>
      </c>
      <c r="D121">
        <v>12.930999999999999</v>
      </c>
      <c r="E121">
        <v>13.914999999999999</v>
      </c>
      <c r="F121">
        <v>7066141.5</v>
      </c>
      <c r="G121">
        <v>13.914999999999999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0.12521440823327579</v>
      </c>
      <c r="Q121">
        <f t="shared" ref="Q121" si="581">F121*P121</f>
        <v>884782.72641509178</v>
      </c>
      <c r="R121">
        <f t="shared" ref="R121" si="582">R122+Q121</f>
        <v>238207960.11807582</v>
      </c>
      <c r="S121">
        <f t="shared" ref="S121" si="583">R121/100000</f>
        <v>2382.0796011807583</v>
      </c>
      <c r="T121">
        <f t="shared" ref="T121" si="584">S121/1000</f>
        <v>2.3820796011807586</v>
      </c>
    </row>
    <row r="122" spans="1:20" x14ac:dyDescent="0.25">
      <c r="A122" s="5">
        <v>44471</v>
      </c>
      <c r="B122">
        <v>11.612</v>
      </c>
      <c r="C122">
        <v>13.92</v>
      </c>
      <c r="D122">
        <v>11.426</v>
      </c>
      <c r="E122">
        <v>13.805</v>
      </c>
      <c r="F122">
        <v>6055325.5199999996</v>
      </c>
      <c r="G122">
        <v>13.805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0.90777866880513214</v>
      </c>
      <c r="Q122">
        <f t="shared" ref="Q122" si="586">F122*P122</f>
        <v>5496895.339727344</v>
      </c>
      <c r="R122">
        <f t="shared" ref="R122" si="587">R123+Q122</f>
        <v>237323177.39166072</v>
      </c>
      <c r="S122">
        <f t="shared" ref="S122" si="588">R122/100000</f>
        <v>2373.2317739166074</v>
      </c>
      <c r="T122">
        <f t="shared" ref="T122" si="589">S122/1000</f>
        <v>2.3732317739166073</v>
      </c>
    </row>
    <row r="123" spans="1:20" x14ac:dyDescent="0.25">
      <c r="A123" s="5">
        <v>44470</v>
      </c>
      <c r="B123">
        <v>10.412000000000001</v>
      </c>
      <c r="C123">
        <v>12.016</v>
      </c>
      <c r="D123">
        <v>10.388999999999999</v>
      </c>
      <c r="E123">
        <v>11.603</v>
      </c>
      <c r="F123">
        <v>4996994.5</v>
      </c>
      <c r="G123">
        <v>11.603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0.49231714812538402</v>
      </c>
      <c r="Q123">
        <f t="shared" ref="Q123" si="591">F123*P123</f>
        <v>2460106.0814382294</v>
      </c>
      <c r="R123">
        <f t="shared" ref="R123" si="592">R124+Q123</f>
        <v>231826282.05193338</v>
      </c>
      <c r="S123">
        <f t="shared" ref="S123" si="593">R123/100000</f>
        <v>2318.2628205193337</v>
      </c>
      <c r="T123">
        <f t="shared" ref="T123" si="594">S123/1000</f>
        <v>2.3182628205193336</v>
      </c>
    </row>
    <row r="124" spans="1:20" x14ac:dyDescent="0.25">
      <c r="A124" s="5">
        <v>44469</v>
      </c>
      <c r="B124">
        <v>9.0449999999999999</v>
      </c>
      <c r="C124">
        <v>10.513999999999999</v>
      </c>
      <c r="D124">
        <v>8.9960000000000004</v>
      </c>
      <c r="E124">
        <v>10.406000000000001</v>
      </c>
      <c r="F124">
        <v>3820564.2</v>
      </c>
      <c r="G124">
        <v>10.406000000000001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0.85770750988142441</v>
      </c>
      <c r="Q124">
        <f t="shared" ref="Q124" si="596">F124*P124</f>
        <v>3276926.6063241167</v>
      </c>
      <c r="R124">
        <f t="shared" ref="R124" si="597">R125+Q124</f>
        <v>229366175.97049513</v>
      </c>
      <c r="S124">
        <f t="shared" ref="S124" si="598">R124/100000</f>
        <v>2293.6617597049512</v>
      </c>
      <c r="T124">
        <f t="shared" ref="T124" si="599">S124/1000</f>
        <v>2.2936617597049511</v>
      </c>
    </row>
    <row r="125" spans="1:20" x14ac:dyDescent="0.25">
      <c r="A125" s="5">
        <v>44468</v>
      </c>
      <c r="B125">
        <v>8.6560000000000006</v>
      </c>
      <c r="C125">
        <v>9.3699999999999992</v>
      </c>
      <c r="D125">
        <v>8.5389999999999997</v>
      </c>
      <c r="E125">
        <v>9.0470000000000006</v>
      </c>
      <c r="F125">
        <v>1353455.2</v>
      </c>
      <c r="G125">
        <v>9.0470000000000006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0.22262334536703055</v>
      </c>
      <c r="Q125">
        <f t="shared" ref="Q125" si="601">F125*P125</f>
        <v>301310.72442840337</v>
      </c>
      <c r="R125">
        <f t="shared" ref="R125" si="602">R126+Q125</f>
        <v>226089249.36417103</v>
      </c>
      <c r="S125">
        <f t="shared" ref="S125" si="603">R125/100000</f>
        <v>2260.8924936417102</v>
      </c>
      <c r="T125">
        <f t="shared" ref="T125" si="604">S125/1000</f>
        <v>2.2608924936417103</v>
      </c>
    </row>
    <row r="126" spans="1:20" x14ac:dyDescent="0.25">
      <c r="A126" s="5">
        <v>44467</v>
      </c>
      <c r="B126">
        <v>9.2479999999999993</v>
      </c>
      <c r="C126">
        <v>9.3989999999999991</v>
      </c>
      <c r="D126">
        <v>8.6280000000000001</v>
      </c>
      <c r="E126">
        <v>8.6590000000000007</v>
      </c>
      <c r="F126">
        <v>1273179</v>
      </c>
      <c r="G126">
        <v>8.6590000000000007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-0.91958495460440826</v>
      </c>
      <c r="Q126">
        <f t="shared" ref="Q126" si="606">F126*P126</f>
        <v>-1170796.2529182858</v>
      </c>
      <c r="R126">
        <f t="shared" ref="R126" si="607">R127+Q126</f>
        <v>225787938.63974261</v>
      </c>
      <c r="S126">
        <f t="shared" ref="S126" si="608">R126/100000</f>
        <v>2257.8793863974261</v>
      </c>
      <c r="T126">
        <f t="shared" ref="T126" si="609">S126/1000</f>
        <v>2.257879386397426</v>
      </c>
    </row>
    <row r="127" spans="1:20" x14ac:dyDescent="0.25">
      <c r="A127" s="5">
        <v>44466</v>
      </c>
      <c r="B127">
        <v>9.5020000000000007</v>
      </c>
      <c r="C127">
        <v>9.9890000000000008</v>
      </c>
      <c r="D127">
        <v>9.2469999999999999</v>
      </c>
      <c r="E127">
        <v>9.2520000000000007</v>
      </c>
      <c r="F127">
        <v>1304768.7</v>
      </c>
      <c r="G127">
        <v>9.2520000000000007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-0.98652291105121082</v>
      </c>
      <c r="Q127">
        <f t="shared" ref="Q127" si="611">F127*P127</f>
        <v>-1287184.216172504</v>
      </c>
      <c r="R127">
        <f t="shared" ref="R127" si="612">R128+Q127</f>
        <v>226958734.89266089</v>
      </c>
      <c r="S127">
        <f t="shared" ref="S127" si="613">R127/100000</f>
        <v>2269.5873489266087</v>
      </c>
      <c r="T127">
        <f t="shared" ref="T127" si="614">S127/1000</f>
        <v>2.2695873489266085</v>
      </c>
    </row>
    <row r="128" spans="1:20" x14ac:dyDescent="0.25">
      <c r="A128" s="5">
        <v>44465</v>
      </c>
      <c r="B128">
        <v>9.7059999999999995</v>
      </c>
      <c r="C128">
        <v>9.7309999999999999</v>
      </c>
      <c r="D128">
        <v>8.7799999999999994</v>
      </c>
      <c r="E128">
        <v>9.5069999999999997</v>
      </c>
      <c r="F128">
        <v>1877098.3130000001</v>
      </c>
      <c r="G128">
        <v>9.5069999999999997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0.52891692954784419</v>
      </c>
      <c r="Q128">
        <f t="shared" ref="Q128" si="616">F128*P128</f>
        <v>992829.07617139828</v>
      </c>
      <c r="R128">
        <f t="shared" ref="R128" si="617">R129+Q128</f>
        <v>228245919.1088334</v>
      </c>
      <c r="S128">
        <f t="shared" ref="S128" si="618">R128/100000</f>
        <v>2282.4591910883341</v>
      </c>
      <c r="T128">
        <f t="shared" ref="T128" si="619">S128/1000</f>
        <v>2.2824591910883343</v>
      </c>
    </row>
    <row r="129" spans="1:20" x14ac:dyDescent="0.25">
      <c r="A129" s="5">
        <v>44464</v>
      </c>
      <c r="B129">
        <v>9.9320000000000004</v>
      </c>
      <c r="C129">
        <v>10.061999999999999</v>
      </c>
      <c r="D129">
        <v>9.4410000000000007</v>
      </c>
      <c r="E129">
        <v>9.7149999999999999</v>
      </c>
      <c r="F129">
        <v>1070890.3</v>
      </c>
      <c r="G129">
        <v>9.7149999999999999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-0.11755233494364019</v>
      </c>
      <c r="Q129">
        <f t="shared" ref="Q129" si="621">F129*P129</f>
        <v>-125885.65523349533</v>
      </c>
      <c r="R129">
        <f t="shared" ref="R129" si="622">R130+Q129</f>
        <v>227253090.032662</v>
      </c>
      <c r="S129">
        <f t="shared" ref="S129" si="623">R129/100000</f>
        <v>2272.5309003266202</v>
      </c>
      <c r="T129">
        <f t="shared" ref="T129" si="624">S129/1000</f>
        <v>2.2725309003266201</v>
      </c>
    </row>
    <row r="130" spans="1:20" x14ac:dyDescent="0.25">
      <c r="A130" s="5">
        <v>44463</v>
      </c>
      <c r="B130">
        <v>10.962</v>
      </c>
      <c r="C130">
        <v>10.986000000000001</v>
      </c>
      <c r="D130">
        <v>9.2270000000000003</v>
      </c>
      <c r="E130">
        <v>9.9339999999999993</v>
      </c>
      <c r="F130">
        <v>2787801.3</v>
      </c>
      <c r="G130">
        <v>9.9339999999999993</v>
      </c>
      <c r="L130" t="s">
        <v>8</v>
      </c>
      <c r="M130" t="s">
        <v>7</v>
      </c>
      <c r="N130" t="s">
        <v>7</v>
      </c>
      <c r="P130">
        <f t="shared" ref="P130" si="625">IF(C130=D130,0,((E130-D130)-(C130-E130))/(C130-D130))</f>
        <v>-0.19613416714042203</v>
      </c>
      <c r="Q130">
        <f t="shared" ref="Q130" si="626">F130*P130</f>
        <v>-546783.08612848574</v>
      </c>
      <c r="R130">
        <f t="shared" ref="R130" si="627">R131+Q130</f>
        <v>227378975.68789551</v>
      </c>
      <c r="S130">
        <f t="shared" ref="S130" si="628">R130/100000</f>
        <v>2273.7897568789549</v>
      </c>
      <c r="T130">
        <f t="shared" ref="T130" si="629">S130/1000</f>
        <v>2.2737897568789549</v>
      </c>
    </row>
    <row r="131" spans="1:20" x14ac:dyDescent="0.25">
      <c r="A131" s="5">
        <v>44462</v>
      </c>
      <c r="B131">
        <v>10.762</v>
      </c>
      <c r="C131">
        <v>10.973000000000001</v>
      </c>
      <c r="D131">
        <v>10.305</v>
      </c>
      <c r="E131">
        <v>10.968999999999999</v>
      </c>
      <c r="F131">
        <v>1354359.6</v>
      </c>
      <c r="G131">
        <v>10.968999999999999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0.9880239520958044</v>
      </c>
      <c r="Q131">
        <f t="shared" ref="Q131" si="631">F131*P131</f>
        <v>1338139.7245508928</v>
      </c>
      <c r="R131">
        <f t="shared" ref="R131" si="632">R132+Q131</f>
        <v>227925758.77402398</v>
      </c>
      <c r="S131">
        <f t="shared" ref="S131" si="633">R131/100000</f>
        <v>2279.2575877402396</v>
      </c>
      <c r="T131">
        <f t="shared" ref="T131" si="634">S131/1000</f>
        <v>2.2792575877402395</v>
      </c>
    </row>
    <row r="132" spans="1:20" x14ac:dyDescent="0.25">
      <c r="A132" s="5">
        <v>44461</v>
      </c>
      <c r="B132">
        <v>9.3160000000000007</v>
      </c>
      <c r="C132">
        <v>10.884</v>
      </c>
      <c r="D132">
        <v>9.02</v>
      </c>
      <c r="E132">
        <v>10.77</v>
      </c>
      <c r="F132">
        <v>2062321.784</v>
      </c>
      <c r="G132">
        <v>10.77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0.87768240343347559</v>
      </c>
      <c r="Q132">
        <f t="shared" ref="Q132" si="636">F132*P132</f>
        <v>1810063.540034333</v>
      </c>
      <c r="R132">
        <f t="shared" ref="R132" si="637">R133+Q132</f>
        <v>226587619.04947308</v>
      </c>
      <c r="S132">
        <f t="shared" ref="S132" si="638">R132/100000</f>
        <v>2265.876190494731</v>
      </c>
      <c r="T132">
        <f t="shared" ref="T132" si="639">S132/1000</f>
        <v>2.2658761904947311</v>
      </c>
    </row>
    <row r="133" spans="1:20" x14ac:dyDescent="0.25">
      <c r="A133" s="5">
        <v>44460</v>
      </c>
      <c r="B133">
        <v>10.391</v>
      </c>
      <c r="C133">
        <v>10.693</v>
      </c>
      <c r="D133">
        <v>9.1270000000000007</v>
      </c>
      <c r="E133">
        <v>9.3249999999999993</v>
      </c>
      <c r="F133">
        <v>2552719.7999999998</v>
      </c>
      <c r="G133">
        <v>9.3249999999999993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-0.74712643678161084</v>
      </c>
      <c r="Q133">
        <f t="shared" ref="Q133" si="641">F133*P133</f>
        <v>-1907204.4482758662</v>
      </c>
      <c r="R133">
        <f t="shared" ref="R133" si="642">R134+Q133</f>
        <v>224777555.50943875</v>
      </c>
      <c r="S133">
        <f t="shared" ref="S133" si="643">R133/100000</f>
        <v>2247.7755550943875</v>
      </c>
      <c r="T133">
        <f t="shared" ref="T133" si="644">S133/1000</f>
        <v>2.2477755550943876</v>
      </c>
    </row>
    <row r="134" spans="1:20" x14ac:dyDescent="0.25">
      <c r="A134" s="5">
        <v>44459</v>
      </c>
      <c r="B134">
        <v>12.175000000000001</v>
      </c>
      <c r="C134">
        <v>12.175000000000001</v>
      </c>
      <c r="D134">
        <v>10.813000000000001</v>
      </c>
      <c r="E134">
        <v>10.928000000000001</v>
      </c>
      <c r="F134">
        <v>1105188.7</v>
      </c>
      <c r="G134">
        <v>10.928000000000001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-0.83113069016152685</v>
      </c>
      <c r="Q134">
        <f t="shared" ref="Q134" si="646">F134*P134</f>
        <v>-918556.24698972062</v>
      </c>
      <c r="R134">
        <f t="shared" ref="R134" si="647">R135+Q134</f>
        <v>226684759.95771462</v>
      </c>
      <c r="S134">
        <f t="shared" ref="S134" si="648">R134/100000</f>
        <v>2266.847599577146</v>
      </c>
      <c r="T134">
        <f t="shared" ref="T134" si="649">S134/1000</f>
        <v>2.266847599577146</v>
      </c>
    </row>
    <row r="135" spans="1:20" x14ac:dyDescent="0.25">
      <c r="A135" s="5">
        <v>44458</v>
      </c>
      <c r="B135">
        <v>12.552</v>
      </c>
      <c r="C135">
        <v>12.590999999999999</v>
      </c>
      <c r="D135">
        <v>11.967000000000001</v>
      </c>
      <c r="E135">
        <v>12.17</v>
      </c>
      <c r="F135">
        <v>896369.8</v>
      </c>
      <c r="G135">
        <v>12.17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-0.34935897435897501</v>
      </c>
      <c r="Q135">
        <f t="shared" ref="Q135" si="651">F135*P135</f>
        <v>-313154.83397435956</v>
      </c>
      <c r="R135">
        <f t="shared" ref="R135" si="652">R136+Q135</f>
        <v>227603316.20470434</v>
      </c>
      <c r="S135">
        <f t="shared" ref="S135" si="653">R135/100000</f>
        <v>2276.0331620470433</v>
      </c>
      <c r="T135">
        <f t="shared" ref="T135" si="654">S135/1000</f>
        <v>2.2760331620470433</v>
      </c>
    </row>
    <row r="136" spans="1:20" x14ac:dyDescent="0.25">
      <c r="A136" s="5">
        <v>44457</v>
      </c>
      <c r="B136">
        <v>12.496</v>
      </c>
      <c r="C136">
        <v>12.821</v>
      </c>
      <c r="D136">
        <v>12.272</v>
      </c>
      <c r="E136">
        <v>12.548999999999999</v>
      </c>
      <c r="F136">
        <v>1196714.3</v>
      </c>
      <c r="G136">
        <v>12.548999999999999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9.1074681238597632E-3</v>
      </c>
      <c r="Q136">
        <f t="shared" ref="Q136" si="656">F136*P136</f>
        <v>10899.037340617151</v>
      </c>
      <c r="R136">
        <f t="shared" ref="R136" si="657">R137+Q136</f>
        <v>227916471.03867871</v>
      </c>
      <c r="S136">
        <f t="shared" ref="S136" si="658">R136/100000</f>
        <v>2279.1647103867872</v>
      </c>
      <c r="T136">
        <f t="shared" ref="T136" si="659">S136/1000</f>
        <v>2.2791647103867874</v>
      </c>
    </row>
    <row r="137" spans="1:20" x14ac:dyDescent="0.25">
      <c r="A137" s="5">
        <v>44456</v>
      </c>
      <c r="B137">
        <v>12.676</v>
      </c>
      <c r="C137">
        <v>13.069000000000001</v>
      </c>
      <c r="D137">
        <v>12.26</v>
      </c>
      <c r="E137">
        <v>12.496</v>
      </c>
      <c r="F137">
        <v>2067298.2</v>
      </c>
      <c r="G137">
        <v>12.496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-0.41656365883807084</v>
      </c>
      <c r="Q137">
        <f t="shared" ref="Q137" si="661">F137*P137</f>
        <v>-861161.30210135796</v>
      </c>
      <c r="R137">
        <f t="shared" ref="R137" si="662">R138+Q137</f>
        <v>227905572.00133809</v>
      </c>
      <c r="S137">
        <f t="shared" ref="S137" si="663">R137/100000</f>
        <v>2279.0557200133808</v>
      </c>
      <c r="T137">
        <f t="shared" ref="T137" si="664">S137/1000</f>
        <v>2.279055720013381</v>
      </c>
    </row>
    <row r="138" spans="1:20" x14ac:dyDescent="0.25">
      <c r="A138" s="5">
        <v>44455</v>
      </c>
      <c r="B138">
        <v>13.042</v>
      </c>
      <c r="C138">
        <v>13.196999999999999</v>
      </c>
      <c r="D138">
        <v>12.47</v>
      </c>
      <c r="E138">
        <v>12.672000000000001</v>
      </c>
      <c r="F138">
        <v>1471221.6</v>
      </c>
      <c r="G138">
        <v>12.672000000000001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-0.44429160935350659</v>
      </c>
      <c r="Q138">
        <f t="shared" ref="Q138" si="666">F138*P138</f>
        <v>-653651.41237964097</v>
      </c>
      <c r="R138">
        <f t="shared" ref="R138" si="667">R139+Q138</f>
        <v>228766733.30343944</v>
      </c>
      <c r="S138">
        <f t="shared" ref="S138" si="668">R138/100000</f>
        <v>2287.6673330343942</v>
      </c>
      <c r="T138">
        <f t="shared" ref="T138" si="669">S138/1000</f>
        <v>2.2876673330343942</v>
      </c>
    </row>
    <row r="139" spans="1:20" x14ac:dyDescent="0.25">
      <c r="A139" s="5">
        <v>44454</v>
      </c>
      <c r="B139">
        <v>12.843</v>
      </c>
      <c r="C139">
        <v>13.098000000000001</v>
      </c>
      <c r="D139">
        <v>12.441000000000001</v>
      </c>
      <c r="E139">
        <v>13.04</v>
      </c>
      <c r="F139">
        <v>1315150.2</v>
      </c>
      <c r="G139">
        <v>13.04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0.82343987823439391</v>
      </c>
      <c r="Q139">
        <f t="shared" ref="Q139" si="671">F139*P139</f>
        <v>1082947.1205479389</v>
      </c>
      <c r="R139">
        <f t="shared" ref="R139" si="672">R140+Q139</f>
        <v>229420384.71581909</v>
      </c>
      <c r="S139">
        <f t="shared" ref="S139" si="673">R139/100000</f>
        <v>2294.2038471581909</v>
      </c>
      <c r="T139">
        <f t="shared" ref="T139" si="674">S139/1000</f>
        <v>2.2942038471581907</v>
      </c>
    </row>
    <row r="140" spans="1:20" x14ac:dyDescent="0.25">
      <c r="A140" s="5">
        <v>44453</v>
      </c>
      <c r="B140">
        <v>12.476000000000001</v>
      </c>
      <c r="C140">
        <v>12.852</v>
      </c>
      <c r="D140">
        <v>12.308999999999999</v>
      </c>
      <c r="E140">
        <v>12.845000000000001</v>
      </c>
      <c r="F140">
        <v>1107031.3</v>
      </c>
      <c r="G140">
        <v>12.845000000000001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0.97421731123388711</v>
      </c>
      <c r="Q140">
        <f t="shared" ref="Q140" si="676">F140*P140</f>
        <v>1078489.0565377546</v>
      </c>
      <c r="R140">
        <f t="shared" ref="R140" si="677">R141+Q140</f>
        <v>228337437.59527114</v>
      </c>
      <c r="S140">
        <f t="shared" ref="S140" si="678">R140/100000</f>
        <v>2283.3743759527115</v>
      </c>
      <c r="T140">
        <f t="shared" ref="T140" si="679">S140/1000</f>
        <v>2.2833743759527114</v>
      </c>
    </row>
    <row r="141" spans="1:20" x14ac:dyDescent="0.25">
      <c r="A141" s="5">
        <v>44452</v>
      </c>
      <c r="B141">
        <v>13.404999999999999</v>
      </c>
      <c r="C141">
        <v>13.791</v>
      </c>
      <c r="D141">
        <v>11.742000000000001</v>
      </c>
      <c r="E141">
        <v>12.478999999999999</v>
      </c>
      <c r="F141">
        <v>2593890.7000000002</v>
      </c>
      <c r="G141">
        <v>12.478999999999999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-0.28062469497315912</v>
      </c>
      <c r="Q141">
        <f t="shared" ref="Q141" si="681">F141*P141</f>
        <v>-727909.78648121422</v>
      </c>
      <c r="R141">
        <f t="shared" ref="R141" si="682">R142+Q141</f>
        <v>227258948.53873339</v>
      </c>
      <c r="S141">
        <f t="shared" ref="S141" si="683">R141/100000</f>
        <v>2272.5894853873338</v>
      </c>
      <c r="T141">
        <f t="shared" ref="T141" si="684">S141/1000</f>
        <v>2.2725894853873339</v>
      </c>
    </row>
    <row r="142" spans="1:20" x14ac:dyDescent="0.25">
      <c r="A142" s="5">
        <v>44451</v>
      </c>
      <c r="B142">
        <v>12.801</v>
      </c>
      <c r="C142">
        <v>13.8</v>
      </c>
      <c r="D142">
        <v>12.379</v>
      </c>
      <c r="E142">
        <v>13.404</v>
      </c>
      <c r="F142">
        <v>2013055</v>
      </c>
      <c r="G142">
        <v>13.404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0.44264602392681146</v>
      </c>
      <c r="Q142">
        <f t="shared" ref="Q142" si="686">F142*P142</f>
        <v>891070.79169598746</v>
      </c>
      <c r="R142">
        <f t="shared" ref="R142" si="687">R143+Q142</f>
        <v>227986858.32521459</v>
      </c>
      <c r="S142">
        <f t="shared" ref="S142" si="688">R142/100000</f>
        <v>2279.868583252146</v>
      </c>
      <c r="T142">
        <f t="shared" ref="T142" si="689">S142/1000</f>
        <v>2.2798685832521461</v>
      </c>
    </row>
    <row r="143" spans="1:20" x14ac:dyDescent="0.25">
      <c r="A143" s="5">
        <v>44450</v>
      </c>
      <c r="B143">
        <v>12.784000000000001</v>
      </c>
      <c r="C143">
        <v>13.32</v>
      </c>
      <c r="D143">
        <v>12.56</v>
      </c>
      <c r="E143">
        <v>12.792</v>
      </c>
      <c r="F143">
        <v>1915224.6</v>
      </c>
      <c r="G143">
        <v>12.792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-0.38947368421052792</v>
      </c>
      <c r="Q143">
        <f t="shared" ref="Q143" si="691">F143*P143</f>
        <v>-745929.58105263463</v>
      </c>
      <c r="R143">
        <f t="shared" ref="R143" si="692">R144+Q143</f>
        <v>227095787.53351861</v>
      </c>
      <c r="S143">
        <f t="shared" ref="S143" si="693">R143/100000</f>
        <v>2270.9578753351861</v>
      </c>
      <c r="T143">
        <f t="shared" ref="T143" si="694">S143/1000</f>
        <v>2.2709578753351862</v>
      </c>
    </row>
    <row r="144" spans="1:20" x14ac:dyDescent="0.25">
      <c r="A144" s="5">
        <v>44449</v>
      </c>
      <c r="B144">
        <v>13.398</v>
      </c>
      <c r="C144">
        <v>14.395</v>
      </c>
      <c r="D144">
        <v>12.141</v>
      </c>
      <c r="E144">
        <v>12.78</v>
      </c>
      <c r="F144">
        <v>3570422.4</v>
      </c>
      <c r="G144">
        <v>12.78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-0.4330079858030173</v>
      </c>
      <c r="Q144">
        <f t="shared" ref="Q144" si="696">F144*P144</f>
        <v>-1546021.411889975</v>
      </c>
      <c r="R144">
        <f t="shared" ref="R144" si="697">R145+Q144</f>
        <v>227841717.11457124</v>
      </c>
      <c r="S144">
        <f t="shared" ref="S144" si="698">R144/100000</f>
        <v>2278.4171711457125</v>
      </c>
      <c r="T144">
        <f t="shared" ref="T144" si="699">S144/1000</f>
        <v>2.2784171711457124</v>
      </c>
    </row>
    <row r="145" spans="1:20" x14ac:dyDescent="0.25">
      <c r="A145" s="5">
        <v>44448</v>
      </c>
      <c r="B145">
        <v>12.476000000000001</v>
      </c>
      <c r="C145">
        <v>14.227</v>
      </c>
      <c r="D145">
        <v>12.385</v>
      </c>
      <c r="E145">
        <v>13.401999999999999</v>
      </c>
      <c r="F145">
        <v>4077252.5</v>
      </c>
      <c r="G145">
        <v>13.401999999999999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0.10423452768729552</v>
      </c>
      <c r="Q145">
        <f t="shared" ref="Q145" si="701">F145*P145</f>
        <v>424990.48859934486</v>
      </c>
      <c r="R145">
        <f t="shared" ref="R145" si="702">R146+Q145</f>
        <v>229387738.52646121</v>
      </c>
      <c r="S145">
        <f t="shared" ref="S145" si="703">R145/100000</f>
        <v>2293.8773852646123</v>
      </c>
      <c r="T145">
        <f t="shared" ref="T145" si="704">S145/1000</f>
        <v>2.2938773852646124</v>
      </c>
    </row>
    <row r="146" spans="1:20" x14ac:dyDescent="0.25">
      <c r="A146" s="5">
        <v>44447</v>
      </c>
      <c r="B146">
        <v>12.523999999999999</v>
      </c>
      <c r="C146">
        <v>12.888999999999999</v>
      </c>
      <c r="D146">
        <v>10.891999999999999</v>
      </c>
      <c r="E146">
        <v>12.465999999999999</v>
      </c>
      <c r="F146">
        <v>4364194.5</v>
      </c>
      <c r="G146">
        <v>12.465999999999999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0.57636454682023031</v>
      </c>
      <c r="Q146">
        <f t="shared" ref="Q146" si="706">F146*P146</f>
        <v>2515366.9852278414</v>
      </c>
      <c r="R146">
        <f t="shared" ref="R146" si="707">R147+Q146</f>
        <v>228962748.03786188</v>
      </c>
      <c r="S146">
        <f t="shared" ref="S146" si="708">R146/100000</f>
        <v>2289.6274803786187</v>
      </c>
      <c r="T146">
        <f t="shared" ref="T146" si="709">S146/1000</f>
        <v>2.2896274803786185</v>
      </c>
    </row>
    <row r="147" spans="1:20" x14ac:dyDescent="0.25">
      <c r="A147" s="5">
        <v>44446</v>
      </c>
      <c r="B147">
        <v>15.621</v>
      </c>
      <c r="C147">
        <v>16.279</v>
      </c>
      <c r="D147">
        <v>10</v>
      </c>
      <c r="E147">
        <v>12.52</v>
      </c>
      <c r="F147">
        <v>7037502.4900000002</v>
      </c>
      <c r="G147">
        <v>12.52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-0.19732441471571918</v>
      </c>
      <c r="Q147">
        <f t="shared" ref="Q147" si="711">F147*P147</f>
        <v>-1388671.0598996663</v>
      </c>
      <c r="R147">
        <f t="shared" ref="R147" si="712">R148+Q147</f>
        <v>226447381.05263403</v>
      </c>
      <c r="S147">
        <f t="shared" ref="S147" si="713">R147/100000</f>
        <v>2264.4738105263405</v>
      </c>
      <c r="T147">
        <f t="shared" ref="T147" si="714">S147/1000</f>
        <v>2.2644738105263404</v>
      </c>
    </row>
    <row r="148" spans="1:20" x14ac:dyDescent="0.25">
      <c r="A148" s="5">
        <v>44445</v>
      </c>
      <c r="B148">
        <v>16.116</v>
      </c>
      <c r="C148">
        <v>17</v>
      </c>
      <c r="D148">
        <v>15.222</v>
      </c>
      <c r="E148">
        <v>15.619</v>
      </c>
      <c r="F148">
        <v>4450075.6830000002</v>
      </c>
      <c r="G148">
        <v>15.619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-0.55343082114735642</v>
      </c>
      <c r="Q148">
        <f t="shared" ref="Q148" si="716">F148*P148</f>
        <v>-2462809.039410573</v>
      </c>
      <c r="R148">
        <f t="shared" ref="R148" si="717">R149+Q148</f>
        <v>227836052.11253369</v>
      </c>
      <c r="S148">
        <f t="shared" ref="S148" si="718">R148/100000</f>
        <v>2278.3605211253371</v>
      </c>
      <c r="T148">
        <f t="shared" ref="T148" si="719">S148/1000</f>
        <v>2.2783605211253373</v>
      </c>
    </row>
    <row r="149" spans="1:20" x14ac:dyDescent="0.25">
      <c r="A149" s="5">
        <v>44444</v>
      </c>
      <c r="B149">
        <v>14.148</v>
      </c>
      <c r="C149">
        <v>16.625</v>
      </c>
      <c r="D149">
        <v>13.927</v>
      </c>
      <c r="E149">
        <v>16.111999999999998</v>
      </c>
      <c r="F149">
        <v>6160829.6370000001</v>
      </c>
      <c r="G149">
        <v>16.111999999999998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0.61971830985915377</v>
      </c>
      <c r="Q149">
        <f t="shared" ref="Q149" si="721">F149*P149</f>
        <v>3817978.9299718239</v>
      </c>
      <c r="R149">
        <f t="shared" ref="R149" si="722">R150+Q149</f>
        <v>230298861.15194425</v>
      </c>
      <c r="S149">
        <f t="shared" ref="S149" si="723">R149/100000</f>
        <v>2302.9886115194427</v>
      </c>
      <c r="T149">
        <f t="shared" ref="T149" si="724">S149/1000</f>
        <v>2.3029886115194427</v>
      </c>
    </row>
    <row r="150" spans="1:20" x14ac:dyDescent="0.25">
      <c r="A150" s="5">
        <v>44443</v>
      </c>
      <c r="B150">
        <v>13.585000000000001</v>
      </c>
      <c r="C150">
        <v>14.545999999999999</v>
      </c>
      <c r="D150">
        <v>13.41</v>
      </c>
      <c r="E150">
        <v>14.146000000000001</v>
      </c>
      <c r="F150">
        <v>2928213.145</v>
      </c>
      <c r="G150">
        <v>14.146000000000001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0.29577464788732599</v>
      </c>
      <c r="Q150">
        <f t="shared" ref="Q150" si="726">F150*P150</f>
        <v>866091.21190141444</v>
      </c>
      <c r="R150">
        <f t="shared" ref="R150" si="727">R151+Q150</f>
        <v>226480882.22197244</v>
      </c>
      <c r="S150">
        <f t="shared" ref="S150" si="728">R150/100000</f>
        <v>2264.8088222197243</v>
      </c>
      <c r="T150">
        <f t="shared" ref="T150" si="729">S150/1000</f>
        <v>2.2648088222197242</v>
      </c>
    </row>
    <row r="151" spans="1:20" x14ac:dyDescent="0.25">
      <c r="A151" s="5">
        <v>44442</v>
      </c>
      <c r="B151">
        <v>13.253</v>
      </c>
      <c r="C151">
        <v>13.993</v>
      </c>
      <c r="D151">
        <v>12.813000000000001</v>
      </c>
      <c r="E151">
        <v>13.597</v>
      </c>
      <c r="F151">
        <v>2485161.2259999998</v>
      </c>
      <c r="G151">
        <v>13.597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0.32881355932203238</v>
      </c>
      <c r="Q151">
        <f t="shared" ref="Q151" si="731">F151*P151</f>
        <v>817154.70821016561</v>
      </c>
      <c r="R151">
        <f t="shared" ref="R151" si="732">R152+Q151</f>
        <v>225614791.01007101</v>
      </c>
      <c r="S151">
        <f t="shared" ref="S151" si="733">R151/100000</f>
        <v>2256.1479101007103</v>
      </c>
      <c r="T151">
        <f t="shared" ref="T151" si="734">S151/1000</f>
        <v>2.2561479101007103</v>
      </c>
    </row>
    <row r="152" spans="1:20" x14ac:dyDescent="0.25">
      <c r="A152" s="5">
        <v>44441</v>
      </c>
      <c r="B152">
        <v>13.23</v>
      </c>
      <c r="C152">
        <v>13.775</v>
      </c>
      <c r="D152">
        <v>12.962999999999999</v>
      </c>
      <c r="E152">
        <v>13.249000000000001</v>
      </c>
      <c r="F152">
        <v>2403901.33</v>
      </c>
      <c r="G152">
        <v>13.249000000000001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-0.29556650246305183</v>
      </c>
      <c r="Q152">
        <f t="shared" ref="Q152" si="736">F152*P152</f>
        <v>-710512.70837437862</v>
      </c>
      <c r="R152">
        <f t="shared" ref="R152" si="737">R153+Q152</f>
        <v>224797636.30186084</v>
      </c>
      <c r="S152">
        <f t="shared" ref="S152" si="738">R152/100000</f>
        <v>2247.9763630186085</v>
      </c>
      <c r="T152">
        <f t="shared" ref="T152" si="739">S152/1000</f>
        <v>2.2479763630186085</v>
      </c>
    </row>
    <row r="153" spans="1:20" x14ac:dyDescent="0.25">
      <c r="A153" s="5">
        <v>44440</v>
      </c>
      <c r="B153">
        <v>12.412000000000001</v>
      </c>
      <c r="C153">
        <v>13.27</v>
      </c>
      <c r="D153">
        <v>12.061999999999999</v>
      </c>
      <c r="E153">
        <v>13.23</v>
      </c>
      <c r="F153">
        <v>1743634.9</v>
      </c>
      <c r="G153">
        <v>13.23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0.93377483443708753</v>
      </c>
      <c r="Q153">
        <f t="shared" ref="Q153" si="741">F153*P153</f>
        <v>1628162.3900662276</v>
      </c>
      <c r="R153">
        <f t="shared" ref="R153" si="742">R154+Q153</f>
        <v>225508149.01023522</v>
      </c>
      <c r="S153">
        <f t="shared" ref="S153" si="743">R153/100000</f>
        <v>2255.0814901023523</v>
      </c>
      <c r="T153">
        <f t="shared" ref="T153" si="744">S153/1000</f>
        <v>2.2550814901023521</v>
      </c>
    </row>
    <row r="154" spans="1:20" x14ac:dyDescent="0.25">
      <c r="A154" s="5">
        <v>44439</v>
      </c>
      <c r="B154">
        <v>12.215</v>
      </c>
      <c r="C154">
        <v>12.769</v>
      </c>
      <c r="D154">
        <v>11.914</v>
      </c>
      <c r="E154">
        <v>12.414</v>
      </c>
      <c r="F154">
        <v>1339187.5</v>
      </c>
      <c r="G154">
        <v>12.414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0.16959064327485321</v>
      </c>
      <c r="Q154">
        <f t="shared" ref="Q154" si="746">F154*P154</f>
        <v>227113.66959064247</v>
      </c>
      <c r="R154">
        <f t="shared" ref="R154" si="747">R155+Q154</f>
        <v>223879986.62016898</v>
      </c>
      <c r="S154">
        <f t="shared" ref="S154" si="748">R154/100000</f>
        <v>2238.7998662016898</v>
      </c>
      <c r="T154">
        <f t="shared" ref="T154" si="749">S154/1000</f>
        <v>2.2387998662016897</v>
      </c>
    </row>
    <row r="155" spans="1:20" x14ac:dyDescent="0.25">
      <c r="A155" s="5">
        <v>44438</v>
      </c>
      <c r="B155">
        <v>12.943</v>
      </c>
      <c r="C155">
        <v>12.945</v>
      </c>
      <c r="D155">
        <v>12.071999999999999</v>
      </c>
      <c r="E155">
        <v>12.217000000000001</v>
      </c>
      <c r="F155">
        <v>1388117.6</v>
      </c>
      <c r="G155">
        <v>12.217000000000001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-0.66781214203894346</v>
      </c>
      <c r="Q155">
        <f t="shared" ref="Q155" si="751">F155*P155</f>
        <v>-927001.78785795742</v>
      </c>
      <c r="R155">
        <f t="shared" ref="R155" si="752">R156+Q155</f>
        <v>223652872.95057833</v>
      </c>
      <c r="S155">
        <f t="shared" ref="S155" si="753">R155/100000</f>
        <v>2236.5287295057833</v>
      </c>
      <c r="T155">
        <f t="shared" ref="T155" si="754">S155/1000</f>
        <v>2.2365287295057832</v>
      </c>
    </row>
    <row r="156" spans="1:20" x14ac:dyDescent="0.25">
      <c r="A156" s="5">
        <v>44437</v>
      </c>
      <c r="B156">
        <v>12.598000000000001</v>
      </c>
      <c r="C156">
        <v>13.728</v>
      </c>
      <c r="D156">
        <v>12.537000000000001</v>
      </c>
      <c r="E156">
        <v>12.926</v>
      </c>
      <c r="F156">
        <v>2342749.0329999998</v>
      </c>
      <c r="G156">
        <v>12.926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-0.34676742233417346</v>
      </c>
      <c r="Q156">
        <f t="shared" ref="Q156" si="756">F156*P156</f>
        <v>-812389.04334928736</v>
      </c>
      <c r="R156">
        <f t="shared" ref="R156" si="757">R157+Q156</f>
        <v>224579874.73843628</v>
      </c>
      <c r="S156">
        <f t="shared" ref="S156" si="758">R156/100000</f>
        <v>2245.7987473843627</v>
      </c>
      <c r="T156">
        <f t="shared" ref="T156" si="759">S156/1000</f>
        <v>2.2457987473843626</v>
      </c>
    </row>
    <row r="157" spans="1:20" x14ac:dyDescent="0.25">
      <c r="A157" s="5">
        <v>44436</v>
      </c>
      <c r="B157">
        <v>12.851000000000001</v>
      </c>
      <c r="C157">
        <v>13.08</v>
      </c>
      <c r="D157">
        <v>12.3</v>
      </c>
      <c r="E157">
        <v>12.597</v>
      </c>
      <c r="F157">
        <v>1014548.925</v>
      </c>
      <c r="G157">
        <v>12.597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-0.23846153846154086</v>
      </c>
      <c r="Q157">
        <f t="shared" ref="Q157" si="761">F157*P157</f>
        <v>-241930.89750000244</v>
      </c>
      <c r="R157">
        <f t="shared" ref="R157" si="762">R158+Q157</f>
        <v>225392263.78178558</v>
      </c>
      <c r="S157">
        <f t="shared" ref="S157" si="763">R157/100000</f>
        <v>2253.922637817856</v>
      </c>
      <c r="T157">
        <f t="shared" ref="T157" si="764">S157/1000</f>
        <v>2.2539226378178561</v>
      </c>
    </row>
    <row r="158" spans="1:20" x14ac:dyDescent="0.25">
      <c r="A158" s="5">
        <v>44435</v>
      </c>
      <c r="B158">
        <v>11.821</v>
      </c>
      <c r="C158">
        <v>12.907999999999999</v>
      </c>
      <c r="D158">
        <v>11.284000000000001</v>
      </c>
      <c r="E158">
        <v>12.853999999999999</v>
      </c>
      <c r="F158">
        <v>1659977.477</v>
      </c>
      <c r="G158">
        <v>12.853999999999999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0.93349753694581239</v>
      </c>
      <c r="Q158">
        <f t="shared" ref="Q158" si="766">F158*P158</f>
        <v>1549584.8861650238</v>
      </c>
      <c r="R158">
        <f t="shared" ref="R158" si="767">R159+Q158</f>
        <v>225634194.67928559</v>
      </c>
      <c r="S158">
        <f t="shared" ref="S158" si="768">R158/100000</f>
        <v>2256.3419467928557</v>
      </c>
      <c r="T158">
        <f t="shared" ref="T158" si="769">S158/1000</f>
        <v>2.2563419467928556</v>
      </c>
    </row>
    <row r="159" spans="1:20" x14ac:dyDescent="0.25">
      <c r="A159" s="5">
        <v>44434</v>
      </c>
      <c r="B159">
        <v>12.961</v>
      </c>
      <c r="C159">
        <v>13.228</v>
      </c>
      <c r="D159">
        <v>11.613</v>
      </c>
      <c r="E159">
        <v>11.821999999999999</v>
      </c>
      <c r="F159">
        <v>1987509.0149999999</v>
      </c>
      <c r="G159">
        <v>11.821999999999999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-0.74117647058823577</v>
      </c>
      <c r="Q159">
        <f t="shared" ref="Q159" si="771">F159*P159</f>
        <v>-1473094.9170000008</v>
      </c>
      <c r="R159">
        <f t="shared" ref="R159" si="772">R160+Q159</f>
        <v>224084609.79312056</v>
      </c>
      <c r="S159">
        <f t="shared" ref="S159" si="773">R159/100000</f>
        <v>2240.8460979312058</v>
      </c>
      <c r="T159">
        <f t="shared" ref="T159" si="774">S159/1000</f>
        <v>2.2408460979312057</v>
      </c>
    </row>
    <row r="160" spans="1:20" x14ac:dyDescent="0.25">
      <c r="A160" s="5">
        <v>44433</v>
      </c>
      <c r="B160">
        <v>12.662000000000001</v>
      </c>
      <c r="C160">
        <v>13.063000000000001</v>
      </c>
      <c r="D160">
        <v>12.025</v>
      </c>
      <c r="E160">
        <v>12.961</v>
      </c>
      <c r="F160">
        <v>2166745.42</v>
      </c>
      <c r="G160">
        <v>12.961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0.80346820809248498</v>
      </c>
      <c r="Q160">
        <f t="shared" ref="Q160" si="776">F160*P160</f>
        <v>1740911.0599999987</v>
      </c>
      <c r="R160">
        <f t="shared" ref="R160" si="777">R161+Q160</f>
        <v>225557704.71012056</v>
      </c>
      <c r="S160">
        <f t="shared" ref="S160" si="778">R160/100000</f>
        <v>2255.5770471012056</v>
      </c>
      <c r="T160">
        <f t="shared" ref="T160" si="779">S160/1000</f>
        <v>2.2555770471012058</v>
      </c>
    </row>
    <row r="161" spans="1:20" x14ac:dyDescent="0.25">
      <c r="A161" s="5">
        <v>44432</v>
      </c>
      <c r="B161">
        <v>13.816000000000001</v>
      </c>
      <c r="C161">
        <v>14.311999999999999</v>
      </c>
      <c r="D161">
        <v>12.311</v>
      </c>
      <c r="E161">
        <v>12.666</v>
      </c>
      <c r="F161">
        <v>8148025.6500000004</v>
      </c>
      <c r="G161">
        <v>12.666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-0.64517741129435235</v>
      </c>
      <c r="Q161">
        <f t="shared" ref="Q161" si="781">F161*P161</f>
        <v>-5256922.0960269831</v>
      </c>
      <c r="R161">
        <f t="shared" ref="R161" si="782">R162+Q161</f>
        <v>223816793.65012056</v>
      </c>
      <c r="S161">
        <f t="shared" ref="S161" si="783">R161/100000</f>
        <v>2238.1679365012055</v>
      </c>
      <c r="T161">
        <f t="shared" ref="T161" si="784">S161/1000</f>
        <v>2.2381679365012057</v>
      </c>
    </row>
    <row r="162" spans="1:20" x14ac:dyDescent="0.25">
      <c r="A162" s="5">
        <v>44431</v>
      </c>
      <c r="B162">
        <v>13.555999999999999</v>
      </c>
      <c r="C162">
        <v>14.214</v>
      </c>
      <c r="D162">
        <v>13.355</v>
      </c>
      <c r="E162">
        <v>13.816000000000001</v>
      </c>
      <c r="F162">
        <v>4519580.3310000002</v>
      </c>
      <c r="G162">
        <v>13.816000000000001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7.3341094295693382E-2</v>
      </c>
      <c r="Q162">
        <f t="shared" ref="Q162" si="786">F162*P162</f>
        <v>331470.9672328321</v>
      </c>
      <c r="R162">
        <f t="shared" ref="R162" si="787">R163+Q162</f>
        <v>229073715.74614754</v>
      </c>
      <c r="S162">
        <f t="shared" ref="S162" si="788">R162/100000</f>
        <v>2290.7371574614754</v>
      </c>
      <c r="T162">
        <f t="shared" ref="T162" si="789">S162/1000</f>
        <v>2.2907371574614754</v>
      </c>
    </row>
    <row r="163" spans="1:20" x14ac:dyDescent="0.25">
      <c r="A163" s="5">
        <v>44430</v>
      </c>
      <c r="B163">
        <v>13.725</v>
      </c>
      <c r="C163">
        <v>13.865</v>
      </c>
      <c r="D163">
        <v>13.439</v>
      </c>
      <c r="E163">
        <v>13.647</v>
      </c>
      <c r="F163">
        <v>831951.37800000003</v>
      </c>
      <c r="G163">
        <v>13.647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-2.3474178403755361E-2</v>
      </c>
      <c r="Q163">
        <f t="shared" ref="Q163" si="791">F163*P163</f>
        <v>-19529.375070422113</v>
      </c>
      <c r="R163">
        <f t="shared" ref="R163" si="792">R164+Q163</f>
        <v>228742244.77891472</v>
      </c>
      <c r="S163">
        <f t="shared" ref="S163" si="793">R163/100000</f>
        <v>2287.4224477891471</v>
      </c>
      <c r="T163">
        <f t="shared" ref="T163" si="794">S163/1000</f>
        <v>2.2874224477891469</v>
      </c>
    </row>
    <row r="164" spans="1:20" x14ac:dyDescent="0.25">
      <c r="A164" s="5">
        <v>44429</v>
      </c>
      <c r="B164">
        <v>14.154</v>
      </c>
      <c r="C164">
        <v>14.308999999999999</v>
      </c>
      <c r="D164">
        <v>13.385</v>
      </c>
      <c r="E164">
        <v>13.727</v>
      </c>
      <c r="F164">
        <v>4383824.84</v>
      </c>
      <c r="G164">
        <v>13.727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-0.25974025974025822</v>
      </c>
      <c r="Q164">
        <f t="shared" ref="Q164" si="796">F164*P164</f>
        <v>-1138655.8025973958</v>
      </c>
      <c r="R164">
        <f t="shared" ref="R164" si="797">R165+Q164</f>
        <v>228761774.15398514</v>
      </c>
      <c r="S164">
        <f t="shared" ref="S164" si="798">R164/100000</f>
        <v>2287.6177415398515</v>
      </c>
      <c r="T164">
        <f t="shared" ref="T164" si="799">S164/1000</f>
        <v>2.2876177415398513</v>
      </c>
    </row>
    <row r="165" spans="1:20" x14ac:dyDescent="0.25">
      <c r="A165" s="5">
        <v>44428</v>
      </c>
      <c r="B165">
        <v>13.316000000000001</v>
      </c>
      <c r="C165">
        <v>14.173</v>
      </c>
      <c r="D165">
        <v>13.17</v>
      </c>
      <c r="E165">
        <v>14.151999999999999</v>
      </c>
      <c r="F165">
        <v>4209831.6979999999</v>
      </c>
      <c r="G165">
        <v>14.151999999999999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0.95812562313060656</v>
      </c>
      <c r="Q165">
        <f t="shared" ref="Q165" si="801">F165*P165</f>
        <v>4033547.6189212292</v>
      </c>
      <c r="R165">
        <f t="shared" ref="R165" si="802">R166+Q165</f>
        <v>229900429.95658255</v>
      </c>
      <c r="S165">
        <f t="shared" ref="S165" si="803">R165/100000</f>
        <v>2299.0042995658255</v>
      </c>
      <c r="T165">
        <f t="shared" ref="T165" si="804">S165/1000</f>
        <v>2.2990042995658255</v>
      </c>
    </row>
    <row r="166" spans="1:20" x14ac:dyDescent="0.25">
      <c r="A166" s="5">
        <v>44427</v>
      </c>
      <c r="B166">
        <v>12.926</v>
      </c>
      <c r="C166">
        <v>13.365</v>
      </c>
      <c r="D166">
        <v>12.086</v>
      </c>
      <c r="E166">
        <v>13.314</v>
      </c>
      <c r="F166">
        <v>5658973.7290000003</v>
      </c>
      <c r="G166">
        <v>13.314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0.92025019546520692</v>
      </c>
      <c r="Q166">
        <f t="shared" ref="Q166" si="806">F166*P166</f>
        <v>5207671.6802447215</v>
      </c>
      <c r="R166">
        <f t="shared" ref="R166" si="807">R167+Q166</f>
        <v>225866882.33766133</v>
      </c>
      <c r="S166">
        <f t="shared" ref="S166" si="808">R166/100000</f>
        <v>2258.6688233766131</v>
      </c>
      <c r="T166">
        <f t="shared" ref="T166" si="809">S166/1000</f>
        <v>2.2586688233766132</v>
      </c>
    </row>
    <row r="167" spans="1:20" x14ac:dyDescent="0.25">
      <c r="A167" s="5">
        <v>44426</v>
      </c>
      <c r="B167">
        <v>12.446999999999999</v>
      </c>
      <c r="C167">
        <v>13.65</v>
      </c>
      <c r="D167">
        <v>12.368</v>
      </c>
      <c r="E167">
        <v>12.929</v>
      </c>
      <c r="F167">
        <v>6824601.4510000004</v>
      </c>
      <c r="G167">
        <v>12.929</v>
      </c>
      <c r="L167" t="s">
        <v>8</v>
      </c>
      <c r="M167" t="s">
        <v>7</v>
      </c>
      <c r="N167" t="s">
        <v>8</v>
      </c>
      <c r="P167">
        <f t="shared" ref="P167" si="810">IF(C167=D167,0,((E167-D167)-(C167-E167))/(C167-D167))</f>
        <v>-0.12480499219968809</v>
      </c>
      <c r="Q167">
        <f t="shared" ref="Q167" si="811">F167*P167</f>
        <v>-851744.33085803501</v>
      </c>
      <c r="R167">
        <f t="shared" ref="R167" si="812">R168+Q167</f>
        <v>220659210.65741661</v>
      </c>
      <c r="S167">
        <f t="shared" ref="S167" si="813">R167/100000</f>
        <v>2206.5921065741663</v>
      </c>
      <c r="T167">
        <f t="shared" ref="T167" si="814">S167/1000</f>
        <v>2.2065921065741665</v>
      </c>
    </row>
    <row r="168" spans="1:20" x14ac:dyDescent="0.25">
      <c r="A168" s="5">
        <v>44425</v>
      </c>
      <c r="B168">
        <v>13.249000000000001</v>
      </c>
      <c r="C168">
        <v>14.13</v>
      </c>
      <c r="D168">
        <v>12.243</v>
      </c>
      <c r="E168">
        <v>12.446</v>
      </c>
      <c r="F168">
        <v>4439764.0269999998</v>
      </c>
      <c r="G168">
        <v>12.446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-0.78484366719660903</v>
      </c>
      <c r="Q168">
        <f t="shared" ref="Q168" si="816">F168*P168</f>
        <v>-3484520.6804382647</v>
      </c>
      <c r="R168">
        <f t="shared" ref="R168" si="817">R169+Q168</f>
        <v>221510954.98827463</v>
      </c>
      <c r="S168">
        <f t="shared" ref="S168" si="818">R168/100000</f>
        <v>2215.1095498827463</v>
      </c>
      <c r="T168">
        <f t="shared" ref="T168" si="819">S168/1000</f>
        <v>2.2151095498827464</v>
      </c>
    </row>
    <row r="169" spans="1:20" x14ac:dyDescent="0.25">
      <c r="A169" s="5">
        <v>44424</v>
      </c>
      <c r="B169">
        <v>13.778</v>
      </c>
      <c r="C169">
        <v>14.916</v>
      </c>
      <c r="D169">
        <v>12.956</v>
      </c>
      <c r="E169">
        <v>13.249000000000001</v>
      </c>
      <c r="F169">
        <v>3598849.6430000002</v>
      </c>
      <c r="G169">
        <v>13.249000000000001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-0.70102040816326439</v>
      </c>
      <c r="Q169">
        <f t="shared" ref="Q169" si="821">F169*P169</f>
        <v>-2522867.0456540785</v>
      </c>
      <c r="R169">
        <f t="shared" ref="R169" si="822">R170+Q169</f>
        <v>224995475.66871288</v>
      </c>
      <c r="S169">
        <f t="shared" ref="S169" si="823">R169/100000</f>
        <v>2249.9547566871288</v>
      </c>
      <c r="T169">
        <f t="shared" ref="T169" si="824">S169/1000</f>
        <v>2.2499547566871287</v>
      </c>
    </row>
    <row r="170" spans="1:20" x14ac:dyDescent="0.25">
      <c r="A170" s="5">
        <v>44423</v>
      </c>
      <c r="B170">
        <v>14.114000000000001</v>
      </c>
      <c r="C170">
        <v>14.12</v>
      </c>
      <c r="D170">
        <v>12.896000000000001</v>
      </c>
      <c r="E170">
        <v>13.778</v>
      </c>
      <c r="F170">
        <v>3274408.5809999998</v>
      </c>
      <c r="G170">
        <v>13.778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0.44117647058823661</v>
      </c>
      <c r="Q170">
        <f t="shared" ref="Q170" si="826">F170*P170</f>
        <v>1444592.021029416</v>
      </c>
      <c r="R170">
        <f t="shared" ref="R170" si="827">R171+Q170</f>
        <v>227518342.71436697</v>
      </c>
      <c r="S170">
        <f t="shared" ref="S170" si="828">R170/100000</f>
        <v>2275.1834271436696</v>
      </c>
      <c r="T170">
        <f t="shared" ref="T170" si="829">S170/1000</f>
        <v>2.2751834271436695</v>
      </c>
    </row>
    <row r="171" spans="1:20" x14ac:dyDescent="0.25">
      <c r="A171" s="5">
        <v>44422</v>
      </c>
      <c r="B171">
        <v>13.981999999999999</v>
      </c>
      <c r="C171">
        <v>15.2</v>
      </c>
      <c r="D171">
        <v>13.61</v>
      </c>
      <c r="E171">
        <v>14.1</v>
      </c>
      <c r="F171">
        <v>8276101.8130000001</v>
      </c>
      <c r="G171">
        <v>14.1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-0.38364779874213806</v>
      </c>
      <c r="Q171">
        <f t="shared" ref="Q171" si="831">F171*P171</f>
        <v>-3175108.242723268</v>
      </c>
      <c r="R171">
        <f t="shared" ref="R171" si="832">R172+Q171</f>
        <v>226073750.69333756</v>
      </c>
      <c r="S171">
        <f t="shared" ref="S171" si="833">R171/100000</f>
        <v>2260.7375069333757</v>
      </c>
      <c r="T171">
        <f t="shared" ref="T171" si="834">S171/1000</f>
        <v>2.2607375069333755</v>
      </c>
    </row>
    <row r="172" spans="1:20" x14ac:dyDescent="0.25">
      <c r="A172" s="5">
        <v>44421</v>
      </c>
      <c r="B172">
        <v>10.308999999999999</v>
      </c>
      <c r="C172">
        <v>14</v>
      </c>
      <c r="D172">
        <v>10.132</v>
      </c>
      <c r="E172">
        <v>13.981</v>
      </c>
      <c r="F172">
        <v>7357619.1150000002</v>
      </c>
      <c r="G172">
        <v>13.981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0.99017580144777662</v>
      </c>
      <c r="Q172">
        <f t="shared" ref="Q172" si="836">F172*P172</f>
        <v>7285336.4039426064</v>
      </c>
      <c r="R172">
        <f t="shared" ref="R172" si="837">R173+Q172</f>
        <v>229248858.93606082</v>
      </c>
      <c r="S172">
        <f t="shared" ref="S172" si="838">R172/100000</f>
        <v>2292.4885893606083</v>
      </c>
      <c r="T172">
        <f t="shared" ref="T172" si="839">S172/1000</f>
        <v>2.2924885893606084</v>
      </c>
    </row>
    <row r="173" spans="1:20" x14ac:dyDescent="0.25">
      <c r="A173" s="5">
        <v>44420</v>
      </c>
      <c r="B173">
        <v>10.791</v>
      </c>
      <c r="C173">
        <v>11.471</v>
      </c>
      <c r="D173">
        <v>9.8209999999999997</v>
      </c>
      <c r="E173">
        <v>10.31</v>
      </c>
      <c r="F173">
        <v>3794420.861</v>
      </c>
      <c r="G173">
        <v>10.31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-0.40727272727272645</v>
      </c>
      <c r="Q173">
        <f t="shared" ref="Q173" si="841">F173*P173</f>
        <v>-1545364.1324799969</v>
      </c>
      <c r="R173">
        <f t="shared" ref="R173" si="842">R174+Q173</f>
        <v>221963522.5321182</v>
      </c>
      <c r="S173">
        <f t="shared" ref="S173" si="843">R173/100000</f>
        <v>2219.6352253211821</v>
      </c>
      <c r="T173">
        <f t="shared" ref="T173" si="844">S173/1000</f>
        <v>2.219635225321182</v>
      </c>
    </row>
    <row r="174" spans="1:20" x14ac:dyDescent="0.25">
      <c r="A174" s="5">
        <v>44419</v>
      </c>
      <c r="B174">
        <v>10.689</v>
      </c>
      <c r="C174">
        <v>11.54</v>
      </c>
      <c r="D174">
        <v>10.523999999999999</v>
      </c>
      <c r="E174">
        <v>10.795</v>
      </c>
      <c r="F174">
        <v>3707093.6570000001</v>
      </c>
      <c r="G174">
        <v>10.795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-0.46653543307086459</v>
      </c>
      <c r="Q174">
        <f t="shared" ref="Q174" si="846">F174*P174</f>
        <v>-1729490.5447027502</v>
      </c>
      <c r="R174">
        <f t="shared" ref="R174" si="847">R175+Q174</f>
        <v>223508886.6645982</v>
      </c>
      <c r="S174">
        <f t="shared" ref="S174" si="848">R174/100000</f>
        <v>2235.0888666459819</v>
      </c>
      <c r="T174">
        <f t="shared" ref="T174" si="849">S174/1000</f>
        <v>2.2350888666459818</v>
      </c>
    </row>
    <row r="175" spans="1:20" x14ac:dyDescent="0.25">
      <c r="A175" s="5">
        <v>44418</v>
      </c>
      <c r="B175">
        <v>10.759</v>
      </c>
      <c r="C175">
        <v>10.824</v>
      </c>
      <c r="D175">
        <v>10.252000000000001</v>
      </c>
      <c r="E175">
        <v>10.689</v>
      </c>
      <c r="F175">
        <v>2515893.1129999999</v>
      </c>
      <c r="G175">
        <v>10.689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0.52797202797202802</v>
      </c>
      <c r="Q175">
        <f t="shared" ref="Q175" si="851">F175*P175</f>
        <v>1328321.1890314687</v>
      </c>
      <c r="R175">
        <f t="shared" ref="R175" si="852">R176+Q175</f>
        <v>225238377.20930094</v>
      </c>
      <c r="S175">
        <f t="shared" ref="S175" si="853">R175/100000</f>
        <v>2252.3837720930092</v>
      </c>
      <c r="T175">
        <f t="shared" ref="T175" si="854">S175/1000</f>
        <v>2.2523837720930091</v>
      </c>
    </row>
    <row r="176" spans="1:20" x14ac:dyDescent="0.25">
      <c r="A176" s="5">
        <v>44417</v>
      </c>
      <c r="B176">
        <v>10.228</v>
      </c>
      <c r="C176">
        <v>11.635</v>
      </c>
      <c r="D176">
        <v>10.228</v>
      </c>
      <c r="E176">
        <v>10.755000000000001</v>
      </c>
      <c r="F176">
        <v>5265114.875</v>
      </c>
      <c r="G176">
        <v>10.755000000000001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-0.25088841506751813</v>
      </c>
      <c r="Q176">
        <f t="shared" ref="Q176" si="856">F176*P176</f>
        <v>-1320956.3261371639</v>
      </c>
      <c r="R176">
        <f t="shared" ref="R176" si="857">R177+Q176</f>
        <v>223910056.02026945</v>
      </c>
      <c r="S176">
        <f t="shared" ref="S176" si="858">R176/100000</f>
        <v>2239.1005602026944</v>
      </c>
      <c r="T176">
        <f t="shared" ref="T176" si="859">S176/1000</f>
        <v>2.2391005602026945</v>
      </c>
    </row>
    <row r="177" spans="1:20" x14ac:dyDescent="0.25">
      <c r="A177" s="5">
        <v>44416</v>
      </c>
      <c r="B177">
        <v>10.896000000000001</v>
      </c>
      <c r="C177">
        <v>11.65</v>
      </c>
      <c r="D177">
        <v>10</v>
      </c>
      <c r="E177">
        <v>10.247</v>
      </c>
      <c r="F177">
        <v>5415595.1610000003</v>
      </c>
      <c r="G177">
        <v>10.247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-0.70060606060606079</v>
      </c>
      <c r="Q177">
        <f t="shared" ref="Q177" si="861">F177*P177</f>
        <v>-3794198.7915854556</v>
      </c>
      <c r="R177">
        <f t="shared" ref="R177" si="862">R178+Q177</f>
        <v>225231012.34640661</v>
      </c>
      <c r="S177">
        <f t="shared" ref="S177" si="863">R177/100000</f>
        <v>2252.3101234640662</v>
      </c>
      <c r="T177">
        <f t="shared" ref="T177" si="864">S177/1000</f>
        <v>2.2523101234640661</v>
      </c>
    </row>
    <row r="178" spans="1:20" x14ac:dyDescent="0.25">
      <c r="A178" s="5">
        <v>44415</v>
      </c>
      <c r="B178">
        <v>8.7479999999999993</v>
      </c>
      <c r="C178">
        <v>11.5</v>
      </c>
      <c r="D178">
        <v>8.5380000000000003</v>
      </c>
      <c r="E178">
        <v>10.89</v>
      </c>
      <c r="F178">
        <v>16621988.528999999</v>
      </c>
      <c r="G178">
        <v>10.89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0.58811613774476734</v>
      </c>
      <c r="Q178">
        <f t="shared" ref="Q178" si="866">F178*P178</f>
        <v>9775659.6953133065</v>
      </c>
      <c r="R178">
        <f t="shared" ref="R178" si="867">R179+Q178</f>
        <v>229025211.13799205</v>
      </c>
      <c r="S178">
        <f t="shared" ref="S178" si="868">R178/100000</f>
        <v>2290.2521113799207</v>
      </c>
      <c r="T178">
        <f t="shared" ref="T178" si="869">S178/1000</f>
        <v>2.2902521113799206</v>
      </c>
    </row>
    <row r="179" spans="1:20" x14ac:dyDescent="0.25">
      <c r="A179" s="5">
        <v>44414</v>
      </c>
      <c r="B179">
        <v>8.1349999999999998</v>
      </c>
      <c r="C179">
        <v>8.9580000000000002</v>
      </c>
      <c r="D179">
        <v>7.9480000000000004</v>
      </c>
      <c r="E179">
        <v>8.7520000000000007</v>
      </c>
      <c r="F179">
        <v>4675161.324</v>
      </c>
      <c r="G179">
        <v>8.7520000000000007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0.59207920792079294</v>
      </c>
      <c r="Q179">
        <f t="shared" ref="Q179" si="871">F179*P179</f>
        <v>2768065.8136158455</v>
      </c>
      <c r="R179">
        <f t="shared" ref="R179" si="872">R180+Q179</f>
        <v>219249551.44267875</v>
      </c>
      <c r="S179">
        <f t="shared" ref="S179" si="873">R179/100000</f>
        <v>2192.4955144267874</v>
      </c>
      <c r="T179">
        <f t="shared" ref="T179" si="874">S179/1000</f>
        <v>2.1924955144267875</v>
      </c>
    </row>
    <row r="180" spans="1:20" x14ac:dyDescent="0.25">
      <c r="A180" s="5">
        <v>44413</v>
      </c>
      <c r="B180">
        <v>7.9969999999999999</v>
      </c>
      <c r="C180">
        <v>8.2829999999999995</v>
      </c>
      <c r="D180">
        <v>7.5570000000000004</v>
      </c>
      <c r="E180">
        <v>8.1329999999999991</v>
      </c>
      <c r="F180">
        <v>2569561.6830000002</v>
      </c>
      <c r="G180">
        <v>8.1329999999999991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0.58677685950413072</v>
      </c>
      <c r="Q180">
        <f t="shared" ref="Q180" si="876">F180*P180</f>
        <v>1507759.3346528888</v>
      </c>
      <c r="R180">
        <f t="shared" ref="R180" si="877">R181+Q180</f>
        <v>216481485.62906289</v>
      </c>
      <c r="S180">
        <f t="shared" ref="S180" si="878">R180/100000</f>
        <v>2164.814856290629</v>
      </c>
      <c r="T180">
        <f t="shared" ref="T180" si="879">S180/1000</f>
        <v>2.1648148562906289</v>
      </c>
    </row>
    <row r="181" spans="1:20" x14ac:dyDescent="0.25">
      <c r="A181" s="5">
        <v>44412</v>
      </c>
      <c r="B181">
        <v>7.774</v>
      </c>
      <c r="C181">
        <v>8.0549999999999997</v>
      </c>
      <c r="D181">
        <v>7.4429999999999996</v>
      </c>
      <c r="E181">
        <v>7.9930000000000003</v>
      </c>
      <c r="F181">
        <v>1949525.57</v>
      </c>
      <c r="G181">
        <v>7.9930000000000003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0.79738562091503473</v>
      </c>
      <c r="Q181">
        <f t="shared" ref="Q181" si="881">F181*P181</f>
        <v>1554523.6571241871</v>
      </c>
      <c r="R181">
        <f t="shared" ref="R181" si="882">R182+Q181</f>
        <v>214973726.29440999</v>
      </c>
      <c r="S181">
        <f t="shared" ref="S181" si="883">R181/100000</f>
        <v>2149.7372629440997</v>
      </c>
      <c r="T181">
        <f t="shared" ref="T181" si="884">S181/1000</f>
        <v>2.1497372629440998</v>
      </c>
    </row>
    <row r="182" spans="1:20" x14ac:dyDescent="0.25">
      <c r="A182" s="5">
        <v>44411</v>
      </c>
      <c r="B182">
        <v>7.9850000000000003</v>
      </c>
      <c r="C182">
        <v>8.0790000000000006</v>
      </c>
      <c r="D182">
        <v>7.4039999999999999</v>
      </c>
      <c r="E182">
        <v>7.7789999999999999</v>
      </c>
      <c r="F182">
        <v>2564498.3390000002</v>
      </c>
      <c r="G182">
        <v>7.7789999999999999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0.11111111111110994</v>
      </c>
      <c r="Q182">
        <f t="shared" ref="Q182" si="886">F182*P182</f>
        <v>284944.25988888589</v>
      </c>
      <c r="R182">
        <f t="shared" ref="R182" si="887">R183+Q182</f>
        <v>213419202.6372858</v>
      </c>
      <c r="S182">
        <f t="shared" ref="S182" si="888">R182/100000</f>
        <v>2134.192026372858</v>
      </c>
      <c r="T182">
        <f t="shared" ref="T182" si="889">S182/1000</f>
        <v>2.1341920263728578</v>
      </c>
    </row>
    <row r="183" spans="1:20" x14ac:dyDescent="0.25">
      <c r="A183" s="5">
        <v>44410</v>
      </c>
      <c r="B183">
        <v>7.335</v>
      </c>
      <c r="C183">
        <v>8.282</v>
      </c>
      <c r="D183">
        <v>7.1609999999999996</v>
      </c>
      <c r="E183">
        <v>7.9859999999999998</v>
      </c>
      <c r="F183">
        <v>5318406.2769999998</v>
      </c>
      <c r="G183">
        <v>7.9859999999999998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0.47190008920606574</v>
      </c>
      <c r="Q183">
        <f t="shared" ref="Q183" si="891">F183*P183</f>
        <v>2509756.3965503997</v>
      </c>
      <c r="R183">
        <f t="shared" ref="R183" si="892">R184+Q183</f>
        <v>213134258.37739691</v>
      </c>
      <c r="S183">
        <f t="shared" ref="S183" si="893">R183/100000</f>
        <v>2131.3425837739692</v>
      </c>
      <c r="T183">
        <f t="shared" ref="T183" si="894">S183/1000</f>
        <v>2.1313425837739692</v>
      </c>
    </row>
    <row r="184" spans="1:20" x14ac:dyDescent="0.25">
      <c r="A184" s="5">
        <v>44409</v>
      </c>
      <c r="B184">
        <v>7.9829999999999997</v>
      </c>
      <c r="C184">
        <v>8.0340000000000007</v>
      </c>
      <c r="D184">
        <v>7.1989999999999998</v>
      </c>
      <c r="E184">
        <v>7.3319999999999999</v>
      </c>
      <c r="F184">
        <v>2838544.8429999999</v>
      </c>
      <c r="G184">
        <v>7.3319999999999999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-0.68143712574850335</v>
      </c>
      <c r="Q184">
        <f t="shared" ref="Q184" si="896">F184*P184</f>
        <v>-1934289.8391221566</v>
      </c>
      <c r="R184">
        <f t="shared" ref="R184" si="897">R185+Q184</f>
        <v>210624501.98084652</v>
      </c>
      <c r="S184">
        <f t="shared" ref="S184" si="898">R184/100000</f>
        <v>2106.2450198084653</v>
      </c>
      <c r="T184">
        <f t="shared" ref="T184" si="899">S184/1000</f>
        <v>2.1062450198084655</v>
      </c>
    </row>
    <row r="185" spans="1:20" x14ac:dyDescent="0.25">
      <c r="A185" s="5">
        <v>44408</v>
      </c>
      <c r="B185">
        <v>7.2220000000000004</v>
      </c>
      <c r="C185">
        <v>8.5</v>
      </c>
      <c r="D185">
        <v>7.0629999999999997</v>
      </c>
      <c r="E185">
        <v>7.9859999999999998</v>
      </c>
      <c r="F185">
        <v>7196310.659</v>
      </c>
      <c r="G185">
        <v>7.9859999999999998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0.28462073764787732</v>
      </c>
      <c r="Q185">
        <f t="shared" ref="Q185" si="901">F185*P185</f>
        <v>2048219.2481078622</v>
      </c>
      <c r="R185">
        <f t="shared" ref="R185" si="902">R186+Q185</f>
        <v>212558791.81996867</v>
      </c>
      <c r="S185">
        <f t="shared" ref="S185" si="903">R185/100000</f>
        <v>2125.5879181996866</v>
      </c>
      <c r="T185">
        <f t="shared" ref="T185" si="904">S185/1000</f>
        <v>2.1255879181996864</v>
      </c>
    </row>
    <row r="186" spans="1:20" x14ac:dyDescent="0.25">
      <c r="A186" s="5">
        <v>44407</v>
      </c>
      <c r="B186">
        <v>6.7729999999999997</v>
      </c>
      <c r="C186">
        <v>7.3559999999999999</v>
      </c>
      <c r="D186">
        <v>6.4130000000000003</v>
      </c>
      <c r="E186">
        <v>7.2279999999999998</v>
      </c>
      <c r="F186">
        <v>1971252.4210000001</v>
      </c>
      <c r="G186">
        <v>7.2279999999999998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0.72852598091198273</v>
      </c>
      <c r="Q186">
        <f t="shared" ref="Q186" si="906">F186*P186</f>
        <v>1436108.6036341458</v>
      </c>
      <c r="R186">
        <f t="shared" ref="R186" si="907">R187+Q186</f>
        <v>210510572.57186082</v>
      </c>
      <c r="S186">
        <f t="shared" ref="S186" si="908">R186/100000</f>
        <v>2105.105725718608</v>
      </c>
      <c r="T186">
        <f t="shared" ref="T186" si="909">S186/1000</f>
        <v>2.1051057257186079</v>
      </c>
    </row>
    <row r="187" spans="1:20" x14ac:dyDescent="0.25">
      <c r="A187" s="5">
        <v>44406</v>
      </c>
      <c r="B187">
        <v>6.6379999999999999</v>
      </c>
      <c r="C187">
        <v>6.819</v>
      </c>
      <c r="D187">
        <v>6.4340000000000002</v>
      </c>
      <c r="E187">
        <v>6.766</v>
      </c>
      <c r="F187">
        <v>940506.67299999995</v>
      </c>
      <c r="G187">
        <v>6.766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0.72467532467532481</v>
      </c>
      <c r="Q187">
        <f t="shared" ref="Q187" si="911">F187*P187</f>
        <v>681561.97861558455</v>
      </c>
      <c r="R187">
        <f t="shared" ref="R187" si="912">R188+Q187</f>
        <v>209074463.96822667</v>
      </c>
      <c r="S187">
        <f t="shared" ref="S187" si="913">R187/100000</f>
        <v>2090.7446396822666</v>
      </c>
      <c r="T187">
        <f t="shared" ref="T187" si="914">S187/1000</f>
        <v>2.0907446396822666</v>
      </c>
    </row>
    <row r="188" spans="1:20" x14ac:dyDescent="0.25">
      <c r="A188" s="5">
        <v>44405</v>
      </c>
      <c r="B188">
        <v>6.5030000000000001</v>
      </c>
      <c r="C188">
        <v>6.7069999999999999</v>
      </c>
      <c r="D188">
        <v>6.37</v>
      </c>
      <c r="E188">
        <v>6.6379999999999999</v>
      </c>
      <c r="F188">
        <v>1336828.46</v>
      </c>
      <c r="G188">
        <v>6.6379999999999999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0.59050445103857563</v>
      </c>
      <c r="Q188">
        <f t="shared" ref="Q188" si="916">F188*P188</f>
        <v>789403.1559050444</v>
      </c>
      <c r="R188">
        <f t="shared" ref="R188" si="917">R189+Q188</f>
        <v>208392901.98961109</v>
      </c>
      <c r="S188">
        <f t="shared" ref="S188" si="918">R188/100000</f>
        <v>2083.9290198961107</v>
      </c>
      <c r="T188">
        <f t="shared" ref="T188" si="919">S188/1000</f>
        <v>2.0839290198961109</v>
      </c>
    </row>
    <row r="189" spans="1:20" x14ac:dyDescent="0.25">
      <c r="A189" s="5">
        <v>44404</v>
      </c>
      <c r="B189">
        <v>6.3079999999999998</v>
      </c>
      <c r="C189">
        <v>6.5960000000000001</v>
      </c>
      <c r="D189">
        <v>6.0270000000000001</v>
      </c>
      <c r="E189">
        <v>6.5140000000000002</v>
      </c>
      <c r="F189">
        <v>1710897.257</v>
      </c>
      <c r="G189">
        <v>6.5140000000000002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0.71177504393673163</v>
      </c>
      <c r="Q189">
        <f t="shared" ref="Q189" si="921">F189*P189</f>
        <v>1217773.9702724086</v>
      </c>
      <c r="R189">
        <f t="shared" ref="R189" si="922">R190+Q189</f>
        <v>207603498.83370605</v>
      </c>
      <c r="S189">
        <f t="shared" ref="S189" si="923">R189/100000</f>
        <v>2076.0349883370604</v>
      </c>
      <c r="T189">
        <f t="shared" ref="T189" si="924">S189/1000</f>
        <v>2.0760349883370606</v>
      </c>
    </row>
    <row r="190" spans="1:20" x14ac:dyDescent="0.25">
      <c r="A190" s="5">
        <v>44403</v>
      </c>
      <c r="B190">
        <v>6.2130000000000001</v>
      </c>
      <c r="C190">
        <v>7.0519999999999996</v>
      </c>
      <c r="D190">
        <v>6.1680000000000001</v>
      </c>
      <c r="E190">
        <v>6.3120000000000003</v>
      </c>
      <c r="F190">
        <v>3198979.8640000001</v>
      </c>
      <c r="G190">
        <v>6.3120000000000003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-0.67420814479637958</v>
      </c>
      <c r="Q190">
        <f t="shared" ref="Q190" si="926">F190*P190</f>
        <v>-2156778.2793484149</v>
      </c>
      <c r="R190">
        <f t="shared" ref="R190" si="927">R191+Q190</f>
        <v>206385724.86343363</v>
      </c>
      <c r="S190">
        <f t="shared" ref="S190" si="928">R190/100000</f>
        <v>2063.8572486343364</v>
      </c>
      <c r="T190">
        <f t="shared" ref="T190" si="929">S190/1000</f>
        <v>2.0638572486343363</v>
      </c>
    </row>
    <row r="191" spans="1:20" x14ac:dyDescent="0.25">
      <c r="A191" s="5">
        <v>44402</v>
      </c>
      <c r="B191">
        <v>6.0970000000000004</v>
      </c>
      <c r="C191">
        <v>6.218</v>
      </c>
      <c r="D191">
        <v>5.851</v>
      </c>
      <c r="E191">
        <v>6.2130000000000001</v>
      </c>
      <c r="F191">
        <v>1293977.233</v>
      </c>
      <c r="G191">
        <v>6.2130000000000001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0.97275204359673084</v>
      </c>
      <c r="Q191">
        <f t="shared" ref="Q191" si="931">F191*P191</f>
        <v>1258718.9977683933</v>
      </c>
      <c r="R191">
        <f t="shared" ref="R191" si="932">R192+Q191</f>
        <v>208542503.14278203</v>
      </c>
      <c r="S191">
        <f t="shared" ref="S191" si="933">R191/100000</f>
        <v>2085.4250314278202</v>
      </c>
      <c r="T191">
        <f t="shared" ref="T191:T197" si="934">S191/1000</f>
        <v>2.0854250314278202</v>
      </c>
    </row>
    <row r="192" spans="1:20" x14ac:dyDescent="0.25">
      <c r="A192" s="5">
        <v>44401</v>
      </c>
      <c r="B192">
        <v>5.87</v>
      </c>
      <c r="C192">
        <v>6.3730000000000002</v>
      </c>
      <c r="D192">
        <v>5.8120000000000003</v>
      </c>
      <c r="E192">
        <v>6.0880000000000001</v>
      </c>
      <c r="F192">
        <v>1916692.798</v>
      </c>
      <c r="G192">
        <v>6.0880000000000001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-1.604278074866371E-2</v>
      </c>
      <c r="Q192">
        <f t="shared" ref="Q192" si="936">F192*P192</f>
        <v>-30749.082320856782</v>
      </c>
      <c r="R192">
        <f t="shared" ref="R192" si="937">R193+Q192</f>
        <v>207283784.14501363</v>
      </c>
      <c r="S192">
        <f t="shared" ref="S192" si="938">R192/100000</f>
        <v>2072.8378414501362</v>
      </c>
      <c r="T192">
        <f t="shared" si="934"/>
        <v>2.0728378414501361</v>
      </c>
    </row>
    <row r="193" spans="1:20" x14ac:dyDescent="0.25">
      <c r="A193" s="5">
        <v>44400</v>
      </c>
      <c r="B193">
        <v>5.601</v>
      </c>
      <c r="C193">
        <v>5.9880000000000004</v>
      </c>
      <c r="D193">
        <v>5.4509999999999996</v>
      </c>
      <c r="E193">
        <v>5.87</v>
      </c>
      <c r="F193">
        <v>1423657.8640000001</v>
      </c>
      <c r="G193">
        <v>5.87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0.56052141527001809</v>
      </c>
      <c r="Q193">
        <f t="shared" ref="Q193" si="940">F193*P193</f>
        <v>797990.72078957094</v>
      </c>
      <c r="R193">
        <f t="shared" ref="R193" si="941">R194+Q193</f>
        <v>207314533.2273345</v>
      </c>
      <c r="S193">
        <f t="shared" ref="S193" si="942">R193/100000</f>
        <v>2073.145332273345</v>
      </c>
      <c r="T193">
        <f t="shared" si="934"/>
        <v>2.0731453322733451</v>
      </c>
    </row>
    <row r="194" spans="1:20" x14ac:dyDescent="0.25">
      <c r="A194" s="5">
        <v>44399</v>
      </c>
      <c r="B194">
        <v>5.3949999999999996</v>
      </c>
      <c r="C194">
        <v>5.6719999999999997</v>
      </c>
      <c r="D194">
        <v>5.2759999999999998</v>
      </c>
      <c r="E194">
        <v>5.6</v>
      </c>
      <c r="F194">
        <v>1036045.862</v>
      </c>
      <c r="G194">
        <v>5.6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0.63636363636363591</v>
      </c>
      <c r="Q194">
        <f t="shared" ref="Q194" si="944">F194*P194</f>
        <v>659301.91218181769</v>
      </c>
      <c r="R194">
        <f t="shared" ref="R194" si="945">R195+Q194</f>
        <v>206516542.50654492</v>
      </c>
      <c r="S194">
        <f t="shared" ref="S194" si="946">R194/100000</f>
        <v>2065.1654250654492</v>
      </c>
      <c r="T194">
        <f t="shared" si="934"/>
        <v>2.065165425065449</v>
      </c>
    </row>
    <row r="195" spans="1:20" x14ac:dyDescent="0.25">
      <c r="A195" s="5">
        <v>44398</v>
      </c>
      <c r="B195">
        <v>4.9770000000000003</v>
      </c>
      <c r="C195">
        <v>5.5469999999999997</v>
      </c>
      <c r="D195">
        <v>4.8310000000000004</v>
      </c>
      <c r="E195">
        <v>5.3879999999999999</v>
      </c>
      <c r="F195">
        <v>1613489.7220000001</v>
      </c>
      <c r="G195">
        <v>5.3879999999999999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0.55586592178770955</v>
      </c>
      <c r="Q195">
        <f t="shared" ref="Q195" si="948">F195*P195</f>
        <v>896883.95161452529</v>
      </c>
      <c r="R195">
        <f t="shared" ref="R195" si="949">R196+Q195</f>
        <v>205857240.59436309</v>
      </c>
      <c r="S195">
        <f t="shared" ref="S195" si="950">R195/100000</f>
        <v>2058.5724059436311</v>
      </c>
      <c r="T195">
        <f t="shared" si="934"/>
        <v>2.058572405943631</v>
      </c>
    </row>
    <row r="196" spans="1:20" x14ac:dyDescent="0.25">
      <c r="A196" s="5">
        <v>44397</v>
      </c>
      <c r="B196">
        <v>5.3239999999999998</v>
      </c>
      <c r="C196">
        <v>5.4370000000000003</v>
      </c>
      <c r="D196">
        <v>4.8209999999999997</v>
      </c>
      <c r="E196">
        <v>4.9770000000000003</v>
      </c>
      <c r="F196">
        <v>1536147.8370000001</v>
      </c>
      <c r="G196">
        <v>4.9770000000000003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-0.49350649350649206</v>
      </c>
      <c r="Q196">
        <f t="shared" ref="Q196" si="952">F196*P196</f>
        <v>-758098.93254545238</v>
      </c>
      <c r="R196">
        <f t="shared" ref="R196" si="953">R197+Q196</f>
        <v>204960356.64274856</v>
      </c>
      <c r="S196">
        <f t="shared" ref="S196" si="954">R196/100000</f>
        <v>2049.6035664274855</v>
      </c>
      <c r="T196">
        <f t="shared" si="934"/>
        <v>2.0496035664274856</v>
      </c>
    </row>
    <row r="197" spans="1:20" x14ac:dyDescent="0.25">
      <c r="A197" s="5">
        <v>44396</v>
      </c>
      <c r="B197">
        <v>5.6669999999999998</v>
      </c>
      <c r="C197">
        <v>5.7240000000000002</v>
      </c>
      <c r="D197">
        <v>5.2510000000000003</v>
      </c>
      <c r="E197">
        <v>5.3140000000000001</v>
      </c>
      <c r="F197">
        <v>983196.73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-0.7336152219873161</v>
      </c>
      <c r="Q197">
        <f t="shared" ref="Q197" si="956">F197*P197</f>
        <v>-721288.08733615326</v>
      </c>
      <c r="R197">
        <f t="shared" ref="R197" si="957">R198+Q197</f>
        <v>205718455.57529402</v>
      </c>
      <c r="S197">
        <f t="shared" ref="S197" si="958">R197/100000</f>
        <v>2057.18455575294</v>
      </c>
      <c r="T197">
        <f t="shared" si="934"/>
        <v>2.05718455575294</v>
      </c>
    </row>
    <row r="198" spans="1:20" x14ac:dyDescent="0.25">
      <c r="A198" s="5">
        <v>44395</v>
      </c>
      <c r="B198">
        <v>5.5679999999999996</v>
      </c>
      <c r="C198">
        <v>5.859</v>
      </c>
      <c r="D198">
        <v>5.524</v>
      </c>
      <c r="E198">
        <v>5.67</v>
      </c>
      <c r="F198">
        <v>988544.46900000004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-0.12835820895522435</v>
      </c>
      <c r="Q198">
        <f t="shared" ref="Q198:Q261" si="960">F198*P198</f>
        <v>-126887.7975134333</v>
      </c>
      <c r="R198">
        <f t="shared" ref="R198:R261" si="961">R199+Q198</f>
        <v>206439743.66263017</v>
      </c>
      <c r="S198">
        <f t="shared" ref="S198:S261" si="962">R198/100000</f>
        <v>2064.3974366263019</v>
      </c>
      <c r="T198">
        <f t="shared" ref="T198:T261" si="963">S198/1000</f>
        <v>2.0643974366263018</v>
      </c>
    </row>
    <row r="199" spans="1:20" x14ac:dyDescent="0.25">
      <c r="A199" s="5">
        <v>44394</v>
      </c>
      <c r="B199">
        <v>5.5339999999999998</v>
      </c>
      <c r="C199">
        <v>5.7039999999999997</v>
      </c>
      <c r="D199">
        <v>5.415</v>
      </c>
      <c r="E199">
        <v>5.5650000000000004</v>
      </c>
      <c r="F199">
        <v>955288.26399999997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3.8062283737027754E-2</v>
      </c>
      <c r="Q199">
        <f t="shared" si="960"/>
        <v>36360.452955020672</v>
      </c>
      <c r="R199">
        <f t="shared" si="961"/>
        <v>206566631.4601436</v>
      </c>
      <c r="S199">
        <f t="shared" si="962"/>
        <v>2065.6663146014362</v>
      </c>
      <c r="T199">
        <f t="shared" si="963"/>
        <v>2.0656663146014362</v>
      </c>
    </row>
    <row r="200" spans="1:20" x14ac:dyDescent="0.25">
      <c r="A200" s="5">
        <v>44393</v>
      </c>
      <c r="B200">
        <v>5.9269999999999996</v>
      </c>
      <c r="C200">
        <v>6.0670000000000002</v>
      </c>
      <c r="D200">
        <v>5.5110000000000001</v>
      </c>
      <c r="E200">
        <v>5.5279999999999996</v>
      </c>
      <c r="F200">
        <v>1390337.4129999999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-0.93884892086331129</v>
      </c>
      <c r="Q200">
        <f t="shared" si="960"/>
        <v>-1305316.779830938</v>
      </c>
      <c r="R200">
        <f t="shared" si="961"/>
        <v>206530271.00718859</v>
      </c>
      <c r="S200">
        <f t="shared" si="962"/>
        <v>2065.3027100718859</v>
      </c>
      <c r="T200">
        <f t="shared" si="963"/>
        <v>2.0653027100718861</v>
      </c>
    </row>
    <row r="201" spans="1:20" x14ac:dyDescent="0.25">
      <c r="A201" s="5">
        <v>44392</v>
      </c>
      <c r="B201">
        <v>6.1989999999999998</v>
      </c>
      <c r="C201">
        <v>6.33</v>
      </c>
      <c r="D201">
        <v>5.7859999999999996</v>
      </c>
      <c r="E201">
        <v>5.92</v>
      </c>
      <c r="F201">
        <v>1154369.0870000001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-0.50735294117646978</v>
      </c>
      <c r="Q201">
        <f t="shared" si="960"/>
        <v>-585672.5514926461</v>
      </c>
      <c r="R201">
        <f t="shared" si="961"/>
        <v>207835587.78701952</v>
      </c>
      <c r="S201">
        <f t="shared" si="962"/>
        <v>2078.3558778701954</v>
      </c>
      <c r="T201">
        <f t="shared" si="963"/>
        <v>2.0783558778701954</v>
      </c>
    </row>
    <row r="202" spans="1:20" x14ac:dyDescent="0.25">
      <c r="A202" s="5">
        <v>44391</v>
      </c>
      <c r="B202">
        <v>6.2130000000000001</v>
      </c>
      <c r="C202">
        <v>6.3330000000000002</v>
      </c>
      <c r="D202">
        <v>5.806</v>
      </c>
      <c r="E202">
        <v>6.2</v>
      </c>
      <c r="F202">
        <v>1134626.7180000001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0.4952561669829223</v>
      </c>
      <c r="Q202">
        <f t="shared" si="960"/>
        <v>561930.87931309314</v>
      </c>
      <c r="R202">
        <f t="shared" si="961"/>
        <v>208421260.33851215</v>
      </c>
      <c r="S202">
        <f t="shared" si="962"/>
        <v>2084.2126033851214</v>
      </c>
      <c r="T202">
        <f t="shared" si="963"/>
        <v>2.0842126033851214</v>
      </c>
    </row>
    <row r="203" spans="1:20" x14ac:dyDescent="0.25">
      <c r="A203" s="5">
        <v>44390</v>
      </c>
      <c r="B203">
        <v>6.5449999999999999</v>
      </c>
      <c r="C203">
        <v>6.5949999999999998</v>
      </c>
      <c r="D203">
        <v>6.1509999999999998</v>
      </c>
      <c r="E203">
        <v>6.2119999999999997</v>
      </c>
      <c r="F203">
        <v>838628.29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-0.72522522522522548</v>
      </c>
      <c r="Q203">
        <f t="shared" si="960"/>
        <v>-608194.39049549575</v>
      </c>
      <c r="R203">
        <f t="shared" si="961"/>
        <v>207859329.45919907</v>
      </c>
      <c r="S203">
        <f t="shared" si="962"/>
        <v>2078.5932945919908</v>
      </c>
      <c r="T203">
        <f t="shared" si="963"/>
        <v>2.0785932945919909</v>
      </c>
    </row>
    <row r="204" spans="1:20" x14ac:dyDescent="0.25">
      <c r="A204" s="5">
        <v>44389</v>
      </c>
      <c r="B204">
        <v>6.7030000000000003</v>
      </c>
      <c r="C204">
        <v>6.9169999999999998</v>
      </c>
      <c r="D204">
        <v>6.4160000000000004</v>
      </c>
      <c r="E204">
        <v>6.548</v>
      </c>
      <c r="F204">
        <v>1187281.7239999999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-0.47305389221556959</v>
      </c>
      <c r="Q204">
        <f t="shared" si="960"/>
        <v>-561648.24069461157</v>
      </c>
      <c r="R204">
        <f t="shared" si="961"/>
        <v>208467523.84969458</v>
      </c>
      <c r="S204">
        <f t="shared" si="962"/>
        <v>2084.6752384969459</v>
      </c>
      <c r="T204">
        <f t="shared" si="963"/>
        <v>2.084675238496946</v>
      </c>
    </row>
    <row r="205" spans="1:20" x14ac:dyDescent="0.25">
      <c r="A205" s="5">
        <v>44388</v>
      </c>
      <c r="B205">
        <v>6.64</v>
      </c>
      <c r="C205">
        <v>6.8070000000000004</v>
      </c>
      <c r="D205">
        <v>6.4420000000000002</v>
      </c>
      <c r="E205">
        <v>6.7</v>
      </c>
      <c r="F205">
        <v>933641.14399999997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0.41369863013698549</v>
      </c>
      <c r="Q205">
        <f t="shared" si="960"/>
        <v>386246.06231232802</v>
      </c>
      <c r="R205">
        <f t="shared" si="961"/>
        <v>209029172.09038919</v>
      </c>
      <c r="S205">
        <f t="shared" si="962"/>
        <v>2090.2917209038919</v>
      </c>
      <c r="T205">
        <f t="shared" si="963"/>
        <v>2.0902917209038918</v>
      </c>
    </row>
    <row r="206" spans="1:20" x14ac:dyDescent="0.25">
      <c r="A206" s="5">
        <v>44387</v>
      </c>
      <c r="B206">
        <v>6.7770000000000001</v>
      </c>
      <c r="C206">
        <v>6.9130000000000003</v>
      </c>
      <c r="D206">
        <v>6.4390000000000001</v>
      </c>
      <c r="E206">
        <v>6.6390000000000002</v>
      </c>
      <c r="F206">
        <v>842541.38300000003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-0.1561181434599152</v>
      </c>
      <c r="Q206">
        <f t="shared" si="960"/>
        <v>-131535.99650210937</v>
      </c>
      <c r="R206">
        <f t="shared" si="961"/>
        <v>208642926.02807686</v>
      </c>
      <c r="S206">
        <f t="shared" si="962"/>
        <v>2086.4292602807686</v>
      </c>
      <c r="T206">
        <f t="shared" si="963"/>
        <v>2.0864292602807688</v>
      </c>
    </row>
    <row r="207" spans="1:20" x14ac:dyDescent="0.25">
      <c r="A207" s="5">
        <v>44386</v>
      </c>
      <c r="B207">
        <v>6.492</v>
      </c>
      <c r="C207">
        <v>6.9660000000000002</v>
      </c>
      <c r="D207">
        <v>6.0910000000000002</v>
      </c>
      <c r="E207">
        <v>6.7759999999999998</v>
      </c>
      <c r="F207">
        <v>1752449.03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0.56571428571428484</v>
      </c>
      <c r="Q207">
        <f t="shared" si="960"/>
        <v>991385.45125714131</v>
      </c>
      <c r="R207">
        <f t="shared" si="961"/>
        <v>208774462.02457896</v>
      </c>
      <c r="S207">
        <f t="shared" si="962"/>
        <v>2087.7446202457895</v>
      </c>
      <c r="T207">
        <f t="shared" si="963"/>
        <v>2.0877446202457897</v>
      </c>
    </row>
    <row r="208" spans="1:20" x14ac:dyDescent="0.25">
      <c r="A208" s="5">
        <v>44385</v>
      </c>
      <c r="B208">
        <v>7.08</v>
      </c>
      <c r="C208">
        <v>7.1020000000000003</v>
      </c>
      <c r="D208">
        <v>6.3780000000000001</v>
      </c>
      <c r="E208">
        <v>6.4950000000000001</v>
      </c>
      <c r="F208">
        <v>1888970.773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-0.67679558011049734</v>
      </c>
      <c r="Q208">
        <f t="shared" si="960"/>
        <v>-1278447.0701243095</v>
      </c>
      <c r="R208">
        <f t="shared" si="961"/>
        <v>207783076.57332182</v>
      </c>
      <c r="S208">
        <f t="shared" si="962"/>
        <v>2077.8307657332184</v>
      </c>
      <c r="T208">
        <f t="shared" si="963"/>
        <v>2.0778307657332182</v>
      </c>
    </row>
    <row r="209" spans="1:20" x14ac:dyDescent="0.25">
      <c r="A209" s="5">
        <v>44384</v>
      </c>
      <c r="B209">
        <v>7.165</v>
      </c>
      <c r="C209">
        <v>7.3570000000000002</v>
      </c>
      <c r="D209">
        <v>7.0190000000000001</v>
      </c>
      <c r="E209">
        <v>7.0860000000000003</v>
      </c>
      <c r="F209">
        <v>1636455.49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-0.60355029585798725</v>
      </c>
      <c r="Q209">
        <f t="shared" si="960"/>
        <v>-987683.1951479275</v>
      </c>
      <c r="R209">
        <f t="shared" si="961"/>
        <v>209061523.64344612</v>
      </c>
      <c r="S209">
        <f t="shared" si="962"/>
        <v>2090.6152364344612</v>
      </c>
      <c r="T209">
        <f t="shared" si="963"/>
        <v>2.090615236434461</v>
      </c>
    </row>
    <row r="210" spans="1:20" x14ac:dyDescent="0.25">
      <c r="A210" s="5">
        <v>44383</v>
      </c>
      <c r="B210">
        <v>6.95</v>
      </c>
      <c r="C210">
        <v>7.3810000000000002</v>
      </c>
      <c r="D210">
        <v>6.9459999999999997</v>
      </c>
      <c r="E210">
        <v>7.1669999999999998</v>
      </c>
      <c r="F210">
        <v>1613170.797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1.6091954022987735E-2</v>
      </c>
      <c r="Q210">
        <f t="shared" si="960"/>
        <v>25959.070296550482</v>
      </c>
      <c r="R210">
        <f t="shared" si="961"/>
        <v>210049206.83859405</v>
      </c>
      <c r="S210">
        <f t="shared" si="962"/>
        <v>2100.4920683859405</v>
      </c>
      <c r="T210">
        <f t="shared" si="963"/>
        <v>2.1004920683859405</v>
      </c>
    </row>
    <row r="211" spans="1:20" x14ac:dyDescent="0.25">
      <c r="A211" s="5">
        <v>44382</v>
      </c>
      <c r="B211">
        <v>7.3940000000000001</v>
      </c>
      <c r="C211">
        <v>7.3940000000000001</v>
      </c>
      <c r="D211">
        <v>6.798</v>
      </c>
      <c r="E211">
        <v>6.952</v>
      </c>
      <c r="F211">
        <v>1724946.0149999999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-0.48322147651006747</v>
      </c>
      <c r="Q211">
        <f t="shared" si="960"/>
        <v>-833530.96026845695</v>
      </c>
      <c r="R211">
        <f t="shared" si="961"/>
        <v>210023247.76829749</v>
      </c>
      <c r="S211">
        <f t="shared" si="962"/>
        <v>2100.2324776829751</v>
      </c>
      <c r="T211">
        <f t="shared" si="963"/>
        <v>2.1002324776829751</v>
      </c>
    </row>
    <row r="212" spans="1:20" x14ac:dyDescent="0.25">
      <c r="A212" s="5">
        <v>44381</v>
      </c>
      <c r="B212">
        <v>7.2409999999999997</v>
      </c>
      <c r="C212">
        <v>7.7050000000000001</v>
      </c>
      <c r="D212">
        <v>7.0460000000000003</v>
      </c>
      <c r="E212">
        <v>7.3949999999999996</v>
      </c>
      <c r="F212">
        <v>1445567.6410000001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5.9180576631257698E-2</v>
      </c>
      <c r="Q212">
        <f t="shared" si="960"/>
        <v>85549.526553866919</v>
      </c>
      <c r="R212">
        <f t="shared" si="961"/>
        <v>210856778.72856596</v>
      </c>
      <c r="S212">
        <f t="shared" si="962"/>
        <v>2108.5677872856595</v>
      </c>
      <c r="T212">
        <f t="shared" si="963"/>
        <v>2.1085677872856596</v>
      </c>
    </row>
    <row r="213" spans="1:20" x14ac:dyDescent="0.25">
      <c r="A213" s="5">
        <v>44380</v>
      </c>
      <c r="B213">
        <v>7.0659999999999998</v>
      </c>
      <c r="C213">
        <v>7.44</v>
      </c>
      <c r="D213">
        <v>6.9370000000000003</v>
      </c>
      <c r="E213">
        <v>7.2510000000000003</v>
      </c>
      <c r="F213">
        <v>1250738.2949999999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0.24850894632206755</v>
      </c>
      <c r="Q213">
        <f t="shared" si="960"/>
        <v>310819.65581510926</v>
      </c>
      <c r="R213">
        <f t="shared" si="961"/>
        <v>210771229.20201209</v>
      </c>
      <c r="S213">
        <f t="shared" si="962"/>
        <v>2107.7122920201209</v>
      </c>
      <c r="T213">
        <f t="shared" si="963"/>
        <v>2.1077122920201208</v>
      </c>
    </row>
    <row r="214" spans="1:20" x14ac:dyDescent="0.25">
      <c r="A214" s="5">
        <v>44379</v>
      </c>
      <c r="B214">
        <v>7.0620000000000003</v>
      </c>
      <c r="C214">
        <v>7.2679999999999998</v>
      </c>
      <c r="D214">
        <v>6.65</v>
      </c>
      <c r="E214">
        <v>7.06</v>
      </c>
      <c r="F214">
        <v>1585247.9739999999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0.326860841423947</v>
      </c>
      <c r="Q214">
        <f t="shared" si="960"/>
        <v>518155.48664724722</v>
      </c>
      <c r="R214">
        <f t="shared" si="961"/>
        <v>210460409.546197</v>
      </c>
      <c r="S214">
        <f t="shared" si="962"/>
        <v>2104.6040954619698</v>
      </c>
      <c r="T214">
        <f t="shared" si="963"/>
        <v>2.1046040954619696</v>
      </c>
    </row>
    <row r="215" spans="1:20" x14ac:dyDescent="0.25">
      <c r="A215" s="5">
        <v>44378</v>
      </c>
      <c r="B215">
        <v>7.68</v>
      </c>
      <c r="C215">
        <v>7.68</v>
      </c>
      <c r="D215">
        <v>6.8280000000000003</v>
      </c>
      <c r="E215">
        <v>7.0620000000000003</v>
      </c>
      <c r="F215">
        <v>2398170.719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-0.45070422535211235</v>
      </c>
      <c r="Q215">
        <f t="shared" si="960"/>
        <v>-1080865.6761690134</v>
      </c>
      <c r="R215">
        <f t="shared" si="961"/>
        <v>209942254.05954975</v>
      </c>
      <c r="S215">
        <f t="shared" si="962"/>
        <v>2099.4225405954976</v>
      </c>
      <c r="T215">
        <f t="shared" si="963"/>
        <v>2.0994225405954974</v>
      </c>
    </row>
    <row r="216" spans="1:20" x14ac:dyDescent="0.25">
      <c r="A216" s="5">
        <v>44377</v>
      </c>
      <c r="B216">
        <v>7.5620000000000003</v>
      </c>
      <c r="C216">
        <v>7.9550000000000001</v>
      </c>
      <c r="D216">
        <v>6.8049999999999997</v>
      </c>
      <c r="E216">
        <v>7.68</v>
      </c>
      <c r="F216">
        <v>5610226.7869999995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0.52173913043478215</v>
      </c>
      <c r="Q216">
        <f t="shared" si="960"/>
        <v>2927074.8453913014</v>
      </c>
      <c r="R216">
        <f t="shared" si="961"/>
        <v>211023119.73571876</v>
      </c>
      <c r="S216">
        <f t="shared" si="962"/>
        <v>2110.2311973571877</v>
      </c>
      <c r="T216">
        <f t="shared" si="963"/>
        <v>2.1102311973571877</v>
      </c>
    </row>
    <row r="217" spans="1:20" x14ac:dyDescent="0.25">
      <c r="A217" s="5">
        <v>44376</v>
      </c>
      <c r="B217">
        <v>6.3259999999999996</v>
      </c>
      <c r="C217">
        <v>7.6779999999999999</v>
      </c>
      <c r="D217">
        <v>6.29</v>
      </c>
      <c r="E217">
        <v>7.5659999999999998</v>
      </c>
      <c r="F217">
        <v>3779318.7969999998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0.83861671469740617</v>
      </c>
      <c r="Q217">
        <f t="shared" si="960"/>
        <v>3169399.9133342933</v>
      </c>
      <c r="R217">
        <f t="shared" si="961"/>
        <v>208096044.89032745</v>
      </c>
      <c r="S217">
        <f t="shared" si="962"/>
        <v>2080.9604489032745</v>
      </c>
      <c r="T217">
        <f t="shared" si="963"/>
        <v>2.0809604489032747</v>
      </c>
    </row>
    <row r="218" spans="1:20" x14ac:dyDescent="0.25">
      <c r="A218" s="5">
        <v>44375</v>
      </c>
      <c r="B218">
        <v>6.1609999999999996</v>
      </c>
      <c r="C218">
        <v>6.4539999999999997</v>
      </c>
      <c r="D218">
        <v>5.992</v>
      </c>
      <c r="E218">
        <v>6.3230000000000004</v>
      </c>
      <c r="F218">
        <v>1816354.4310000001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0.43290043290043545</v>
      </c>
      <c r="Q218">
        <f t="shared" si="960"/>
        <v>786300.61948052421</v>
      </c>
      <c r="R218">
        <f t="shared" si="961"/>
        <v>204926644.97699317</v>
      </c>
      <c r="S218">
        <f t="shared" si="962"/>
        <v>2049.2664497699316</v>
      </c>
      <c r="T218">
        <f t="shared" si="963"/>
        <v>2.0492664497699318</v>
      </c>
    </row>
    <row r="219" spans="1:20" x14ac:dyDescent="0.25">
      <c r="A219" s="5">
        <v>44374</v>
      </c>
      <c r="B219">
        <v>5.82</v>
      </c>
      <c r="C219">
        <v>6.266</v>
      </c>
      <c r="D219">
        <v>5.6970000000000001</v>
      </c>
      <c r="E219">
        <v>6.16</v>
      </c>
      <c r="F219">
        <v>2655836.1779999998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0.62741652021089678</v>
      </c>
      <c r="Q219">
        <f t="shared" si="960"/>
        <v>1666315.4930509678</v>
      </c>
      <c r="R219">
        <f t="shared" si="961"/>
        <v>204140344.35751265</v>
      </c>
      <c r="S219">
        <f t="shared" si="962"/>
        <v>2041.4034435751266</v>
      </c>
      <c r="T219">
        <f t="shared" si="963"/>
        <v>2.0414034435751267</v>
      </c>
    </row>
    <row r="220" spans="1:20" x14ac:dyDescent="0.25">
      <c r="A220" s="5">
        <v>44373</v>
      </c>
      <c r="B220">
        <v>5.5110000000000001</v>
      </c>
      <c r="C220">
        <v>5.8659999999999997</v>
      </c>
      <c r="D220">
        <v>5.242</v>
      </c>
      <c r="E220">
        <v>5.8220000000000001</v>
      </c>
      <c r="F220">
        <v>2786602.5759999999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0.85897435897436014</v>
      </c>
      <c r="Q220">
        <f t="shared" si="960"/>
        <v>2393620.1614359007</v>
      </c>
      <c r="R220">
        <f t="shared" si="961"/>
        <v>202474028.86446169</v>
      </c>
      <c r="S220">
        <f t="shared" si="962"/>
        <v>2024.7402886446168</v>
      </c>
      <c r="T220">
        <f t="shared" si="963"/>
        <v>2.0247402886446166</v>
      </c>
    </row>
    <row r="221" spans="1:20" x14ac:dyDescent="0.25">
      <c r="A221" s="5">
        <v>44372</v>
      </c>
      <c r="B221">
        <v>6.1779999999999999</v>
      </c>
      <c r="C221">
        <v>6.51</v>
      </c>
      <c r="D221">
        <v>5.4139999999999997</v>
      </c>
      <c r="E221">
        <v>5.5119999999999996</v>
      </c>
      <c r="F221">
        <v>3188607.696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-0.82116788321167911</v>
      </c>
      <c r="Q221">
        <f t="shared" si="960"/>
        <v>-2618382.2321167891</v>
      </c>
      <c r="R221">
        <f t="shared" si="961"/>
        <v>200080408.70302579</v>
      </c>
      <c r="S221">
        <f t="shared" si="962"/>
        <v>2000.804087030258</v>
      </c>
      <c r="T221">
        <f t="shared" si="963"/>
        <v>2.0008040870302581</v>
      </c>
    </row>
    <row r="222" spans="1:20" x14ac:dyDescent="0.25">
      <c r="A222" s="5">
        <v>44371</v>
      </c>
      <c r="B222">
        <v>5.9009999999999998</v>
      </c>
      <c r="C222">
        <v>6.25</v>
      </c>
      <c r="D222">
        <v>5.5190000000000001</v>
      </c>
      <c r="E222">
        <v>6.1749999999999998</v>
      </c>
      <c r="F222">
        <v>2551257.477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0.79480164158686684</v>
      </c>
      <c r="Q222">
        <f t="shared" si="960"/>
        <v>2027743.630830368</v>
      </c>
      <c r="R222">
        <f t="shared" si="961"/>
        <v>202698790.93514258</v>
      </c>
      <c r="S222">
        <f t="shared" si="962"/>
        <v>2026.9879093514257</v>
      </c>
      <c r="T222">
        <f t="shared" si="963"/>
        <v>2.0269879093514258</v>
      </c>
    </row>
    <row r="223" spans="1:20" x14ac:dyDescent="0.25">
      <c r="A223" s="5">
        <v>44370</v>
      </c>
      <c r="B223">
        <v>4.9989999999999997</v>
      </c>
      <c r="C223">
        <v>6.0759999999999996</v>
      </c>
      <c r="D223">
        <v>4.7629999999999999</v>
      </c>
      <c r="E223">
        <v>5.8979999999999997</v>
      </c>
      <c r="F223">
        <v>3639235.8369999998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0.72886519421172891</v>
      </c>
      <c r="Q223">
        <f t="shared" si="960"/>
        <v>2652512.3351172889</v>
      </c>
      <c r="R223">
        <f t="shared" si="961"/>
        <v>200671047.3043122</v>
      </c>
      <c r="S223">
        <f t="shared" si="962"/>
        <v>2006.710473043122</v>
      </c>
      <c r="T223">
        <f t="shared" si="963"/>
        <v>2.006710473043122</v>
      </c>
    </row>
    <row r="224" spans="1:20" x14ac:dyDescent="0.25">
      <c r="A224" s="5">
        <v>44369</v>
      </c>
      <c r="B224">
        <v>5.4770000000000003</v>
      </c>
      <c r="C224">
        <v>5.8879999999999999</v>
      </c>
      <c r="D224">
        <v>4.4390000000000001</v>
      </c>
      <c r="E224">
        <v>4.9969999999999999</v>
      </c>
      <c r="F224">
        <v>7402858.9919999996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-0.22981366459627345</v>
      </c>
      <c r="Q224">
        <f t="shared" si="960"/>
        <v>-1701278.1534409949</v>
      </c>
      <c r="R224">
        <f t="shared" si="961"/>
        <v>198018534.96919492</v>
      </c>
      <c r="S224">
        <f t="shared" si="962"/>
        <v>1980.1853496919491</v>
      </c>
      <c r="T224">
        <f t="shared" si="963"/>
        <v>1.980185349691949</v>
      </c>
    </row>
    <row r="225" spans="1:20" x14ac:dyDescent="0.25">
      <c r="A225" s="5">
        <v>44368</v>
      </c>
      <c r="B225">
        <v>7.5529999999999999</v>
      </c>
      <c r="C225">
        <v>7.61</v>
      </c>
      <c r="D225">
        <v>5.3929999999999998</v>
      </c>
      <c r="E225">
        <v>5.4779999999999998</v>
      </c>
      <c r="F225">
        <v>4659377.9780000001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-0.92331980153360405</v>
      </c>
      <c r="Q225">
        <f t="shared" si="960"/>
        <v>-4302095.9499170054</v>
      </c>
      <c r="R225">
        <f t="shared" si="961"/>
        <v>199719813.1226359</v>
      </c>
      <c r="S225">
        <f t="shared" si="962"/>
        <v>1997.198131226359</v>
      </c>
      <c r="T225">
        <f t="shared" si="963"/>
        <v>1.9971981312263589</v>
      </c>
    </row>
    <row r="226" spans="1:20" x14ac:dyDescent="0.25">
      <c r="A226" s="5">
        <v>44367</v>
      </c>
      <c r="B226">
        <v>7.6719999999999997</v>
      </c>
      <c r="C226">
        <v>7.6890000000000001</v>
      </c>
      <c r="D226">
        <v>6.9009999999999998</v>
      </c>
      <c r="E226">
        <v>7.5449999999999999</v>
      </c>
      <c r="F226">
        <v>1625411.5759999999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0.63451776649746172</v>
      </c>
      <c r="Q226">
        <f t="shared" si="960"/>
        <v>1031352.5228426391</v>
      </c>
      <c r="R226">
        <f t="shared" si="961"/>
        <v>204021909.07255292</v>
      </c>
      <c r="S226">
        <f t="shared" si="962"/>
        <v>2040.2190907255292</v>
      </c>
      <c r="T226">
        <f t="shared" si="963"/>
        <v>2.0402190907255293</v>
      </c>
    </row>
    <row r="227" spans="1:20" x14ac:dyDescent="0.25">
      <c r="A227" s="5">
        <v>44366</v>
      </c>
      <c r="B227">
        <v>8.0310000000000006</v>
      </c>
      <c r="C227">
        <v>8.0950000000000006</v>
      </c>
      <c r="D227">
        <v>7.6529999999999996</v>
      </c>
      <c r="E227">
        <v>7.6719999999999997</v>
      </c>
      <c r="F227">
        <v>1004336.73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-0.91402714932126661</v>
      </c>
      <c r="Q227">
        <f t="shared" si="960"/>
        <v>-917991.03828054259</v>
      </c>
      <c r="R227">
        <f t="shared" si="961"/>
        <v>202990556.54971027</v>
      </c>
      <c r="S227">
        <f t="shared" si="962"/>
        <v>2029.9055654971028</v>
      </c>
      <c r="T227">
        <f t="shared" si="963"/>
        <v>2.0299055654971028</v>
      </c>
    </row>
    <row r="228" spans="1:20" x14ac:dyDescent="0.25">
      <c r="A228" s="5">
        <v>44365</v>
      </c>
      <c r="B228">
        <v>8.6329999999999991</v>
      </c>
      <c r="C228">
        <v>8.6329999999999991</v>
      </c>
      <c r="D228">
        <v>7.7469999999999999</v>
      </c>
      <c r="E228">
        <v>8.02</v>
      </c>
      <c r="F228">
        <v>1496803.6159999999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-0.38374717832957128</v>
      </c>
      <c r="Q228">
        <f t="shared" si="960"/>
        <v>-574394.16415349906</v>
      </c>
      <c r="R228">
        <f t="shared" si="961"/>
        <v>203908547.58799082</v>
      </c>
      <c r="S228">
        <f t="shared" si="962"/>
        <v>2039.0854758799082</v>
      </c>
      <c r="T228">
        <f t="shared" si="963"/>
        <v>2.0390854758799084</v>
      </c>
    </row>
    <row r="229" spans="1:20" x14ac:dyDescent="0.25">
      <c r="A229" s="5">
        <v>44364</v>
      </c>
      <c r="B229">
        <v>8.6890000000000001</v>
      </c>
      <c r="C229">
        <v>9.0489999999999995</v>
      </c>
      <c r="D229">
        <v>8.4420000000000002</v>
      </c>
      <c r="E229">
        <v>8.6319999999999997</v>
      </c>
      <c r="F229">
        <v>1065575.977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-0.37397034596375711</v>
      </c>
      <c r="Q229">
        <f t="shared" si="960"/>
        <v>-398493.81676935847</v>
      </c>
      <c r="R229">
        <f t="shared" si="961"/>
        <v>204482941.75214431</v>
      </c>
      <c r="S229">
        <f t="shared" si="962"/>
        <v>2044.829417521443</v>
      </c>
      <c r="T229">
        <f t="shared" si="963"/>
        <v>2.0448294175214432</v>
      </c>
    </row>
    <row r="230" spans="1:20" x14ac:dyDescent="0.25">
      <c r="A230" s="5">
        <v>44363</v>
      </c>
      <c r="B230">
        <v>9.2569999999999997</v>
      </c>
      <c r="C230">
        <v>9.26</v>
      </c>
      <c r="D230">
        <v>8.609</v>
      </c>
      <c r="E230">
        <v>8.6940000000000008</v>
      </c>
      <c r="F230">
        <v>1205617.966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-0.73886328725038131</v>
      </c>
      <c r="Q230">
        <f t="shared" si="960"/>
        <v>-890786.8535268784</v>
      </c>
      <c r="R230">
        <f t="shared" si="961"/>
        <v>204881435.56891367</v>
      </c>
      <c r="S230">
        <f t="shared" si="962"/>
        <v>2048.8143556891368</v>
      </c>
      <c r="T230">
        <f t="shared" si="963"/>
        <v>2.0488143556891369</v>
      </c>
    </row>
    <row r="231" spans="1:20" x14ac:dyDescent="0.25">
      <c r="A231" s="5">
        <v>44362</v>
      </c>
      <c r="B231">
        <v>9.423</v>
      </c>
      <c r="C231">
        <v>9.6050000000000004</v>
      </c>
      <c r="D231">
        <v>9.0670000000000002</v>
      </c>
      <c r="E231">
        <v>9.2569999999999997</v>
      </c>
      <c r="F231">
        <v>1280666.5260000001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-0.29368029739777168</v>
      </c>
      <c r="Q231">
        <f t="shared" si="960"/>
        <v>-376106.52622305113</v>
      </c>
      <c r="R231">
        <f t="shared" si="961"/>
        <v>205772222.42244056</v>
      </c>
      <c r="S231">
        <f t="shared" si="962"/>
        <v>2057.7222242244056</v>
      </c>
      <c r="T231">
        <f t="shared" si="963"/>
        <v>2.0577222242244058</v>
      </c>
    </row>
    <row r="232" spans="1:20" x14ac:dyDescent="0.25">
      <c r="A232" s="5">
        <v>44361</v>
      </c>
      <c r="B232">
        <v>9.2539999999999996</v>
      </c>
      <c r="C232">
        <v>9.4969999999999999</v>
      </c>
      <c r="D232">
        <v>8.86</v>
      </c>
      <c r="E232">
        <v>9.4280000000000008</v>
      </c>
      <c r="F232">
        <v>1418969.642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0.78335949764521506</v>
      </c>
      <c r="Q232">
        <f t="shared" si="960"/>
        <v>1111563.3459309307</v>
      </c>
      <c r="R232">
        <f t="shared" si="961"/>
        <v>206148328.94866362</v>
      </c>
      <c r="S232">
        <f t="shared" si="962"/>
        <v>2061.4832894866363</v>
      </c>
      <c r="T232">
        <f t="shared" si="963"/>
        <v>2.0614832894866364</v>
      </c>
    </row>
    <row r="233" spans="1:20" x14ac:dyDescent="0.25">
      <c r="A233" s="5">
        <v>44360</v>
      </c>
      <c r="B233">
        <v>8.5960000000000001</v>
      </c>
      <c r="C233">
        <v>9.282</v>
      </c>
      <c r="D233">
        <v>8.3290000000000006</v>
      </c>
      <c r="E233">
        <v>9.2430000000000003</v>
      </c>
      <c r="F233">
        <v>1342968.2509999999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0.9181532004197277</v>
      </c>
      <c r="Q233">
        <f t="shared" si="960"/>
        <v>1233050.5977177341</v>
      </c>
      <c r="R233">
        <f t="shared" si="961"/>
        <v>205036765.60273269</v>
      </c>
      <c r="S233">
        <f t="shared" si="962"/>
        <v>2050.367656027327</v>
      </c>
      <c r="T233">
        <f t="shared" si="963"/>
        <v>2.0503676560273272</v>
      </c>
    </row>
    <row r="234" spans="1:20" x14ac:dyDescent="0.25">
      <c r="A234" s="5">
        <v>44359</v>
      </c>
      <c r="B234">
        <v>9.06</v>
      </c>
      <c r="C234">
        <v>9.0619999999999994</v>
      </c>
      <c r="D234">
        <v>8.2460000000000004</v>
      </c>
      <c r="E234">
        <v>8.5779999999999994</v>
      </c>
      <c r="F234">
        <v>1377259.1329999999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-0.18627450980392307</v>
      </c>
      <c r="Q234">
        <f t="shared" si="960"/>
        <v>-256548.26987255109</v>
      </c>
      <c r="R234">
        <f t="shared" si="961"/>
        <v>203803715.00501496</v>
      </c>
      <c r="S234">
        <f t="shared" si="962"/>
        <v>2038.0371500501496</v>
      </c>
      <c r="T234">
        <f t="shared" si="963"/>
        <v>2.0380371500501497</v>
      </c>
    </row>
    <row r="235" spans="1:20" x14ac:dyDescent="0.25">
      <c r="A235" s="5">
        <v>44358</v>
      </c>
      <c r="B235">
        <v>9.7149999999999999</v>
      </c>
      <c r="C235">
        <v>9.8330000000000002</v>
      </c>
      <c r="D235">
        <v>8.91</v>
      </c>
      <c r="E235">
        <v>9.06</v>
      </c>
      <c r="F235">
        <v>1504634.2150000001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-0.67497291440953333</v>
      </c>
      <c r="Q235">
        <f t="shared" si="960"/>
        <v>-1015587.3412188505</v>
      </c>
      <c r="R235">
        <f t="shared" si="961"/>
        <v>204060263.2748875</v>
      </c>
      <c r="S235">
        <f t="shared" si="962"/>
        <v>2040.6026327488751</v>
      </c>
      <c r="T235">
        <f t="shared" si="963"/>
        <v>2.0406026327488749</v>
      </c>
    </row>
    <row r="236" spans="1:20" x14ac:dyDescent="0.25">
      <c r="A236" s="5">
        <v>44357</v>
      </c>
      <c r="B236">
        <v>9.9390000000000001</v>
      </c>
      <c r="C236">
        <v>10.677</v>
      </c>
      <c r="D236">
        <v>9.3740000000000006</v>
      </c>
      <c r="E236">
        <v>9.73</v>
      </c>
      <c r="F236">
        <v>2867000.4440000001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-0.45356868764389852</v>
      </c>
      <c r="Q236">
        <f t="shared" si="960"/>
        <v>-1300381.6288595544</v>
      </c>
      <c r="R236">
        <f t="shared" si="961"/>
        <v>205075850.61610636</v>
      </c>
      <c r="S236">
        <f t="shared" si="962"/>
        <v>2050.7585061610635</v>
      </c>
      <c r="T236">
        <f t="shared" si="963"/>
        <v>2.0507585061610634</v>
      </c>
    </row>
    <row r="237" spans="1:20" x14ac:dyDescent="0.25">
      <c r="A237" s="5">
        <v>44356</v>
      </c>
      <c r="B237">
        <v>9.3620000000000001</v>
      </c>
      <c r="C237">
        <v>9.9499999999999993</v>
      </c>
      <c r="D237">
        <v>8.7680000000000007</v>
      </c>
      <c r="E237">
        <v>9.9339999999999993</v>
      </c>
      <c r="F237">
        <v>1969769.77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0.97292724196277491</v>
      </c>
      <c r="Q237">
        <f t="shared" si="960"/>
        <v>1916442.6696277496</v>
      </c>
      <c r="R237">
        <f t="shared" si="961"/>
        <v>206376232.24496591</v>
      </c>
      <c r="S237">
        <f t="shared" si="962"/>
        <v>2063.7623224496592</v>
      </c>
      <c r="T237">
        <f t="shared" si="963"/>
        <v>2.0637623224496591</v>
      </c>
    </row>
    <row r="238" spans="1:20" x14ac:dyDescent="0.25">
      <c r="A238" s="5">
        <v>44355</v>
      </c>
      <c r="B238">
        <v>9.6929999999999996</v>
      </c>
      <c r="C238">
        <v>9.9030000000000005</v>
      </c>
      <c r="D238">
        <v>8.3659999999999997</v>
      </c>
      <c r="E238">
        <v>9.3759999999999994</v>
      </c>
      <c r="F238">
        <v>3410692.8509999998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0.31424853610930287</v>
      </c>
      <c r="Q238">
        <f t="shared" si="960"/>
        <v>1071805.2355452145</v>
      </c>
      <c r="R238">
        <f t="shared" si="961"/>
        <v>204459789.57533816</v>
      </c>
      <c r="S238">
        <f t="shared" si="962"/>
        <v>2044.5978957533816</v>
      </c>
      <c r="T238">
        <f t="shared" si="963"/>
        <v>2.0445978957533817</v>
      </c>
    </row>
    <row r="239" spans="1:20" x14ac:dyDescent="0.25">
      <c r="A239" s="5">
        <v>44354</v>
      </c>
      <c r="B239">
        <v>11.061</v>
      </c>
      <c r="C239">
        <v>11.269</v>
      </c>
      <c r="D239">
        <v>9.5510000000000002</v>
      </c>
      <c r="E239">
        <v>9.7010000000000005</v>
      </c>
      <c r="F239">
        <v>1846426.4669999999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-0.82537834691501699</v>
      </c>
      <c r="Q239">
        <f t="shared" si="960"/>
        <v>-1524000.4250325952</v>
      </c>
      <c r="R239">
        <f t="shared" si="961"/>
        <v>203387984.33979294</v>
      </c>
      <c r="S239">
        <f t="shared" si="962"/>
        <v>2033.8798433979293</v>
      </c>
      <c r="T239">
        <f t="shared" si="963"/>
        <v>2.0338798433979295</v>
      </c>
    </row>
    <row r="240" spans="1:20" x14ac:dyDescent="0.25">
      <c r="A240" s="5">
        <v>44353</v>
      </c>
      <c r="B240">
        <v>10.913</v>
      </c>
      <c r="C240">
        <v>11.2</v>
      </c>
      <c r="D240">
        <v>10.707000000000001</v>
      </c>
      <c r="E240">
        <v>11.07</v>
      </c>
      <c r="F240">
        <v>997464.68500000006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0.47261663286004307</v>
      </c>
      <c r="Q240">
        <f t="shared" si="960"/>
        <v>471418.40082150354</v>
      </c>
      <c r="R240">
        <f t="shared" si="961"/>
        <v>204911984.76482552</v>
      </c>
      <c r="S240">
        <f t="shared" si="962"/>
        <v>2049.119847648255</v>
      </c>
      <c r="T240">
        <f t="shared" si="963"/>
        <v>2.0491198476482548</v>
      </c>
    </row>
    <row r="241" spans="1:20" x14ac:dyDescent="0.25">
      <c r="A241" s="5">
        <v>44352</v>
      </c>
      <c r="B241">
        <v>11.273999999999999</v>
      </c>
      <c r="C241">
        <v>11.75</v>
      </c>
      <c r="D241">
        <v>10.531000000000001</v>
      </c>
      <c r="E241">
        <v>10.927</v>
      </c>
      <c r="F241">
        <v>1797405.165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-0.35028712059064937</v>
      </c>
      <c r="Q241">
        <f t="shared" si="960"/>
        <v>-629607.87978261104</v>
      </c>
      <c r="R241">
        <f t="shared" si="961"/>
        <v>204440566.36400402</v>
      </c>
      <c r="S241">
        <f t="shared" si="962"/>
        <v>2044.4056636400401</v>
      </c>
      <c r="T241">
        <f t="shared" si="963"/>
        <v>2.0444056636400401</v>
      </c>
    </row>
    <row r="242" spans="1:20" x14ac:dyDescent="0.25">
      <c r="A242" s="5">
        <v>44351</v>
      </c>
      <c r="B242">
        <v>12.417</v>
      </c>
      <c r="C242">
        <v>12.6</v>
      </c>
      <c r="D242">
        <v>10.752000000000001</v>
      </c>
      <c r="E242">
        <v>11.295999999999999</v>
      </c>
      <c r="F242">
        <v>2703730.0430000001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-0.41125541125541232</v>
      </c>
      <c r="Q242">
        <f t="shared" si="960"/>
        <v>-1111923.6107575786</v>
      </c>
      <c r="R242">
        <f t="shared" si="961"/>
        <v>205070174.24378663</v>
      </c>
      <c r="S242">
        <f t="shared" si="962"/>
        <v>2050.7017424378664</v>
      </c>
      <c r="T242">
        <f t="shared" si="963"/>
        <v>2.0507017424378664</v>
      </c>
    </row>
    <row r="243" spans="1:20" x14ac:dyDescent="0.25">
      <c r="A243" s="5">
        <v>44350</v>
      </c>
      <c r="B243">
        <v>12.09</v>
      </c>
      <c r="C243">
        <v>12.766</v>
      </c>
      <c r="D243">
        <v>11.865</v>
      </c>
      <c r="E243">
        <v>12.41</v>
      </c>
      <c r="F243">
        <v>2929433.341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0.20976692563817992</v>
      </c>
      <c r="Q243">
        <f t="shared" si="960"/>
        <v>614498.22580355196</v>
      </c>
      <c r="R243">
        <f t="shared" si="961"/>
        <v>206182097.85454422</v>
      </c>
      <c r="S243">
        <f t="shared" si="962"/>
        <v>2061.8209785454424</v>
      </c>
      <c r="T243">
        <f t="shared" si="963"/>
        <v>2.0618209785454424</v>
      </c>
    </row>
    <row r="244" spans="1:20" x14ac:dyDescent="0.25">
      <c r="A244" s="5">
        <v>44349</v>
      </c>
      <c r="B244">
        <v>11.872</v>
      </c>
      <c r="C244">
        <v>12.4</v>
      </c>
      <c r="D244">
        <v>11.372999999999999</v>
      </c>
      <c r="E244">
        <v>12.096</v>
      </c>
      <c r="F244">
        <v>2692810.2170000002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0.40798442064264856</v>
      </c>
      <c r="Q244">
        <f t="shared" si="960"/>
        <v>1098624.6162833499</v>
      </c>
      <c r="R244">
        <f t="shared" si="961"/>
        <v>205567599.62874067</v>
      </c>
      <c r="S244">
        <f t="shared" si="962"/>
        <v>2055.6759962874066</v>
      </c>
      <c r="T244">
        <f t="shared" si="963"/>
        <v>2.0556759962874067</v>
      </c>
    </row>
    <row r="245" spans="1:20" x14ac:dyDescent="0.25">
      <c r="A245" s="5">
        <v>44348</v>
      </c>
      <c r="B245">
        <v>12.401</v>
      </c>
      <c r="C245">
        <v>12.622</v>
      </c>
      <c r="D245">
        <v>11.318</v>
      </c>
      <c r="E245">
        <v>11.87</v>
      </c>
      <c r="F245">
        <v>2737857.1159999999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-0.15337423312883514</v>
      </c>
      <c r="Q245">
        <f t="shared" si="960"/>
        <v>-419916.73558282421</v>
      </c>
      <c r="R245">
        <f t="shared" si="961"/>
        <v>204468975.01245731</v>
      </c>
      <c r="S245">
        <f t="shared" si="962"/>
        <v>2044.689750124573</v>
      </c>
      <c r="T245">
        <f t="shared" si="963"/>
        <v>2.0446897501245731</v>
      </c>
    </row>
    <row r="246" spans="1:20" x14ac:dyDescent="0.25">
      <c r="A246" s="5">
        <v>44347</v>
      </c>
      <c r="B246">
        <v>11.411</v>
      </c>
      <c r="C246">
        <v>12.446999999999999</v>
      </c>
      <c r="D246">
        <v>10.776</v>
      </c>
      <c r="E246">
        <v>12.401999999999999</v>
      </c>
      <c r="F246">
        <v>3202699.7560000001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0.94614003590664275</v>
      </c>
      <c r="Q246">
        <f t="shared" si="960"/>
        <v>3030202.4621400358</v>
      </c>
      <c r="R246">
        <f t="shared" si="961"/>
        <v>204888891.74804014</v>
      </c>
      <c r="S246">
        <f t="shared" si="962"/>
        <v>2048.8889174804012</v>
      </c>
      <c r="T246">
        <f t="shared" si="963"/>
        <v>2.0488889174804013</v>
      </c>
    </row>
    <row r="247" spans="1:20" x14ac:dyDescent="0.25">
      <c r="A247" s="5">
        <v>44346</v>
      </c>
      <c r="B247">
        <v>11.257</v>
      </c>
      <c r="C247">
        <v>11.9</v>
      </c>
      <c r="D247">
        <v>10.255000000000001</v>
      </c>
      <c r="E247">
        <v>11.412000000000001</v>
      </c>
      <c r="F247">
        <v>3481353.0559999999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0.40668693009118578</v>
      </c>
      <c r="Q247">
        <f t="shared" si="960"/>
        <v>1415820.7869082079</v>
      </c>
      <c r="R247">
        <f t="shared" si="961"/>
        <v>201858689.28590012</v>
      </c>
      <c r="S247">
        <f t="shared" si="962"/>
        <v>2018.5868928590012</v>
      </c>
      <c r="T247">
        <f t="shared" si="963"/>
        <v>2.0185868928590014</v>
      </c>
    </row>
    <row r="248" spans="1:20" x14ac:dyDescent="0.25">
      <c r="A248" s="5">
        <v>44345</v>
      </c>
      <c r="B248">
        <v>12.132999999999999</v>
      </c>
      <c r="C248">
        <v>12.928000000000001</v>
      </c>
      <c r="D248">
        <v>10.478</v>
      </c>
      <c r="E248">
        <v>11.254</v>
      </c>
      <c r="F248">
        <v>3782577.2620000001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-0.36653061224489841</v>
      </c>
      <c r="Q248">
        <f t="shared" si="960"/>
        <v>-1386430.3597044914</v>
      </c>
      <c r="R248">
        <f t="shared" si="961"/>
        <v>200442868.49899191</v>
      </c>
      <c r="S248">
        <f t="shared" si="962"/>
        <v>2004.428684989919</v>
      </c>
      <c r="T248">
        <f t="shared" si="963"/>
        <v>2.0044286849899189</v>
      </c>
    </row>
    <row r="249" spans="1:20" x14ac:dyDescent="0.25">
      <c r="A249" s="5">
        <v>44344</v>
      </c>
      <c r="B249">
        <v>14.619</v>
      </c>
      <c r="C249">
        <v>14.619</v>
      </c>
      <c r="D249">
        <v>11.282999999999999</v>
      </c>
      <c r="E249">
        <v>12.116</v>
      </c>
      <c r="F249">
        <v>6775382.0269999998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-0.50059952038369293</v>
      </c>
      <c r="Q249">
        <f t="shared" si="960"/>
        <v>-3391752.993132493</v>
      </c>
      <c r="R249">
        <f t="shared" si="961"/>
        <v>201829298.8586964</v>
      </c>
      <c r="S249">
        <f t="shared" si="962"/>
        <v>2018.2929885869639</v>
      </c>
      <c r="T249">
        <f t="shared" si="963"/>
        <v>2.018292988586964</v>
      </c>
    </row>
    <row r="250" spans="1:20" x14ac:dyDescent="0.25">
      <c r="A250" s="5">
        <v>44343</v>
      </c>
      <c r="B250">
        <v>12.6</v>
      </c>
      <c r="C250">
        <v>14.941000000000001</v>
      </c>
      <c r="D250">
        <v>12.147</v>
      </c>
      <c r="E250">
        <v>14.614000000000001</v>
      </c>
      <c r="F250">
        <v>8501081.3269999996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0.76592698639942747</v>
      </c>
      <c r="Q250">
        <f t="shared" si="960"/>
        <v>6511207.6019255556</v>
      </c>
      <c r="R250">
        <f t="shared" si="961"/>
        <v>205221051.8518289</v>
      </c>
      <c r="S250">
        <f t="shared" si="962"/>
        <v>2052.2105185182891</v>
      </c>
      <c r="T250">
        <f t="shared" si="963"/>
        <v>2.0522105185182893</v>
      </c>
    </row>
    <row r="251" spans="1:20" x14ac:dyDescent="0.25">
      <c r="A251" s="5">
        <v>44342</v>
      </c>
      <c r="B251">
        <v>11.602</v>
      </c>
      <c r="C251">
        <v>12.839</v>
      </c>
      <c r="D251">
        <v>11.282</v>
      </c>
      <c r="E251">
        <v>12.605</v>
      </c>
      <c r="F251">
        <v>4179955.3909999998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0.69942196531791911</v>
      </c>
      <c r="Q251">
        <f t="shared" si="960"/>
        <v>2923552.614514451</v>
      </c>
      <c r="R251">
        <f t="shared" si="961"/>
        <v>198709844.24990335</v>
      </c>
      <c r="S251">
        <f t="shared" si="962"/>
        <v>1987.0984424990336</v>
      </c>
      <c r="T251">
        <f t="shared" si="963"/>
        <v>1.9870984424990337</v>
      </c>
    </row>
    <row r="252" spans="1:20" x14ac:dyDescent="0.25">
      <c r="A252" s="5">
        <v>44341</v>
      </c>
      <c r="B252">
        <v>11.291</v>
      </c>
      <c r="C252">
        <v>12.9</v>
      </c>
      <c r="D252">
        <v>10.61</v>
      </c>
      <c r="E252">
        <v>11.603999999999999</v>
      </c>
      <c r="F252">
        <v>10085664.715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-0.13187772925764246</v>
      </c>
      <c r="Q252">
        <f t="shared" si="960"/>
        <v>-1330074.5606681276</v>
      </c>
      <c r="R252">
        <f t="shared" si="961"/>
        <v>195786291.63538891</v>
      </c>
      <c r="S252">
        <f t="shared" si="962"/>
        <v>1957.8629163538892</v>
      </c>
      <c r="T252">
        <f t="shared" si="963"/>
        <v>1.9578629163538892</v>
      </c>
    </row>
    <row r="253" spans="1:20" x14ac:dyDescent="0.25">
      <c r="A253" s="5">
        <v>44340</v>
      </c>
      <c r="B253">
        <v>8.125</v>
      </c>
      <c r="C253">
        <v>11.429</v>
      </c>
      <c r="D253">
        <v>7.6040000000000001</v>
      </c>
      <c r="E253">
        <v>11.282</v>
      </c>
      <c r="F253">
        <v>7334928.2340000002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0.92313725490196064</v>
      </c>
      <c r="Q253">
        <f t="shared" si="960"/>
        <v>6771145.5148376459</v>
      </c>
      <c r="R253">
        <f t="shared" si="961"/>
        <v>197116366.19605705</v>
      </c>
      <c r="S253">
        <f t="shared" si="962"/>
        <v>1971.1636619605706</v>
      </c>
      <c r="T253">
        <f t="shared" si="963"/>
        <v>1.9711636619605706</v>
      </c>
    </row>
    <row r="254" spans="1:20" x14ac:dyDescent="0.25">
      <c r="A254" s="5">
        <v>44339</v>
      </c>
      <c r="B254">
        <v>9.6999999999999993</v>
      </c>
      <c r="C254">
        <v>10.76</v>
      </c>
      <c r="D254">
        <v>6.375</v>
      </c>
      <c r="E254">
        <v>8.109</v>
      </c>
      <c r="F254">
        <v>8829028.4829999991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-0.20912200684150509</v>
      </c>
      <c r="Q254">
        <f t="shared" si="960"/>
        <v>-1846344.1548257691</v>
      </c>
      <c r="R254">
        <f t="shared" si="961"/>
        <v>190345220.6812194</v>
      </c>
      <c r="S254">
        <f t="shared" si="962"/>
        <v>1903.4522068121939</v>
      </c>
      <c r="T254">
        <f t="shared" si="963"/>
        <v>1.903452206812194</v>
      </c>
    </row>
    <row r="255" spans="1:20" x14ac:dyDescent="0.25">
      <c r="A255" s="5">
        <v>44338</v>
      </c>
      <c r="B255">
        <v>11.106</v>
      </c>
      <c r="C255">
        <v>11.151</v>
      </c>
      <c r="D255">
        <v>9.1720000000000006</v>
      </c>
      <c r="E255">
        <v>9.6980000000000004</v>
      </c>
      <c r="F255">
        <v>4596778.7340000002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-0.46841839312784234</v>
      </c>
      <c r="Q255">
        <f t="shared" si="960"/>
        <v>-2153215.7081445176</v>
      </c>
      <c r="R255">
        <f t="shared" si="961"/>
        <v>192191564.83604518</v>
      </c>
      <c r="S255">
        <f t="shared" si="962"/>
        <v>1921.9156483604518</v>
      </c>
      <c r="T255">
        <f t="shared" si="963"/>
        <v>1.9219156483604518</v>
      </c>
    </row>
    <row r="256" spans="1:20" x14ac:dyDescent="0.25">
      <c r="A256" s="5">
        <v>44337</v>
      </c>
      <c r="B256">
        <v>13.592000000000001</v>
      </c>
      <c r="C256">
        <v>14.07</v>
      </c>
      <c r="D256">
        <v>9.6479999999999997</v>
      </c>
      <c r="E256">
        <v>11.103999999999999</v>
      </c>
      <c r="F256">
        <v>8240288.9349999996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-0.34147444595205823</v>
      </c>
      <c r="Q256">
        <f t="shared" si="960"/>
        <v>-2813848.0985640008</v>
      </c>
      <c r="R256">
        <f t="shared" si="961"/>
        <v>194344780.54418969</v>
      </c>
      <c r="S256">
        <f t="shared" si="962"/>
        <v>1943.4478054418969</v>
      </c>
      <c r="T256">
        <f t="shared" si="963"/>
        <v>1.9434478054418969</v>
      </c>
    </row>
    <row r="257" spans="1:20" x14ac:dyDescent="0.25">
      <c r="A257" s="5">
        <v>44336</v>
      </c>
      <c r="B257">
        <v>10.882</v>
      </c>
      <c r="C257">
        <v>13.760999999999999</v>
      </c>
      <c r="D257">
        <v>9.6</v>
      </c>
      <c r="E257">
        <v>13.621</v>
      </c>
      <c r="F257">
        <v>7882868.3559999997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0.93270848353761171</v>
      </c>
      <c r="Q257">
        <f t="shared" si="960"/>
        <v>7352418.1902513858</v>
      </c>
      <c r="R257">
        <f t="shared" si="961"/>
        <v>197158628.64275369</v>
      </c>
      <c r="S257">
        <f t="shared" si="962"/>
        <v>1971.5862864275368</v>
      </c>
      <c r="T257">
        <f t="shared" si="963"/>
        <v>1.9715862864275369</v>
      </c>
    </row>
    <row r="258" spans="1:20" x14ac:dyDescent="0.25">
      <c r="A258" s="5">
        <v>44335</v>
      </c>
      <c r="B258">
        <v>18.079000000000001</v>
      </c>
      <c r="C258">
        <v>18.146000000000001</v>
      </c>
      <c r="D258">
        <v>7.27</v>
      </c>
      <c r="E258">
        <v>10.861000000000001</v>
      </c>
      <c r="F258">
        <v>12271114.245999999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-0.33964692901802118</v>
      </c>
      <c r="Q258">
        <f t="shared" si="960"/>
        <v>-4167846.2692831904</v>
      </c>
      <c r="R258">
        <f t="shared" si="961"/>
        <v>189806210.45250231</v>
      </c>
      <c r="S258">
        <f t="shared" si="962"/>
        <v>1898.0621045250232</v>
      </c>
      <c r="T258">
        <f t="shared" si="963"/>
        <v>1.8980621045250232</v>
      </c>
    </row>
    <row r="259" spans="1:20" x14ac:dyDescent="0.25">
      <c r="A259" s="5">
        <v>44334</v>
      </c>
      <c r="B259">
        <v>17.417999999999999</v>
      </c>
      <c r="C259">
        <v>18.669</v>
      </c>
      <c r="D259">
        <v>16.884</v>
      </c>
      <c r="E259">
        <v>18.053000000000001</v>
      </c>
      <c r="F259">
        <v>3643770.3810000001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0.3098039215686279</v>
      </c>
      <c r="Q259">
        <f t="shared" si="960"/>
        <v>1128854.3533294133</v>
      </c>
      <c r="R259">
        <f t="shared" si="961"/>
        <v>193974056.72178549</v>
      </c>
      <c r="S259">
        <f t="shared" si="962"/>
        <v>1939.740567217855</v>
      </c>
      <c r="T259">
        <f t="shared" si="963"/>
        <v>1.9397405672178549</v>
      </c>
    </row>
    <row r="260" spans="1:20" x14ac:dyDescent="0.25">
      <c r="A260" s="5">
        <v>44333</v>
      </c>
      <c r="B260">
        <v>19.308</v>
      </c>
      <c r="C260">
        <v>19.346</v>
      </c>
      <c r="D260">
        <v>16.222000000000001</v>
      </c>
      <c r="E260">
        <v>17.420000000000002</v>
      </c>
      <c r="F260">
        <v>5610100.0800000001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-0.23303457106273953</v>
      </c>
      <c r="Q260">
        <f t="shared" si="960"/>
        <v>-1307347.2657618409</v>
      </c>
      <c r="R260">
        <f t="shared" si="961"/>
        <v>192845202.36845607</v>
      </c>
      <c r="S260">
        <f t="shared" si="962"/>
        <v>1928.4520236845606</v>
      </c>
      <c r="T260">
        <f t="shared" si="963"/>
        <v>1.9284520236845606</v>
      </c>
    </row>
    <row r="261" spans="1:20" x14ac:dyDescent="0.25">
      <c r="A261" s="5">
        <v>44332</v>
      </c>
      <c r="B261">
        <v>19.952999999999999</v>
      </c>
      <c r="C261">
        <v>21.850999999999999</v>
      </c>
      <c r="D261">
        <v>18.164999999999999</v>
      </c>
      <c r="E261">
        <v>19.315000000000001</v>
      </c>
      <c r="F261">
        <v>3798802.568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-0.37601736299511551</v>
      </c>
      <c r="Q261">
        <f t="shared" si="960"/>
        <v>-1428415.724158433</v>
      </c>
      <c r="R261">
        <f t="shared" si="961"/>
        <v>194152549.63421792</v>
      </c>
      <c r="S261">
        <f t="shared" si="962"/>
        <v>1941.5254963421792</v>
      </c>
      <c r="T261">
        <f t="shared" si="963"/>
        <v>1.9415254963421791</v>
      </c>
    </row>
    <row r="262" spans="1:20" x14ac:dyDescent="0.25">
      <c r="A262" s="5">
        <v>44331</v>
      </c>
      <c r="B262">
        <v>21.956</v>
      </c>
      <c r="C262">
        <v>22.213000000000001</v>
      </c>
      <c r="D262">
        <v>19.565999999999999</v>
      </c>
      <c r="E262">
        <v>19.937999999999999</v>
      </c>
      <c r="F262">
        <v>3407021.2880000002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-0.71892708726860632</v>
      </c>
      <c r="Q262">
        <f t="shared" ref="Q262:Q325" si="965">F262*P262</f>
        <v>-2449399.8908439758</v>
      </c>
      <c r="R262">
        <f t="shared" ref="R262:R325" si="966">R263+Q262</f>
        <v>195580965.35837635</v>
      </c>
      <c r="S262">
        <f t="shared" ref="S262:S325" si="967">R262/100000</f>
        <v>1955.8096535837635</v>
      </c>
      <c r="T262">
        <f t="shared" ref="T262:T325" si="968">S262/1000</f>
        <v>1.9558096535837635</v>
      </c>
    </row>
    <row r="263" spans="1:20" x14ac:dyDescent="0.25">
      <c r="A263" s="5">
        <v>44330</v>
      </c>
      <c r="B263">
        <v>20.79</v>
      </c>
      <c r="C263">
        <v>22.818999999999999</v>
      </c>
      <c r="D263">
        <v>20.001999999999999</v>
      </c>
      <c r="E263">
        <v>21.943999999999999</v>
      </c>
      <c r="F263">
        <v>4123049.0210000002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0.37877174298899541</v>
      </c>
      <c r="Q263">
        <f t="shared" si="965"/>
        <v>1561694.4641132413</v>
      </c>
      <c r="R263">
        <f t="shared" si="966"/>
        <v>198030365.24922034</v>
      </c>
      <c r="S263">
        <f t="shared" si="967"/>
        <v>1980.3036524922034</v>
      </c>
      <c r="T263">
        <f t="shared" si="968"/>
        <v>1.9803036524922033</v>
      </c>
    </row>
    <row r="264" spans="1:20" x14ac:dyDescent="0.25">
      <c r="A264" s="5">
        <v>44329</v>
      </c>
      <c r="B264">
        <v>19.960999999999999</v>
      </c>
      <c r="C264">
        <v>21.771000000000001</v>
      </c>
      <c r="D264">
        <v>18.414999999999999</v>
      </c>
      <c r="E264">
        <v>20.782</v>
      </c>
      <c r="F264">
        <v>6189857.9960000003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0.41060786650774717</v>
      </c>
      <c r="Q264">
        <f t="shared" si="965"/>
        <v>2541604.3857234796</v>
      </c>
      <c r="R264">
        <f t="shared" si="966"/>
        <v>196468670.78510711</v>
      </c>
      <c r="S264">
        <f t="shared" si="967"/>
        <v>1964.6867078510711</v>
      </c>
      <c r="T264">
        <f t="shared" si="968"/>
        <v>1.964686707851071</v>
      </c>
    </row>
    <row r="265" spans="1:20" x14ac:dyDescent="0.25">
      <c r="A265" s="5">
        <v>44328</v>
      </c>
      <c r="B265">
        <v>26.515000000000001</v>
      </c>
      <c r="C265">
        <v>26.853999999999999</v>
      </c>
      <c r="D265">
        <v>19.257000000000001</v>
      </c>
      <c r="E265">
        <v>20.007999999999999</v>
      </c>
      <c r="F265">
        <v>4900712.3039999995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-0.80229037778070345</v>
      </c>
      <c r="Q265">
        <f t="shared" si="965"/>
        <v>-3931794.3257707013</v>
      </c>
      <c r="R265">
        <f t="shared" si="966"/>
        <v>193927066.39938363</v>
      </c>
      <c r="S265">
        <f t="shared" si="967"/>
        <v>1939.2706639938363</v>
      </c>
      <c r="T265">
        <f t="shared" si="968"/>
        <v>1.9392706639938362</v>
      </c>
    </row>
    <row r="266" spans="1:20" x14ac:dyDescent="0.25">
      <c r="A266" s="5">
        <v>44327</v>
      </c>
      <c r="B266">
        <v>23.518000000000001</v>
      </c>
      <c r="C266">
        <v>26.652000000000001</v>
      </c>
      <c r="D266">
        <v>21.78</v>
      </c>
      <c r="E266">
        <v>26.51</v>
      </c>
      <c r="F266">
        <v>6350721.108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0.94170771756978677</v>
      </c>
      <c r="Q266">
        <f t="shared" si="965"/>
        <v>5980523.0795369474</v>
      </c>
      <c r="R266">
        <f t="shared" si="966"/>
        <v>197858860.72515434</v>
      </c>
      <c r="S266">
        <f t="shared" si="967"/>
        <v>1978.5886072515434</v>
      </c>
      <c r="T266">
        <f t="shared" si="968"/>
        <v>1.9785886072515435</v>
      </c>
    </row>
    <row r="267" spans="1:20" x14ac:dyDescent="0.25">
      <c r="A267" s="5">
        <v>44326</v>
      </c>
      <c r="B267">
        <v>27.39</v>
      </c>
      <c r="C267">
        <v>28.291</v>
      </c>
      <c r="D267">
        <v>21.5</v>
      </c>
      <c r="E267">
        <v>23.533999999999999</v>
      </c>
      <c r="F267">
        <v>5859419.2230000002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-0.40097187453983246</v>
      </c>
      <c r="Q267">
        <f t="shared" si="965"/>
        <v>-2349462.3095610389</v>
      </c>
      <c r="R267">
        <f t="shared" si="966"/>
        <v>191878337.6456174</v>
      </c>
      <c r="S267">
        <f t="shared" si="967"/>
        <v>1918.783376456174</v>
      </c>
      <c r="T267">
        <f t="shared" si="968"/>
        <v>1.9187833764561739</v>
      </c>
    </row>
    <row r="268" spans="1:20" x14ac:dyDescent="0.25">
      <c r="A268" s="5">
        <v>44325</v>
      </c>
      <c r="B268">
        <v>25.68</v>
      </c>
      <c r="C268">
        <v>30.599</v>
      </c>
      <c r="D268">
        <v>24.811</v>
      </c>
      <c r="E268">
        <v>27.364999999999998</v>
      </c>
      <c r="F268">
        <v>13364365.161</v>
      </c>
      <c r="G268">
        <v>0</v>
      </c>
      <c r="L268" t="s">
        <v>8</v>
      </c>
      <c r="M268" t="s">
        <v>8</v>
      </c>
      <c r="N268" t="s">
        <v>7</v>
      </c>
      <c r="P268">
        <f t="shared" si="964"/>
        <v>-0.11748445058742281</v>
      </c>
      <c r="Q268">
        <f t="shared" si="965"/>
        <v>-1570105.0983897795</v>
      </c>
      <c r="R268">
        <f t="shared" si="966"/>
        <v>194227799.95517844</v>
      </c>
      <c r="S268">
        <f t="shared" si="967"/>
        <v>1942.2779995517844</v>
      </c>
      <c r="T268">
        <f t="shared" si="968"/>
        <v>1.9422779995517845</v>
      </c>
    </row>
    <row r="269" spans="1:20" x14ac:dyDescent="0.25">
      <c r="A269" s="5">
        <v>44324</v>
      </c>
      <c r="B269">
        <v>26.733000000000001</v>
      </c>
      <c r="C269">
        <v>26.978999999999999</v>
      </c>
      <c r="D269">
        <v>23.4</v>
      </c>
      <c r="E269">
        <v>25.672999999999998</v>
      </c>
      <c r="F269">
        <v>9034692.3269999996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0.27018720312936534</v>
      </c>
      <c r="Q269">
        <f t="shared" si="965"/>
        <v>2441058.2509664674</v>
      </c>
      <c r="R269">
        <f t="shared" si="966"/>
        <v>195797905.05356821</v>
      </c>
      <c r="S269">
        <f t="shared" si="967"/>
        <v>1957.9790505356821</v>
      </c>
      <c r="T269">
        <f t="shared" si="968"/>
        <v>1.957979050535682</v>
      </c>
    </row>
    <row r="270" spans="1:20" x14ac:dyDescent="0.25">
      <c r="A270" s="5">
        <v>44323</v>
      </c>
      <c r="B270">
        <v>24.776</v>
      </c>
      <c r="C270">
        <v>35.685000000000002</v>
      </c>
      <c r="D270">
        <v>23.15</v>
      </c>
      <c r="E270">
        <v>26.731999999999999</v>
      </c>
      <c r="F270">
        <v>37192051.314000003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-0.42848025528520151</v>
      </c>
      <c r="Q270">
        <f t="shared" si="965"/>
        <v>-15936059.641603036</v>
      </c>
      <c r="R270">
        <f t="shared" si="966"/>
        <v>193356846.80260175</v>
      </c>
      <c r="S270">
        <f t="shared" si="967"/>
        <v>1933.5684680260176</v>
      </c>
      <c r="T270">
        <f t="shared" si="968"/>
        <v>1.9335684680260177</v>
      </c>
    </row>
    <row r="271" spans="1:20" x14ac:dyDescent="0.25">
      <c r="A271" s="5">
        <v>44322</v>
      </c>
      <c r="B271">
        <v>17.776</v>
      </c>
      <c r="C271">
        <v>26.2</v>
      </c>
      <c r="D271">
        <v>17.277999999999999</v>
      </c>
      <c r="E271">
        <v>24.776</v>
      </c>
      <c r="F271">
        <v>23637384.73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0.68078906074871115</v>
      </c>
      <c r="Q271">
        <f t="shared" si="965"/>
        <v>16092072.948892627</v>
      </c>
      <c r="R271">
        <f t="shared" si="966"/>
        <v>209292906.44420478</v>
      </c>
      <c r="S271">
        <f t="shared" si="967"/>
        <v>2092.929064442048</v>
      </c>
      <c r="T271">
        <f t="shared" si="968"/>
        <v>2.092929064442048</v>
      </c>
    </row>
    <row r="272" spans="1:20" x14ac:dyDescent="0.25">
      <c r="A272" s="5">
        <v>44321</v>
      </c>
      <c r="B272">
        <v>13.816000000000001</v>
      </c>
      <c r="C272">
        <v>17.814</v>
      </c>
      <c r="D272">
        <v>13.603999999999999</v>
      </c>
      <c r="E272">
        <v>17.768000000000001</v>
      </c>
      <c r="F272">
        <v>5303438.5710000005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0.97814726840855137</v>
      </c>
      <c r="Q272">
        <f t="shared" si="965"/>
        <v>5187543.9513962017</v>
      </c>
      <c r="R272">
        <f t="shared" si="966"/>
        <v>193200833.49531215</v>
      </c>
      <c r="S272">
        <f t="shared" si="967"/>
        <v>1932.0083349531214</v>
      </c>
      <c r="T272">
        <f t="shared" si="968"/>
        <v>1.9320083349531214</v>
      </c>
    </row>
    <row r="273" spans="1:20" x14ac:dyDescent="0.25">
      <c r="A273" s="5">
        <v>44320</v>
      </c>
      <c r="B273">
        <v>15.763999999999999</v>
      </c>
      <c r="C273">
        <v>15.77</v>
      </c>
      <c r="D273">
        <v>13.5</v>
      </c>
      <c r="E273">
        <v>13.792999999999999</v>
      </c>
      <c r="F273">
        <v>4299944.09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-0.74185022026431779</v>
      </c>
      <c r="Q273">
        <f t="shared" si="965"/>
        <v>-3189914.4702907512</v>
      </c>
      <c r="R273">
        <f t="shared" si="966"/>
        <v>188013289.54391596</v>
      </c>
      <c r="S273">
        <f t="shared" si="967"/>
        <v>1880.1328954391595</v>
      </c>
      <c r="T273">
        <f t="shared" si="968"/>
        <v>1.8801328954391594</v>
      </c>
    </row>
    <row r="274" spans="1:20" x14ac:dyDescent="0.25">
      <c r="A274" s="5">
        <v>44319</v>
      </c>
      <c r="B274">
        <v>15.237</v>
      </c>
      <c r="C274">
        <v>16.239999999999998</v>
      </c>
      <c r="D274">
        <v>15.173</v>
      </c>
      <c r="E274">
        <v>15.754</v>
      </c>
      <c r="F274">
        <v>3350342.3560000001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8.903467666354338E-2</v>
      </c>
      <c r="Q274">
        <f t="shared" si="965"/>
        <v>298296.64837863419</v>
      </c>
      <c r="R274">
        <f t="shared" si="966"/>
        <v>191203204.01420671</v>
      </c>
      <c r="S274">
        <f t="shared" si="967"/>
        <v>1912.032040142067</v>
      </c>
      <c r="T274">
        <f t="shared" si="968"/>
        <v>1.912032040142067</v>
      </c>
    </row>
    <row r="275" spans="1:20" x14ac:dyDescent="0.25">
      <c r="A275" s="5">
        <v>44318</v>
      </c>
      <c r="B275">
        <v>15.13</v>
      </c>
      <c r="C275">
        <v>16.206</v>
      </c>
      <c r="D275">
        <v>14.683999999999999</v>
      </c>
      <c r="E275">
        <v>15.237</v>
      </c>
      <c r="F275">
        <v>4633753.6550000003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-0.27332457293035384</v>
      </c>
      <c r="Q275">
        <f t="shared" si="965"/>
        <v>-1266518.7388173412</v>
      </c>
      <c r="R275">
        <f t="shared" si="966"/>
        <v>190904907.36582807</v>
      </c>
      <c r="S275">
        <f t="shared" si="967"/>
        <v>1909.0490736582806</v>
      </c>
      <c r="T275">
        <f t="shared" si="968"/>
        <v>1.9090490736582806</v>
      </c>
    </row>
    <row r="276" spans="1:20" x14ac:dyDescent="0.25">
      <c r="A276" s="5">
        <v>44317</v>
      </c>
      <c r="B276">
        <v>15.010999999999999</v>
      </c>
      <c r="C276">
        <v>15.6</v>
      </c>
      <c r="D276">
        <v>14.372999999999999</v>
      </c>
      <c r="E276">
        <v>15.125999999999999</v>
      </c>
      <c r="F276">
        <v>2602607.372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0.22738386308068448</v>
      </c>
      <c r="Q276">
        <f t="shared" si="965"/>
        <v>591790.91832762805</v>
      </c>
      <c r="R276">
        <f t="shared" si="966"/>
        <v>192171426.1046454</v>
      </c>
      <c r="S276">
        <f t="shared" si="967"/>
        <v>1921.7142610464541</v>
      </c>
      <c r="T276">
        <f t="shared" si="968"/>
        <v>1.9217142610464542</v>
      </c>
    </row>
    <row r="277" spans="1:20" x14ac:dyDescent="0.25">
      <c r="A277" s="5">
        <v>44316</v>
      </c>
      <c r="B277">
        <v>14.228999999999999</v>
      </c>
      <c r="C277">
        <v>15.175000000000001</v>
      </c>
      <c r="D277">
        <v>13.893000000000001</v>
      </c>
      <c r="E277">
        <v>15.021000000000001</v>
      </c>
      <c r="F277">
        <v>2904718.2149999999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0.75975039001560074</v>
      </c>
      <c r="Q277">
        <f t="shared" si="965"/>
        <v>2206860.7967316695</v>
      </c>
      <c r="R277">
        <f t="shared" si="966"/>
        <v>191579635.18631777</v>
      </c>
      <c r="S277">
        <f t="shared" si="967"/>
        <v>1915.7963518631777</v>
      </c>
      <c r="T277">
        <f t="shared" si="968"/>
        <v>1.9157963518631778</v>
      </c>
    </row>
    <row r="278" spans="1:20" x14ac:dyDescent="0.25">
      <c r="A278" s="5">
        <v>44315</v>
      </c>
      <c r="B278">
        <v>14.365</v>
      </c>
      <c r="C278">
        <v>14.72</v>
      </c>
      <c r="D278">
        <v>13.601000000000001</v>
      </c>
      <c r="E278">
        <v>14.21</v>
      </c>
      <c r="F278">
        <v>3229912.9569999999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8.847184986595194E-2</v>
      </c>
      <c r="Q278">
        <f t="shared" si="965"/>
        <v>285756.37421179691</v>
      </c>
      <c r="R278">
        <f t="shared" si="966"/>
        <v>189372774.38958609</v>
      </c>
      <c r="S278">
        <f t="shared" si="967"/>
        <v>1893.7277438958608</v>
      </c>
      <c r="T278">
        <f t="shared" si="968"/>
        <v>1.8937277438958608</v>
      </c>
    </row>
    <row r="279" spans="1:20" x14ac:dyDescent="0.25">
      <c r="A279" s="5">
        <v>44314</v>
      </c>
      <c r="B279">
        <v>14.917999999999999</v>
      </c>
      <c r="C279">
        <v>15.547000000000001</v>
      </c>
      <c r="D279">
        <v>13.313000000000001</v>
      </c>
      <c r="E279">
        <v>14.347</v>
      </c>
      <c r="F279">
        <v>4634341.8289999999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-7.4306177260520204E-2</v>
      </c>
      <c r="Q279">
        <f t="shared" si="965"/>
        <v>-344360.22543151741</v>
      </c>
      <c r="R279">
        <f t="shared" si="966"/>
        <v>189087018.0153743</v>
      </c>
      <c r="S279">
        <f t="shared" si="967"/>
        <v>1890.8701801537429</v>
      </c>
      <c r="T279">
        <f t="shared" si="968"/>
        <v>1.8908701801537429</v>
      </c>
    </row>
    <row r="280" spans="1:20" x14ac:dyDescent="0.25">
      <c r="A280" s="5">
        <v>44313</v>
      </c>
      <c r="B280">
        <v>14.025</v>
      </c>
      <c r="C280">
        <v>15.255000000000001</v>
      </c>
      <c r="D280">
        <v>13.798999999999999</v>
      </c>
      <c r="E280">
        <v>14.913</v>
      </c>
      <c r="F280">
        <v>4909952.7110000001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0.53021978021977989</v>
      </c>
      <c r="Q280">
        <f t="shared" si="965"/>
        <v>2603354.0473159323</v>
      </c>
      <c r="R280">
        <f t="shared" si="966"/>
        <v>189431378.24080583</v>
      </c>
      <c r="S280">
        <f t="shared" si="967"/>
        <v>1894.3137824080584</v>
      </c>
      <c r="T280">
        <f t="shared" si="968"/>
        <v>1.8943137824080585</v>
      </c>
    </row>
    <row r="281" spans="1:20" x14ac:dyDescent="0.25">
      <c r="A281" s="5">
        <v>44312</v>
      </c>
      <c r="B281">
        <v>11.957000000000001</v>
      </c>
      <c r="C281">
        <v>14.057</v>
      </c>
      <c r="D281">
        <v>11.688000000000001</v>
      </c>
      <c r="E281">
        <v>14.025</v>
      </c>
      <c r="F281">
        <v>5248147.8459999999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0.97298438159560996</v>
      </c>
      <c r="Q281">
        <f t="shared" si="965"/>
        <v>5106365.8864626428</v>
      </c>
      <c r="R281">
        <f t="shared" si="966"/>
        <v>186828024.19348991</v>
      </c>
      <c r="S281">
        <f t="shared" si="967"/>
        <v>1868.2802419348991</v>
      </c>
      <c r="T281">
        <f t="shared" si="968"/>
        <v>1.8682802419348992</v>
      </c>
    </row>
    <row r="282" spans="1:20" x14ac:dyDescent="0.25">
      <c r="A282" s="5">
        <v>44311</v>
      </c>
      <c r="B282">
        <v>11.662000000000001</v>
      </c>
      <c r="C282">
        <v>13.164999999999999</v>
      </c>
      <c r="D282">
        <v>11.012</v>
      </c>
      <c r="E282">
        <v>11.938000000000001</v>
      </c>
      <c r="F282">
        <v>4373940.8109999998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-0.139804923362749</v>
      </c>
      <c r="Q282">
        <f t="shared" si="965"/>
        <v>-611498.45987505512</v>
      </c>
      <c r="R282">
        <f t="shared" si="966"/>
        <v>181721658.30702728</v>
      </c>
      <c r="S282">
        <f t="shared" si="967"/>
        <v>1817.2165830702727</v>
      </c>
      <c r="T282">
        <f t="shared" si="968"/>
        <v>1.8172165830702727</v>
      </c>
    </row>
    <row r="283" spans="1:20" x14ac:dyDescent="0.25">
      <c r="A283" s="5">
        <v>44310</v>
      </c>
      <c r="B283">
        <v>13.045</v>
      </c>
      <c r="C283">
        <v>13.3</v>
      </c>
      <c r="D283">
        <v>11.478999999999999</v>
      </c>
      <c r="E283">
        <v>11.667999999999999</v>
      </c>
      <c r="F283">
        <v>5271950.574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-0.79242174629324558</v>
      </c>
      <c r="Q283">
        <f t="shared" si="965"/>
        <v>-4177608.2802207586</v>
      </c>
      <c r="R283">
        <f t="shared" si="966"/>
        <v>182333156.76690233</v>
      </c>
      <c r="S283">
        <f t="shared" si="967"/>
        <v>1823.3315676690233</v>
      </c>
      <c r="T283">
        <f t="shared" si="968"/>
        <v>1.8233315676690234</v>
      </c>
    </row>
    <row r="284" spans="1:20" x14ac:dyDescent="0.25">
      <c r="A284" s="5">
        <v>44309</v>
      </c>
      <c r="B284">
        <v>13.361000000000001</v>
      </c>
      <c r="C284">
        <v>13.67</v>
      </c>
      <c r="D284">
        <v>10.01</v>
      </c>
      <c r="E284">
        <v>13.052</v>
      </c>
      <c r="F284">
        <v>10859732.154999999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0.66229508196721298</v>
      </c>
      <c r="Q284">
        <f t="shared" si="965"/>
        <v>7192347.1977377031</v>
      </c>
      <c r="R284">
        <f t="shared" si="966"/>
        <v>186510765.04712307</v>
      </c>
      <c r="S284">
        <f t="shared" si="967"/>
        <v>1865.1076504712307</v>
      </c>
      <c r="T284">
        <f t="shared" si="968"/>
        <v>1.8651076504712307</v>
      </c>
    </row>
    <row r="285" spans="1:20" x14ac:dyDescent="0.25">
      <c r="A285" s="5">
        <v>44308</v>
      </c>
      <c r="B285">
        <v>15.794</v>
      </c>
      <c r="C285">
        <v>16.341999999999999</v>
      </c>
      <c r="D285">
        <v>13.3</v>
      </c>
      <c r="E285">
        <v>13.361000000000001</v>
      </c>
      <c r="F285">
        <v>7099874.2050000001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-0.95989480604865218</v>
      </c>
      <c r="Q285">
        <f t="shared" si="965"/>
        <v>-6815132.3729783036</v>
      </c>
      <c r="R285">
        <f t="shared" si="966"/>
        <v>179318417.84938538</v>
      </c>
      <c r="S285">
        <f t="shared" si="967"/>
        <v>1793.1841784938538</v>
      </c>
      <c r="T285">
        <f t="shared" si="968"/>
        <v>1.7931841784938538</v>
      </c>
    </row>
    <row r="286" spans="1:20" x14ac:dyDescent="0.25">
      <c r="A286" s="5">
        <v>44307</v>
      </c>
      <c r="B286">
        <v>17.494</v>
      </c>
      <c r="C286">
        <v>17.513999999999999</v>
      </c>
      <c r="D286">
        <v>15.641999999999999</v>
      </c>
      <c r="E286">
        <v>15.787000000000001</v>
      </c>
      <c r="F286">
        <v>4440535.4730000002</v>
      </c>
      <c r="G286">
        <v>0</v>
      </c>
      <c r="L286" t="s">
        <v>7</v>
      </c>
      <c r="M286" t="s">
        <v>7</v>
      </c>
      <c r="N286" t="s">
        <v>8</v>
      </c>
      <c r="P286">
        <f t="shared" si="964"/>
        <v>-0.84508547008546864</v>
      </c>
      <c r="Q286">
        <f t="shared" si="965"/>
        <v>-3752632.0076314039</v>
      </c>
      <c r="R286">
        <f t="shared" si="966"/>
        <v>186133550.22236368</v>
      </c>
      <c r="S286">
        <f t="shared" si="967"/>
        <v>1861.3355022236367</v>
      </c>
      <c r="T286">
        <f t="shared" si="968"/>
        <v>1.8613355022236366</v>
      </c>
    </row>
    <row r="287" spans="1:20" x14ac:dyDescent="0.25">
      <c r="A287" s="5">
        <v>44306</v>
      </c>
      <c r="B287">
        <v>18.3</v>
      </c>
      <c r="C287">
        <v>18.696999999999999</v>
      </c>
      <c r="D287">
        <v>16.2</v>
      </c>
      <c r="E287">
        <v>17.495999999999999</v>
      </c>
      <c r="F287">
        <v>7424156.4239999996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3.8045654785742435E-2</v>
      </c>
      <c r="Q287">
        <f t="shared" si="965"/>
        <v>282456.89238285605</v>
      </c>
      <c r="R287">
        <f t="shared" si="966"/>
        <v>189886182.22999507</v>
      </c>
      <c r="S287">
        <f t="shared" si="967"/>
        <v>1898.8618222999507</v>
      </c>
      <c r="T287">
        <f t="shared" si="968"/>
        <v>1.8988618222999507</v>
      </c>
    </row>
    <row r="288" spans="1:20" x14ac:dyDescent="0.25">
      <c r="A288" s="5">
        <v>44305</v>
      </c>
      <c r="B288">
        <v>18.353000000000002</v>
      </c>
      <c r="C288">
        <v>21.045000000000002</v>
      </c>
      <c r="D288">
        <v>17.437000000000001</v>
      </c>
      <c r="E288">
        <v>18.298999999999999</v>
      </c>
      <c r="F288">
        <v>15416616.369999999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-0.52217294900221833</v>
      </c>
      <c r="Q288">
        <f t="shared" si="965"/>
        <v>-8050140.0335587738</v>
      </c>
      <c r="R288">
        <f t="shared" si="966"/>
        <v>189603725.33761221</v>
      </c>
      <c r="S288">
        <f t="shared" si="967"/>
        <v>1896.0372533761222</v>
      </c>
      <c r="T288">
        <f t="shared" si="968"/>
        <v>1.8960372533761223</v>
      </c>
    </row>
    <row r="289" spans="1:20" x14ac:dyDescent="0.25">
      <c r="A289" s="5">
        <v>44304</v>
      </c>
      <c r="B289">
        <v>17.245999999999999</v>
      </c>
      <c r="C289">
        <v>18.652000000000001</v>
      </c>
      <c r="D289">
        <v>11.8</v>
      </c>
      <c r="E289">
        <v>18.38</v>
      </c>
      <c r="F289">
        <v>11133035.424000001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0.92060712200817219</v>
      </c>
      <c r="Q289">
        <f t="shared" si="965"/>
        <v>10249151.700903671</v>
      </c>
      <c r="R289">
        <f t="shared" si="966"/>
        <v>197653865.371171</v>
      </c>
      <c r="S289">
        <f t="shared" si="967"/>
        <v>1976.5386537117099</v>
      </c>
      <c r="T289">
        <f t="shared" si="968"/>
        <v>1.97653865371171</v>
      </c>
    </row>
    <row r="290" spans="1:20" x14ac:dyDescent="0.25">
      <c r="A290" s="5">
        <v>44303</v>
      </c>
      <c r="B290">
        <v>18.349</v>
      </c>
      <c r="C290">
        <v>19.600000000000001</v>
      </c>
      <c r="D290">
        <v>17</v>
      </c>
      <c r="E290">
        <v>17.245999999999999</v>
      </c>
      <c r="F290">
        <v>5098480.0209999997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-0.81076923076923191</v>
      </c>
      <c r="Q290">
        <f t="shared" si="965"/>
        <v>-4133690.7247184673</v>
      </c>
      <c r="R290">
        <f t="shared" si="966"/>
        <v>187404713.67026731</v>
      </c>
      <c r="S290">
        <f t="shared" si="967"/>
        <v>1874.0471367026732</v>
      </c>
      <c r="T290">
        <f t="shared" si="968"/>
        <v>1.8740471367026732</v>
      </c>
    </row>
    <row r="291" spans="1:20" x14ac:dyDescent="0.25">
      <c r="A291" s="5">
        <v>44302</v>
      </c>
      <c r="B291">
        <v>17.620999999999999</v>
      </c>
      <c r="C291">
        <v>19.132000000000001</v>
      </c>
      <c r="D291">
        <v>15.613</v>
      </c>
      <c r="E291">
        <v>18.347999999999999</v>
      </c>
      <c r="F291">
        <v>9321673.6640000008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0.55441886899687298</v>
      </c>
      <c r="Q291">
        <f t="shared" si="965"/>
        <v>5168111.7699528178</v>
      </c>
      <c r="R291">
        <f t="shared" si="966"/>
        <v>191538404.3949858</v>
      </c>
      <c r="S291">
        <f t="shared" si="967"/>
        <v>1915.3840439498579</v>
      </c>
      <c r="T291">
        <f t="shared" si="968"/>
        <v>1.915384043949858</v>
      </c>
    </row>
    <row r="292" spans="1:20" x14ac:dyDescent="0.25">
      <c r="A292" s="5">
        <v>44301</v>
      </c>
      <c r="B292">
        <v>15.882999999999999</v>
      </c>
      <c r="C292">
        <v>18.021000000000001</v>
      </c>
      <c r="D292">
        <v>15.1</v>
      </c>
      <c r="E292">
        <v>17.62</v>
      </c>
      <c r="F292">
        <v>4002554.3020000001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0.72543649435124979</v>
      </c>
      <c r="Q292">
        <f t="shared" si="965"/>
        <v>2903598.9612933937</v>
      </c>
      <c r="R292">
        <f t="shared" si="966"/>
        <v>186370292.62503299</v>
      </c>
      <c r="S292">
        <f t="shared" si="967"/>
        <v>1863.7029262503299</v>
      </c>
      <c r="T292">
        <f t="shared" si="968"/>
        <v>1.86370292625033</v>
      </c>
    </row>
    <row r="293" spans="1:20" x14ac:dyDescent="0.25">
      <c r="A293" s="5">
        <v>44300</v>
      </c>
      <c r="B293">
        <v>15.058999999999999</v>
      </c>
      <c r="C293">
        <v>16.907</v>
      </c>
      <c r="D293">
        <v>14.656000000000001</v>
      </c>
      <c r="E293">
        <v>15.895</v>
      </c>
      <c r="F293">
        <v>5800752.0609999998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0.10084406930253158</v>
      </c>
      <c r="Q293">
        <f t="shared" si="965"/>
        <v>584971.44284628681</v>
      </c>
      <c r="R293">
        <f t="shared" si="966"/>
        <v>183466693.66373959</v>
      </c>
      <c r="S293">
        <f t="shared" si="967"/>
        <v>1834.666936637396</v>
      </c>
      <c r="T293">
        <f t="shared" si="968"/>
        <v>1.834666936637396</v>
      </c>
    </row>
    <row r="294" spans="1:20" x14ac:dyDescent="0.25">
      <c r="A294" s="5">
        <v>44299</v>
      </c>
      <c r="B294">
        <v>14.510999999999999</v>
      </c>
      <c r="C294">
        <v>15.62</v>
      </c>
      <c r="D294">
        <v>14.17</v>
      </c>
      <c r="E294">
        <v>15.052</v>
      </c>
      <c r="F294">
        <v>4268551.25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0.21655172413793117</v>
      </c>
      <c r="Q294">
        <f t="shared" si="965"/>
        <v>924362.13275862124</v>
      </c>
      <c r="R294">
        <f t="shared" si="966"/>
        <v>182881722.22089329</v>
      </c>
      <c r="S294">
        <f t="shared" si="967"/>
        <v>1828.8172222089329</v>
      </c>
      <c r="T294">
        <f t="shared" si="968"/>
        <v>1.8288172222089329</v>
      </c>
    </row>
    <row r="295" spans="1:20" x14ac:dyDescent="0.25">
      <c r="A295" s="5">
        <v>44298</v>
      </c>
      <c r="B295">
        <v>14.945</v>
      </c>
      <c r="C295">
        <v>16.27</v>
      </c>
      <c r="D295">
        <v>14.36</v>
      </c>
      <c r="E295">
        <v>14.51</v>
      </c>
      <c r="F295">
        <v>4023029.6940000001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-0.84293193717277448</v>
      </c>
      <c r="Q295">
        <f t="shared" si="965"/>
        <v>-3391140.2132670144</v>
      </c>
      <c r="R295">
        <f t="shared" si="966"/>
        <v>181957360.08813468</v>
      </c>
      <c r="S295">
        <f t="shared" si="967"/>
        <v>1819.5736008813467</v>
      </c>
      <c r="T295">
        <f t="shared" si="968"/>
        <v>1.8195736008813468</v>
      </c>
    </row>
    <row r="296" spans="1:20" x14ac:dyDescent="0.25">
      <c r="A296" s="5">
        <v>44297</v>
      </c>
      <c r="B296">
        <v>15.907</v>
      </c>
      <c r="C296">
        <v>15.949</v>
      </c>
      <c r="D296">
        <v>14.574999999999999</v>
      </c>
      <c r="E296">
        <v>14.94</v>
      </c>
      <c r="F296">
        <v>3454350.8810000001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-0.46870451237263455</v>
      </c>
      <c r="Q296">
        <f t="shared" si="965"/>
        <v>-1619069.8452430856</v>
      </c>
      <c r="R296">
        <f t="shared" si="966"/>
        <v>185348500.3014017</v>
      </c>
      <c r="S296">
        <f t="shared" si="967"/>
        <v>1853.4850030140171</v>
      </c>
      <c r="T296">
        <f t="shared" si="968"/>
        <v>1.8534850030140171</v>
      </c>
    </row>
    <row r="297" spans="1:20" x14ac:dyDescent="0.25">
      <c r="A297" s="5">
        <v>44296</v>
      </c>
      <c r="B297">
        <v>15.75</v>
      </c>
      <c r="C297">
        <v>16.53</v>
      </c>
      <c r="D297">
        <v>14.901</v>
      </c>
      <c r="E297">
        <v>15.907</v>
      </c>
      <c r="F297">
        <v>5478337.0999999996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0.23511356660527857</v>
      </c>
      <c r="Q297">
        <f t="shared" si="965"/>
        <v>1288031.3746470185</v>
      </c>
      <c r="R297">
        <f t="shared" si="966"/>
        <v>186967570.1466448</v>
      </c>
      <c r="S297">
        <f t="shared" si="967"/>
        <v>1869.6757014664481</v>
      </c>
      <c r="T297">
        <f t="shared" si="968"/>
        <v>1.869675701466448</v>
      </c>
    </row>
    <row r="298" spans="1:20" x14ac:dyDescent="0.25">
      <c r="A298" s="5">
        <v>44295</v>
      </c>
      <c r="B298">
        <v>16.788</v>
      </c>
      <c r="C298">
        <v>16.827999999999999</v>
      </c>
      <c r="D298">
        <v>15.07</v>
      </c>
      <c r="E298">
        <v>15.744999999999999</v>
      </c>
      <c r="F298">
        <v>5060428.2560000001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-0.23208191126279945</v>
      </c>
      <c r="Q298">
        <f t="shared" si="965"/>
        <v>-1174433.8614607549</v>
      </c>
      <c r="R298">
        <f t="shared" si="966"/>
        <v>185679538.77199778</v>
      </c>
      <c r="S298">
        <f t="shared" si="967"/>
        <v>1856.7953877199777</v>
      </c>
      <c r="T298">
        <f t="shared" si="968"/>
        <v>1.8567953877199777</v>
      </c>
    </row>
    <row r="299" spans="1:20" x14ac:dyDescent="0.25">
      <c r="A299" s="5">
        <v>44294</v>
      </c>
      <c r="B299">
        <v>15.692</v>
      </c>
      <c r="C299">
        <v>16.928000000000001</v>
      </c>
      <c r="D299">
        <v>14.332000000000001</v>
      </c>
      <c r="E299">
        <v>16.809000000000001</v>
      </c>
      <c r="F299">
        <v>8442948.9670000002</v>
      </c>
      <c r="G299">
        <v>0</v>
      </c>
      <c r="L299" t="s">
        <v>7</v>
      </c>
      <c r="M299" t="s">
        <v>7</v>
      </c>
      <c r="N299" t="s">
        <v>8</v>
      </c>
      <c r="P299">
        <f t="shared" si="964"/>
        <v>0.90832049306625595</v>
      </c>
      <c r="Q299">
        <f t="shared" si="965"/>
        <v>7668903.5686386768</v>
      </c>
      <c r="R299">
        <f t="shared" si="966"/>
        <v>186853972.63345852</v>
      </c>
      <c r="S299">
        <f t="shared" si="967"/>
        <v>1868.5397263345853</v>
      </c>
      <c r="T299">
        <f t="shared" si="968"/>
        <v>1.8685397263345853</v>
      </c>
    </row>
    <row r="300" spans="1:20" x14ac:dyDescent="0.25">
      <c r="A300" s="5">
        <v>44293</v>
      </c>
      <c r="B300">
        <v>15.252000000000001</v>
      </c>
      <c r="C300">
        <v>17.98</v>
      </c>
      <c r="D300">
        <v>13.625</v>
      </c>
      <c r="E300">
        <v>15.695</v>
      </c>
      <c r="F300">
        <v>26091599.793000001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-4.9368541905855302E-2</v>
      </c>
      <c r="Q300">
        <f t="shared" si="965"/>
        <v>-1288104.2377715262</v>
      </c>
      <c r="R300">
        <f t="shared" si="966"/>
        <v>179185069.06481984</v>
      </c>
      <c r="S300">
        <f t="shared" si="967"/>
        <v>1791.8506906481985</v>
      </c>
      <c r="T300">
        <f t="shared" si="968"/>
        <v>1.7918506906481984</v>
      </c>
    </row>
    <row r="301" spans="1:20" x14ac:dyDescent="0.25">
      <c r="A301" s="5">
        <v>44292</v>
      </c>
      <c r="B301">
        <v>11.824999999999999</v>
      </c>
      <c r="C301">
        <v>15.35</v>
      </c>
      <c r="D301">
        <v>11.754</v>
      </c>
      <c r="E301">
        <v>15.252000000000001</v>
      </c>
      <c r="F301">
        <v>15144440.218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0.94549499443826535</v>
      </c>
      <c r="Q301">
        <f t="shared" si="965"/>
        <v>14318992.419688553</v>
      </c>
      <c r="R301">
        <f t="shared" si="966"/>
        <v>180473173.30259138</v>
      </c>
      <c r="S301">
        <f t="shared" si="967"/>
        <v>1804.7317330259139</v>
      </c>
      <c r="T301">
        <f t="shared" si="968"/>
        <v>1.8047317330259138</v>
      </c>
    </row>
    <row r="302" spans="1:20" x14ac:dyDescent="0.25">
      <c r="A302" s="5">
        <v>44291</v>
      </c>
      <c r="B302">
        <v>10.769</v>
      </c>
      <c r="C302">
        <v>12.148999999999999</v>
      </c>
      <c r="D302">
        <v>10.654</v>
      </c>
      <c r="E302">
        <v>11.837999999999999</v>
      </c>
      <c r="F302">
        <v>6354676.7649999997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0.58394648829431428</v>
      </c>
      <c r="Q302">
        <f t="shared" si="965"/>
        <v>3710791.181167223</v>
      </c>
      <c r="R302">
        <f t="shared" si="966"/>
        <v>166154180.88290283</v>
      </c>
      <c r="S302">
        <f t="shared" si="967"/>
        <v>1661.5418088290282</v>
      </c>
      <c r="T302">
        <f t="shared" si="968"/>
        <v>1.6615418088290281</v>
      </c>
    </row>
    <row r="303" spans="1:20" x14ac:dyDescent="0.25">
      <c r="A303" s="5">
        <v>44290</v>
      </c>
      <c r="B303">
        <v>9.7379999999999995</v>
      </c>
      <c r="C303">
        <v>11.07</v>
      </c>
      <c r="D303">
        <v>9.5570000000000004</v>
      </c>
      <c r="E303">
        <v>10.77</v>
      </c>
      <c r="F303">
        <v>4861986.26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0.60343688037012466</v>
      </c>
      <c r="Q303">
        <f t="shared" si="965"/>
        <v>2933901.8211368099</v>
      </c>
      <c r="R303">
        <f t="shared" si="966"/>
        <v>162443389.70173562</v>
      </c>
      <c r="S303">
        <f t="shared" si="967"/>
        <v>1624.4338970173562</v>
      </c>
      <c r="T303">
        <f t="shared" si="968"/>
        <v>1.6244338970173562</v>
      </c>
    </row>
    <row r="304" spans="1:20" x14ac:dyDescent="0.25">
      <c r="A304" s="5">
        <v>44289</v>
      </c>
      <c r="B304">
        <v>10.170999999999999</v>
      </c>
      <c r="C304">
        <v>11.458</v>
      </c>
      <c r="D304">
        <v>9.7129999999999992</v>
      </c>
      <c r="E304">
        <v>9.7490000000000006</v>
      </c>
      <c r="F304">
        <v>5984713.8779999996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-0.95873925501432511</v>
      </c>
      <c r="Q304">
        <f t="shared" si="965"/>
        <v>-5737780.1248676125</v>
      </c>
      <c r="R304">
        <f t="shared" si="966"/>
        <v>159509487.88059881</v>
      </c>
      <c r="S304">
        <f t="shared" si="967"/>
        <v>1595.0948788059882</v>
      </c>
      <c r="T304">
        <f t="shared" si="968"/>
        <v>1.5950948788059882</v>
      </c>
    </row>
    <row r="305" spans="1:20" x14ac:dyDescent="0.25">
      <c r="A305" s="5">
        <v>44288</v>
      </c>
      <c r="B305">
        <v>10.032</v>
      </c>
      <c r="C305">
        <v>10.519</v>
      </c>
      <c r="D305">
        <v>9.7550000000000008</v>
      </c>
      <c r="E305">
        <v>10.178000000000001</v>
      </c>
      <c r="F305">
        <v>4195278.5379999997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0.10732984293193823</v>
      </c>
      <c r="Q305">
        <f t="shared" si="965"/>
        <v>450278.5865392714</v>
      </c>
      <c r="R305">
        <f t="shared" si="966"/>
        <v>165247268.00546643</v>
      </c>
      <c r="S305">
        <f t="shared" si="967"/>
        <v>1652.4726800546644</v>
      </c>
      <c r="T305">
        <f t="shared" si="968"/>
        <v>1.6524726800546643</v>
      </c>
    </row>
    <row r="306" spans="1:20" x14ac:dyDescent="0.25">
      <c r="A306" s="5">
        <v>44287</v>
      </c>
      <c r="B306">
        <v>9.3930000000000007</v>
      </c>
      <c r="C306">
        <v>10.948</v>
      </c>
      <c r="D306">
        <v>9.3930000000000007</v>
      </c>
      <c r="E306">
        <v>10.032</v>
      </c>
      <c r="F306">
        <v>12330289.275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-0.17813504823151194</v>
      </c>
      <c r="Q306">
        <f t="shared" si="965"/>
        <v>-2196456.6747106193</v>
      </c>
      <c r="R306">
        <f t="shared" si="966"/>
        <v>164796989.41892716</v>
      </c>
      <c r="S306">
        <f t="shared" si="967"/>
        <v>1647.9698941892716</v>
      </c>
      <c r="T306">
        <f t="shared" si="968"/>
        <v>1.6479698941892715</v>
      </c>
    </row>
    <row r="307" spans="1:20" x14ac:dyDescent="0.25">
      <c r="A307" s="5">
        <v>44286</v>
      </c>
      <c r="B307">
        <v>8.7609999999999992</v>
      </c>
      <c r="C307">
        <v>9.6229999999999993</v>
      </c>
      <c r="D307">
        <v>8.1069999999999993</v>
      </c>
      <c r="E307">
        <v>9.3889999999999993</v>
      </c>
      <c r="F307">
        <v>6852457.125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0.69129287598944589</v>
      </c>
      <c r="Q307">
        <f t="shared" si="965"/>
        <v>4737054.79353562</v>
      </c>
      <c r="R307">
        <f t="shared" si="966"/>
        <v>166993446.09363779</v>
      </c>
      <c r="S307">
        <f t="shared" si="967"/>
        <v>1669.9344609363779</v>
      </c>
      <c r="T307">
        <f t="shared" si="968"/>
        <v>1.669934460936378</v>
      </c>
    </row>
    <row r="308" spans="1:20" x14ac:dyDescent="0.25">
      <c r="A308" s="5">
        <v>44285</v>
      </c>
      <c r="B308">
        <v>8.7539999999999996</v>
      </c>
      <c r="C308">
        <v>9.2309999999999999</v>
      </c>
      <c r="D308">
        <v>8.6419999999999995</v>
      </c>
      <c r="E308">
        <v>8.76</v>
      </c>
      <c r="F308">
        <v>5136537.6490000002</v>
      </c>
      <c r="G308">
        <v>0</v>
      </c>
      <c r="L308" t="s">
        <v>8</v>
      </c>
      <c r="M308" t="s">
        <v>7</v>
      </c>
      <c r="N308" t="s">
        <v>8</v>
      </c>
      <c r="P308">
        <f t="shared" si="964"/>
        <v>-0.59932088285229124</v>
      </c>
      <c r="Q308">
        <f t="shared" si="965"/>
        <v>-3078434.2786027128</v>
      </c>
      <c r="R308">
        <f t="shared" si="966"/>
        <v>162256391.30010217</v>
      </c>
      <c r="S308">
        <f t="shared" si="967"/>
        <v>1622.5639130010218</v>
      </c>
      <c r="T308">
        <f t="shared" si="968"/>
        <v>1.6225639130010219</v>
      </c>
    </row>
    <row r="309" spans="1:20" x14ac:dyDescent="0.25">
      <c r="A309" s="5">
        <v>44284</v>
      </c>
      <c r="B309">
        <v>8.2080000000000002</v>
      </c>
      <c r="C309">
        <v>8.8789999999999996</v>
      </c>
      <c r="D309">
        <v>7.9450000000000003</v>
      </c>
      <c r="E309">
        <v>8.7530000000000001</v>
      </c>
      <c r="F309">
        <v>4770977.6459999997</v>
      </c>
      <c r="G309">
        <v>0</v>
      </c>
      <c r="L309" t="s">
        <v>8</v>
      </c>
      <c r="M309" t="s">
        <v>7</v>
      </c>
      <c r="N309" t="s">
        <v>8</v>
      </c>
      <c r="P309">
        <f t="shared" si="964"/>
        <v>0.73019271948608233</v>
      </c>
      <c r="Q309">
        <f t="shared" si="965"/>
        <v>3483733.141940047</v>
      </c>
      <c r="R309">
        <f t="shared" si="966"/>
        <v>165334825.57870489</v>
      </c>
      <c r="S309">
        <f t="shared" si="967"/>
        <v>1653.3482557870489</v>
      </c>
      <c r="T309">
        <f t="shared" si="968"/>
        <v>1.6533482557870489</v>
      </c>
    </row>
    <row r="310" spans="1:20" x14ac:dyDescent="0.25">
      <c r="A310" s="5">
        <v>44283</v>
      </c>
      <c r="B310">
        <v>8.5370000000000008</v>
      </c>
      <c r="C310">
        <v>8.6010000000000009</v>
      </c>
      <c r="D310">
        <v>7.907</v>
      </c>
      <c r="E310">
        <v>8.2070000000000007</v>
      </c>
      <c r="F310">
        <v>4291935.9639999997</v>
      </c>
      <c r="G310">
        <v>0</v>
      </c>
      <c r="L310" t="s">
        <v>7</v>
      </c>
      <c r="M310" t="s">
        <v>7</v>
      </c>
      <c r="N310" t="s">
        <v>8</v>
      </c>
      <c r="P310">
        <f t="shared" si="964"/>
        <v>-0.13544668587896153</v>
      </c>
      <c r="Q310">
        <f t="shared" si="965"/>
        <v>-581328.50232852588</v>
      </c>
      <c r="R310">
        <f t="shared" si="966"/>
        <v>161851092.43676484</v>
      </c>
      <c r="S310">
        <f t="shared" si="967"/>
        <v>1618.5109243676484</v>
      </c>
      <c r="T310">
        <f t="shared" si="968"/>
        <v>1.6185109243676483</v>
      </c>
    </row>
    <row r="311" spans="1:20" x14ac:dyDescent="0.25">
      <c r="A311" s="5">
        <v>44282</v>
      </c>
      <c r="B311">
        <v>8.6349999999999998</v>
      </c>
      <c r="C311">
        <v>9.1910000000000007</v>
      </c>
      <c r="D311">
        <v>8.1859999999999999</v>
      </c>
      <c r="E311">
        <v>8.5350000000000001</v>
      </c>
      <c r="F311">
        <v>7577594.1809999999</v>
      </c>
      <c r="G311">
        <v>0</v>
      </c>
      <c r="L311" t="s">
        <v>7</v>
      </c>
      <c r="M311" t="s">
        <v>8</v>
      </c>
      <c r="N311" t="s">
        <v>8</v>
      </c>
      <c r="P311">
        <f t="shared" si="964"/>
        <v>-0.30547263681592052</v>
      </c>
      <c r="Q311">
        <f t="shared" si="965"/>
        <v>-2314747.6751910457</v>
      </c>
      <c r="R311">
        <f t="shared" si="966"/>
        <v>162432420.93909335</v>
      </c>
      <c r="S311">
        <f t="shared" si="967"/>
        <v>1624.3242093909334</v>
      </c>
      <c r="T311">
        <f t="shared" si="968"/>
        <v>1.6243242093909334</v>
      </c>
    </row>
    <row r="312" spans="1:20" x14ac:dyDescent="0.25">
      <c r="A312" s="5">
        <v>44281</v>
      </c>
      <c r="B312">
        <v>8.2230000000000008</v>
      </c>
      <c r="C312">
        <v>9.5280000000000005</v>
      </c>
      <c r="D312">
        <v>8.1649999999999991</v>
      </c>
      <c r="E312">
        <v>8.6349999999999998</v>
      </c>
      <c r="F312">
        <v>16056361.426999999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-0.31034482758620663</v>
      </c>
      <c r="Q312">
        <f t="shared" si="965"/>
        <v>-4983008.7187241334</v>
      </c>
      <c r="R312">
        <f t="shared" si="966"/>
        <v>164747168.6142844</v>
      </c>
      <c r="S312">
        <f t="shared" si="967"/>
        <v>1647.471686142844</v>
      </c>
      <c r="T312">
        <f t="shared" si="968"/>
        <v>1.647471686142844</v>
      </c>
    </row>
    <row r="313" spans="1:20" x14ac:dyDescent="0.25">
      <c r="A313" s="5">
        <v>44280</v>
      </c>
      <c r="B313">
        <v>7.226</v>
      </c>
      <c r="C313">
        <v>8.7899999999999991</v>
      </c>
      <c r="D313">
        <v>6.7060000000000004</v>
      </c>
      <c r="E313">
        <v>8.2249999999999996</v>
      </c>
      <c r="F313">
        <v>20800330.412999999</v>
      </c>
      <c r="G313">
        <v>0</v>
      </c>
      <c r="L313" t="s">
        <v>8</v>
      </c>
      <c r="M313" t="s">
        <v>7</v>
      </c>
      <c r="N313" t="s">
        <v>8</v>
      </c>
      <c r="P313">
        <f t="shared" si="964"/>
        <v>0.45777351247600784</v>
      </c>
      <c r="Q313">
        <f t="shared" si="965"/>
        <v>9521840.3138205409</v>
      </c>
      <c r="R313">
        <f t="shared" si="966"/>
        <v>169730177.33300853</v>
      </c>
      <c r="S313">
        <f t="shared" si="967"/>
        <v>1697.3017733300853</v>
      </c>
      <c r="T313">
        <f t="shared" si="968"/>
        <v>1.6973017733300853</v>
      </c>
    </row>
    <row r="314" spans="1:20" x14ac:dyDescent="0.25">
      <c r="A314" s="5">
        <v>44279</v>
      </c>
      <c r="B314">
        <v>7.0019999999999998</v>
      </c>
      <c r="C314">
        <v>8.5749999999999993</v>
      </c>
      <c r="D314">
        <v>6.7</v>
      </c>
      <c r="E314">
        <v>7.226</v>
      </c>
      <c r="F314">
        <v>13671228.467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-0.43893333333333329</v>
      </c>
      <c r="Q314">
        <f t="shared" si="965"/>
        <v>-6000757.8817818658</v>
      </c>
      <c r="R314">
        <f t="shared" si="966"/>
        <v>160208337.01918799</v>
      </c>
      <c r="S314">
        <f t="shared" si="967"/>
        <v>1602.0833701918798</v>
      </c>
      <c r="T314">
        <f t="shared" si="968"/>
        <v>1.6020833701918797</v>
      </c>
    </row>
    <row r="315" spans="1:20" x14ac:dyDescent="0.25">
      <c r="A315" s="5">
        <v>44278</v>
      </c>
      <c r="B315">
        <v>6.5430000000000001</v>
      </c>
      <c r="C315">
        <v>7.1020000000000003</v>
      </c>
      <c r="D315">
        <v>6.306</v>
      </c>
      <c r="E315">
        <v>6.9989999999999997</v>
      </c>
      <c r="F315">
        <v>4217601.4910000004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0.74120603015075226</v>
      </c>
      <c r="Q315">
        <f t="shared" si="965"/>
        <v>3126111.6579020042</v>
      </c>
      <c r="R315">
        <f t="shared" si="966"/>
        <v>166209094.90096986</v>
      </c>
      <c r="S315">
        <f t="shared" si="967"/>
        <v>1662.0909490096985</v>
      </c>
      <c r="T315">
        <f t="shared" si="968"/>
        <v>1.6620909490096984</v>
      </c>
    </row>
    <row r="316" spans="1:20" x14ac:dyDescent="0.25">
      <c r="A316" s="5">
        <v>44277</v>
      </c>
      <c r="B316">
        <v>6.5880000000000001</v>
      </c>
      <c r="C316">
        <v>7.1</v>
      </c>
      <c r="D316">
        <v>6.4329999999999998</v>
      </c>
      <c r="E316">
        <v>6.5380000000000003</v>
      </c>
      <c r="F316">
        <v>4969815.8159999996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-0.68515742128935397</v>
      </c>
      <c r="Q316">
        <f t="shared" si="965"/>
        <v>-3405106.1887736064</v>
      </c>
      <c r="R316">
        <f t="shared" si="966"/>
        <v>163082983.24306786</v>
      </c>
      <c r="S316">
        <f t="shared" si="967"/>
        <v>1630.8298324306786</v>
      </c>
      <c r="T316">
        <f t="shared" si="968"/>
        <v>1.6308298324306787</v>
      </c>
    </row>
    <row r="317" spans="1:20" x14ac:dyDescent="0.25">
      <c r="A317" s="5">
        <v>44276</v>
      </c>
      <c r="B317">
        <v>6.657</v>
      </c>
      <c r="C317">
        <v>6.81</v>
      </c>
      <c r="D317">
        <v>6.3819999999999997</v>
      </c>
      <c r="E317">
        <v>6.5960000000000001</v>
      </c>
      <c r="F317">
        <v>3106767.2659999998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2.0751832235984239E-15</v>
      </c>
      <c r="Q317">
        <f t="shared" si="965"/>
        <v>6.4471113100279417E-9</v>
      </c>
      <c r="R317">
        <f t="shared" si="966"/>
        <v>166488089.43184146</v>
      </c>
      <c r="S317">
        <f t="shared" si="967"/>
        <v>1664.8808943184147</v>
      </c>
      <c r="T317">
        <f t="shared" si="968"/>
        <v>1.6648808943184146</v>
      </c>
    </row>
    <row r="318" spans="1:20" x14ac:dyDescent="0.25">
      <c r="A318" s="5">
        <v>44275</v>
      </c>
      <c r="B318">
        <v>7.008</v>
      </c>
      <c r="C318">
        <v>7.3730000000000002</v>
      </c>
      <c r="D318">
        <v>6.6</v>
      </c>
      <c r="E318">
        <v>6.665</v>
      </c>
      <c r="F318">
        <v>3906979.21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-0.83182406209573001</v>
      </c>
      <c r="Q318">
        <f t="shared" si="965"/>
        <v>-3249919.3169857659</v>
      </c>
      <c r="R318">
        <f t="shared" si="966"/>
        <v>166488089.43184146</v>
      </c>
      <c r="S318">
        <f t="shared" si="967"/>
        <v>1664.8808943184147</v>
      </c>
      <c r="T318">
        <f t="shared" si="968"/>
        <v>1.6648808943184146</v>
      </c>
    </row>
    <row r="319" spans="1:20" x14ac:dyDescent="0.25">
      <c r="A319" s="5">
        <v>44274</v>
      </c>
      <c r="B319">
        <v>6.3730000000000002</v>
      </c>
      <c r="C319">
        <v>7.5890000000000004</v>
      </c>
      <c r="D319">
        <v>6.1429999999999998</v>
      </c>
      <c r="E319">
        <v>7.0049999999999999</v>
      </c>
      <c r="F319">
        <v>7870732.3700000001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0.1922544951590591</v>
      </c>
      <c r="Q319">
        <f t="shared" si="965"/>
        <v>1513183.6783264147</v>
      </c>
      <c r="R319">
        <f t="shared" si="966"/>
        <v>169738008.74882722</v>
      </c>
      <c r="S319">
        <f t="shared" si="967"/>
        <v>1697.3800874882722</v>
      </c>
      <c r="T319">
        <f t="shared" si="968"/>
        <v>1.6973800874882723</v>
      </c>
    </row>
    <row r="320" spans="1:20" x14ac:dyDescent="0.25">
      <c r="A320" s="5">
        <v>44273</v>
      </c>
      <c r="B320">
        <v>6.2110000000000003</v>
      </c>
      <c r="C320">
        <v>6.7</v>
      </c>
      <c r="D320">
        <v>6.0750000000000002</v>
      </c>
      <c r="E320">
        <v>6.3719999999999999</v>
      </c>
      <c r="F320">
        <v>4918806.0839999998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-4.9600000000000935E-2</v>
      </c>
      <c r="Q320">
        <f t="shared" si="965"/>
        <v>-243972.7817664046</v>
      </c>
      <c r="R320">
        <f t="shared" si="966"/>
        <v>168224825.07050079</v>
      </c>
      <c r="S320">
        <f t="shared" si="967"/>
        <v>1682.2482507050079</v>
      </c>
      <c r="T320">
        <f t="shared" si="968"/>
        <v>1.6822482507050078</v>
      </c>
    </row>
    <row r="321" spans="1:20" x14ac:dyDescent="0.25">
      <c r="A321" s="5">
        <v>44272</v>
      </c>
      <c r="B321">
        <v>6.3730000000000002</v>
      </c>
      <c r="C321">
        <v>6.444</v>
      </c>
      <c r="D321">
        <v>5.875</v>
      </c>
      <c r="E321">
        <v>6.2080000000000002</v>
      </c>
      <c r="F321">
        <v>3638767.1329999999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0.17047451669595856</v>
      </c>
      <c r="Q321">
        <f t="shared" si="965"/>
        <v>620317.06836731371</v>
      </c>
      <c r="R321">
        <f t="shared" si="966"/>
        <v>168468797.85226721</v>
      </c>
      <c r="S321">
        <f t="shared" si="967"/>
        <v>1684.687978522672</v>
      </c>
      <c r="T321">
        <f t="shared" si="968"/>
        <v>1.684687978522672</v>
      </c>
    </row>
    <row r="322" spans="1:20" x14ac:dyDescent="0.25">
      <c r="A322" s="5">
        <v>44271</v>
      </c>
      <c r="B322">
        <v>5.9509999999999996</v>
      </c>
      <c r="C322">
        <v>6.4390000000000001</v>
      </c>
      <c r="D322">
        <v>5.6360000000000001</v>
      </c>
      <c r="E322">
        <v>6.3680000000000003</v>
      </c>
      <c r="F322">
        <v>5207820.8439999996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0.82316313823163201</v>
      </c>
      <c r="Q322">
        <f t="shared" si="965"/>
        <v>4286886.1492951466</v>
      </c>
      <c r="R322">
        <f t="shared" si="966"/>
        <v>167848480.7838999</v>
      </c>
      <c r="S322">
        <f t="shared" si="967"/>
        <v>1678.4848078389991</v>
      </c>
      <c r="T322">
        <f t="shared" si="968"/>
        <v>1.6784848078389991</v>
      </c>
    </row>
    <row r="323" spans="1:20" x14ac:dyDescent="0.25">
      <c r="A323" s="5">
        <v>44270</v>
      </c>
      <c r="B323">
        <v>5.8259999999999996</v>
      </c>
      <c r="C323">
        <v>6.2089999999999996</v>
      </c>
      <c r="D323">
        <v>5.4669999999999996</v>
      </c>
      <c r="E323">
        <v>5.95</v>
      </c>
      <c r="F323">
        <v>6560846.2520000003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0.30188679245283168</v>
      </c>
      <c r="Q323">
        <f t="shared" si="965"/>
        <v>1980632.8307924627</v>
      </c>
      <c r="R323">
        <f t="shared" si="966"/>
        <v>163561594.63460475</v>
      </c>
      <c r="S323">
        <f t="shared" si="967"/>
        <v>1635.6159463460476</v>
      </c>
      <c r="T323">
        <f t="shared" si="968"/>
        <v>1.6356159463460476</v>
      </c>
    </row>
    <row r="324" spans="1:20" x14ac:dyDescent="0.25">
      <c r="A324" s="5">
        <v>44269</v>
      </c>
      <c r="B324">
        <v>6.1230000000000002</v>
      </c>
      <c r="C324">
        <v>6.3129999999999997</v>
      </c>
      <c r="D324">
        <v>5.7850000000000001</v>
      </c>
      <c r="E324">
        <v>5.8319999999999999</v>
      </c>
      <c r="F324">
        <v>2340152.909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-0.8219696969696979</v>
      </c>
      <c r="Q324">
        <f t="shared" si="965"/>
        <v>-1923534.777473487</v>
      </c>
      <c r="R324">
        <f t="shared" si="966"/>
        <v>161580961.8038123</v>
      </c>
      <c r="S324">
        <f t="shared" si="967"/>
        <v>1615.8096180381231</v>
      </c>
      <c r="T324">
        <f t="shared" si="968"/>
        <v>1.615809618038123</v>
      </c>
    </row>
    <row r="325" spans="1:20" x14ac:dyDescent="0.25">
      <c r="A325" s="5">
        <v>44268</v>
      </c>
      <c r="B325">
        <v>5.8410000000000002</v>
      </c>
      <c r="C325">
        <v>6.2140000000000004</v>
      </c>
      <c r="D325">
        <v>5.5780000000000003</v>
      </c>
      <c r="E325">
        <v>6.1219999999999999</v>
      </c>
      <c r="F325">
        <v>3476882.4670000002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0.71069182389936947</v>
      </c>
      <c r="Q325">
        <f t="shared" si="965"/>
        <v>2470991.9419559692</v>
      </c>
      <c r="R325">
        <f t="shared" si="966"/>
        <v>163504496.58128577</v>
      </c>
      <c r="S325">
        <f t="shared" si="967"/>
        <v>1635.0449658128578</v>
      </c>
      <c r="T325">
        <f t="shared" si="968"/>
        <v>1.6350449658128579</v>
      </c>
    </row>
    <row r="326" spans="1:20" x14ac:dyDescent="0.25">
      <c r="A326" s="5">
        <v>44267</v>
      </c>
      <c r="B326">
        <v>6.141</v>
      </c>
      <c r="C326">
        <v>6.1710000000000003</v>
      </c>
      <c r="D326">
        <v>5.6859999999999999</v>
      </c>
      <c r="E326">
        <v>5.8369999999999997</v>
      </c>
      <c r="F326">
        <v>3026885.7289999998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-0.37731958762886719</v>
      </c>
      <c r="Q326">
        <f t="shared" ref="Q326:Q389" si="970">F326*P326</f>
        <v>-1142103.2750659829</v>
      </c>
      <c r="R326">
        <f t="shared" ref="R326:R389" si="971">R327+Q326</f>
        <v>161033504.63932979</v>
      </c>
      <c r="S326">
        <f t="shared" ref="S326:S389" si="972">R326/100000</f>
        <v>1610.3350463932979</v>
      </c>
      <c r="T326">
        <f t="shared" ref="T326:T389" si="973">S326/1000</f>
        <v>1.6103350463932979</v>
      </c>
    </row>
    <row r="327" spans="1:20" x14ac:dyDescent="0.25">
      <c r="A327" s="5">
        <v>44266</v>
      </c>
      <c r="B327">
        <v>6.2380000000000004</v>
      </c>
      <c r="C327">
        <v>6.28</v>
      </c>
      <c r="D327">
        <v>5.8540000000000001</v>
      </c>
      <c r="E327">
        <v>6.1420000000000003</v>
      </c>
      <c r="F327">
        <v>3557217.7349999999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0.35211267605633872</v>
      </c>
      <c r="Q327">
        <f t="shared" si="970"/>
        <v>1252541.4559859179</v>
      </c>
      <c r="R327">
        <f t="shared" si="971"/>
        <v>162175607.91439578</v>
      </c>
      <c r="S327">
        <f t="shared" si="972"/>
        <v>1621.7560791439578</v>
      </c>
      <c r="T327">
        <f t="shared" si="973"/>
        <v>1.6217560791439578</v>
      </c>
    </row>
    <row r="328" spans="1:20" x14ac:dyDescent="0.25">
      <c r="A328" s="5">
        <v>44265</v>
      </c>
      <c r="B328">
        <v>6.5570000000000004</v>
      </c>
      <c r="C328">
        <v>6.58</v>
      </c>
      <c r="D328">
        <v>6.0350000000000001</v>
      </c>
      <c r="E328">
        <v>6.23</v>
      </c>
      <c r="F328">
        <v>4698937.1749999998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-0.28440366972476949</v>
      </c>
      <c r="Q328">
        <f t="shared" si="970"/>
        <v>-1336394.9763761414</v>
      </c>
      <c r="R328">
        <f t="shared" si="971"/>
        <v>160923066.45840988</v>
      </c>
      <c r="S328">
        <f t="shared" si="972"/>
        <v>1609.2306645840988</v>
      </c>
      <c r="T328">
        <f t="shared" si="973"/>
        <v>1.6092306645840988</v>
      </c>
    </row>
    <row r="329" spans="1:20" x14ac:dyDescent="0.25">
      <c r="A329" s="5">
        <v>44264</v>
      </c>
      <c r="B329">
        <v>6.3109999999999999</v>
      </c>
      <c r="C329">
        <v>6.625</v>
      </c>
      <c r="D329">
        <v>6.1849999999999996</v>
      </c>
      <c r="E329">
        <v>6.5579999999999998</v>
      </c>
      <c r="F329">
        <v>4162255.1910000001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0.69545454545454499</v>
      </c>
      <c r="Q329">
        <f t="shared" si="970"/>
        <v>2894659.2919227253</v>
      </c>
      <c r="R329">
        <f t="shared" si="971"/>
        <v>162259461.43478602</v>
      </c>
      <c r="S329">
        <f t="shared" si="972"/>
        <v>1622.5946143478602</v>
      </c>
      <c r="T329">
        <f t="shared" si="973"/>
        <v>1.6225946143478602</v>
      </c>
    </row>
    <row r="330" spans="1:20" x14ac:dyDescent="0.25">
      <c r="A330" s="5">
        <v>44263</v>
      </c>
      <c r="B330">
        <v>6.3460000000000001</v>
      </c>
      <c r="C330">
        <v>6.4</v>
      </c>
      <c r="D330">
        <v>6</v>
      </c>
      <c r="E330">
        <v>6.3140000000000001</v>
      </c>
      <c r="F330">
        <v>2704756.0929999999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0.56999999999999884</v>
      </c>
      <c r="Q330">
        <f t="shared" si="970"/>
        <v>1541710.9730099968</v>
      </c>
      <c r="R330">
        <f t="shared" si="971"/>
        <v>159364802.1428633</v>
      </c>
      <c r="S330">
        <f t="shared" si="972"/>
        <v>1593.648021428633</v>
      </c>
      <c r="T330">
        <f t="shared" si="973"/>
        <v>1.593648021428633</v>
      </c>
    </row>
    <row r="331" spans="1:20" x14ac:dyDescent="0.25">
      <c r="A331" s="5">
        <v>44262</v>
      </c>
      <c r="B331">
        <v>6.3259999999999996</v>
      </c>
      <c r="C331">
        <v>6.5529999999999999</v>
      </c>
      <c r="D331">
        <v>6.101</v>
      </c>
      <c r="E331">
        <v>6.35</v>
      </c>
      <c r="F331">
        <v>3696795.2940000002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0.10176991150442341</v>
      </c>
      <c r="Q331">
        <f t="shared" si="970"/>
        <v>376222.52992034896</v>
      </c>
      <c r="R331">
        <f t="shared" si="971"/>
        <v>157823091.1698533</v>
      </c>
      <c r="S331">
        <f t="shared" si="972"/>
        <v>1578.230911698533</v>
      </c>
      <c r="T331">
        <f t="shared" si="973"/>
        <v>1.5782309116985329</v>
      </c>
    </row>
    <row r="332" spans="1:20" x14ac:dyDescent="0.25">
      <c r="A332" s="5">
        <v>44261</v>
      </c>
      <c r="B332">
        <v>6.5819999999999999</v>
      </c>
      <c r="C332">
        <v>6.6689999999999996</v>
      </c>
      <c r="D332">
        <v>5.91</v>
      </c>
      <c r="E332">
        <v>6.3150000000000004</v>
      </c>
      <c r="F332">
        <v>5613035.8569999998</v>
      </c>
      <c r="G332">
        <v>0</v>
      </c>
      <c r="L332" t="s">
        <v>7</v>
      </c>
      <c r="M332" t="s">
        <v>8</v>
      </c>
      <c r="N332" t="s">
        <v>8</v>
      </c>
      <c r="P332">
        <f t="shared" si="969"/>
        <v>6.7193675889329493E-2</v>
      </c>
      <c r="Q332">
        <f t="shared" si="970"/>
        <v>377160.51213044277</v>
      </c>
      <c r="R332">
        <f t="shared" si="971"/>
        <v>157446868.63993296</v>
      </c>
      <c r="S332">
        <f t="shared" si="972"/>
        <v>1574.4686863993295</v>
      </c>
      <c r="T332">
        <f t="shared" si="973"/>
        <v>1.5744686863993296</v>
      </c>
    </row>
    <row r="333" spans="1:20" x14ac:dyDescent="0.25">
      <c r="A333" s="5">
        <v>44260</v>
      </c>
      <c r="B333">
        <v>5.681</v>
      </c>
      <c r="C333">
        <v>6.6420000000000003</v>
      </c>
      <c r="D333">
        <v>5.2519999999999998</v>
      </c>
      <c r="E333">
        <v>6.5880000000000001</v>
      </c>
      <c r="F333">
        <v>9163073.6400000006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0.92230215827338091</v>
      </c>
      <c r="Q333">
        <f t="shared" si="970"/>
        <v>8451122.5945899244</v>
      </c>
      <c r="R333">
        <f t="shared" si="971"/>
        <v>157069708.12780252</v>
      </c>
      <c r="S333">
        <f t="shared" si="972"/>
        <v>1570.6970812780253</v>
      </c>
      <c r="T333">
        <f t="shared" si="973"/>
        <v>1.5706970812780252</v>
      </c>
    </row>
    <row r="334" spans="1:20" x14ac:dyDescent="0.25">
      <c r="A334" s="5">
        <v>44259</v>
      </c>
      <c r="B334">
        <v>5.3449999999999998</v>
      </c>
      <c r="C334">
        <v>5.9169999999999998</v>
      </c>
      <c r="D334">
        <v>5.194</v>
      </c>
      <c r="E334">
        <v>5.6849999999999996</v>
      </c>
      <c r="F334">
        <v>6709024.0810000002</v>
      </c>
      <c r="G334">
        <v>0</v>
      </c>
      <c r="L334" t="s">
        <v>8</v>
      </c>
      <c r="M334" t="s">
        <v>8</v>
      </c>
      <c r="N334" t="s">
        <v>7</v>
      </c>
      <c r="P334">
        <f t="shared" si="969"/>
        <v>0.35822959889349859</v>
      </c>
      <c r="Q334">
        <f t="shared" si="970"/>
        <v>2403371.0055034533</v>
      </c>
      <c r="R334">
        <f t="shared" si="971"/>
        <v>148618585.5332126</v>
      </c>
      <c r="S334">
        <f t="shared" si="972"/>
        <v>1486.185855332126</v>
      </c>
      <c r="T334">
        <f t="shared" si="973"/>
        <v>1.4861858553321261</v>
      </c>
    </row>
    <row r="335" spans="1:20" x14ac:dyDescent="0.25">
      <c r="A335" s="5">
        <v>44258</v>
      </c>
      <c r="B335">
        <v>5.19</v>
      </c>
      <c r="C335">
        <v>5.5289999999999999</v>
      </c>
      <c r="D335">
        <v>5.1289999999999996</v>
      </c>
      <c r="E335">
        <v>5.34</v>
      </c>
      <c r="F335">
        <v>3241039.53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5.5000000000000555E-2</v>
      </c>
      <c r="Q335">
        <f t="shared" si="970"/>
        <v>178257.17415000178</v>
      </c>
      <c r="R335">
        <f t="shared" si="971"/>
        <v>146215214.52770916</v>
      </c>
      <c r="S335">
        <f t="shared" si="972"/>
        <v>1462.1521452770914</v>
      </c>
      <c r="T335">
        <f t="shared" si="973"/>
        <v>1.4621521452770914</v>
      </c>
    </row>
    <row r="336" spans="1:20" x14ac:dyDescent="0.25">
      <c r="A336" s="5">
        <v>44257</v>
      </c>
      <c r="B336">
        <v>5.27</v>
      </c>
      <c r="C336">
        <v>5.3860000000000001</v>
      </c>
      <c r="D336">
        <v>4.944</v>
      </c>
      <c r="E336">
        <v>5.1929999999999996</v>
      </c>
      <c r="F336">
        <v>3502754.1519999998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0.12669683257918357</v>
      </c>
      <c r="Q336">
        <f t="shared" si="970"/>
        <v>443787.8563619841</v>
      </c>
      <c r="R336">
        <f t="shared" si="971"/>
        <v>146036957.35355917</v>
      </c>
      <c r="S336">
        <f t="shared" si="972"/>
        <v>1460.3695735355916</v>
      </c>
      <c r="T336">
        <f t="shared" si="973"/>
        <v>1.4603695735355915</v>
      </c>
    </row>
    <row r="337" spans="1:20" x14ac:dyDescent="0.25">
      <c r="A337" s="5">
        <v>44256</v>
      </c>
      <c r="B337">
        <v>4.8529999999999998</v>
      </c>
      <c r="C337">
        <v>5.28</v>
      </c>
      <c r="D337">
        <v>4.8239999999999998</v>
      </c>
      <c r="E337">
        <v>5.27</v>
      </c>
      <c r="F337">
        <v>2950187.12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0.95614035087719007</v>
      </c>
      <c r="Q337">
        <f t="shared" si="970"/>
        <v>2820792.9480701671</v>
      </c>
      <c r="R337">
        <f t="shared" si="971"/>
        <v>145593169.49719718</v>
      </c>
      <c r="S337">
        <f t="shared" si="972"/>
        <v>1455.9316949719719</v>
      </c>
      <c r="T337">
        <f t="shared" si="973"/>
        <v>1.4559316949719718</v>
      </c>
    </row>
    <row r="338" spans="1:20" x14ac:dyDescent="0.25">
      <c r="A338" s="5">
        <v>44255</v>
      </c>
      <c r="B338">
        <v>5.2679999999999998</v>
      </c>
      <c r="C338">
        <v>5.3689999999999998</v>
      </c>
      <c r="D338">
        <v>4.516</v>
      </c>
      <c r="E338">
        <v>4.8550000000000004</v>
      </c>
      <c r="F338">
        <v>3642523.5720000002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-0.20515826494724382</v>
      </c>
      <c r="Q338">
        <f t="shared" si="970"/>
        <v>-747293.81606095703</v>
      </c>
      <c r="R338">
        <f t="shared" si="971"/>
        <v>142772376.54912701</v>
      </c>
      <c r="S338">
        <f t="shared" si="972"/>
        <v>1427.7237654912701</v>
      </c>
      <c r="T338">
        <f t="shared" si="973"/>
        <v>1.4277237654912702</v>
      </c>
    </row>
    <row r="339" spans="1:20" x14ac:dyDescent="0.25">
      <c r="A339" s="5">
        <v>44254</v>
      </c>
      <c r="B339">
        <v>5.194</v>
      </c>
      <c r="C339">
        <v>5.7629999999999999</v>
      </c>
      <c r="D339">
        <v>5.1230000000000002</v>
      </c>
      <c r="E339">
        <v>5.2670000000000003</v>
      </c>
      <c r="F339">
        <v>3965915.5580000002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-0.54999999999999938</v>
      </c>
      <c r="Q339">
        <f t="shared" si="970"/>
        <v>-2181253.5568999979</v>
      </c>
      <c r="R339">
        <f t="shared" si="971"/>
        <v>143519670.36518797</v>
      </c>
      <c r="S339">
        <f t="shared" si="972"/>
        <v>1435.1967036518797</v>
      </c>
      <c r="T339">
        <f t="shared" si="973"/>
        <v>1.4351967036518798</v>
      </c>
    </row>
    <row r="340" spans="1:20" x14ac:dyDescent="0.25">
      <c r="A340" s="5">
        <v>44253</v>
      </c>
      <c r="B340">
        <v>5.1219999999999999</v>
      </c>
      <c r="C340">
        <v>5.359</v>
      </c>
      <c r="D340">
        <v>4.6980000000000004</v>
      </c>
      <c r="E340">
        <v>5.1840000000000002</v>
      </c>
      <c r="F340">
        <v>4611371.1679999996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0.47049924357034817</v>
      </c>
      <c r="Q340">
        <f t="shared" si="970"/>
        <v>2169646.6463661129</v>
      </c>
      <c r="R340">
        <f t="shared" si="971"/>
        <v>145700923.92208797</v>
      </c>
      <c r="S340">
        <f t="shared" si="972"/>
        <v>1457.0092392208796</v>
      </c>
      <c r="T340">
        <f t="shared" si="973"/>
        <v>1.4570092392208795</v>
      </c>
    </row>
    <row r="341" spans="1:20" x14ac:dyDescent="0.25">
      <c r="A341" s="5">
        <v>44252</v>
      </c>
      <c r="B341">
        <v>5.3029999999999999</v>
      </c>
      <c r="C341">
        <v>5.8090000000000002</v>
      </c>
      <c r="D341">
        <v>5.0679999999999996</v>
      </c>
      <c r="E341">
        <v>5.1280000000000001</v>
      </c>
      <c r="F341">
        <v>4770529.5460000001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-0.83805668016194212</v>
      </c>
      <c r="Q341">
        <f t="shared" si="970"/>
        <v>-3997974.1539352168</v>
      </c>
      <c r="R341">
        <f t="shared" si="971"/>
        <v>143531277.27572185</v>
      </c>
      <c r="S341">
        <f t="shared" si="972"/>
        <v>1435.3127727572185</v>
      </c>
      <c r="T341">
        <f t="shared" si="973"/>
        <v>1.4353127727572184</v>
      </c>
    </row>
    <row r="342" spans="1:20" x14ac:dyDescent="0.25">
      <c r="A342" s="5">
        <v>44251</v>
      </c>
      <c r="B342">
        <v>5.1440000000000001</v>
      </c>
      <c r="C342">
        <v>5.6130000000000004</v>
      </c>
      <c r="D342">
        <v>4.8719999999999999</v>
      </c>
      <c r="E342">
        <v>5.3029999999999999</v>
      </c>
      <c r="F342">
        <v>5597323.7800000003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0.16329284750337308</v>
      </c>
      <c r="Q342">
        <f t="shared" si="970"/>
        <v>914002.93843454379</v>
      </c>
      <c r="R342">
        <f t="shared" si="971"/>
        <v>147529251.42965707</v>
      </c>
      <c r="S342">
        <f t="shared" si="972"/>
        <v>1475.2925142965707</v>
      </c>
      <c r="T342">
        <f t="shared" si="973"/>
        <v>1.4752925142965707</v>
      </c>
    </row>
    <row r="343" spans="1:20" x14ac:dyDescent="0.25">
      <c r="A343" s="5">
        <v>44250</v>
      </c>
      <c r="B343">
        <v>6.39</v>
      </c>
      <c r="C343">
        <v>6.4379999999999997</v>
      </c>
      <c r="D343">
        <v>4.2469999999999999</v>
      </c>
      <c r="E343">
        <v>5.1479999999999997</v>
      </c>
      <c r="F343">
        <v>10797534.913000001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-0.17754450022820642</v>
      </c>
      <c r="Q343">
        <f t="shared" si="970"/>
        <v>-1917042.9398251954</v>
      </c>
      <c r="R343">
        <f t="shared" si="971"/>
        <v>146615248.49122253</v>
      </c>
      <c r="S343">
        <f t="shared" si="972"/>
        <v>1466.1524849122254</v>
      </c>
      <c r="T343">
        <f t="shared" si="973"/>
        <v>1.4661524849122254</v>
      </c>
    </row>
    <row r="344" spans="1:20" x14ac:dyDescent="0.25">
      <c r="A344" s="5">
        <v>44249</v>
      </c>
      <c r="B344">
        <v>7.1189999999999998</v>
      </c>
      <c r="C344">
        <v>7.1449999999999996</v>
      </c>
      <c r="D344">
        <v>5.3609999999999998</v>
      </c>
      <c r="E344">
        <v>6.3890000000000002</v>
      </c>
      <c r="F344">
        <v>7391385.7209999999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0.15246636771300515</v>
      </c>
      <c r="Q344">
        <f t="shared" si="970"/>
        <v>1126937.7332466417</v>
      </c>
      <c r="R344">
        <f t="shared" si="971"/>
        <v>148532291.43104774</v>
      </c>
      <c r="S344">
        <f t="shared" si="972"/>
        <v>1485.3229143104775</v>
      </c>
      <c r="T344">
        <f t="shared" si="973"/>
        <v>1.4853229143104776</v>
      </c>
    </row>
    <row r="345" spans="1:20" x14ac:dyDescent="0.25">
      <c r="A345" s="5">
        <v>44248</v>
      </c>
      <c r="B345">
        <v>6.6980000000000004</v>
      </c>
      <c r="C345">
        <v>7.33</v>
      </c>
      <c r="D345">
        <v>6.5060000000000002</v>
      </c>
      <c r="E345">
        <v>7.1180000000000003</v>
      </c>
      <c r="F345">
        <v>5427144.7800000003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0.485436893203884</v>
      </c>
      <c r="Q345">
        <f t="shared" si="970"/>
        <v>2634536.3009708766</v>
      </c>
      <c r="R345">
        <f t="shared" si="971"/>
        <v>147405353.69780108</v>
      </c>
      <c r="S345">
        <f t="shared" si="972"/>
        <v>1474.0535369780109</v>
      </c>
      <c r="T345">
        <f t="shared" si="973"/>
        <v>1.474053536978011</v>
      </c>
    </row>
    <row r="346" spans="1:20" x14ac:dyDescent="0.25">
      <c r="A346" s="5">
        <v>44247</v>
      </c>
      <c r="B346">
        <v>7.2670000000000003</v>
      </c>
      <c r="C346">
        <v>7.391</v>
      </c>
      <c r="D346">
        <v>6.35</v>
      </c>
      <c r="E346">
        <v>6.6929999999999996</v>
      </c>
      <c r="F346">
        <v>4973379.5130000003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-0.34101825168107619</v>
      </c>
      <c r="Q346">
        <f t="shared" si="970"/>
        <v>-1696013.1864697423</v>
      </c>
      <c r="R346">
        <f t="shared" si="971"/>
        <v>144770817.3968302</v>
      </c>
      <c r="S346">
        <f t="shared" si="972"/>
        <v>1447.7081739683019</v>
      </c>
      <c r="T346">
        <f t="shared" si="973"/>
        <v>1.447708173968302</v>
      </c>
    </row>
    <row r="347" spans="1:20" x14ac:dyDescent="0.25">
      <c r="A347" s="5">
        <v>44246</v>
      </c>
      <c r="B347">
        <v>7.1420000000000003</v>
      </c>
      <c r="C347">
        <v>7.5119999999999996</v>
      </c>
      <c r="D347">
        <v>6.7370000000000001</v>
      </c>
      <c r="E347">
        <v>7.2619999999999996</v>
      </c>
      <c r="F347">
        <v>5446090.6100000003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0.35483870967741893</v>
      </c>
      <c r="Q347">
        <f t="shared" si="970"/>
        <v>1932483.7648387074</v>
      </c>
      <c r="R347">
        <f t="shared" si="971"/>
        <v>146466830.58329993</v>
      </c>
      <c r="S347">
        <f t="shared" si="972"/>
        <v>1464.6683058329993</v>
      </c>
      <c r="T347">
        <f t="shared" si="973"/>
        <v>1.4646683058329992</v>
      </c>
    </row>
    <row r="348" spans="1:20" x14ac:dyDescent="0.25">
      <c r="A348" s="5">
        <v>44245</v>
      </c>
      <c r="B348">
        <v>6.6379999999999999</v>
      </c>
      <c r="C348">
        <v>7.31</v>
      </c>
      <c r="D348">
        <v>6.633</v>
      </c>
      <c r="E348">
        <v>7.133</v>
      </c>
      <c r="F348">
        <v>5817830.8169999998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0.47710487444608651</v>
      </c>
      <c r="Q348">
        <f t="shared" si="970"/>
        <v>2775715.441493358</v>
      </c>
      <c r="R348">
        <f t="shared" si="971"/>
        <v>144534346.81846124</v>
      </c>
      <c r="S348">
        <f t="shared" si="972"/>
        <v>1445.3434681846124</v>
      </c>
      <c r="T348">
        <f t="shared" si="973"/>
        <v>1.4453434681846125</v>
      </c>
    </row>
    <row r="349" spans="1:20" x14ac:dyDescent="0.25">
      <c r="A349" s="5">
        <v>44244</v>
      </c>
      <c r="B349">
        <v>6.4240000000000004</v>
      </c>
      <c r="C349">
        <v>6.77</v>
      </c>
      <c r="D349">
        <v>5.9710000000000001</v>
      </c>
      <c r="E349">
        <v>6.6390000000000002</v>
      </c>
      <c r="F349">
        <v>5148078.273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0.67209011264080243</v>
      </c>
      <c r="Q349">
        <f t="shared" si="970"/>
        <v>3459972.5063842377</v>
      </c>
      <c r="R349">
        <f t="shared" si="971"/>
        <v>141758631.37696788</v>
      </c>
      <c r="S349">
        <f t="shared" si="972"/>
        <v>1417.5863137696788</v>
      </c>
      <c r="T349">
        <f t="shared" si="973"/>
        <v>1.4175863137696787</v>
      </c>
    </row>
    <row r="350" spans="1:20" x14ac:dyDescent="0.25">
      <c r="A350" s="5">
        <v>44243</v>
      </c>
      <c r="B350">
        <v>6.4189999999999996</v>
      </c>
      <c r="C350">
        <v>6.8090000000000002</v>
      </c>
      <c r="D350">
        <v>6.1020000000000003</v>
      </c>
      <c r="E350">
        <v>6.4260000000000002</v>
      </c>
      <c r="F350">
        <v>4647284.6059999997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-8.3451202263083696E-2</v>
      </c>
      <c r="Q350">
        <f t="shared" si="970"/>
        <v>-387821.48762942117</v>
      </c>
      <c r="R350">
        <f t="shared" si="971"/>
        <v>138298658.87058365</v>
      </c>
      <c r="S350">
        <f t="shared" si="972"/>
        <v>1382.9865887058365</v>
      </c>
      <c r="T350">
        <f t="shared" si="973"/>
        <v>1.3829865887058366</v>
      </c>
    </row>
    <row r="351" spans="1:20" x14ac:dyDescent="0.25">
      <c r="A351" s="5">
        <v>44242</v>
      </c>
      <c r="B351">
        <v>6.9930000000000003</v>
      </c>
      <c r="C351">
        <v>7.13</v>
      </c>
      <c r="D351">
        <v>5.4</v>
      </c>
      <c r="E351">
        <v>6.4119999999999999</v>
      </c>
      <c r="F351">
        <v>7677049.5420000004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0.16994219653179171</v>
      </c>
      <c r="Q351">
        <f t="shared" si="970"/>
        <v>1304654.6620508656</v>
      </c>
      <c r="R351">
        <f t="shared" si="971"/>
        <v>138686480.35821307</v>
      </c>
      <c r="S351">
        <f t="shared" si="972"/>
        <v>1386.8648035821307</v>
      </c>
      <c r="T351">
        <f t="shared" si="973"/>
        <v>1.3868648035821307</v>
      </c>
    </row>
    <row r="352" spans="1:20" x14ac:dyDescent="0.25">
      <c r="A352" s="5">
        <v>44241</v>
      </c>
      <c r="B352">
        <v>7.718</v>
      </c>
      <c r="C352">
        <v>7.79</v>
      </c>
      <c r="D352">
        <v>6.76</v>
      </c>
      <c r="E352">
        <v>6.9859999999999998</v>
      </c>
      <c r="F352">
        <v>6908698.3930000002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-0.56116504854368943</v>
      </c>
      <c r="Q352">
        <f t="shared" si="970"/>
        <v>-3876920.0690815542</v>
      </c>
      <c r="R352">
        <f t="shared" si="971"/>
        <v>137381825.69616219</v>
      </c>
      <c r="S352">
        <f t="shared" si="972"/>
        <v>1373.818256961622</v>
      </c>
      <c r="T352">
        <f t="shared" si="973"/>
        <v>1.373818256961622</v>
      </c>
    </row>
    <row r="353" spans="1:20" x14ac:dyDescent="0.25">
      <c r="A353" s="5">
        <v>44240</v>
      </c>
      <c r="B353">
        <v>7.343</v>
      </c>
      <c r="C353">
        <v>7.7839999999999998</v>
      </c>
      <c r="D353">
        <v>6.9340000000000002</v>
      </c>
      <c r="E353">
        <v>7.718</v>
      </c>
      <c r="F353">
        <v>8545553.0759999994</v>
      </c>
      <c r="G353">
        <v>0</v>
      </c>
      <c r="L353" t="s">
        <v>8</v>
      </c>
      <c r="M353" t="s">
        <v>7</v>
      </c>
      <c r="N353" t="s">
        <v>8</v>
      </c>
      <c r="P353">
        <f t="shared" si="969"/>
        <v>0.84470588235294153</v>
      </c>
      <c r="Q353">
        <f t="shared" si="970"/>
        <v>7218478.9512564735</v>
      </c>
      <c r="R353">
        <f t="shared" si="971"/>
        <v>141258745.76524374</v>
      </c>
      <c r="S353">
        <f t="shared" si="972"/>
        <v>1412.5874576524375</v>
      </c>
      <c r="T353">
        <f t="shared" si="973"/>
        <v>1.4125874576524375</v>
      </c>
    </row>
    <row r="354" spans="1:20" x14ac:dyDescent="0.25">
      <c r="A354" s="5">
        <v>44239</v>
      </c>
      <c r="B354">
        <v>7.4080000000000004</v>
      </c>
      <c r="C354">
        <v>8.2379999999999995</v>
      </c>
      <c r="D354">
        <v>6.8410000000000002</v>
      </c>
      <c r="E354">
        <v>7.3449999999999998</v>
      </c>
      <c r="F354">
        <v>23219109.026999999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-0.27845382963493231</v>
      </c>
      <c r="Q354">
        <f t="shared" si="970"/>
        <v>-6465449.8292791769</v>
      </c>
      <c r="R354">
        <f t="shared" si="971"/>
        <v>134040266.81398726</v>
      </c>
      <c r="S354">
        <f t="shared" si="972"/>
        <v>1340.4026681398725</v>
      </c>
      <c r="T354">
        <f t="shared" si="973"/>
        <v>1.3404026681398724</v>
      </c>
    </row>
    <row r="355" spans="1:20" x14ac:dyDescent="0.25">
      <c r="A355" s="5">
        <v>44238</v>
      </c>
      <c r="B355">
        <v>7.5220000000000002</v>
      </c>
      <c r="C355">
        <v>8.85</v>
      </c>
      <c r="D355">
        <v>7.1840000000000002</v>
      </c>
      <c r="E355">
        <v>7.4109999999999996</v>
      </c>
      <c r="F355">
        <v>22059610.835999999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-0.72749099639856007</v>
      </c>
      <c r="Q355">
        <f t="shared" si="970"/>
        <v>-16048168.267246112</v>
      </c>
      <c r="R355">
        <f t="shared" si="971"/>
        <v>140505716.64326644</v>
      </c>
      <c r="S355">
        <f t="shared" si="972"/>
        <v>1405.0571664326644</v>
      </c>
      <c r="T355">
        <f t="shared" si="973"/>
        <v>1.4050571664326643</v>
      </c>
    </row>
    <row r="356" spans="1:20" x14ac:dyDescent="0.25">
      <c r="A356" s="5">
        <v>44237</v>
      </c>
      <c r="B356">
        <v>5.0170000000000003</v>
      </c>
      <c r="C356">
        <v>7.77</v>
      </c>
      <c r="D356">
        <v>4.984</v>
      </c>
      <c r="E356">
        <v>7.5140000000000002</v>
      </c>
      <c r="F356">
        <v>42672218.056000002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0.81622397702799754</v>
      </c>
      <c r="Q356">
        <f t="shared" si="970"/>
        <v>34830087.53027425</v>
      </c>
      <c r="R356">
        <f t="shared" si="971"/>
        <v>156553884.91051257</v>
      </c>
      <c r="S356">
        <f t="shared" si="972"/>
        <v>1565.5388491051256</v>
      </c>
      <c r="T356">
        <f t="shared" si="973"/>
        <v>1.5655388491051256</v>
      </c>
    </row>
    <row r="357" spans="1:20" x14ac:dyDescent="0.25">
      <c r="A357" s="5">
        <v>44236</v>
      </c>
      <c r="B357">
        <v>4.7359999999999998</v>
      </c>
      <c r="C357">
        <v>5.2469999999999999</v>
      </c>
      <c r="D357">
        <v>4.5179999999999998</v>
      </c>
      <c r="E357">
        <v>5.0149999999999997</v>
      </c>
      <c r="F357">
        <v>7655641.7149999999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0.36351165980795563</v>
      </c>
      <c r="Q357">
        <f t="shared" si="970"/>
        <v>2782915.0267146742</v>
      </c>
      <c r="R357">
        <f t="shared" si="971"/>
        <v>121723797.38023832</v>
      </c>
      <c r="S357">
        <f t="shared" si="972"/>
        <v>1217.2379738023833</v>
      </c>
      <c r="T357">
        <f t="shared" si="973"/>
        <v>1.2172379738023833</v>
      </c>
    </row>
    <row r="358" spans="1:20" x14ac:dyDescent="0.25">
      <c r="A358" s="5">
        <v>44235</v>
      </c>
      <c r="B358">
        <v>4.2460000000000004</v>
      </c>
      <c r="C358">
        <v>4.8140000000000001</v>
      </c>
      <c r="D358">
        <v>4.0199999999999996</v>
      </c>
      <c r="E358">
        <v>4.7309999999999999</v>
      </c>
      <c r="F358">
        <v>10154562.762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0.79093198992443292</v>
      </c>
      <c r="Q358">
        <f t="shared" si="970"/>
        <v>8031568.532161206</v>
      </c>
      <c r="R358">
        <f t="shared" si="971"/>
        <v>118940882.35352366</v>
      </c>
      <c r="S358">
        <f t="shared" si="972"/>
        <v>1189.4088235352365</v>
      </c>
      <c r="T358">
        <f t="shared" si="973"/>
        <v>1.1894088235352365</v>
      </c>
    </row>
    <row r="359" spans="1:20" x14ac:dyDescent="0.25">
      <c r="A359" s="5">
        <v>44234</v>
      </c>
      <c r="B359">
        <v>4.4359999999999999</v>
      </c>
      <c r="C359">
        <v>4.45</v>
      </c>
      <c r="D359">
        <v>3.9359999999999999</v>
      </c>
      <c r="E359">
        <v>4.2460000000000004</v>
      </c>
      <c r="F359">
        <v>8655832.1779999994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0.20622568093385352</v>
      </c>
      <c r="Q359">
        <f t="shared" si="970"/>
        <v>1785054.8849572102</v>
      </c>
      <c r="R359">
        <f t="shared" si="971"/>
        <v>110909313.82136245</v>
      </c>
      <c r="S359">
        <f t="shared" si="972"/>
        <v>1109.0931382136246</v>
      </c>
      <c r="T359">
        <f t="shared" si="973"/>
        <v>1.1090931382136247</v>
      </c>
    </row>
    <row r="360" spans="1:20" x14ac:dyDescent="0.25">
      <c r="A360" s="5">
        <v>44233</v>
      </c>
      <c r="B360">
        <v>3.8540000000000001</v>
      </c>
      <c r="C360">
        <v>4.5999999999999996</v>
      </c>
      <c r="D360">
        <v>3.645</v>
      </c>
      <c r="E360">
        <v>4.4320000000000004</v>
      </c>
      <c r="F360">
        <v>13160142.932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0.64816753926701709</v>
      </c>
      <c r="Q360">
        <f t="shared" si="970"/>
        <v>8529977.4606366679</v>
      </c>
      <c r="R360">
        <f t="shared" si="971"/>
        <v>109124258.93640524</v>
      </c>
      <c r="S360">
        <f t="shared" si="972"/>
        <v>1091.2425893640525</v>
      </c>
      <c r="T360">
        <f t="shared" si="973"/>
        <v>1.0912425893640525</v>
      </c>
    </row>
    <row r="361" spans="1:20" x14ac:dyDescent="0.25">
      <c r="A361" s="5">
        <v>44232</v>
      </c>
      <c r="B361">
        <v>3.5059999999999998</v>
      </c>
      <c r="C361">
        <v>4</v>
      </c>
      <c r="D361">
        <v>3.4830000000000001</v>
      </c>
      <c r="E361">
        <v>3.8570000000000002</v>
      </c>
      <c r="F361">
        <v>6510264.5300000003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0.44680851063829857</v>
      </c>
      <c r="Q361">
        <f t="shared" si="970"/>
        <v>2908841.598510643</v>
      </c>
      <c r="R361">
        <f t="shared" si="971"/>
        <v>100594281.47576857</v>
      </c>
      <c r="S361">
        <f t="shared" si="972"/>
        <v>1005.9428147576857</v>
      </c>
      <c r="T361">
        <f t="shared" si="973"/>
        <v>1.0059428147576857</v>
      </c>
    </row>
    <row r="362" spans="1:20" x14ac:dyDescent="0.25">
      <c r="A362" s="5">
        <v>44231</v>
      </c>
      <c r="B362">
        <v>3.6840000000000002</v>
      </c>
      <c r="C362">
        <v>3.738</v>
      </c>
      <c r="D362">
        <v>3.327</v>
      </c>
      <c r="E362">
        <v>3.5059999999999998</v>
      </c>
      <c r="F362">
        <v>5201739.8380000005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-0.12895377128953864</v>
      </c>
      <c r="Q362">
        <f t="shared" si="970"/>
        <v>-670783.96937713388</v>
      </c>
      <c r="R362">
        <f t="shared" si="971"/>
        <v>97685439.877257928</v>
      </c>
      <c r="S362">
        <f t="shared" si="972"/>
        <v>976.85439877257932</v>
      </c>
      <c r="T362">
        <f t="shared" si="973"/>
        <v>0.97685439877257929</v>
      </c>
    </row>
    <row r="363" spans="1:20" x14ac:dyDescent="0.25">
      <c r="A363" s="5">
        <v>44230</v>
      </c>
      <c r="B363">
        <v>3.544</v>
      </c>
      <c r="C363">
        <v>3.7669999999999999</v>
      </c>
      <c r="D363">
        <v>3.4449999999999998</v>
      </c>
      <c r="E363">
        <v>3.6829999999999998</v>
      </c>
      <c r="F363">
        <v>5229650.28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0.47826086956521702</v>
      </c>
      <c r="Q363">
        <f t="shared" si="970"/>
        <v>2501137.0904347808</v>
      </c>
      <c r="R363">
        <f t="shared" si="971"/>
        <v>98356223.846635059</v>
      </c>
      <c r="S363">
        <f t="shared" si="972"/>
        <v>983.56223846635055</v>
      </c>
      <c r="T363">
        <f t="shared" si="973"/>
        <v>0.9835622384663506</v>
      </c>
    </row>
    <row r="364" spans="1:20" x14ac:dyDescent="0.25">
      <c r="A364" s="5">
        <v>44229</v>
      </c>
      <c r="B364">
        <v>3.4689999999999999</v>
      </c>
      <c r="C364">
        <v>3.6120000000000001</v>
      </c>
      <c r="D364">
        <v>3.35</v>
      </c>
      <c r="E364">
        <v>3.5430000000000001</v>
      </c>
      <c r="F364">
        <v>4596385.8030000003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0.473282442748092</v>
      </c>
      <c r="Q364">
        <f t="shared" si="970"/>
        <v>2175388.7006564904</v>
      </c>
      <c r="R364">
        <f t="shared" si="971"/>
        <v>95855086.756200284</v>
      </c>
      <c r="S364">
        <f t="shared" si="972"/>
        <v>958.55086756200285</v>
      </c>
      <c r="T364">
        <f t="shared" si="973"/>
        <v>0.95855086756200281</v>
      </c>
    </row>
    <row r="365" spans="1:20" x14ac:dyDescent="0.25">
      <c r="A365" s="5">
        <v>44228</v>
      </c>
      <c r="B365">
        <v>3.28</v>
      </c>
      <c r="C365">
        <v>3.5289999999999999</v>
      </c>
      <c r="D365">
        <v>3.1720000000000002</v>
      </c>
      <c r="E365">
        <v>3.4710000000000001</v>
      </c>
      <c r="F365">
        <v>6443019.2110000001</v>
      </c>
      <c r="G365">
        <v>0</v>
      </c>
      <c r="L365" t="s">
        <v>7</v>
      </c>
      <c r="M365" t="s">
        <v>8</v>
      </c>
      <c r="N365" t="s">
        <v>7</v>
      </c>
      <c r="P365">
        <f t="shared" si="969"/>
        <v>0.67507002801120519</v>
      </c>
      <c r="Q365">
        <f t="shared" si="970"/>
        <v>4349489.1592465034</v>
      </c>
      <c r="R365">
        <f t="shared" si="971"/>
        <v>93679698.055543795</v>
      </c>
      <c r="S365">
        <f t="shared" si="972"/>
        <v>936.79698055543793</v>
      </c>
      <c r="T365">
        <f t="shared" si="973"/>
        <v>0.93679698055543792</v>
      </c>
    </row>
    <row r="366" spans="1:20" x14ac:dyDescent="0.25">
      <c r="A366" s="5">
        <v>44227</v>
      </c>
      <c r="B366">
        <v>3.2959999999999998</v>
      </c>
      <c r="C366">
        <v>3.5459999999999998</v>
      </c>
      <c r="D366">
        <v>3.1739999999999999</v>
      </c>
      <c r="E366">
        <v>3.2829999999999999</v>
      </c>
      <c r="F366">
        <v>5432597.699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-0.41397849462365582</v>
      </c>
      <c r="Q366">
        <f t="shared" si="970"/>
        <v>-2248978.6173279565</v>
      </c>
      <c r="R366">
        <f t="shared" si="971"/>
        <v>89330208.896297291</v>
      </c>
      <c r="S366">
        <f t="shared" si="972"/>
        <v>893.3020889629729</v>
      </c>
      <c r="T366">
        <f t="shared" si="973"/>
        <v>0.89330208896297292</v>
      </c>
    </row>
    <row r="367" spans="1:20" x14ac:dyDescent="0.25">
      <c r="A367" s="5">
        <v>44226</v>
      </c>
      <c r="B367">
        <v>3.306</v>
      </c>
      <c r="C367">
        <v>3.36</v>
      </c>
      <c r="D367">
        <v>3.1190000000000002</v>
      </c>
      <c r="E367">
        <v>3.2970000000000002</v>
      </c>
      <c r="F367">
        <v>4094333.9780000001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0.4771784232365161</v>
      </c>
      <c r="Q367">
        <f t="shared" si="970"/>
        <v>1953727.8318257327</v>
      </c>
      <c r="R367">
        <f t="shared" si="971"/>
        <v>91579187.513625249</v>
      </c>
      <c r="S367">
        <f t="shared" si="972"/>
        <v>915.79187513625254</v>
      </c>
      <c r="T367">
        <f t="shared" si="973"/>
        <v>0.9157918751362526</v>
      </c>
    </row>
    <row r="368" spans="1:20" x14ac:dyDescent="0.25">
      <c r="A368" s="5">
        <v>44225</v>
      </c>
      <c r="B368">
        <v>3.2709999999999999</v>
      </c>
      <c r="C368">
        <v>3.6680000000000001</v>
      </c>
      <c r="D368">
        <v>3.23</v>
      </c>
      <c r="E368">
        <v>3.3069999999999999</v>
      </c>
      <c r="F368">
        <v>7154764.7980000004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-0.64840182648401856</v>
      </c>
      <c r="Q368">
        <f t="shared" si="970"/>
        <v>-4639162.5630867602</v>
      </c>
      <c r="R368">
        <f t="shared" si="971"/>
        <v>89625459.681799516</v>
      </c>
      <c r="S368">
        <f t="shared" si="972"/>
        <v>896.25459681799521</v>
      </c>
      <c r="T368">
        <f t="shared" si="973"/>
        <v>0.89625459681799524</v>
      </c>
    </row>
    <row r="369" spans="1:20" x14ac:dyDescent="0.25">
      <c r="A369" s="5">
        <v>44224</v>
      </c>
      <c r="B369">
        <v>3.109</v>
      </c>
      <c r="C369">
        <v>3.3929999999999998</v>
      </c>
      <c r="D369">
        <v>3.0209999999999999</v>
      </c>
      <c r="E369">
        <v>3.2709999999999999</v>
      </c>
      <c r="F369">
        <v>4876480.1040000003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0.34408602150537676</v>
      </c>
      <c r="Q369">
        <f t="shared" si="970"/>
        <v>1677928.6379354859</v>
      </c>
      <c r="R369">
        <f t="shared" si="971"/>
        <v>94264622.244886279</v>
      </c>
      <c r="S369">
        <f t="shared" si="972"/>
        <v>942.64622244886277</v>
      </c>
      <c r="T369">
        <f t="shared" si="973"/>
        <v>0.94264622244886276</v>
      </c>
    </row>
    <row r="370" spans="1:20" x14ac:dyDescent="0.25">
      <c r="A370" s="5">
        <v>44223</v>
      </c>
      <c r="B370">
        <v>3.4350000000000001</v>
      </c>
      <c r="C370">
        <v>3.4569999999999999</v>
      </c>
      <c r="D370">
        <v>3</v>
      </c>
      <c r="E370">
        <v>3.1120000000000001</v>
      </c>
      <c r="F370">
        <v>5919791.2340000002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-0.50984682713347862</v>
      </c>
      <c r="Q370">
        <f t="shared" si="970"/>
        <v>-3018186.7779474803</v>
      </c>
      <c r="R370">
        <f t="shared" si="971"/>
        <v>92586693.60695079</v>
      </c>
      <c r="S370">
        <f t="shared" si="972"/>
        <v>925.86693606950791</v>
      </c>
      <c r="T370">
        <f t="shared" si="973"/>
        <v>0.92586693606950787</v>
      </c>
    </row>
    <row r="371" spans="1:20" x14ac:dyDescent="0.25">
      <c r="A371" s="5">
        <v>44222</v>
      </c>
      <c r="B371">
        <v>3.2839999999999998</v>
      </c>
      <c r="C371">
        <v>3.4860000000000002</v>
      </c>
      <c r="D371">
        <v>3.1859999999999999</v>
      </c>
      <c r="E371">
        <v>3.4340000000000002</v>
      </c>
      <c r="F371">
        <v>5201546.4859999996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0.65333333333333332</v>
      </c>
      <c r="Q371">
        <f t="shared" si="970"/>
        <v>3398343.7041866663</v>
      </c>
      <c r="R371">
        <f t="shared" si="971"/>
        <v>95604880.384898275</v>
      </c>
      <c r="S371">
        <f t="shared" si="972"/>
        <v>956.04880384898274</v>
      </c>
      <c r="T371">
        <f t="shared" si="973"/>
        <v>0.95604880384898272</v>
      </c>
    </row>
    <row r="372" spans="1:20" x14ac:dyDescent="0.25">
      <c r="A372" s="5">
        <v>44221</v>
      </c>
      <c r="B372">
        <v>3.544</v>
      </c>
      <c r="C372">
        <v>3.6739999999999999</v>
      </c>
      <c r="D372">
        <v>3.2570000000000001</v>
      </c>
      <c r="E372">
        <v>3.2839999999999998</v>
      </c>
      <c r="F372">
        <v>6101649.5460000001</v>
      </c>
      <c r="G372">
        <v>0</v>
      </c>
      <c r="L372" t="s">
        <v>7</v>
      </c>
      <c r="M372" t="s">
        <v>7</v>
      </c>
      <c r="N372" t="s">
        <v>8</v>
      </c>
      <c r="P372">
        <f t="shared" si="969"/>
        <v>-0.87050359712230363</v>
      </c>
      <c r="Q372">
        <f t="shared" si="970"/>
        <v>-5311507.8781726705</v>
      </c>
      <c r="R372">
        <f t="shared" si="971"/>
        <v>92206536.680711612</v>
      </c>
      <c r="S372">
        <f t="shared" si="972"/>
        <v>922.06536680711611</v>
      </c>
      <c r="T372">
        <f t="shared" si="973"/>
        <v>0.92206536680711615</v>
      </c>
    </row>
    <row r="373" spans="1:20" x14ac:dyDescent="0.25">
      <c r="A373" s="5">
        <v>44220</v>
      </c>
      <c r="B373">
        <v>3.9369999999999998</v>
      </c>
      <c r="C373">
        <v>4.1849999999999996</v>
      </c>
      <c r="D373">
        <v>3.4260000000000002</v>
      </c>
      <c r="E373">
        <v>3.5449999999999999</v>
      </c>
      <c r="F373">
        <v>13734466.560000001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-0.68642951251646944</v>
      </c>
      <c r="Q373">
        <f t="shared" si="970"/>
        <v>-9427743.1854545511</v>
      </c>
      <c r="R373">
        <f t="shared" si="971"/>
        <v>97518044.558884278</v>
      </c>
      <c r="S373">
        <f t="shared" si="972"/>
        <v>975.18044558884276</v>
      </c>
      <c r="T373">
        <f t="shared" si="973"/>
        <v>0.97518044558884276</v>
      </c>
    </row>
    <row r="374" spans="1:20" x14ac:dyDescent="0.25">
      <c r="A374" s="5">
        <v>44219</v>
      </c>
      <c r="B374">
        <v>2.9180000000000001</v>
      </c>
      <c r="C374">
        <v>3.9969999999999999</v>
      </c>
      <c r="D374">
        <v>2.88</v>
      </c>
      <c r="E374">
        <v>3.9380000000000002</v>
      </c>
      <c r="F374">
        <v>19135082.353999998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0.89435989256938275</v>
      </c>
      <c r="Q374">
        <f t="shared" si="970"/>
        <v>17113650.19842973</v>
      </c>
      <c r="R374">
        <f t="shared" si="971"/>
        <v>106945787.74433883</v>
      </c>
      <c r="S374">
        <f t="shared" si="972"/>
        <v>1069.4578774433883</v>
      </c>
      <c r="T374">
        <f t="shared" si="973"/>
        <v>1.0694578774433883</v>
      </c>
    </row>
    <row r="375" spans="1:20" x14ac:dyDescent="0.25">
      <c r="A375" s="5">
        <v>44218</v>
      </c>
      <c r="B375">
        <v>2.7349999999999999</v>
      </c>
      <c r="C375">
        <v>3.0539999999999998</v>
      </c>
      <c r="D375">
        <v>2.56</v>
      </c>
      <c r="E375">
        <v>2.9180000000000001</v>
      </c>
      <c r="F375">
        <v>4503953.6629999997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0.44939271255060836</v>
      </c>
      <c r="Q375">
        <f t="shared" si="970"/>
        <v>2024043.9538178185</v>
      </c>
      <c r="R375">
        <f t="shared" si="971"/>
        <v>89832137.545909092</v>
      </c>
      <c r="S375">
        <f t="shared" si="972"/>
        <v>898.32137545909097</v>
      </c>
      <c r="T375">
        <f t="shared" si="973"/>
        <v>0.89832137545909096</v>
      </c>
    </row>
    <row r="376" spans="1:20" x14ac:dyDescent="0.25">
      <c r="A376" s="5">
        <v>44217</v>
      </c>
      <c r="B376">
        <v>3.2370000000000001</v>
      </c>
      <c r="C376">
        <v>3.26</v>
      </c>
      <c r="D376">
        <v>2.677</v>
      </c>
      <c r="E376">
        <v>2.7360000000000002</v>
      </c>
      <c r="F376">
        <v>4296529.55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-0.79759862778730639</v>
      </c>
      <c r="Q376">
        <f t="shared" si="970"/>
        <v>-3426906.0733276131</v>
      </c>
      <c r="R376">
        <f t="shared" si="971"/>
        <v>87808093.592091277</v>
      </c>
      <c r="S376">
        <f t="shared" si="972"/>
        <v>878.08093592091279</v>
      </c>
      <c r="T376">
        <f t="shared" si="973"/>
        <v>0.87808093592091274</v>
      </c>
    </row>
    <row r="377" spans="1:20" x14ac:dyDescent="0.25">
      <c r="A377" s="5">
        <v>44216</v>
      </c>
      <c r="B377">
        <v>3.157</v>
      </c>
      <c r="C377">
        <v>3.2959999999999998</v>
      </c>
      <c r="D377">
        <v>2.9649999999999999</v>
      </c>
      <c r="E377">
        <v>3.238</v>
      </c>
      <c r="F377">
        <v>5546833.8119999999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0.64954682779456296</v>
      </c>
      <c r="Q377">
        <f t="shared" si="970"/>
        <v>3602928.3068882232</v>
      </c>
      <c r="R377">
        <f t="shared" si="971"/>
        <v>91234999.665418893</v>
      </c>
      <c r="S377">
        <f t="shared" si="972"/>
        <v>912.34999665418889</v>
      </c>
      <c r="T377">
        <f t="shared" si="973"/>
        <v>0.91234999665418892</v>
      </c>
    </row>
    <row r="378" spans="1:20" x14ac:dyDescent="0.25">
      <c r="A378" s="5">
        <v>44215</v>
      </c>
      <c r="B378">
        <v>3.2970000000000002</v>
      </c>
      <c r="C378">
        <v>3.427</v>
      </c>
      <c r="D378">
        <v>3.129</v>
      </c>
      <c r="E378">
        <v>3.161</v>
      </c>
      <c r="F378">
        <v>5660448.2999999998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-0.78523489932885893</v>
      </c>
      <c r="Q378">
        <f t="shared" si="970"/>
        <v>-4444781.5510067102</v>
      </c>
      <c r="R378">
        <f t="shared" si="971"/>
        <v>87632071.35853067</v>
      </c>
      <c r="S378">
        <f t="shared" si="972"/>
        <v>876.32071358530675</v>
      </c>
      <c r="T378">
        <f t="shared" si="973"/>
        <v>0.87632071358530672</v>
      </c>
    </row>
    <row r="379" spans="1:20" x14ac:dyDescent="0.25">
      <c r="A379" s="5">
        <v>44214</v>
      </c>
      <c r="B379">
        <v>3.1850000000000001</v>
      </c>
      <c r="C379">
        <v>3.3730000000000002</v>
      </c>
      <c r="D379">
        <v>3.0449999999999999</v>
      </c>
      <c r="E379">
        <v>3.3010000000000002</v>
      </c>
      <c r="F379">
        <v>6621233.4040000001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0.56097560975609762</v>
      </c>
      <c r="Q379">
        <f t="shared" si="970"/>
        <v>3714350.446146342</v>
      </c>
      <c r="R379">
        <f t="shared" si="971"/>
        <v>92076852.909537375</v>
      </c>
      <c r="S379">
        <f t="shared" si="972"/>
        <v>920.76852909537376</v>
      </c>
      <c r="T379">
        <f t="shared" si="973"/>
        <v>0.92076852909537377</v>
      </c>
    </row>
    <row r="380" spans="1:20" x14ac:dyDescent="0.25">
      <c r="A380" s="5">
        <v>44213</v>
      </c>
      <c r="B380">
        <v>3.0510000000000002</v>
      </c>
      <c r="C380">
        <v>3.2810000000000001</v>
      </c>
      <c r="D380">
        <v>2.8530000000000002</v>
      </c>
      <c r="E380">
        <v>3.1880000000000002</v>
      </c>
      <c r="F380">
        <v>5786627.2050000001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0.56542056074766367</v>
      </c>
      <c r="Q380">
        <f t="shared" si="970"/>
        <v>3271877.9990887856</v>
      </c>
      <c r="R380">
        <f t="shared" si="971"/>
        <v>88362502.463391036</v>
      </c>
      <c r="S380">
        <f t="shared" si="972"/>
        <v>883.62502463391036</v>
      </c>
      <c r="T380">
        <f t="shared" si="973"/>
        <v>0.88362502463391035</v>
      </c>
    </row>
    <row r="381" spans="1:20" x14ac:dyDescent="0.25">
      <c r="A381" s="5">
        <v>44212</v>
      </c>
      <c r="B381">
        <v>2.9430000000000001</v>
      </c>
      <c r="C381">
        <v>3.25</v>
      </c>
      <c r="D381">
        <v>2.9</v>
      </c>
      <c r="E381">
        <v>3.056</v>
      </c>
      <c r="F381">
        <v>6036377.926</v>
      </c>
      <c r="G381">
        <v>0</v>
      </c>
      <c r="L381" t="s">
        <v>7</v>
      </c>
      <c r="M381" t="s">
        <v>8</v>
      </c>
      <c r="N381" t="s">
        <v>7</v>
      </c>
      <c r="P381">
        <f t="shared" si="969"/>
        <v>-0.108571428571428</v>
      </c>
      <c r="Q381">
        <f t="shared" si="970"/>
        <v>-655378.17482285365</v>
      </c>
      <c r="R381">
        <f t="shared" si="971"/>
        <v>85090624.464302257</v>
      </c>
      <c r="S381">
        <f t="shared" si="972"/>
        <v>850.90624464302255</v>
      </c>
      <c r="T381">
        <f t="shared" si="973"/>
        <v>0.85090624464302256</v>
      </c>
    </row>
    <row r="382" spans="1:20" x14ac:dyDescent="0.25">
      <c r="A382" s="5">
        <v>44211</v>
      </c>
      <c r="B382">
        <v>3.0179999999999998</v>
      </c>
      <c r="C382">
        <v>3.2189999999999999</v>
      </c>
      <c r="D382">
        <v>2.72</v>
      </c>
      <c r="E382">
        <v>2.9409999999999998</v>
      </c>
      <c r="F382">
        <v>6214882.3159999996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-0.1142284569138285</v>
      </c>
      <c r="Q382">
        <f t="shared" si="970"/>
        <v>-709916.4168577207</v>
      </c>
      <c r="R382">
        <f t="shared" si="971"/>
        <v>85746002.639125109</v>
      </c>
      <c r="S382">
        <f t="shared" si="972"/>
        <v>857.46002639125106</v>
      </c>
      <c r="T382">
        <f t="shared" si="973"/>
        <v>0.85746002639125107</v>
      </c>
    </row>
    <row r="383" spans="1:20" x14ac:dyDescent="0.25">
      <c r="A383" s="5">
        <v>44210</v>
      </c>
      <c r="B383">
        <v>2.9489999999999998</v>
      </c>
      <c r="C383">
        <v>3.12</v>
      </c>
      <c r="D383">
        <v>2.8140000000000001</v>
      </c>
      <c r="E383">
        <v>3.0209999999999999</v>
      </c>
      <c r="F383">
        <v>4506701.7460000003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0.35294117647058704</v>
      </c>
      <c r="Q383">
        <f t="shared" si="970"/>
        <v>1590600.6162352888</v>
      </c>
      <c r="R383">
        <f t="shared" si="971"/>
        <v>86455919.055982828</v>
      </c>
      <c r="S383">
        <f t="shared" si="972"/>
        <v>864.55919055982827</v>
      </c>
      <c r="T383">
        <f t="shared" si="973"/>
        <v>0.86455919055982822</v>
      </c>
    </row>
    <row r="384" spans="1:20" x14ac:dyDescent="0.25">
      <c r="A384" s="5">
        <v>44209</v>
      </c>
      <c r="B384">
        <v>2.75</v>
      </c>
      <c r="C384">
        <v>3.01</v>
      </c>
      <c r="D384">
        <v>2.673</v>
      </c>
      <c r="E384">
        <v>2.948</v>
      </c>
      <c r="F384">
        <v>3551906.0419999999</v>
      </c>
      <c r="G384">
        <v>0</v>
      </c>
      <c r="L384" t="s">
        <v>8</v>
      </c>
      <c r="M384" t="s">
        <v>7</v>
      </c>
      <c r="N384" t="s">
        <v>7</v>
      </c>
      <c r="P384">
        <f t="shared" si="969"/>
        <v>0.63204747774480785</v>
      </c>
      <c r="Q384">
        <f t="shared" si="970"/>
        <v>2244973.2550326437</v>
      </c>
      <c r="R384">
        <f t="shared" si="971"/>
        <v>84865318.439747542</v>
      </c>
      <c r="S384">
        <f t="shared" si="972"/>
        <v>848.65318439747546</v>
      </c>
      <c r="T384">
        <f t="shared" si="973"/>
        <v>0.8486531843974755</v>
      </c>
    </row>
    <row r="385" spans="1:20" x14ac:dyDescent="0.25">
      <c r="A385" s="5">
        <v>44208</v>
      </c>
      <c r="B385">
        <v>2.899</v>
      </c>
      <c r="C385">
        <v>2.9670000000000001</v>
      </c>
      <c r="D385">
        <v>2.6579999999999999</v>
      </c>
      <c r="E385">
        <v>2.75</v>
      </c>
      <c r="F385">
        <v>3942980.446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-0.40453074433656938</v>
      </c>
      <c r="Q385">
        <f t="shared" si="970"/>
        <v>-1595056.8147249182</v>
      </c>
      <c r="R385">
        <f t="shared" si="971"/>
        <v>82620345.184714898</v>
      </c>
      <c r="S385">
        <f t="shared" si="972"/>
        <v>826.20345184714904</v>
      </c>
      <c r="T385">
        <f t="shared" si="973"/>
        <v>0.82620345184714905</v>
      </c>
    </row>
    <row r="386" spans="1:20" x14ac:dyDescent="0.25">
      <c r="A386" s="5">
        <v>44207</v>
      </c>
      <c r="B386">
        <v>3.3809999999999998</v>
      </c>
      <c r="C386">
        <v>3.4809999999999999</v>
      </c>
      <c r="D386">
        <v>2.5510000000000002</v>
      </c>
      <c r="E386">
        <v>2.8980000000000001</v>
      </c>
      <c r="F386">
        <v>8353586.9210000001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-0.25376344086021491</v>
      </c>
      <c r="Q386">
        <f t="shared" si="970"/>
        <v>-2119834.9605978481</v>
      </c>
      <c r="R386">
        <f t="shared" si="971"/>
        <v>84215401.999439821</v>
      </c>
      <c r="S386">
        <f t="shared" si="972"/>
        <v>842.15401999439825</v>
      </c>
      <c r="T386">
        <f t="shared" si="973"/>
        <v>0.84215401999439821</v>
      </c>
    </row>
    <row r="387" spans="1:20" x14ac:dyDescent="0.25">
      <c r="A387" s="5">
        <v>44206</v>
      </c>
      <c r="B387">
        <v>3.2320000000000002</v>
      </c>
      <c r="C387">
        <v>3.72</v>
      </c>
      <c r="D387">
        <v>2.8759999999999999</v>
      </c>
      <c r="E387">
        <v>3.383</v>
      </c>
      <c r="F387">
        <v>10191786.720000001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0.20142180094786713</v>
      </c>
      <c r="Q387">
        <f t="shared" si="970"/>
        <v>2052848.0360189558</v>
      </c>
      <c r="R387">
        <f t="shared" si="971"/>
        <v>86335236.960037664</v>
      </c>
      <c r="S387">
        <f t="shared" si="972"/>
        <v>863.35236960037662</v>
      </c>
      <c r="T387">
        <f t="shared" si="973"/>
        <v>0.86335236960037665</v>
      </c>
    </row>
    <row r="388" spans="1:20" x14ac:dyDescent="0.25">
      <c r="A388" s="5">
        <v>44205</v>
      </c>
      <c r="B388">
        <v>2.8610000000000002</v>
      </c>
      <c r="C388">
        <v>3.3140000000000001</v>
      </c>
      <c r="D388">
        <v>2.7730000000000001</v>
      </c>
      <c r="E388">
        <v>3.2280000000000002</v>
      </c>
      <c r="F388">
        <v>6315252.142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0.68207024029574914</v>
      </c>
      <c r="Q388">
        <f t="shared" si="970"/>
        <v>4307445.5460221842</v>
      </c>
      <c r="R388">
        <f t="shared" si="971"/>
        <v>84282388.924018711</v>
      </c>
      <c r="S388">
        <f t="shared" si="972"/>
        <v>842.8238892401871</v>
      </c>
      <c r="T388">
        <f t="shared" si="973"/>
        <v>0.84282388924018714</v>
      </c>
    </row>
    <row r="389" spans="1:20" x14ac:dyDescent="0.25">
      <c r="A389" s="5">
        <v>44204</v>
      </c>
      <c r="B389">
        <v>2.8940000000000001</v>
      </c>
      <c r="C389">
        <v>2.98</v>
      </c>
      <c r="D389">
        <v>2.63</v>
      </c>
      <c r="E389">
        <v>2.8610000000000002</v>
      </c>
      <c r="F389">
        <v>4828215.7529999996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0.32000000000000145</v>
      </c>
      <c r="Q389">
        <f t="shared" si="970"/>
        <v>1545029.0409600069</v>
      </c>
      <c r="R389">
        <f t="shared" si="971"/>
        <v>79974943.377996519</v>
      </c>
      <c r="S389">
        <f t="shared" si="972"/>
        <v>799.74943377996522</v>
      </c>
      <c r="T389">
        <f t="shared" si="973"/>
        <v>0.79974943377996521</v>
      </c>
    </row>
    <row r="390" spans="1:20" x14ac:dyDescent="0.25">
      <c r="A390" s="5">
        <v>44203</v>
      </c>
      <c r="B390">
        <v>3.0150000000000001</v>
      </c>
      <c r="C390">
        <v>3.177</v>
      </c>
      <c r="D390">
        <v>2.75</v>
      </c>
      <c r="E390">
        <v>2.8940000000000001</v>
      </c>
      <c r="F390">
        <v>6585258.8770000003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-0.32552693208430861</v>
      </c>
      <c r="Q390">
        <f t="shared" ref="Q390:Q453" si="975">F390*P390</f>
        <v>-2143679.1192107694</v>
      </c>
      <c r="R390">
        <f t="shared" ref="R390:R453" si="976">R391+Q390</f>
        <v>78429914.337036505</v>
      </c>
      <c r="S390">
        <f t="shared" ref="S390:S453" si="977">R390/100000</f>
        <v>784.29914337036507</v>
      </c>
      <c r="T390">
        <f t="shared" ref="T390:T453" si="978">S390/1000</f>
        <v>0.7842991433703651</v>
      </c>
    </row>
    <row r="391" spans="1:20" x14ac:dyDescent="0.25">
      <c r="A391" s="5">
        <v>44202</v>
      </c>
      <c r="B391">
        <v>2.613</v>
      </c>
      <c r="C391">
        <v>3.0449999999999999</v>
      </c>
      <c r="D391">
        <v>2.5350000000000001</v>
      </c>
      <c r="E391">
        <v>3.0129999999999999</v>
      </c>
      <c r="F391">
        <v>6488691.9129999997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0.87450980392156852</v>
      </c>
      <c r="Q391">
        <f t="shared" si="975"/>
        <v>5674424.6925450973</v>
      </c>
      <c r="R391">
        <f t="shared" si="976"/>
        <v>80573593.45624727</v>
      </c>
      <c r="S391">
        <f t="shared" si="977"/>
        <v>805.73593456247272</v>
      </c>
      <c r="T391">
        <f t="shared" si="978"/>
        <v>0.80573593456247272</v>
      </c>
    </row>
    <row r="392" spans="1:20" x14ac:dyDescent="0.25">
      <c r="A392" s="5">
        <v>44201</v>
      </c>
      <c r="B392">
        <v>2.5150000000000001</v>
      </c>
      <c r="C392">
        <v>2.653</v>
      </c>
      <c r="D392">
        <v>2.3889999999999998</v>
      </c>
      <c r="E392">
        <v>2.6120000000000001</v>
      </c>
      <c r="F392">
        <v>5401551.4359999998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0.68939393939394022</v>
      </c>
      <c r="Q392">
        <f t="shared" si="975"/>
        <v>3723796.8233030345</v>
      </c>
      <c r="R392">
        <f t="shared" si="976"/>
        <v>74899168.763702169</v>
      </c>
      <c r="S392">
        <f t="shared" si="977"/>
        <v>748.99168763702164</v>
      </c>
      <c r="T392">
        <f t="shared" si="978"/>
        <v>0.74899168763702162</v>
      </c>
    </row>
    <row r="393" spans="1:20" x14ac:dyDescent="0.25">
      <c r="A393" s="5">
        <v>44200</v>
      </c>
      <c r="B393">
        <v>2.4649999999999999</v>
      </c>
      <c r="C393">
        <v>2.7029999999999998</v>
      </c>
      <c r="D393">
        <v>2.254</v>
      </c>
      <c r="E393">
        <v>2.5150000000000001</v>
      </c>
      <c r="F393">
        <v>6643783.7460000003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0.16258351893095863</v>
      </c>
      <c r="Q393">
        <f t="shared" si="975"/>
        <v>1080169.7404409864</v>
      </c>
      <c r="R393">
        <f t="shared" si="976"/>
        <v>71175371.94039914</v>
      </c>
      <c r="S393">
        <f t="shared" si="977"/>
        <v>711.75371940399145</v>
      </c>
      <c r="T393">
        <f t="shared" si="978"/>
        <v>0.71175371940399146</v>
      </c>
    </row>
    <row r="394" spans="1:20" x14ac:dyDescent="0.25">
      <c r="A394" s="5">
        <v>44199</v>
      </c>
      <c r="B394">
        <v>2.2490000000000001</v>
      </c>
      <c r="C394">
        <v>2.4990000000000001</v>
      </c>
      <c r="D394">
        <v>2.2000000000000002</v>
      </c>
      <c r="E394">
        <v>2.4660000000000002</v>
      </c>
      <c r="F394">
        <v>3646678.1669999999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0.77926421404682322</v>
      </c>
      <c r="Q394">
        <f t="shared" si="975"/>
        <v>2841725.7956889649</v>
      </c>
      <c r="R394">
        <f t="shared" si="976"/>
        <v>70095202.199958161</v>
      </c>
      <c r="S394">
        <f t="shared" si="977"/>
        <v>700.95202199958158</v>
      </c>
      <c r="T394">
        <f t="shared" si="978"/>
        <v>0.70095202199958162</v>
      </c>
    </row>
    <row r="395" spans="1:20" x14ac:dyDescent="0.25">
      <c r="A395" s="5">
        <v>44198</v>
      </c>
      <c r="B395">
        <v>2.2690000000000001</v>
      </c>
      <c r="C395">
        <v>2.2909999999999999</v>
      </c>
      <c r="D395">
        <v>2.1869999999999998</v>
      </c>
      <c r="E395">
        <v>2.2490000000000001</v>
      </c>
      <c r="F395">
        <v>2480219.321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0.19230769230769656</v>
      </c>
      <c r="Q395">
        <f t="shared" si="975"/>
        <v>476965.25403847208</v>
      </c>
      <c r="R395">
        <f t="shared" si="976"/>
        <v>67253476.404269189</v>
      </c>
      <c r="S395">
        <f t="shared" si="977"/>
        <v>672.5347640426919</v>
      </c>
      <c r="T395">
        <f t="shared" si="978"/>
        <v>0.67253476404269186</v>
      </c>
    </row>
    <row r="396" spans="1:20" x14ac:dyDescent="0.25">
      <c r="A396" s="5">
        <v>44197</v>
      </c>
      <c r="B396">
        <v>2.222</v>
      </c>
      <c r="C396">
        <v>2.37</v>
      </c>
      <c r="D396">
        <v>2.1960000000000002</v>
      </c>
      <c r="E396">
        <v>2.2679999999999998</v>
      </c>
      <c r="F396">
        <v>1871044.7069999999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-0.17241379310345231</v>
      </c>
      <c r="Q396">
        <f t="shared" si="975"/>
        <v>-322593.91500000755</v>
      </c>
      <c r="R396">
        <f t="shared" si="976"/>
        <v>66776511.150230721</v>
      </c>
      <c r="S396">
        <f t="shared" si="977"/>
        <v>667.76511150230715</v>
      </c>
      <c r="T396">
        <f t="shared" si="978"/>
        <v>0.66776511150230711</v>
      </c>
    </row>
    <row r="397" spans="1:20" x14ac:dyDescent="0.25">
      <c r="A397" s="5">
        <v>44196</v>
      </c>
      <c r="B397">
        <v>2.2149999999999999</v>
      </c>
      <c r="C397">
        <v>2.258</v>
      </c>
      <c r="D397">
        <v>2.1419999999999999</v>
      </c>
      <c r="E397">
        <v>2.222</v>
      </c>
      <c r="F397">
        <v>1056454.1710000001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0.37931034482758619</v>
      </c>
      <c r="Q397">
        <f t="shared" si="975"/>
        <v>400723.99589655176</v>
      </c>
      <c r="R397">
        <f t="shared" si="976"/>
        <v>67099105.065230727</v>
      </c>
      <c r="S397">
        <f t="shared" si="977"/>
        <v>670.99105065230731</v>
      </c>
      <c r="T397">
        <f t="shared" si="978"/>
        <v>0.67099105065230735</v>
      </c>
    </row>
    <row r="398" spans="1:20" x14ac:dyDescent="0.25">
      <c r="A398" s="5">
        <v>44195</v>
      </c>
      <c r="B398">
        <v>2.274</v>
      </c>
      <c r="C398">
        <v>2.2949999999999999</v>
      </c>
      <c r="D398">
        <v>2.1739999999999999</v>
      </c>
      <c r="E398">
        <v>2.2149999999999999</v>
      </c>
      <c r="F398">
        <v>1275552.5020000001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-0.32231404958677806</v>
      </c>
      <c r="Q398">
        <f t="shared" si="975"/>
        <v>-411128.49238016683</v>
      </c>
      <c r="R398">
        <f t="shared" si="976"/>
        <v>66698381.069334172</v>
      </c>
      <c r="S398">
        <f t="shared" si="977"/>
        <v>666.98381069334175</v>
      </c>
      <c r="T398">
        <f t="shared" si="978"/>
        <v>0.66698381069334178</v>
      </c>
    </row>
    <row r="399" spans="1:20" x14ac:dyDescent="0.25">
      <c r="A399" s="5">
        <v>44194</v>
      </c>
      <c r="B399">
        <v>2.383</v>
      </c>
      <c r="C399">
        <v>2.4380000000000002</v>
      </c>
      <c r="D399">
        <v>2.13</v>
      </c>
      <c r="E399">
        <v>2.2709999999999999</v>
      </c>
      <c r="F399">
        <v>3093741.926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-8.4415584415585138E-2</v>
      </c>
      <c r="Q399">
        <f t="shared" si="975"/>
        <v>-261160.03271428795</v>
      </c>
      <c r="R399">
        <f t="shared" si="976"/>
        <v>67109509.561714336</v>
      </c>
      <c r="S399">
        <f t="shared" si="977"/>
        <v>671.09509561714333</v>
      </c>
      <c r="T399">
        <f t="shared" si="978"/>
        <v>0.67109509561714331</v>
      </c>
    </row>
    <row r="400" spans="1:20" x14ac:dyDescent="0.25">
      <c r="A400" s="5">
        <v>44193</v>
      </c>
      <c r="B400">
        <v>2.2770000000000001</v>
      </c>
      <c r="C400">
        <v>2.4409999999999998</v>
      </c>
      <c r="D400">
        <v>2.258</v>
      </c>
      <c r="E400">
        <v>2.3839999999999999</v>
      </c>
      <c r="F400">
        <v>2751944.037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0.37704918032786894</v>
      </c>
      <c r="Q400">
        <f t="shared" si="975"/>
        <v>1037618.2434590167</v>
      </c>
      <c r="R400">
        <f t="shared" si="976"/>
        <v>67370669.594428629</v>
      </c>
      <c r="S400">
        <f t="shared" si="977"/>
        <v>673.70669594428625</v>
      </c>
      <c r="T400">
        <f t="shared" si="978"/>
        <v>0.67370669594428623</v>
      </c>
    </row>
    <row r="401" spans="1:20" x14ac:dyDescent="0.25">
      <c r="A401" s="5">
        <v>44192</v>
      </c>
      <c r="B401">
        <v>2.2629999999999999</v>
      </c>
      <c r="C401">
        <v>2.4020000000000001</v>
      </c>
      <c r="D401">
        <v>2.1429999999999998</v>
      </c>
      <c r="E401">
        <v>2.2749999999999999</v>
      </c>
      <c r="F401">
        <v>3204945.3859999999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1.9305019305018867E-2</v>
      </c>
      <c r="Q401">
        <f t="shared" si="975"/>
        <v>61871.532548261144</v>
      </c>
      <c r="R401">
        <f t="shared" si="976"/>
        <v>66333051.350969605</v>
      </c>
      <c r="S401">
        <f t="shared" si="977"/>
        <v>663.33051350969606</v>
      </c>
      <c r="T401">
        <f t="shared" si="978"/>
        <v>0.66333051350969607</v>
      </c>
    </row>
    <row r="402" spans="1:20" x14ac:dyDescent="0.25">
      <c r="A402" s="5">
        <v>44191</v>
      </c>
      <c r="B402">
        <v>2.29</v>
      </c>
      <c r="C402">
        <v>2.3069999999999999</v>
      </c>
      <c r="D402">
        <v>2.1619999999999999</v>
      </c>
      <c r="E402">
        <v>2.2599999999999998</v>
      </c>
      <c r="F402">
        <v>1698160.8049999999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0.35172413793103247</v>
      </c>
      <c r="Q402">
        <f t="shared" si="975"/>
        <v>597284.1452068931</v>
      </c>
      <c r="R402">
        <f t="shared" si="976"/>
        <v>66271179.818421341</v>
      </c>
      <c r="S402">
        <f t="shared" si="977"/>
        <v>662.71179818421342</v>
      </c>
      <c r="T402">
        <f t="shared" si="978"/>
        <v>0.66271179818421344</v>
      </c>
    </row>
    <row r="403" spans="1:20" x14ac:dyDescent="0.25">
      <c r="A403" s="5">
        <v>44190</v>
      </c>
      <c r="B403">
        <v>2.3109999999999999</v>
      </c>
      <c r="C403">
        <v>2.4039999999999999</v>
      </c>
      <c r="D403">
        <v>2.2240000000000002</v>
      </c>
      <c r="E403">
        <v>2.2879999999999998</v>
      </c>
      <c r="F403">
        <v>2423032.3169999998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-0.28888888888889208</v>
      </c>
      <c r="Q403">
        <f t="shared" si="975"/>
        <v>-699987.11380000773</v>
      </c>
      <c r="R403">
        <f t="shared" si="976"/>
        <v>65673895.67321445</v>
      </c>
      <c r="S403">
        <f t="shared" si="977"/>
        <v>656.73895673214452</v>
      </c>
      <c r="T403">
        <f t="shared" si="978"/>
        <v>0.65673895673214455</v>
      </c>
    </row>
    <row r="404" spans="1:20" x14ac:dyDescent="0.25">
      <c r="A404" s="5">
        <v>44189</v>
      </c>
      <c r="B404">
        <v>2.0939999999999999</v>
      </c>
      <c r="C404">
        <v>2.3220000000000001</v>
      </c>
      <c r="D404">
        <v>2.0179999999999998</v>
      </c>
      <c r="E404">
        <v>2.3119999999999998</v>
      </c>
      <c r="F404">
        <v>3335098.65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0.93421052631578805</v>
      </c>
      <c r="Q404">
        <f t="shared" si="975"/>
        <v>3115684.2651315741</v>
      </c>
      <c r="R404">
        <f t="shared" si="976"/>
        <v>66373882.787014455</v>
      </c>
      <c r="S404">
        <f t="shared" si="977"/>
        <v>663.73882787014452</v>
      </c>
      <c r="T404">
        <f t="shared" si="978"/>
        <v>0.66373882787014449</v>
      </c>
    </row>
    <row r="405" spans="1:20" x14ac:dyDescent="0.25">
      <c r="A405" s="5">
        <v>44188</v>
      </c>
      <c r="B405">
        <v>2.573</v>
      </c>
      <c r="C405">
        <v>2.5910000000000002</v>
      </c>
      <c r="D405">
        <v>1.8640000000000001</v>
      </c>
      <c r="E405">
        <v>2.0960000000000001</v>
      </c>
      <c r="F405">
        <v>3736758.5860000001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-0.36176066024759296</v>
      </c>
      <c r="Q405">
        <f t="shared" si="975"/>
        <v>-1351812.253257222</v>
      </c>
      <c r="R405">
        <f t="shared" si="976"/>
        <v>63258198.521882877</v>
      </c>
      <c r="S405">
        <f t="shared" si="977"/>
        <v>632.58198521882878</v>
      </c>
      <c r="T405">
        <f t="shared" si="978"/>
        <v>0.6325819852188288</v>
      </c>
    </row>
    <row r="406" spans="1:20" x14ac:dyDescent="0.25">
      <c r="A406" s="5">
        <v>44187</v>
      </c>
      <c r="B406">
        <v>2.5920000000000001</v>
      </c>
      <c r="C406">
        <v>2.6259999999999999</v>
      </c>
      <c r="D406">
        <v>2.4260000000000002</v>
      </c>
      <c r="E406">
        <v>2.5739999999999998</v>
      </c>
      <c r="F406">
        <v>1773243.0179999999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0.47999999999999887</v>
      </c>
      <c r="Q406">
        <f t="shared" si="975"/>
        <v>851156.64863999793</v>
      </c>
      <c r="R406">
        <f t="shared" si="976"/>
        <v>64610010.775140099</v>
      </c>
      <c r="S406">
        <f t="shared" si="977"/>
        <v>646.10010775140097</v>
      </c>
      <c r="T406">
        <f t="shared" si="978"/>
        <v>0.64610010775140092</v>
      </c>
    </row>
    <row r="407" spans="1:20" x14ac:dyDescent="0.25">
      <c r="A407" s="5">
        <v>44186</v>
      </c>
      <c r="B407">
        <v>2.8</v>
      </c>
      <c r="C407">
        <v>2.8660000000000001</v>
      </c>
      <c r="D407">
        <v>2.5499999999999998</v>
      </c>
      <c r="E407">
        <v>2.5920000000000001</v>
      </c>
      <c r="F407">
        <v>2225641.656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-0.734177215189872</v>
      </c>
      <c r="Q407">
        <f t="shared" si="975"/>
        <v>-1634015.393012655</v>
      </c>
      <c r="R407">
        <f t="shared" si="976"/>
        <v>63758854.1265001</v>
      </c>
      <c r="S407">
        <f t="shared" si="977"/>
        <v>637.58854126500103</v>
      </c>
      <c r="T407">
        <f t="shared" si="978"/>
        <v>0.63758854126500097</v>
      </c>
    </row>
    <row r="408" spans="1:20" x14ac:dyDescent="0.25">
      <c r="A408" s="5">
        <v>44185</v>
      </c>
      <c r="B408">
        <v>2.8109999999999999</v>
      </c>
      <c r="C408">
        <v>2.919</v>
      </c>
      <c r="D408">
        <v>2.72</v>
      </c>
      <c r="E408">
        <v>2.802</v>
      </c>
      <c r="F408">
        <v>1843553.8330000001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-0.17587939698492547</v>
      </c>
      <c r="Q408">
        <f t="shared" si="975"/>
        <v>-324243.136457288</v>
      </c>
      <c r="R408">
        <f t="shared" si="976"/>
        <v>65392869.519512758</v>
      </c>
      <c r="S408">
        <f t="shared" si="977"/>
        <v>653.9286951951276</v>
      </c>
      <c r="T408">
        <f t="shared" si="978"/>
        <v>0.65392869519512764</v>
      </c>
    </row>
    <row r="409" spans="1:20" x14ac:dyDescent="0.25">
      <c r="A409" s="5">
        <v>44184</v>
      </c>
      <c r="B409">
        <v>2.74</v>
      </c>
      <c r="C409">
        <v>2.94</v>
      </c>
      <c r="D409">
        <v>2.7250000000000001</v>
      </c>
      <c r="E409">
        <v>2.8109999999999999</v>
      </c>
      <c r="F409">
        <v>2077145.0149999999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-0.20000000000000082</v>
      </c>
      <c r="Q409">
        <f t="shared" si="975"/>
        <v>-415429.00300000166</v>
      </c>
      <c r="R409">
        <f t="shared" si="976"/>
        <v>65717112.655970044</v>
      </c>
      <c r="S409">
        <f t="shared" si="977"/>
        <v>657.1711265597005</v>
      </c>
      <c r="T409">
        <f t="shared" si="978"/>
        <v>0.65717112655970045</v>
      </c>
    </row>
    <row r="410" spans="1:20" x14ac:dyDescent="0.25">
      <c r="A410" s="5">
        <v>44183</v>
      </c>
      <c r="B410">
        <v>2.6880000000000002</v>
      </c>
      <c r="C410">
        <v>2.786</v>
      </c>
      <c r="D410">
        <v>2.6280000000000001</v>
      </c>
      <c r="E410">
        <v>2.74</v>
      </c>
      <c r="F410">
        <v>1197280.659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0.41772151898734378</v>
      </c>
      <c r="Q410">
        <f t="shared" si="975"/>
        <v>500129.89553164796</v>
      </c>
      <c r="R410">
        <f t="shared" si="976"/>
        <v>66132541.658970043</v>
      </c>
      <c r="S410">
        <f t="shared" si="977"/>
        <v>661.32541658970047</v>
      </c>
      <c r="T410">
        <f t="shared" si="978"/>
        <v>0.66132541658970045</v>
      </c>
    </row>
    <row r="411" spans="1:20" x14ac:dyDescent="0.25">
      <c r="A411" s="5">
        <v>44182</v>
      </c>
      <c r="B411">
        <v>2.7629999999999999</v>
      </c>
      <c r="C411">
        <v>2.8439999999999999</v>
      </c>
      <c r="D411">
        <v>2.6480000000000001</v>
      </c>
      <c r="E411">
        <v>2.6880000000000002</v>
      </c>
      <c r="F411">
        <v>2940554.7850000001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-0.59183673469387665</v>
      </c>
      <c r="Q411">
        <f t="shared" si="975"/>
        <v>-1740328.3421428546</v>
      </c>
      <c r="R411">
        <f t="shared" si="976"/>
        <v>65632411.763438396</v>
      </c>
      <c r="S411">
        <f t="shared" si="977"/>
        <v>656.32411763438392</v>
      </c>
      <c r="T411">
        <f t="shared" si="978"/>
        <v>0.65632411763438392</v>
      </c>
    </row>
    <row r="412" spans="1:20" x14ac:dyDescent="0.25">
      <c r="A412" s="5">
        <v>44181</v>
      </c>
      <c r="B412">
        <v>2.5870000000000002</v>
      </c>
      <c r="C412">
        <v>2.774</v>
      </c>
      <c r="D412">
        <v>2.5190000000000001</v>
      </c>
      <c r="E412">
        <v>2.766</v>
      </c>
      <c r="F412">
        <v>1581180.9909999999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0.9372549019607842</v>
      </c>
      <c r="Q412">
        <f t="shared" si="975"/>
        <v>1481969.6347019605</v>
      </c>
      <c r="R412">
        <f t="shared" si="976"/>
        <v>67372740.105581254</v>
      </c>
      <c r="S412">
        <f t="shared" si="977"/>
        <v>673.72740105581249</v>
      </c>
      <c r="T412">
        <f t="shared" si="978"/>
        <v>0.67372740105581252</v>
      </c>
    </row>
    <row r="413" spans="1:20" x14ac:dyDescent="0.25">
      <c r="A413" s="5">
        <v>44180</v>
      </c>
      <c r="B413">
        <v>2.5209999999999999</v>
      </c>
      <c r="C413">
        <v>2.6560000000000001</v>
      </c>
      <c r="D413">
        <v>2.452</v>
      </c>
      <c r="E413">
        <v>2.5859999999999999</v>
      </c>
      <c r="F413">
        <v>1866204.578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0.31372549019607626</v>
      </c>
      <c r="Q413">
        <f t="shared" si="975"/>
        <v>585475.94603921159</v>
      </c>
      <c r="R413">
        <f t="shared" si="976"/>
        <v>65890770.470879294</v>
      </c>
      <c r="S413">
        <f t="shared" si="977"/>
        <v>658.90770470879295</v>
      </c>
      <c r="T413">
        <f t="shared" si="978"/>
        <v>0.6589077047087929</v>
      </c>
    </row>
    <row r="414" spans="1:20" x14ac:dyDescent="0.25">
      <c r="A414" s="5">
        <v>44179</v>
      </c>
      <c r="B414">
        <v>2.5579999999999998</v>
      </c>
      <c r="C414">
        <v>2.5579999999999998</v>
      </c>
      <c r="D414">
        <v>2.464</v>
      </c>
      <c r="E414">
        <v>2.5209999999999999</v>
      </c>
      <c r="F414">
        <v>643652.06599999999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0.21276595744680901</v>
      </c>
      <c r="Q414">
        <f t="shared" si="975"/>
        <v>136947.24808510669</v>
      </c>
      <c r="R414">
        <f t="shared" si="976"/>
        <v>65305294.524840079</v>
      </c>
      <c r="S414">
        <f t="shared" si="977"/>
        <v>653.05294524840076</v>
      </c>
      <c r="T414">
        <f t="shared" si="978"/>
        <v>0.65305294524840074</v>
      </c>
    </row>
    <row r="415" spans="1:20" x14ac:dyDescent="0.25">
      <c r="A415" s="5">
        <v>44178</v>
      </c>
      <c r="B415">
        <v>2.4670000000000001</v>
      </c>
      <c r="C415">
        <v>2.6120000000000001</v>
      </c>
      <c r="D415">
        <v>2.4540000000000002</v>
      </c>
      <c r="E415">
        <v>2.5569999999999999</v>
      </c>
      <c r="F415">
        <v>1033525.597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0.303797468354428</v>
      </c>
      <c r="Q415">
        <f t="shared" si="975"/>
        <v>313982.45984809881</v>
      </c>
      <c r="R415">
        <f t="shared" si="976"/>
        <v>65168347.276754975</v>
      </c>
      <c r="S415">
        <f t="shared" si="977"/>
        <v>651.6834727675498</v>
      </c>
      <c r="T415">
        <f t="shared" si="978"/>
        <v>0.65168347276754979</v>
      </c>
    </row>
    <row r="416" spans="1:20" x14ac:dyDescent="0.25">
      <c r="A416" s="5">
        <v>44177</v>
      </c>
      <c r="B416">
        <v>2.3380000000000001</v>
      </c>
      <c r="C416">
        <v>2.4809999999999999</v>
      </c>
      <c r="D416">
        <v>2.33</v>
      </c>
      <c r="E416">
        <v>2.4689999999999999</v>
      </c>
      <c r="F416">
        <v>805193.34100000001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0.84105960264900625</v>
      </c>
      <c r="Q416">
        <f t="shared" si="975"/>
        <v>677215.59143708576</v>
      </c>
      <c r="R416">
        <f t="shared" si="976"/>
        <v>64854364.816906877</v>
      </c>
      <c r="S416">
        <f t="shared" si="977"/>
        <v>648.54364816906877</v>
      </c>
      <c r="T416">
        <f t="shared" si="978"/>
        <v>0.64854364816906873</v>
      </c>
    </row>
    <row r="417" spans="1:20" x14ac:dyDescent="0.25">
      <c r="A417" s="5">
        <v>44176</v>
      </c>
      <c r="B417">
        <v>2.4300000000000002</v>
      </c>
      <c r="C417">
        <v>2.4390000000000001</v>
      </c>
      <c r="D417">
        <v>2.3149999999999999</v>
      </c>
      <c r="E417">
        <v>2.3370000000000002</v>
      </c>
      <c r="F417">
        <v>850332.73100000003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-0.64516129032257707</v>
      </c>
      <c r="Q417">
        <f t="shared" si="975"/>
        <v>-548601.76193548087</v>
      </c>
      <c r="R417">
        <f t="shared" si="976"/>
        <v>64177149.22546979</v>
      </c>
      <c r="S417">
        <f t="shared" si="977"/>
        <v>641.77149225469793</v>
      </c>
      <c r="T417">
        <f t="shared" si="978"/>
        <v>0.64177149225469798</v>
      </c>
    </row>
    <row r="418" spans="1:20" x14ac:dyDescent="0.25">
      <c r="A418" s="5">
        <v>44175</v>
      </c>
      <c r="B418">
        <v>2.4910000000000001</v>
      </c>
      <c r="C418">
        <v>2.5099999999999998</v>
      </c>
      <c r="D418">
        <v>2.359</v>
      </c>
      <c r="E418">
        <v>2.4300000000000002</v>
      </c>
      <c r="F418">
        <v>791009.64599999995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-5.960264900661897E-2</v>
      </c>
      <c r="Q418">
        <f t="shared" si="975"/>
        <v>-47146.270291387918</v>
      </c>
      <c r="R418">
        <f t="shared" si="976"/>
        <v>64725750.98740527</v>
      </c>
      <c r="S418">
        <f t="shared" si="977"/>
        <v>647.25750987405274</v>
      </c>
      <c r="T418">
        <f t="shared" si="978"/>
        <v>0.64725750987405273</v>
      </c>
    </row>
    <row r="419" spans="1:20" x14ac:dyDescent="0.25">
      <c r="A419" s="5">
        <v>44174</v>
      </c>
      <c r="B419">
        <v>2.41</v>
      </c>
      <c r="C419">
        <v>2.5059999999999998</v>
      </c>
      <c r="D419">
        <v>2.29</v>
      </c>
      <c r="E419">
        <v>2.4910000000000001</v>
      </c>
      <c r="F419">
        <v>1754405.388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0.86111111111111394</v>
      </c>
      <c r="Q419">
        <f t="shared" si="975"/>
        <v>1510737.9730000049</v>
      </c>
      <c r="R419">
        <f t="shared" si="976"/>
        <v>64772897.257696658</v>
      </c>
      <c r="S419">
        <f t="shared" si="977"/>
        <v>647.72897257696661</v>
      </c>
      <c r="T419">
        <f t="shared" si="978"/>
        <v>0.6477289725769666</v>
      </c>
    </row>
    <row r="420" spans="1:20" x14ac:dyDescent="0.25">
      <c r="A420" s="5">
        <v>44173</v>
      </c>
      <c r="B420">
        <v>2.6120000000000001</v>
      </c>
      <c r="C420">
        <v>2.617</v>
      </c>
      <c r="D420">
        <v>2.3759999999999999</v>
      </c>
      <c r="E420">
        <v>2.41</v>
      </c>
      <c r="F420">
        <v>1359890.115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-0.71784232365145029</v>
      </c>
      <c r="Q420">
        <f t="shared" si="975"/>
        <v>-976186.68006223789</v>
      </c>
      <c r="R420">
        <f t="shared" si="976"/>
        <v>63262159.284696653</v>
      </c>
      <c r="S420">
        <f t="shared" si="977"/>
        <v>632.62159284696656</v>
      </c>
      <c r="T420">
        <f t="shared" si="978"/>
        <v>0.63262159284696662</v>
      </c>
    </row>
    <row r="421" spans="1:20" x14ac:dyDescent="0.25">
      <c r="A421" s="5">
        <v>44172</v>
      </c>
      <c r="B421">
        <v>2.653</v>
      </c>
      <c r="C421">
        <v>2.6920000000000002</v>
      </c>
      <c r="D421">
        <v>2.5640000000000001</v>
      </c>
      <c r="E421">
        <v>2.6120000000000001</v>
      </c>
      <c r="F421">
        <v>868520.33799999999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-0.25</v>
      </c>
      <c r="Q421">
        <f t="shared" si="975"/>
        <v>-217130.0845</v>
      </c>
      <c r="R421">
        <f t="shared" si="976"/>
        <v>64238345.964758888</v>
      </c>
      <c r="S421">
        <f t="shared" si="977"/>
        <v>642.38345964758889</v>
      </c>
      <c r="T421">
        <f t="shared" si="978"/>
        <v>0.64238345964758892</v>
      </c>
    </row>
    <row r="422" spans="1:20" x14ac:dyDescent="0.25">
      <c r="A422" s="5">
        <v>44171</v>
      </c>
      <c r="B422">
        <v>2.7170000000000001</v>
      </c>
      <c r="C422">
        <v>2.7559999999999998</v>
      </c>
      <c r="D422">
        <v>2.5830000000000002</v>
      </c>
      <c r="E422">
        <v>2.653</v>
      </c>
      <c r="F422">
        <v>1173466.7309999999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-0.19075144508670516</v>
      </c>
      <c r="Q422">
        <f t="shared" si="975"/>
        <v>-223840.4746994219</v>
      </c>
      <c r="R422">
        <f t="shared" si="976"/>
        <v>64455476.049258888</v>
      </c>
      <c r="S422">
        <f t="shared" si="977"/>
        <v>644.55476049258891</v>
      </c>
      <c r="T422">
        <f t="shared" si="978"/>
        <v>0.64455476049258886</v>
      </c>
    </row>
    <row r="423" spans="1:20" x14ac:dyDescent="0.25">
      <c r="A423" s="5">
        <v>44170</v>
      </c>
      <c r="B423">
        <v>2.59</v>
      </c>
      <c r="C423">
        <v>2.7389999999999999</v>
      </c>
      <c r="D423">
        <v>2.5590000000000002</v>
      </c>
      <c r="E423">
        <v>2.718</v>
      </c>
      <c r="F423">
        <v>956536.27099999995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0.76666666666666727</v>
      </c>
      <c r="Q423">
        <f t="shared" si="975"/>
        <v>733344.47443333385</v>
      </c>
      <c r="R423">
        <f t="shared" si="976"/>
        <v>64679316.52395831</v>
      </c>
      <c r="S423">
        <f t="shared" si="977"/>
        <v>646.79316523958312</v>
      </c>
      <c r="T423">
        <f t="shared" si="978"/>
        <v>0.64679316523958308</v>
      </c>
    </row>
    <row r="424" spans="1:20" x14ac:dyDescent="0.25">
      <c r="A424" s="5">
        <v>44169</v>
      </c>
      <c r="B424">
        <v>2.8769999999999998</v>
      </c>
      <c r="C424">
        <v>2.9020000000000001</v>
      </c>
      <c r="D424">
        <v>2.5430000000000001</v>
      </c>
      <c r="E424">
        <v>2.5910000000000002</v>
      </c>
      <c r="F424">
        <v>2800367.5329999998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-0.73259052924791057</v>
      </c>
      <c r="Q424">
        <f t="shared" si="975"/>
        <v>-2051522.7330891355</v>
      </c>
      <c r="R424">
        <f t="shared" si="976"/>
        <v>63945972.049524978</v>
      </c>
      <c r="S424">
        <f t="shared" si="977"/>
        <v>639.45972049524983</v>
      </c>
      <c r="T424">
        <f t="shared" si="978"/>
        <v>0.63945972049524979</v>
      </c>
    </row>
    <row r="425" spans="1:20" x14ac:dyDescent="0.25">
      <c r="A425" s="5">
        <v>44168</v>
      </c>
      <c r="B425">
        <v>2.7839999999999998</v>
      </c>
      <c r="C425">
        <v>2.9860000000000002</v>
      </c>
      <c r="D425">
        <v>2.7810000000000001</v>
      </c>
      <c r="E425">
        <v>2.8769999999999998</v>
      </c>
      <c r="F425">
        <v>2963576.15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-6.3414634146345294E-2</v>
      </c>
      <c r="Q425">
        <f t="shared" si="975"/>
        <v>-187934.09731708452</v>
      </c>
      <c r="R425">
        <f t="shared" si="976"/>
        <v>65997494.782614112</v>
      </c>
      <c r="S425">
        <f t="shared" si="977"/>
        <v>659.97494782614115</v>
      </c>
      <c r="T425">
        <f t="shared" si="978"/>
        <v>0.65997494782614119</v>
      </c>
    </row>
    <row r="426" spans="1:20" x14ac:dyDescent="0.25">
      <c r="A426" s="5">
        <v>44167</v>
      </c>
      <c r="B426">
        <v>2.718</v>
      </c>
      <c r="C426">
        <v>2.839</v>
      </c>
      <c r="D426">
        <v>2.68</v>
      </c>
      <c r="E426">
        <v>2.7869999999999999</v>
      </c>
      <c r="F426">
        <v>1550039.023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0.34591194968553324</v>
      </c>
      <c r="Q426">
        <f t="shared" si="975"/>
        <v>536177.02053458907</v>
      </c>
      <c r="R426">
        <f t="shared" si="976"/>
        <v>66185428.879931197</v>
      </c>
      <c r="S426">
        <f t="shared" si="977"/>
        <v>661.85428879931192</v>
      </c>
      <c r="T426">
        <f t="shared" si="978"/>
        <v>0.66185428879931196</v>
      </c>
    </row>
    <row r="427" spans="1:20" x14ac:dyDescent="0.25">
      <c r="A427" s="5">
        <v>44166</v>
      </c>
      <c r="B427">
        <v>2.9289999999999998</v>
      </c>
      <c r="C427">
        <v>3.0219999999999998</v>
      </c>
      <c r="D427">
        <v>2.6739999999999999</v>
      </c>
      <c r="E427">
        <v>2.718</v>
      </c>
      <c r="F427">
        <v>3500254.73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-0.74712643678160884</v>
      </c>
      <c r="Q427">
        <f t="shared" si="975"/>
        <v>-2615132.8442528723</v>
      </c>
      <c r="R427">
        <f t="shared" si="976"/>
        <v>65649251.859396607</v>
      </c>
      <c r="S427">
        <f t="shared" si="977"/>
        <v>656.49251859396611</v>
      </c>
      <c r="T427">
        <f t="shared" si="978"/>
        <v>0.65649251859396607</v>
      </c>
    </row>
    <row r="428" spans="1:20" x14ac:dyDescent="0.25">
      <c r="A428" s="5">
        <v>44165</v>
      </c>
      <c r="B428">
        <v>2.734</v>
      </c>
      <c r="C428">
        <v>3.0659999999999998</v>
      </c>
      <c r="D428">
        <v>2.7330000000000001</v>
      </c>
      <c r="E428">
        <v>2.9319999999999999</v>
      </c>
      <c r="F428">
        <v>4109360.4759999998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0.19519519519519518</v>
      </c>
      <c r="Q428">
        <f t="shared" si="975"/>
        <v>802127.42024024017</v>
      </c>
      <c r="R428">
        <f t="shared" si="976"/>
        <v>68264384.703649476</v>
      </c>
      <c r="S428">
        <f t="shared" si="977"/>
        <v>682.64384703649478</v>
      </c>
      <c r="T428">
        <f t="shared" si="978"/>
        <v>0.68264384703649472</v>
      </c>
    </row>
    <row r="429" spans="1:20" x14ac:dyDescent="0.25">
      <c r="A429" s="5">
        <v>44164</v>
      </c>
      <c r="B429">
        <v>2.6890000000000001</v>
      </c>
      <c r="C429">
        <v>2.843</v>
      </c>
      <c r="D429">
        <v>2.593</v>
      </c>
      <c r="E429">
        <v>2.734</v>
      </c>
      <c r="F429">
        <v>2321047.227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0.12800000000000011</v>
      </c>
      <c r="Q429">
        <f t="shared" si="975"/>
        <v>297094.04505600024</v>
      </c>
      <c r="R429">
        <f t="shared" si="976"/>
        <v>67462257.283409238</v>
      </c>
      <c r="S429">
        <f t="shared" si="977"/>
        <v>674.62257283409235</v>
      </c>
      <c r="T429">
        <f t="shared" si="978"/>
        <v>0.67462257283409233</v>
      </c>
    </row>
    <row r="430" spans="1:20" x14ac:dyDescent="0.25">
      <c r="A430" s="5">
        <v>44163</v>
      </c>
      <c r="B430">
        <v>2.605</v>
      </c>
      <c r="C430">
        <v>2.7559999999999998</v>
      </c>
      <c r="D430">
        <v>2.5190000000000001</v>
      </c>
      <c r="E430">
        <v>2.69</v>
      </c>
      <c r="F430">
        <v>2843396.3739999998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0.44303797468354489</v>
      </c>
      <c r="Q430">
        <f t="shared" si="975"/>
        <v>1259732.5707594953</v>
      </c>
      <c r="R430">
        <f t="shared" si="976"/>
        <v>67165163.238353238</v>
      </c>
      <c r="S430">
        <f t="shared" si="977"/>
        <v>671.65163238353239</v>
      </c>
      <c r="T430">
        <f t="shared" si="978"/>
        <v>0.67165163238353243</v>
      </c>
    </row>
    <row r="431" spans="1:20" x14ac:dyDescent="0.25">
      <c r="A431" s="5">
        <v>44162</v>
      </c>
      <c r="B431">
        <v>2.5249999999999999</v>
      </c>
      <c r="C431">
        <v>2.6230000000000002</v>
      </c>
      <c r="D431">
        <v>2.383</v>
      </c>
      <c r="E431">
        <v>2.6019999999999999</v>
      </c>
      <c r="F431">
        <v>3373006.2319999998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0.82499999999999718</v>
      </c>
      <c r="Q431">
        <f t="shared" si="975"/>
        <v>2782730.1413999903</v>
      </c>
      <c r="R431">
        <f t="shared" si="976"/>
        <v>65905430.667593747</v>
      </c>
      <c r="S431">
        <f t="shared" si="977"/>
        <v>659.05430667593748</v>
      </c>
      <c r="T431">
        <f t="shared" si="978"/>
        <v>0.65905430667593745</v>
      </c>
    </row>
    <row r="432" spans="1:20" x14ac:dyDescent="0.25">
      <c r="A432" s="5">
        <v>44161</v>
      </c>
      <c r="B432">
        <v>2.9220000000000002</v>
      </c>
      <c r="C432">
        <v>3.0089999999999999</v>
      </c>
      <c r="D432">
        <v>2.2949999999999999</v>
      </c>
      <c r="E432">
        <v>2.5219999999999998</v>
      </c>
      <c r="F432">
        <v>9506679.0020000003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-0.36414565826330564</v>
      </c>
      <c r="Q432">
        <f t="shared" si="975"/>
        <v>-3461815.8830812355</v>
      </c>
      <c r="R432">
        <f t="shared" si="976"/>
        <v>63122700.52619376</v>
      </c>
      <c r="S432">
        <f t="shared" si="977"/>
        <v>631.22700526193762</v>
      </c>
      <c r="T432">
        <f t="shared" si="978"/>
        <v>0.63122700526193765</v>
      </c>
    </row>
    <row r="433" spans="1:20" x14ac:dyDescent="0.25">
      <c r="A433" s="5">
        <v>44160</v>
      </c>
      <c r="B433">
        <v>3.08</v>
      </c>
      <c r="C433">
        <v>3.2829999999999999</v>
      </c>
      <c r="D433">
        <v>2.8010000000000002</v>
      </c>
      <c r="E433">
        <v>2.9239999999999999</v>
      </c>
      <c r="F433">
        <v>7276205.3470000001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-0.48962655601659821</v>
      </c>
      <c r="Q433">
        <f t="shared" si="975"/>
        <v>-3562623.364921167</v>
      </c>
      <c r="R433">
        <f t="shared" si="976"/>
        <v>66584516.409274995</v>
      </c>
      <c r="S433">
        <f t="shared" si="977"/>
        <v>665.84516409275</v>
      </c>
      <c r="T433">
        <f t="shared" si="978"/>
        <v>0.66584516409274996</v>
      </c>
    </row>
    <row r="434" spans="1:20" x14ac:dyDescent="0.25">
      <c r="A434" s="5">
        <v>44159</v>
      </c>
      <c r="B434">
        <v>2.794</v>
      </c>
      <c r="C434">
        <v>3.1850000000000001</v>
      </c>
      <c r="D434">
        <v>2.7229999999999999</v>
      </c>
      <c r="E434">
        <v>3.0790000000000002</v>
      </c>
      <c r="F434">
        <v>10256605.085999999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0.5411255411255419</v>
      </c>
      <c r="Q434">
        <f t="shared" si="975"/>
        <v>5550110.977272735</v>
      </c>
      <c r="R434">
        <f t="shared" si="976"/>
        <v>70147139.774196163</v>
      </c>
      <c r="S434">
        <f t="shared" si="977"/>
        <v>701.4713977419616</v>
      </c>
      <c r="T434">
        <f t="shared" si="978"/>
        <v>0.70147139774196154</v>
      </c>
    </row>
    <row r="435" spans="1:20" x14ac:dyDescent="0.25">
      <c r="A435" s="5">
        <v>44158</v>
      </c>
      <c r="B435">
        <v>2.5569999999999999</v>
      </c>
      <c r="C435">
        <v>2.8</v>
      </c>
      <c r="D435">
        <v>2.4950000000000001</v>
      </c>
      <c r="E435">
        <v>2.794</v>
      </c>
      <c r="F435">
        <v>5702794.0010000002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0.96065573770491941</v>
      </c>
      <c r="Q435">
        <f t="shared" si="975"/>
        <v>5478421.778009844</v>
      </c>
      <c r="R435">
        <f t="shared" si="976"/>
        <v>64597028.796923421</v>
      </c>
      <c r="S435">
        <f t="shared" si="977"/>
        <v>645.97028796923416</v>
      </c>
      <c r="T435">
        <f t="shared" si="978"/>
        <v>0.64597028796923417</v>
      </c>
    </row>
    <row r="436" spans="1:20" x14ac:dyDescent="0.25">
      <c r="A436" s="5">
        <v>44157</v>
      </c>
      <c r="B436">
        <v>2.6960000000000002</v>
      </c>
      <c r="C436">
        <v>2.7389999999999999</v>
      </c>
      <c r="D436">
        <v>2.3839999999999999</v>
      </c>
      <c r="E436">
        <v>2.5569999999999999</v>
      </c>
      <c r="F436">
        <v>5587635.307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-2.5352112676056048E-2</v>
      </c>
      <c r="Q436">
        <f t="shared" si="975"/>
        <v>-141658.35989577303</v>
      </c>
      <c r="R436">
        <f t="shared" si="976"/>
        <v>59118607.018913575</v>
      </c>
      <c r="S436">
        <f t="shared" si="977"/>
        <v>591.18607018913576</v>
      </c>
      <c r="T436">
        <f t="shared" si="978"/>
        <v>0.59118607018913572</v>
      </c>
    </row>
    <row r="437" spans="1:20" x14ac:dyDescent="0.25">
      <c r="A437" s="5">
        <v>44156</v>
      </c>
      <c r="B437">
        <v>2.3620000000000001</v>
      </c>
      <c r="C437">
        <v>2.7130000000000001</v>
      </c>
      <c r="D437">
        <v>2.3530000000000002</v>
      </c>
      <c r="E437">
        <v>2.6949999999999998</v>
      </c>
      <c r="F437">
        <v>6137450.2740000002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0.89999999999999869</v>
      </c>
      <c r="Q437">
        <f t="shared" si="975"/>
        <v>5523705.2465999918</v>
      </c>
      <c r="R437">
        <f t="shared" si="976"/>
        <v>59260265.378809348</v>
      </c>
      <c r="S437">
        <f t="shared" si="977"/>
        <v>592.60265378809345</v>
      </c>
      <c r="T437">
        <f t="shared" si="978"/>
        <v>0.5926026537880934</v>
      </c>
    </row>
    <row r="438" spans="1:20" x14ac:dyDescent="0.25">
      <c r="A438" s="5">
        <v>44155</v>
      </c>
      <c r="B438">
        <v>2.2519999999999998</v>
      </c>
      <c r="C438">
        <v>2.4409999999999998</v>
      </c>
      <c r="D438">
        <v>2.25</v>
      </c>
      <c r="E438">
        <v>2.3620000000000001</v>
      </c>
      <c r="F438">
        <v>3750025.5070000002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0.17277486910994969</v>
      </c>
      <c r="Q438">
        <f t="shared" si="975"/>
        <v>647910.16613089771</v>
      </c>
      <c r="R438">
        <f t="shared" si="976"/>
        <v>53736560.132209353</v>
      </c>
      <c r="S438">
        <f t="shared" si="977"/>
        <v>537.36560132209354</v>
      </c>
      <c r="T438">
        <f t="shared" si="978"/>
        <v>0.53736560132209354</v>
      </c>
    </row>
    <row r="439" spans="1:20" x14ac:dyDescent="0.25">
      <c r="A439" s="5">
        <v>44154</v>
      </c>
      <c r="B439">
        <v>2.1509999999999998</v>
      </c>
      <c r="C439">
        <v>2.3180000000000001</v>
      </c>
      <c r="D439">
        <v>2.08</v>
      </c>
      <c r="E439">
        <v>2.25</v>
      </c>
      <c r="F439">
        <v>3562257.4029999999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0.42857142857142805</v>
      </c>
      <c r="Q439">
        <f t="shared" si="975"/>
        <v>1526681.7441428553</v>
      </c>
      <c r="R439">
        <f t="shared" si="976"/>
        <v>53088649.966078453</v>
      </c>
      <c r="S439">
        <f t="shared" si="977"/>
        <v>530.88649966078458</v>
      </c>
      <c r="T439">
        <f t="shared" si="978"/>
        <v>0.53088649966078461</v>
      </c>
    </row>
    <row r="440" spans="1:20" x14ac:dyDescent="0.25">
      <c r="A440" s="5">
        <v>44153</v>
      </c>
      <c r="B440">
        <v>2.206</v>
      </c>
      <c r="C440">
        <v>2.2410000000000001</v>
      </c>
      <c r="D440">
        <v>2.0720000000000001</v>
      </c>
      <c r="E440">
        <v>2.15</v>
      </c>
      <c r="F440">
        <v>3527237.625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-7.692307692307894E-2</v>
      </c>
      <c r="Q440">
        <f t="shared" si="975"/>
        <v>-271325.97115385329</v>
      </c>
      <c r="R440">
        <f t="shared" si="976"/>
        <v>51561968.2219356</v>
      </c>
      <c r="S440">
        <f t="shared" si="977"/>
        <v>515.61968221935604</v>
      </c>
      <c r="T440">
        <f t="shared" si="978"/>
        <v>0.51561968221935606</v>
      </c>
    </row>
    <row r="441" spans="1:20" x14ac:dyDescent="0.25">
      <c r="A441" s="5">
        <v>44152</v>
      </c>
      <c r="B441">
        <v>2.0750000000000002</v>
      </c>
      <c r="C441">
        <v>2.2130000000000001</v>
      </c>
      <c r="D441">
        <v>2.073</v>
      </c>
      <c r="E441">
        <v>2.206</v>
      </c>
      <c r="F441">
        <v>3400450.969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0.89999999999999847</v>
      </c>
      <c r="Q441">
        <f t="shared" si="975"/>
        <v>3060405.8720999947</v>
      </c>
      <c r="R441">
        <f t="shared" si="976"/>
        <v>51833294.193089455</v>
      </c>
      <c r="S441">
        <f t="shared" si="977"/>
        <v>518.33294193089455</v>
      </c>
      <c r="T441">
        <f t="shared" si="978"/>
        <v>0.51833294193089452</v>
      </c>
    </row>
    <row r="442" spans="1:20" x14ac:dyDescent="0.25">
      <c r="A442" s="5">
        <v>44151</v>
      </c>
      <c r="B442">
        <v>1.9770000000000001</v>
      </c>
      <c r="C442">
        <v>2.089</v>
      </c>
      <c r="D442">
        <v>1.9650000000000001</v>
      </c>
      <c r="E442">
        <v>2.073</v>
      </c>
      <c r="F442">
        <v>1650007.21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0.74193548387096731</v>
      </c>
      <c r="Q442">
        <f t="shared" si="975"/>
        <v>1224198.8977419348</v>
      </c>
      <c r="R442">
        <f t="shared" si="976"/>
        <v>48772888.32098946</v>
      </c>
      <c r="S442">
        <f t="shared" si="977"/>
        <v>487.7288832098946</v>
      </c>
      <c r="T442">
        <f t="shared" si="978"/>
        <v>0.4877288832098946</v>
      </c>
    </row>
    <row r="443" spans="1:20" x14ac:dyDescent="0.25">
      <c r="A443" s="5">
        <v>44150</v>
      </c>
      <c r="B443">
        <v>2.0409999999999999</v>
      </c>
      <c r="C443">
        <v>2.077</v>
      </c>
      <c r="D443">
        <v>1.9350000000000001</v>
      </c>
      <c r="E443">
        <v>1.978</v>
      </c>
      <c r="F443">
        <v>1638845.773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-0.39436619718309923</v>
      </c>
      <c r="Q443">
        <f t="shared" si="975"/>
        <v>-646305.37526760669</v>
      </c>
      <c r="R443">
        <f t="shared" si="976"/>
        <v>47548689.423247524</v>
      </c>
      <c r="S443">
        <f t="shared" si="977"/>
        <v>475.48689423247521</v>
      </c>
      <c r="T443">
        <f t="shared" si="978"/>
        <v>0.4754868942324752</v>
      </c>
    </row>
    <row r="444" spans="1:20" x14ac:dyDescent="0.25">
      <c r="A444" s="5">
        <v>44149</v>
      </c>
      <c r="B444">
        <v>2.0939999999999999</v>
      </c>
      <c r="C444">
        <v>2.1070000000000002</v>
      </c>
      <c r="D444">
        <v>2.0089999999999999</v>
      </c>
      <c r="E444">
        <v>2.04</v>
      </c>
      <c r="F444">
        <v>1544390.156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-0.36734693877550939</v>
      </c>
      <c r="Q444">
        <f t="shared" si="975"/>
        <v>-567326.9960816314</v>
      </c>
      <c r="R444">
        <f t="shared" si="976"/>
        <v>48194994.798515134</v>
      </c>
      <c r="S444">
        <f t="shared" si="977"/>
        <v>481.94994798515131</v>
      </c>
      <c r="T444">
        <f t="shared" si="978"/>
        <v>0.48194994798515134</v>
      </c>
    </row>
    <row r="445" spans="1:20" x14ac:dyDescent="0.25">
      <c r="A445" s="5">
        <v>44148</v>
      </c>
      <c r="B445">
        <v>2.0310000000000001</v>
      </c>
      <c r="C445">
        <v>2.097</v>
      </c>
      <c r="D445">
        <v>1.9970000000000001</v>
      </c>
      <c r="E445">
        <v>2.0939999999999999</v>
      </c>
      <c r="F445">
        <v>1887037.226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0.93999999999999762</v>
      </c>
      <c r="Q445">
        <f t="shared" si="975"/>
        <v>1773814.9924399955</v>
      </c>
      <c r="R445">
        <f t="shared" si="976"/>
        <v>48762321.794596761</v>
      </c>
      <c r="S445">
        <f t="shared" si="977"/>
        <v>487.62321794596761</v>
      </c>
      <c r="T445">
        <f t="shared" si="978"/>
        <v>0.48762321794596764</v>
      </c>
    </row>
    <row r="446" spans="1:20" x14ac:dyDescent="0.25">
      <c r="A446" s="5">
        <v>44147</v>
      </c>
      <c r="B446">
        <v>2.0529999999999999</v>
      </c>
      <c r="C446">
        <v>2.129</v>
      </c>
      <c r="D446">
        <v>2.008</v>
      </c>
      <c r="E446">
        <v>2.0299999999999998</v>
      </c>
      <c r="F446">
        <v>2780016.9309999999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-0.63636363636363968</v>
      </c>
      <c r="Q446">
        <f t="shared" si="975"/>
        <v>-1769101.6833636456</v>
      </c>
      <c r="R446">
        <f t="shared" si="976"/>
        <v>46988506.802156769</v>
      </c>
      <c r="S446">
        <f t="shared" si="977"/>
        <v>469.88506802156769</v>
      </c>
      <c r="T446">
        <f t="shared" si="978"/>
        <v>0.46988506802156771</v>
      </c>
    </row>
    <row r="447" spans="1:20" x14ac:dyDescent="0.25">
      <c r="A447" s="5">
        <v>44146</v>
      </c>
      <c r="B447">
        <v>2.0070000000000001</v>
      </c>
      <c r="C447">
        <v>2.1429999999999998</v>
      </c>
      <c r="D447">
        <v>2.0049999999999999</v>
      </c>
      <c r="E447">
        <v>2.0539999999999998</v>
      </c>
      <c r="F447">
        <v>2234912.1120000002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-0.28985507246376857</v>
      </c>
      <c r="Q447">
        <f t="shared" si="975"/>
        <v>-647800.61217391409</v>
      </c>
      <c r="R447">
        <f t="shared" si="976"/>
        <v>48757608.485520415</v>
      </c>
      <c r="S447">
        <f t="shared" si="977"/>
        <v>487.57608485520416</v>
      </c>
      <c r="T447">
        <f t="shared" si="978"/>
        <v>0.48757608485520415</v>
      </c>
    </row>
    <row r="448" spans="1:20" x14ac:dyDescent="0.25">
      <c r="A448" s="5">
        <v>44145</v>
      </c>
      <c r="B448">
        <v>1.99</v>
      </c>
      <c r="C448">
        <v>2.0329999999999999</v>
      </c>
      <c r="D448">
        <v>1.95</v>
      </c>
      <c r="E448">
        <v>2.0059999999999998</v>
      </c>
      <c r="F448">
        <v>2272156.2769999998</v>
      </c>
      <c r="G448">
        <v>0</v>
      </c>
      <c r="L448" t="s">
        <v>7</v>
      </c>
      <c r="M448" t="s">
        <v>8</v>
      </c>
      <c r="N448" t="s">
        <v>7</v>
      </c>
      <c r="P448">
        <f t="shared" si="974"/>
        <v>0.34939759036144225</v>
      </c>
      <c r="Q448">
        <f t="shared" si="975"/>
        <v>793885.92810842558</v>
      </c>
      <c r="R448">
        <f t="shared" si="976"/>
        <v>49405409.09769433</v>
      </c>
      <c r="S448">
        <f t="shared" si="977"/>
        <v>494.05409097694331</v>
      </c>
      <c r="T448">
        <f t="shared" si="978"/>
        <v>0.49405409097694331</v>
      </c>
    </row>
    <row r="449" spans="1:20" x14ac:dyDescent="0.25">
      <c r="A449" s="5">
        <v>44144</v>
      </c>
      <c r="B449">
        <v>2.0249999999999999</v>
      </c>
      <c r="C449">
        <v>2.0459999999999998</v>
      </c>
      <c r="D449">
        <v>1.9319999999999999</v>
      </c>
      <c r="E449">
        <v>1.9890000000000001</v>
      </c>
      <c r="F449">
        <v>1828107.084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3.8955193846496763E-15</v>
      </c>
      <c r="Q449">
        <f t="shared" si="975"/>
        <v>7.121426582937394E-9</v>
      </c>
      <c r="R449">
        <f t="shared" si="976"/>
        <v>48611523.169585906</v>
      </c>
      <c r="S449">
        <f t="shared" si="977"/>
        <v>486.11523169585905</v>
      </c>
      <c r="T449">
        <f t="shared" si="978"/>
        <v>0.48611523169585907</v>
      </c>
    </row>
    <row r="450" spans="1:20" x14ac:dyDescent="0.25">
      <c r="A450" s="5">
        <v>44143</v>
      </c>
      <c r="B450">
        <v>1.948</v>
      </c>
      <c r="C450">
        <v>2.052</v>
      </c>
      <c r="D450">
        <v>1.9279999999999999</v>
      </c>
      <c r="E450">
        <v>2.0270000000000001</v>
      </c>
      <c r="F450">
        <v>1816948.1839999999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0.5967741935483889</v>
      </c>
      <c r="Q450">
        <f t="shared" si="975"/>
        <v>1084307.7872258096</v>
      </c>
      <c r="R450">
        <f t="shared" si="976"/>
        <v>48611523.169585899</v>
      </c>
      <c r="S450">
        <f t="shared" si="977"/>
        <v>486.11523169585899</v>
      </c>
      <c r="T450">
        <f t="shared" si="978"/>
        <v>0.48611523169585902</v>
      </c>
    </row>
    <row r="451" spans="1:20" x14ac:dyDescent="0.25">
      <c r="A451" s="5">
        <v>44142</v>
      </c>
      <c r="B451">
        <v>2.073</v>
      </c>
      <c r="C451">
        <v>2.1869999999999998</v>
      </c>
      <c r="D451">
        <v>1.923</v>
      </c>
      <c r="E451">
        <v>1.9490000000000001</v>
      </c>
      <c r="F451">
        <v>4419204.4019999998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-0.80303030303030265</v>
      </c>
      <c r="Q451">
        <f t="shared" si="975"/>
        <v>-3548755.0500909071</v>
      </c>
      <c r="R451">
        <f t="shared" si="976"/>
        <v>47527215.382360086</v>
      </c>
      <c r="S451">
        <f t="shared" si="977"/>
        <v>475.27215382360083</v>
      </c>
      <c r="T451">
        <f t="shared" si="978"/>
        <v>0.47527215382360083</v>
      </c>
    </row>
    <row r="452" spans="1:20" x14ac:dyDescent="0.25">
      <c r="A452" s="5">
        <v>44141</v>
      </c>
      <c r="B452">
        <v>1.93</v>
      </c>
      <c r="C452">
        <v>2.0830000000000002</v>
      </c>
      <c r="D452">
        <v>1.9239999999999999</v>
      </c>
      <c r="E452">
        <v>2.0710000000000002</v>
      </c>
      <c r="F452">
        <v>2681927.5630000001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0.84905660377358505</v>
      </c>
      <c r="Q452">
        <f t="shared" si="975"/>
        <v>2277108.3082075478</v>
      </c>
      <c r="R452">
        <f t="shared" si="976"/>
        <v>51075970.432450995</v>
      </c>
      <c r="S452">
        <f t="shared" si="977"/>
        <v>510.75970432450993</v>
      </c>
      <c r="T452">
        <f t="shared" si="978"/>
        <v>0.5107597043245099</v>
      </c>
    </row>
    <row r="453" spans="1:20" x14ac:dyDescent="0.25">
      <c r="A453" s="5">
        <v>44140</v>
      </c>
      <c r="B453">
        <v>1.833</v>
      </c>
      <c r="C453">
        <v>1.9430000000000001</v>
      </c>
      <c r="D453">
        <v>1.8129999999999999</v>
      </c>
      <c r="E453">
        <v>1.931</v>
      </c>
      <c r="F453">
        <v>2268720.1919999998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0.81538461538461537</v>
      </c>
      <c r="Q453">
        <f t="shared" si="975"/>
        <v>1849879.5411692306</v>
      </c>
      <c r="R453">
        <f t="shared" si="976"/>
        <v>48798862.124243446</v>
      </c>
      <c r="S453">
        <f t="shared" si="977"/>
        <v>487.98862124243448</v>
      </c>
      <c r="T453">
        <f t="shared" si="978"/>
        <v>0.48798862124243447</v>
      </c>
    </row>
    <row r="454" spans="1:20" x14ac:dyDescent="0.25">
      <c r="A454" s="5">
        <v>44139</v>
      </c>
      <c r="B454">
        <v>1.869</v>
      </c>
      <c r="C454">
        <v>1.871</v>
      </c>
      <c r="D454">
        <v>1.75</v>
      </c>
      <c r="E454">
        <v>1.833</v>
      </c>
      <c r="F454">
        <v>1683970.122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0.37190082644628042</v>
      </c>
      <c r="Q454">
        <f t="shared" ref="Q454:Q517" si="980">F454*P454</f>
        <v>626269.88008264371</v>
      </c>
      <c r="R454">
        <f t="shared" ref="R454:R517" si="981">R455+Q454</f>
        <v>46948982.583074212</v>
      </c>
      <c r="S454">
        <f t="shared" ref="S454:S517" si="982">R454/100000</f>
        <v>469.48982583074212</v>
      </c>
      <c r="T454">
        <f t="shared" ref="T454:T517" si="983">S454/1000</f>
        <v>0.46948982583074211</v>
      </c>
    </row>
    <row r="455" spans="1:20" x14ac:dyDescent="0.25">
      <c r="A455" s="5">
        <v>44138</v>
      </c>
      <c r="B455">
        <v>1.923</v>
      </c>
      <c r="C455">
        <v>1.927</v>
      </c>
      <c r="D455">
        <v>1.804</v>
      </c>
      <c r="E455">
        <v>1.8680000000000001</v>
      </c>
      <c r="F455">
        <v>1868673.2390000001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4.0650406504065976E-2</v>
      </c>
      <c r="Q455">
        <f t="shared" si="980"/>
        <v>75962.326788619641</v>
      </c>
      <c r="R455">
        <f t="shared" si="981"/>
        <v>46322712.702991568</v>
      </c>
      <c r="S455">
        <f t="shared" si="982"/>
        <v>463.22712702991566</v>
      </c>
      <c r="T455">
        <f t="shared" si="983"/>
        <v>0.46322712702991564</v>
      </c>
    </row>
    <row r="456" spans="1:20" x14ac:dyDescent="0.25">
      <c r="A456" s="5">
        <v>44137</v>
      </c>
      <c r="B456">
        <v>2.0089999999999999</v>
      </c>
      <c r="C456">
        <v>2.056</v>
      </c>
      <c r="D456">
        <v>1.9159999999999999</v>
      </c>
      <c r="E456">
        <v>1.9239999999999999</v>
      </c>
      <c r="F456">
        <v>1770601.068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-0.88571428571428568</v>
      </c>
      <c r="Q456">
        <f t="shared" si="980"/>
        <v>-1568246.6602285714</v>
      </c>
      <c r="R456">
        <f t="shared" si="981"/>
        <v>46246750.376202948</v>
      </c>
      <c r="S456">
        <f t="shared" si="982"/>
        <v>462.46750376202948</v>
      </c>
      <c r="T456">
        <f t="shared" si="983"/>
        <v>0.4624675037620295</v>
      </c>
    </row>
    <row r="457" spans="1:20" x14ac:dyDescent="0.25">
      <c r="A457" s="5">
        <v>44136</v>
      </c>
      <c r="B457">
        <v>1.964</v>
      </c>
      <c r="C457">
        <v>2.0129999999999999</v>
      </c>
      <c r="D457">
        <v>1.94</v>
      </c>
      <c r="E457">
        <v>2.008</v>
      </c>
      <c r="F457">
        <v>959336.14099999995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0.86301369863013977</v>
      </c>
      <c r="Q457">
        <f t="shared" si="980"/>
        <v>827920.23127397522</v>
      </c>
      <c r="R457">
        <f t="shared" si="981"/>
        <v>47814997.036431521</v>
      </c>
      <c r="S457">
        <f t="shared" si="982"/>
        <v>478.14997036431521</v>
      </c>
      <c r="T457">
        <f t="shared" si="983"/>
        <v>0.47814997036431522</v>
      </c>
    </row>
    <row r="458" spans="1:20" x14ac:dyDescent="0.25">
      <c r="A458" s="5">
        <v>44135</v>
      </c>
      <c r="B458">
        <v>1.946</v>
      </c>
      <c r="C458">
        <v>1.998</v>
      </c>
      <c r="D458">
        <v>1.9350000000000001</v>
      </c>
      <c r="E458">
        <v>1.964</v>
      </c>
      <c r="F458">
        <v>1448273.8060000001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-7.9365079365081262E-2</v>
      </c>
      <c r="Q458">
        <f t="shared" si="980"/>
        <v>-114942.36555555831</v>
      </c>
      <c r="R458">
        <f t="shared" si="981"/>
        <v>46987076.80515755</v>
      </c>
      <c r="S458">
        <f t="shared" si="982"/>
        <v>469.87076805157551</v>
      </c>
      <c r="T458">
        <f t="shared" si="983"/>
        <v>0.46987076805157552</v>
      </c>
    </row>
    <row r="459" spans="1:20" x14ac:dyDescent="0.25">
      <c r="A459" s="5">
        <v>44134</v>
      </c>
      <c r="B459">
        <v>2.0329999999999999</v>
      </c>
      <c r="C459">
        <v>2.0609999999999999</v>
      </c>
      <c r="D459">
        <v>1.877</v>
      </c>
      <c r="E459">
        <v>1.946</v>
      </c>
      <c r="F459">
        <v>3065345.9559999998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-0.25000000000000028</v>
      </c>
      <c r="Q459">
        <f t="shared" si="980"/>
        <v>-766336.48900000076</v>
      </c>
      <c r="R459">
        <f t="shared" si="981"/>
        <v>47102019.170713104</v>
      </c>
      <c r="S459">
        <f t="shared" si="982"/>
        <v>471.02019170713106</v>
      </c>
      <c r="T459">
        <f t="shared" si="983"/>
        <v>0.47102019170713105</v>
      </c>
    </row>
    <row r="460" spans="1:20" x14ac:dyDescent="0.25">
      <c r="A460" s="5">
        <v>44133</v>
      </c>
      <c r="B460">
        <v>2.0790000000000002</v>
      </c>
      <c r="C460">
        <v>2.1120000000000001</v>
      </c>
      <c r="D460">
        <v>2.008</v>
      </c>
      <c r="E460">
        <v>2.0329999999999999</v>
      </c>
      <c r="F460">
        <v>1693565.588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-0.51923076923077138</v>
      </c>
      <c r="Q460">
        <f t="shared" si="980"/>
        <v>-879351.36300000362</v>
      </c>
      <c r="R460">
        <f t="shared" si="981"/>
        <v>47868355.659713104</v>
      </c>
      <c r="S460">
        <f t="shared" si="982"/>
        <v>478.68355659713103</v>
      </c>
      <c r="T460">
        <f t="shared" si="983"/>
        <v>0.47868355659713102</v>
      </c>
    </row>
    <row r="461" spans="1:20" x14ac:dyDescent="0.25">
      <c r="A461" s="5">
        <v>44132</v>
      </c>
      <c r="B461">
        <v>2.1949999999999998</v>
      </c>
      <c r="C461">
        <v>2.218</v>
      </c>
      <c r="D461">
        <v>2.0510000000000002</v>
      </c>
      <c r="E461">
        <v>2.0790000000000002</v>
      </c>
      <c r="F461">
        <v>2835286.3739999998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-0.66467065868263409</v>
      </c>
      <c r="Q461">
        <f t="shared" si="980"/>
        <v>-1884531.6617604771</v>
      </c>
      <c r="R461">
        <f t="shared" si="981"/>
        <v>48747707.02271311</v>
      </c>
      <c r="S461">
        <f t="shared" si="982"/>
        <v>487.47707022713109</v>
      </c>
      <c r="T461">
        <f t="shared" si="983"/>
        <v>0.4874770702271311</v>
      </c>
    </row>
    <row r="462" spans="1:20" x14ac:dyDescent="0.25">
      <c r="A462" s="5">
        <v>44131</v>
      </c>
      <c r="B462">
        <v>2.173</v>
      </c>
      <c r="C462">
        <v>2.2149999999999999</v>
      </c>
      <c r="D462">
        <v>2.16</v>
      </c>
      <c r="E462">
        <v>2.194</v>
      </c>
      <c r="F462">
        <v>2439188.2170000002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0.23636363636363578</v>
      </c>
      <c r="Q462">
        <f t="shared" si="980"/>
        <v>576535.39674545312</v>
      </c>
      <c r="R462">
        <f t="shared" si="981"/>
        <v>50632238.684473589</v>
      </c>
      <c r="S462">
        <f t="shared" si="982"/>
        <v>506.32238684473589</v>
      </c>
      <c r="T462">
        <f t="shared" si="983"/>
        <v>0.50632238684473585</v>
      </c>
    </row>
    <row r="463" spans="1:20" x14ac:dyDescent="0.25">
      <c r="A463" s="5">
        <v>44130</v>
      </c>
      <c r="B463">
        <v>2.2269999999999999</v>
      </c>
      <c r="C463">
        <v>2.266</v>
      </c>
      <c r="D463">
        <v>2.1349999999999998</v>
      </c>
      <c r="E463">
        <v>2.1739999999999999</v>
      </c>
      <c r="F463">
        <v>2575919.3130000001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-0.40458015267175451</v>
      </c>
      <c r="Q463">
        <f t="shared" si="980"/>
        <v>-1042165.828923661</v>
      </c>
      <c r="R463">
        <f t="shared" si="981"/>
        <v>50055703.287728138</v>
      </c>
      <c r="S463">
        <f t="shared" si="982"/>
        <v>500.55703287728136</v>
      </c>
      <c r="T463">
        <f t="shared" si="983"/>
        <v>0.50055703287728137</v>
      </c>
    </row>
    <row r="464" spans="1:20" x14ac:dyDescent="0.25">
      <c r="A464" s="5">
        <v>44129</v>
      </c>
      <c r="B464">
        <v>2.3109999999999999</v>
      </c>
      <c r="C464">
        <v>2.3119999999999998</v>
      </c>
      <c r="D464">
        <v>2.2069999999999999</v>
      </c>
      <c r="E464">
        <v>2.2290000000000001</v>
      </c>
      <c r="F464">
        <v>1481535.2579999999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-0.58095238095237633</v>
      </c>
      <c r="Q464">
        <f t="shared" si="980"/>
        <v>-860701.4355999931</v>
      </c>
      <c r="R464">
        <f t="shared" si="981"/>
        <v>51097869.116651796</v>
      </c>
      <c r="S464">
        <f t="shared" si="982"/>
        <v>510.97869116651793</v>
      </c>
      <c r="T464">
        <f t="shared" si="983"/>
        <v>0.51097869116651795</v>
      </c>
    </row>
    <row r="465" spans="1:20" x14ac:dyDescent="0.25">
      <c r="A465" s="5">
        <v>44128</v>
      </c>
      <c r="B465">
        <v>2.2909999999999999</v>
      </c>
      <c r="C465">
        <v>2.3330000000000002</v>
      </c>
      <c r="D465">
        <v>2.274</v>
      </c>
      <c r="E465">
        <v>2.3119999999999998</v>
      </c>
      <c r="F465">
        <v>1277077.575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0.28813559322032906</v>
      </c>
      <c r="Q465">
        <f t="shared" si="980"/>
        <v>367971.50466100423</v>
      </c>
      <c r="R465">
        <f t="shared" si="981"/>
        <v>51958570.552251786</v>
      </c>
      <c r="S465">
        <f t="shared" si="982"/>
        <v>519.58570552251786</v>
      </c>
      <c r="T465">
        <f t="shared" si="983"/>
        <v>0.51958570552251782</v>
      </c>
    </row>
    <row r="466" spans="1:20" x14ac:dyDescent="0.25">
      <c r="A466" s="5">
        <v>44127</v>
      </c>
      <c r="B466">
        <v>2.34</v>
      </c>
      <c r="C466">
        <v>2.3410000000000002</v>
      </c>
      <c r="D466">
        <v>2.2309999999999999</v>
      </c>
      <c r="E466">
        <v>2.2909999999999999</v>
      </c>
      <c r="F466">
        <v>2157846.48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9.0909090909088705E-2</v>
      </c>
      <c r="Q466">
        <f t="shared" si="980"/>
        <v>196167.86181817707</v>
      </c>
      <c r="R466">
        <f t="shared" si="981"/>
        <v>51590599.047590785</v>
      </c>
      <c r="S466">
        <f t="shared" si="982"/>
        <v>515.90599047590786</v>
      </c>
      <c r="T466">
        <f t="shared" si="983"/>
        <v>0.51590599047590791</v>
      </c>
    </row>
    <row r="467" spans="1:20" x14ac:dyDescent="0.25">
      <c r="A467" s="5">
        <v>44126</v>
      </c>
      <c r="B467">
        <v>2.2829999999999999</v>
      </c>
      <c r="C467">
        <v>2.3940000000000001</v>
      </c>
      <c r="D467">
        <v>2.2829999999999999</v>
      </c>
      <c r="E467">
        <v>2.3410000000000002</v>
      </c>
      <c r="F467">
        <v>2682540.7969999998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4.5045045045047999E-2</v>
      </c>
      <c r="Q467">
        <f t="shared" si="980"/>
        <v>120835.17103604395</v>
      </c>
      <c r="R467">
        <f t="shared" si="981"/>
        <v>51394431.185772605</v>
      </c>
      <c r="S467">
        <f t="shared" si="982"/>
        <v>513.94431185772601</v>
      </c>
      <c r="T467">
        <f t="shared" si="983"/>
        <v>0.51394431185772604</v>
      </c>
    </row>
    <row r="468" spans="1:20" x14ac:dyDescent="0.25">
      <c r="A468" s="5">
        <v>44125</v>
      </c>
      <c r="B468">
        <v>2.145</v>
      </c>
      <c r="C468">
        <v>2.3159999999999998</v>
      </c>
      <c r="D468">
        <v>2.137</v>
      </c>
      <c r="E468">
        <v>2.2829999999999999</v>
      </c>
      <c r="F468">
        <v>2967079.5929999999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0.63128491620111782</v>
      </c>
      <c r="Q468">
        <f t="shared" si="980"/>
        <v>1873072.5922290517</v>
      </c>
      <c r="R468">
        <f t="shared" si="981"/>
        <v>51273596.014736563</v>
      </c>
      <c r="S468">
        <f t="shared" si="982"/>
        <v>512.73596014736563</v>
      </c>
      <c r="T468">
        <f t="shared" si="983"/>
        <v>0.51273596014736567</v>
      </c>
    </row>
    <row r="469" spans="1:20" x14ac:dyDescent="0.25">
      <c r="A469" s="5">
        <v>44124</v>
      </c>
      <c r="B469">
        <v>2.2120000000000002</v>
      </c>
      <c r="C469">
        <v>2.2149999999999999</v>
      </c>
      <c r="D469">
        <v>2.1259999999999999</v>
      </c>
      <c r="E469">
        <v>2.1459999999999999</v>
      </c>
      <c r="F469">
        <v>1775359.4410000001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-0.55056179775280845</v>
      </c>
      <c r="Q469">
        <f t="shared" si="980"/>
        <v>-977445.08549438114</v>
      </c>
      <c r="R469">
        <f t="shared" si="981"/>
        <v>49400523.42250751</v>
      </c>
      <c r="S469">
        <f t="shared" si="982"/>
        <v>494.00523422507507</v>
      </c>
      <c r="T469">
        <f t="shared" si="983"/>
        <v>0.49400523422507508</v>
      </c>
    </row>
    <row r="470" spans="1:20" x14ac:dyDescent="0.25">
      <c r="A470" s="5">
        <v>44123</v>
      </c>
      <c r="B470">
        <v>2.2149999999999999</v>
      </c>
      <c r="C470">
        <v>2.2320000000000002</v>
      </c>
      <c r="D470">
        <v>2.1629999999999998</v>
      </c>
      <c r="E470">
        <v>2.2120000000000002</v>
      </c>
      <c r="F470">
        <v>1796086.1839999999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0.42028985507246658</v>
      </c>
      <c r="Q470">
        <f t="shared" si="980"/>
        <v>754876.80197101948</v>
      </c>
      <c r="R470">
        <f t="shared" si="981"/>
        <v>50377968.508001894</v>
      </c>
      <c r="S470">
        <f t="shared" si="982"/>
        <v>503.77968508001896</v>
      </c>
      <c r="T470">
        <f t="shared" si="983"/>
        <v>0.50377968508001891</v>
      </c>
    </row>
    <row r="471" spans="1:20" x14ac:dyDescent="0.25">
      <c r="A471" s="5">
        <v>44122</v>
      </c>
      <c r="B471">
        <v>2.1789999999999998</v>
      </c>
      <c r="C471">
        <v>2.2240000000000002</v>
      </c>
      <c r="D471">
        <v>2.1760000000000002</v>
      </c>
      <c r="E471">
        <v>2.2160000000000002</v>
      </c>
      <c r="F471">
        <v>1153744.618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0.66666666666666663</v>
      </c>
      <c r="Q471">
        <f t="shared" si="980"/>
        <v>769163.07866666664</v>
      </c>
      <c r="R471">
        <f t="shared" si="981"/>
        <v>49623091.706030875</v>
      </c>
      <c r="S471">
        <f t="shared" si="982"/>
        <v>496.23091706030874</v>
      </c>
      <c r="T471">
        <f t="shared" si="983"/>
        <v>0.49623091706030875</v>
      </c>
    </row>
    <row r="472" spans="1:20" x14ac:dyDescent="0.25">
      <c r="A472" s="5">
        <v>44121</v>
      </c>
      <c r="B472">
        <v>2.1669999999999998</v>
      </c>
      <c r="C472">
        <v>2.2120000000000002</v>
      </c>
      <c r="D472">
        <v>2.141</v>
      </c>
      <c r="E472">
        <v>2.1789999999999998</v>
      </c>
      <c r="F472">
        <v>1331041.6810000001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7.0422535211259671E-2</v>
      </c>
      <c r="Q472">
        <f t="shared" si="980"/>
        <v>93735.329647876773</v>
      </c>
      <c r="R472">
        <f t="shared" si="981"/>
        <v>48853928.627364211</v>
      </c>
      <c r="S472">
        <f t="shared" si="982"/>
        <v>488.53928627364212</v>
      </c>
      <c r="T472">
        <f t="shared" si="983"/>
        <v>0.48853928627364213</v>
      </c>
    </row>
    <row r="473" spans="1:20" x14ac:dyDescent="0.25">
      <c r="A473" s="5">
        <v>44120</v>
      </c>
      <c r="B473">
        <v>2.23</v>
      </c>
      <c r="C473">
        <v>2.2440000000000002</v>
      </c>
      <c r="D473">
        <v>2.1070000000000002</v>
      </c>
      <c r="E473">
        <v>2.1659999999999999</v>
      </c>
      <c r="F473">
        <v>2540179.5959999999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-0.13868613138686547</v>
      </c>
      <c r="Q473">
        <f t="shared" si="980"/>
        <v>-352287.68119709083</v>
      </c>
      <c r="R473">
        <f t="shared" si="981"/>
        <v>48760193.297716334</v>
      </c>
      <c r="S473">
        <f t="shared" si="982"/>
        <v>487.60193297716336</v>
      </c>
      <c r="T473">
        <f t="shared" si="983"/>
        <v>0.48760193297716337</v>
      </c>
    </row>
    <row r="474" spans="1:20" x14ac:dyDescent="0.25">
      <c r="A474" s="5">
        <v>44119</v>
      </c>
      <c r="B474">
        <v>2.254</v>
      </c>
      <c r="C474">
        <v>2.2570000000000001</v>
      </c>
      <c r="D474">
        <v>2.1760000000000002</v>
      </c>
      <c r="E474">
        <v>2.23</v>
      </c>
      <c r="F474">
        <v>2315497.1340000001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0.33333333333332965</v>
      </c>
      <c r="Q474">
        <f t="shared" si="980"/>
        <v>771832.37799999153</v>
      </c>
      <c r="R474">
        <f t="shared" si="981"/>
        <v>49112480.978913426</v>
      </c>
      <c r="S474">
        <f t="shared" si="982"/>
        <v>491.12480978913425</v>
      </c>
      <c r="T474">
        <f t="shared" si="983"/>
        <v>0.49112480978913425</v>
      </c>
    </row>
    <row r="475" spans="1:20" x14ac:dyDescent="0.25">
      <c r="A475" s="5">
        <v>44118</v>
      </c>
      <c r="B475">
        <v>2.3319999999999999</v>
      </c>
      <c r="C475">
        <v>2.3679999999999999</v>
      </c>
      <c r="D475">
        <v>2.2370000000000001</v>
      </c>
      <c r="E475">
        <v>2.254</v>
      </c>
      <c r="F475">
        <v>2669835.5240000002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-0.74045801526717658</v>
      </c>
      <c r="Q475">
        <f t="shared" si="980"/>
        <v>-1976901.1131908426</v>
      </c>
      <c r="R475">
        <f t="shared" si="981"/>
        <v>48340648.600913435</v>
      </c>
      <c r="S475">
        <f t="shared" si="982"/>
        <v>483.40648600913437</v>
      </c>
      <c r="T475">
        <f t="shared" si="983"/>
        <v>0.48340648600913438</v>
      </c>
    </row>
    <row r="476" spans="1:20" x14ac:dyDescent="0.25">
      <c r="A476" s="5">
        <v>44117</v>
      </c>
      <c r="B476">
        <v>2.343</v>
      </c>
      <c r="C476">
        <v>2.411</v>
      </c>
      <c r="D476">
        <v>2.2919999999999998</v>
      </c>
      <c r="E476">
        <v>2.33</v>
      </c>
      <c r="F476">
        <v>2693763.0109999999</v>
      </c>
      <c r="G476">
        <v>0</v>
      </c>
      <c r="L476" t="s">
        <v>8</v>
      </c>
      <c r="M476" t="s">
        <v>7</v>
      </c>
      <c r="N476" t="s">
        <v>7</v>
      </c>
      <c r="P476">
        <f t="shared" si="979"/>
        <v>-0.36134453781512293</v>
      </c>
      <c r="Q476">
        <f t="shared" si="980"/>
        <v>-973376.55019326892</v>
      </c>
      <c r="R476">
        <f t="shared" si="981"/>
        <v>50317549.71410428</v>
      </c>
      <c r="S476">
        <f t="shared" si="982"/>
        <v>503.1754971410428</v>
      </c>
      <c r="T476">
        <f t="shared" si="983"/>
        <v>0.50317549714104282</v>
      </c>
    </row>
    <row r="477" spans="1:20" x14ac:dyDescent="0.25">
      <c r="A477" s="5">
        <v>44116</v>
      </c>
      <c r="B477">
        <v>2.3540000000000001</v>
      </c>
      <c r="C477">
        <v>2.4119999999999999</v>
      </c>
      <c r="D477">
        <v>2.2890000000000001</v>
      </c>
      <c r="E477">
        <v>2.3450000000000002</v>
      </c>
      <c r="F477">
        <v>3075840.1740000001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-8.943089430894062E-2</v>
      </c>
      <c r="Q477">
        <f t="shared" si="980"/>
        <v>-275075.13751218753</v>
      </c>
      <c r="R477">
        <f t="shared" si="981"/>
        <v>51290926.264297552</v>
      </c>
      <c r="S477">
        <f t="shared" si="982"/>
        <v>512.90926264297548</v>
      </c>
      <c r="T477">
        <f t="shared" si="983"/>
        <v>0.51290926264297543</v>
      </c>
    </row>
    <row r="478" spans="1:20" x14ac:dyDescent="0.25">
      <c r="A478" s="5">
        <v>44115</v>
      </c>
      <c r="B478">
        <v>2.298</v>
      </c>
      <c r="C478">
        <v>2.391</v>
      </c>
      <c r="D478">
        <v>2.286</v>
      </c>
      <c r="E478">
        <v>2.3540000000000001</v>
      </c>
      <c r="F478">
        <v>2457451.415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0.29523809523809663</v>
      </c>
      <c r="Q478">
        <f t="shared" si="980"/>
        <v>725533.27490476531</v>
      </c>
      <c r="R478">
        <f t="shared" si="981"/>
        <v>51566001.401809737</v>
      </c>
      <c r="S478">
        <f t="shared" si="982"/>
        <v>515.6600140180974</v>
      </c>
      <c r="T478">
        <f t="shared" si="983"/>
        <v>0.51566001401809736</v>
      </c>
    </row>
    <row r="479" spans="1:20" x14ac:dyDescent="0.25">
      <c r="A479" s="5">
        <v>44114</v>
      </c>
      <c r="B479">
        <v>2.33</v>
      </c>
      <c r="C479">
        <v>2.3929999999999998</v>
      </c>
      <c r="D479">
        <v>2.2749999999999999</v>
      </c>
      <c r="E479">
        <v>2.2999999999999998</v>
      </c>
      <c r="F479">
        <v>3334456.3870000001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-0.5762711864406791</v>
      </c>
      <c r="Q479">
        <f t="shared" si="980"/>
        <v>-1921551.1382711902</v>
      </c>
      <c r="R479">
        <f t="shared" si="981"/>
        <v>50840468.126904972</v>
      </c>
      <c r="S479">
        <f t="shared" si="982"/>
        <v>508.40468126904972</v>
      </c>
      <c r="T479">
        <f t="shared" si="983"/>
        <v>0.5084046812690497</v>
      </c>
    </row>
    <row r="480" spans="1:20" x14ac:dyDescent="0.25">
      <c r="A480" s="5">
        <v>44113</v>
      </c>
      <c r="B480">
        <v>2.2509999999999999</v>
      </c>
      <c r="C480">
        <v>2.3479999999999999</v>
      </c>
      <c r="D480">
        <v>2.2050000000000001</v>
      </c>
      <c r="E480">
        <v>2.33</v>
      </c>
      <c r="F480">
        <v>2676901.2420000001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0.74825174825175078</v>
      </c>
      <c r="Q480">
        <f t="shared" si="980"/>
        <v>2002996.0342237831</v>
      </c>
      <c r="R480">
        <f t="shared" si="981"/>
        <v>52762019.265176162</v>
      </c>
      <c r="S480">
        <f t="shared" si="982"/>
        <v>527.62019265176161</v>
      </c>
      <c r="T480">
        <f t="shared" si="983"/>
        <v>0.52762019265176163</v>
      </c>
    </row>
    <row r="481" spans="1:20" x14ac:dyDescent="0.25">
      <c r="A481" s="5">
        <v>44112</v>
      </c>
      <c r="B481">
        <v>2.1909999999999998</v>
      </c>
      <c r="C481">
        <v>2.282</v>
      </c>
      <c r="D481">
        <v>2.1190000000000002</v>
      </c>
      <c r="E481">
        <v>2.2509999999999999</v>
      </c>
      <c r="F481">
        <v>2848590.1379999998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0.61963190184048866</v>
      </c>
      <c r="Q481">
        <f t="shared" si="980"/>
        <v>1765077.3247729999</v>
      </c>
      <c r="R481">
        <f t="shared" si="981"/>
        <v>50759023.230952382</v>
      </c>
      <c r="S481">
        <f t="shared" si="982"/>
        <v>507.5902323095238</v>
      </c>
      <c r="T481">
        <f t="shared" si="983"/>
        <v>0.50759023230952383</v>
      </c>
    </row>
    <row r="482" spans="1:20" x14ac:dyDescent="0.25">
      <c r="A482" s="5">
        <v>44111</v>
      </c>
      <c r="B482">
        <v>2.1720000000000002</v>
      </c>
      <c r="C482">
        <v>2.2080000000000002</v>
      </c>
      <c r="D482">
        <v>2.08</v>
      </c>
      <c r="E482">
        <v>2.1920000000000002</v>
      </c>
      <c r="F482">
        <v>2967041.15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0.75</v>
      </c>
      <c r="Q482">
        <f t="shared" si="980"/>
        <v>2225280.8624999998</v>
      </c>
      <c r="R482">
        <f t="shared" si="981"/>
        <v>48993945.906179383</v>
      </c>
      <c r="S482">
        <f t="shared" si="982"/>
        <v>489.93945906179385</v>
      </c>
      <c r="T482">
        <f t="shared" si="983"/>
        <v>0.48993945906179387</v>
      </c>
    </row>
    <row r="483" spans="1:20" x14ac:dyDescent="0.25">
      <c r="A483" s="5">
        <v>44110</v>
      </c>
      <c r="B483">
        <v>2.3039999999999998</v>
      </c>
      <c r="C483">
        <v>2.31</v>
      </c>
      <c r="D483">
        <v>2.1520000000000001</v>
      </c>
      <c r="E483">
        <v>2.1720000000000002</v>
      </c>
      <c r="F483">
        <v>3060626.02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-0.74683544303797433</v>
      </c>
      <c r="Q483">
        <f t="shared" si="980"/>
        <v>-2285783.989620252</v>
      </c>
      <c r="R483">
        <f t="shared" si="981"/>
        <v>46768665.043679386</v>
      </c>
      <c r="S483">
        <f t="shared" si="982"/>
        <v>467.68665043679385</v>
      </c>
      <c r="T483">
        <f t="shared" si="983"/>
        <v>0.46768665043679386</v>
      </c>
    </row>
    <row r="484" spans="1:20" x14ac:dyDescent="0.25">
      <c r="A484" s="5">
        <v>44109</v>
      </c>
      <c r="B484">
        <v>2.3050000000000002</v>
      </c>
      <c r="C484">
        <v>2.3260000000000001</v>
      </c>
      <c r="D484">
        <v>2.2469999999999999</v>
      </c>
      <c r="E484">
        <v>2.302</v>
      </c>
      <c r="F484">
        <v>1522661.9269999999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0.39240506329114011</v>
      </c>
      <c r="Q484">
        <f t="shared" si="980"/>
        <v>597500.24983544438</v>
      </c>
      <c r="R484">
        <f t="shared" si="981"/>
        <v>49054449.03329964</v>
      </c>
      <c r="S484">
        <f t="shared" si="982"/>
        <v>490.54449033299642</v>
      </c>
      <c r="T484">
        <f t="shared" si="983"/>
        <v>0.49054449033299641</v>
      </c>
    </row>
    <row r="485" spans="1:20" x14ac:dyDescent="0.25">
      <c r="A485" s="5">
        <v>44108</v>
      </c>
      <c r="B485">
        <v>2.2970000000000002</v>
      </c>
      <c r="C485">
        <v>2.319</v>
      </c>
      <c r="D485">
        <v>2.242</v>
      </c>
      <c r="E485">
        <v>2.306</v>
      </c>
      <c r="F485">
        <v>1301964.213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0.66233766233766478</v>
      </c>
      <c r="Q485">
        <f t="shared" si="980"/>
        <v>862339.9332857175</v>
      </c>
      <c r="R485">
        <f t="shared" si="981"/>
        <v>48456948.783464193</v>
      </c>
      <c r="S485">
        <f t="shared" si="982"/>
        <v>484.56948783464196</v>
      </c>
      <c r="T485">
        <f t="shared" si="983"/>
        <v>0.48456948783464199</v>
      </c>
    </row>
    <row r="486" spans="1:20" x14ac:dyDescent="0.25">
      <c r="A486" s="5">
        <v>44107</v>
      </c>
      <c r="B486">
        <v>2.2869999999999999</v>
      </c>
      <c r="C486">
        <v>2.3450000000000002</v>
      </c>
      <c r="D486">
        <v>2.27</v>
      </c>
      <c r="E486">
        <v>2.2970000000000002</v>
      </c>
      <c r="F486">
        <v>1115806.274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-0.27999999999999808</v>
      </c>
      <c r="Q486">
        <f t="shared" si="980"/>
        <v>-312425.75671999785</v>
      </c>
      <c r="R486">
        <f t="shared" si="981"/>
        <v>47594608.850178473</v>
      </c>
      <c r="S486">
        <f t="shared" si="982"/>
        <v>475.94608850178474</v>
      </c>
      <c r="T486">
        <f t="shared" si="983"/>
        <v>0.47594608850178477</v>
      </c>
    </row>
    <row r="487" spans="1:20" x14ac:dyDescent="0.25">
      <c r="A487" s="5">
        <v>44106</v>
      </c>
      <c r="B487">
        <v>2.3650000000000002</v>
      </c>
      <c r="C487">
        <v>2.3969999999999998</v>
      </c>
      <c r="D487">
        <v>2.1819999999999999</v>
      </c>
      <c r="E487">
        <v>2.2879999999999998</v>
      </c>
      <c r="F487">
        <v>2487721.1690000002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-1.3953488372093561E-2</v>
      </c>
      <c r="Q487">
        <f t="shared" si="980"/>
        <v>-34712.388404652505</v>
      </c>
      <c r="R487">
        <f t="shared" si="981"/>
        <v>47907034.606898472</v>
      </c>
      <c r="S487">
        <f t="shared" si="982"/>
        <v>479.07034606898469</v>
      </c>
      <c r="T487">
        <f t="shared" si="983"/>
        <v>0.47907034606898469</v>
      </c>
    </row>
    <row r="488" spans="1:20" x14ac:dyDescent="0.25">
      <c r="A488" s="5">
        <v>44105</v>
      </c>
      <c r="B488">
        <v>2.4359999999999999</v>
      </c>
      <c r="C488">
        <v>2.5270000000000001</v>
      </c>
      <c r="D488">
        <v>2.3149999999999999</v>
      </c>
      <c r="E488">
        <v>2.3650000000000002</v>
      </c>
      <c r="F488">
        <v>2823855.61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-0.52830188679245071</v>
      </c>
      <c r="Q488">
        <f t="shared" si="980"/>
        <v>-1491848.2467924468</v>
      </c>
      <c r="R488">
        <f t="shared" si="981"/>
        <v>47941746.995303124</v>
      </c>
      <c r="S488">
        <f t="shared" si="982"/>
        <v>479.41746995303123</v>
      </c>
      <c r="T488">
        <f t="shared" si="983"/>
        <v>0.47941746995303125</v>
      </c>
    </row>
    <row r="489" spans="1:20" x14ac:dyDescent="0.25">
      <c r="A489" s="5">
        <v>44104</v>
      </c>
      <c r="B489">
        <v>2.4350000000000001</v>
      </c>
      <c r="C489">
        <v>2.468</v>
      </c>
      <c r="D489">
        <v>2.3679999999999999</v>
      </c>
      <c r="E489">
        <v>2.4350000000000001</v>
      </c>
      <c r="F489">
        <v>2192838.071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0.34000000000000224</v>
      </c>
      <c r="Q489">
        <f t="shared" si="980"/>
        <v>745564.94414000493</v>
      </c>
      <c r="R489">
        <f t="shared" si="981"/>
        <v>49433595.242095575</v>
      </c>
      <c r="S489">
        <f t="shared" si="982"/>
        <v>494.33595242095572</v>
      </c>
      <c r="T489">
        <f t="shared" si="983"/>
        <v>0.49433595242095574</v>
      </c>
    </row>
    <row r="490" spans="1:20" x14ac:dyDescent="0.25">
      <c r="A490" s="5">
        <v>44103</v>
      </c>
      <c r="B490">
        <v>2.4239999999999999</v>
      </c>
      <c r="C490">
        <v>2.4860000000000002</v>
      </c>
      <c r="D490">
        <v>2.3439999999999999</v>
      </c>
      <c r="E490">
        <v>2.4329999999999998</v>
      </c>
      <c r="F490">
        <v>2695097.8229999999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0.25352112676055988</v>
      </c>
      <c r="Q490">
        <f t="shared" si="980"/>
        <v>683264.23681689193</v>
      </c>
      <c r="R490">
        <f t="shared" si="981"/>
        <v>48688030.297955573</v>
      </c>
      <c r="S490">
        <f t="shared" si="982"/>
        <v>486.88030297955572</v>
      </c>
      <c r="T490">
        <f t="shared" si="983"/>
        <v>0.4868803029795557</v>
      </c>
    </row>
    <row r="491" spans="1:20" x14ac:dyDescent="0.25">
      <c r="A491" s="5">
        <v>44102</v>
      </c>
      <c r="B491">
        <v>2.3719999999999999</v>
      </c>
      <c r="C491">
        <v>2.589</v>
      </c>
      <c r="D491">
        <v>2.37</v>
      </c>
      <c r="E491">
        <v>2.4249999999999998</v>
      </c>
      <c r="F491">
        <v>3600478.7149999999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-0.49771689497717125</v>
      </c>
      <c r="Q491">
        <f t="shared" si="980"/>
        <v>-1792019.0864611955</v>
      </c>
      <c r="R491">
        <f t="shared" si="981"/>
        <v>48004766.061138682</v>
      </c>
      <c r="S491">
        <f t="shared" si="982"/>
        <v>480.04766061138685</v>
      </c>
      <c r="T491">
        <f t="shared" si="983"/>
        <v>0.48004766061138687</v>
      </c>
    </row>
    <row r="492" spans="1:20" x14ac:dyDescent="0.25">
      <c r="A492" s="5">
        <v>44101</v>
      </c>
      <c r="B492">
        <v>2.399</v>
      </c>
      <c r="C492">
        <v>2.452</v>
      </c>
      <c r="D492">
        <v>2.3069999999999999</v>
      </c>
      <c r="E492">
        <v>2.37</v>
      </c>
      <c r="F492">
        <v>2299004.0240000002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-0.13103448275861848</v>
      </c>
      <c r="Q492">
        <f t="shared" si="980"/>
        <v>-301248.80314482254</v>
      </c>
      <c r="R492">
        <f t="shared" si="981"/>
        <v>49796785.147599876</v>
      </c>
      <c r="S492">
        <f t="shared" si="982"/>
        <v>497.96785147599877</v>
      </c>
      <c r="T492">
        <f t="shared" si="983"/>
        <v>0.49796785147599876</v>
      </c>
    </row>
    <row r="493" spans="1:20" x14ac:dyDescent="0.25">
      <c r="A493" s="5">
        <v>44100</v>
      </c>
      <c r="B493">
        <v>2.36</v>
      </c>
      <c r="C493">
        <v>2.42</v>
      </c>
      <c r="D493">
        <v>2.3210000000000002</v>
      </c>
      <c r="E493">
        <v>2.399</v>
      </c>
      <c r="F493">
        <v>2489662.0550000002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0.57575757575757658</v>
      </c>
      <c r="Q493">
        <f t="shared" si="980"/>
        <v>1433441.7892424264</v>
      </c>
      <c r="R493">
        <f t="shared" si="981"/>
        <v>50098033.950744696</v>
      </c>
      <c r="S493">
        <f t="shared" si="982"/>
        <v>500.98033950744696</v>
      </c>
      <c r="T493">
        <f t="shared" si="983"/>
        <v>0.50098033950744691</v>
      </c>
    </row>
    <row r="494" spans="1:20" x14ac:dyDescent="0.25">
      <c r="A494" s="5">
        <v>44099</v>
      </c>
      <c r="B494">
        <v>2.319</v>
      </c>
      <c r="C494">
        <v>2.4119999999999999</v>
      </c>
      <c r="D494">
        <v>2.23</v>
      </c>
      <c r="E494">
        <v>2.36</v>
      </c>
      <c r="F494">
        <v>3064227.3909999998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0.42857142857142788</v>
      </c>
      <c r="Q494">
        <f t="shared" si="980"/>
        <v>1313240.3104285693</v>
      </c>
      <c r="R494">
        <f t="shared" si="981"/>
        <v>48664592.161502272</v>
      </c>
      <c r="S494">
        <f t="shared" si="982"/>
        <v>486.6459216150227</v>
      </c>
      <c r="T494">
        <f t="shared" si="983"/>
        <v>0.48664592161502268</v>
      </c>
    </row>
    <row r="495" spans="1:20" x14ac:dyDescent="0.25">
      <c r="A495" s="5">
        <v>44098</v>
      </c>
      <c r="B495">
        <v>2.177</v>
      </c>
      <c r="C495">
        <v>2.3479999999999999</v>
      </c>
      <c r="D495">
        <v>2.1389999999999998</v>
      </c>
      <c r="E495">
        <v>2.319</v>
      </c>
      <c r="F495">
        <v>3473393.2179999999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0.72248803827751285</v>
      </c>
      <c r="Q495">
        <f t="shared" si="980"/>
        <v>2509485.0522392374</v>
      </c>
      <c r="R495">
        <f t="shared" si="981"/>
        <v>47351351.851073705</v>
      </c>
      <c r="S495">
        <f t="shared" si="982"/>
        <v>473.51351851073707</v>
      </c>
      <c r="T495">
        <f t="shared" si="983"/>
        <v>0.47351351851073709</v>
      </c>
    </row>
    <row r="496" spans="1:20" x14ac:dyDescent="0.25">
      <c r="A496" s="5">
        <v>44097</v>
      </c>
      <c r="B496">
        <v>2.3420000000000001</v>
      </c>
      <c r="C496">
        <v>2.3690000000000002</v>
      </c>
      <c r="D496">
        <v>2.1640000000000001</v>
      </c>
      <c r="E496">
        <v>2.1760000000000002</v>
      </c>
      <c r="F496">
        <v>3572478.568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-0.88292682926829258</v>
      </c>
      <c r="Q496">
        <f t="shared" si="980"/>
        <v>-3154237.1746731703</v>
      </c>
      <c r="R496">
        <f t="shared" si="981"/>
        <v>44841866.798834465</v>
      </c>
      <c r="S496">
        <f t="shared" si="982"/>
        <v>448.41866798834468</v>
      </c>
      <c r="T496">
        <f t="shared" si="983"/>
        <v>0.44841866798834468</v>
      </c>
    </row>
    <row r="497" spans="1:20" x14ac:dyDescent="0.25">
      <c r="A497" s="5">
        <v>44096</v>
      </c>
      <c r="B497">
        <v>2.2639999999999998</v>
      </c>
      <c r="C497">
        <v>2.343</v>
      </c>
      <c r="D497">
        <v>2.1749999999999998</v>
      </c>
      <c r="E497">
        <v>2.3410000000000002</v>
      </c>
      <c r="F497">
        <v>4608695.7120000003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0.97619047619047883</v>
      </c>
      <c r="Q497">
        <f t="shared" si="980"/>
        <v>4498964.8617142979</v>
      </c>
      <c r="R497">
        <f t="shared" si="981"/>
        <v>47996103.973507635</v>
      </c>
      <c r="S497">
        <f t="shared" si="982"/>
        <v>479.96103973507633</v>
      </c>
      <c r="T497">
        <f t="shared" si="983"/>
        <v>0.47996103973507631</v>
      </c>
    </row>
    <row r="498" spans="1:20" x14ac:dyDescent="0.25">
      <c r="A498" s="5">
        <v>44095</v>
      </c>
      <c r="B498">
        <v>2.5190000000000001</v>
      </c>
      <c r="C498">
        <v>2.621</v>
      </c>
      <c r="D498">
        <v>2.1949999999999998</v>
      </c>
      <c r="E498">
        <v>2.2629999999999999</v>
      </c>
      <c r="F498">
        <v>8749098.3000000007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-0.68075117370892002</v>
      </c>
      <c r="Q498">
        <f t="shared" si="980"/>
        <v>-5955958.9366197176</v>
      </c>
      <c r="R498">
        <f t="shared" si="981"/>
        <v>43497139.111793339</v>
      </c>
      <c r="S498">
        <f t="shared" si="982"/>
        <v>434.97139111793336</v>
      </c>
      <c r="T498">
        <f t="shared" si="983"/>
        <v>0.43497139111793337</v>
      </c>
    </row>
    <row r="499" spans="1:20" x14ac:dyDescent="0.25">
      <c r="A499" s="5">
        <v>44094</v>
      </c>
      <c r="B499">
        <v>2.6309999999999998</v>
      </c>
      <c r="C499">
        <v>2.6539999999999999</v>
      </c>
      <c r="D499">
        <v>2.4340000000000002</v>
      </c>
      <c r="E499">
        <v>2.52</v>
      </c>
      <c r="F499">
        <v>3919816.6630000002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-0.21818181818181862</v>
      </c>
      <c r="Q499">
        <f t="shared" si="980"/>
        <v>-855232.726472729</v>
      </c>
      <c r="R499">
        <f t="shared" si="981"/>
        <v>49453098.048413053</v>
      </c>
      <c r="S499">
        <f t="shared" si="982"/>
        <v>494.53098048413051</v>
      </c>
      <c r="T499">
        <f t="shared" si="983"/>
        <v>0.49453098048413052</v>
      </c>
    </row>
    <row r="500" spans="1:20" x14ac:dyDescent="0.25">
      <c r="A500" s="5">
        <v>44093</v>
      </c>
      <c r="B500">
        <v>2.8039999999999998</v>
      </c>
      <c r="C500">
        <v>2.8039999999999998</v>
      </c>
      <c r="D500">
        <v>2.601</v>
      </c>
      <c r="E500">
        <v>2.6309999999999998</v>
      </c>
      <c r="F500">
        <v>5764342.3250000002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-0.70443349753694751</v>
      </c>
      <c r="Q500">
        <f t="shared" si="980"/>
        <v>-4060595.82500001</v>
      </c>
      <c r="R500">
        <f t="shared" si="981"/>
        <v>50308330.774885781</v>
      </c>
      <c r="S500">
        <f t="shared" si="982"/>
        <v>503.08330774885781</v>
      </c>
      <c r="T500">
        <f t="shared" si="983"/>
        <v>0.50308330774885779</v>
      </c>
    </row>
    <row r="501" spans="1:20" x14ac:dyDescent="0.25">
      <c r="A501" s="5">
        <v>44092</v>
      </c>
      <c r="B501">
        <v>2.5659999999999998</v>
      </c>
      <c r="C501">
        <v>2.9289999999999998</v>
      </c>
      <c r="D501">
        <v>2.5190000000000001</v>
      </c>
      <c r="E501">
        <v>2.8039999999999998</v>
      </c>
      <c r="F501">
        <v>9247965.3399999999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0.39024390243902396</v>
      </c>
      <c r="Q501">
        <f t="shared" si="980"/>
        <v>3608962.0839024349</v>
      </c>
      <c r="R501">
        <f t="shared" si="981"/>
        <v>54368926.599885792</v>
      </c>
      <c r="S501">
        <f t="shared" si="982"/>
        <v>543.68926599885788</v>
      </c>
      <c r="T501">
        <f t="shared" si="983"/>
        <v>0.54368926599885792</v>
      </c>
    </row>
    <row r="502" spans="1:20" x14ac:dyDescent="0.25">
      <c r="A502" s="5">
        <v>44091</v>
      </c>
      <c r="B502">
        <v>2.4489999999999998</v>
      </c>
      <c r="C502">
        <v>2.6179999999999999</v>
      </c>
      <c r="D502">
        <v>2.4119999999999999</v>
      </c>
      <c r="E502">
        <v>2.5659999999999998</v>
      </c>
      <c r="F502">
        <v>3942603.406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0.49514563106796061</v>
      </c>
      <c r="Q502">
        <f t="shared" si="980"/>
        <v>1952162.8515145609</v>
      </c>
      <c r="R502">
        <f t="shared" si="981"/>
        <v>50759964.515983358</v>
      </c>
      <c r="S502">
        <f t="shared" si="982"/>
        <v>507.59964515983359</v>
      </c>
      <c r="T502">
        <f t="shared" si="983"/>
        <v>0.50759964515983358</v>
      </c>
    </row>
    <row r="503" spans="1:20" x14ac:dyDescent="0.25">
      <c r="A503" s="5">
        <v>44090</v>
      </c>
      <c r="B503">
        <v>2.4649999999999999</v>
      </c>
      <c r="C503">
        <v>2.5990000000000002</v>
      </c>
      <c r="D503">
        <v>2.36</v>
      </c>
      <c r="E503">
        <v>2.448</v>
      </c>
      <c r="F503">
        <v>4114496.1910000001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-0.26359832635983299</v>
      </c>
      <c r="Q503">
        <f t="shared" si="980"/>
        <v>-1084574.3097615077</v>
      </c>
      <c r="R503">
        <f t="shared" si="981"/>
        <v>48807801.664468795</v>
      </c>
      <c r="S503">
        <f t="shared" si="982"/>
        <v>488.07801664468798</v>
      </c>
      <c r="T503">
        <f t="shared" si="983"/>
        <v>0.48807801664468797</v>
      </c>
    </row>
    <row r="504" spans="1:20" x14ac:dyDescent="0.25">
      <c r="A504" s="5">
        <v>44089</v>
      </c>
      <c r="B504">
        <v>2.6389999999999998</v>
      </c>
      <c r="C504">
        <v>2.6859999999999999</v>
      </c>
      <c r="D504">
        <v>2.4249999999999998</v>
      </c>
      <c r="E504">
        <v>2.4660000000000002</v>
      </c>
      <c r="F504">
        <v>3434982.5660000001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-0.68582375478926938</v>
      </c>
      <c r="Q504">
        <f t="shared" si="980"/>
        <v>-2355792.6410497995</v>
      </c>
      <c r="R504">
        <f t="shared" si="981"/>
        <v>49892375.974230304</v>
      </c>
      <c r="S504">
        <f t="shared" si="982"/>
        <v>498.92375974230305</v>
      </c>
      <c r="T504">
        <f t="shared" si="983"/>
        <v>0.49892375974230307</v>
      </c>
    </row>
    <row r="505" spans="1:20" x14ac:dyDescent="0.25">
      <c r="A505" s="5">
        <v>44088</v>
      </c>
      <c r="B505">
        <v>2.65</v>
      </c>
      <c r="C505">
        <v>2.7410000000000001</v>
      </c>
      <c r="D505">
        <v>2.5539999999999998</v>
      </c>
      <c r="E505">
        <v>2.6389999999999998</v>
      </c>
      <c r="F505">
        <v>3691273.696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-9.0909090909092632E-2</v>
      </c>
      <c r="Q505">
        <f t="shared" si="980"/>
        <v>-335570.33600000635</v>
      </c>
      <c r="R505">
        <f t="shared" si="981"/>
        <v>52248168.615280107</v>
      </c>
      <c r="S505">
        <f t="shared" si="982"/>
        <v>522.4816861528011</v>
      </c>
      <c r="T505">
        <f t="shared" si="983"/>
        <v>0.52248168615280111</v>
      </c>
    </row>
    <row r="506" spans="1:20" x14ac:dyDescent="0.25">
      <c r="A506" s="5">
        <v>44087</v>
      </c>
      <c r="B506">
        <v>2.8540000000000001</v>
      </c>
      <c r="C506">
        <v>2.88</v>
      </c>
      <c r="D506">
        <v>2.5459999999999998</v>
      </c>
      <c r="E506">
        <v>2.6480000000000001</v>
      </c>
      <c r="F506">
        <v>4210138.7960000001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-0.38922155688622578</v>
      </c>
      <c r="Q506">
        <f t="shared" si="980"/>
        <v>-1638676.7768862201</v>
      </c>
      <c r="R506">
        <f t="shared" si="981"/>
        <v>52583738.95128011</v>
      </c>
      <c r="S506">
        <f t="shared" si="982"/>
        <v>525.83738951280111</v>
      </c>
      <c r="T506">
        <f t="shared" si="983"/>
        <v>0.52583738951280112</v>
      </c>
    </row>
    <row r="507" spans="1:20" x14ac:dyDescent="0.25">
      <c r="A507" s="5">
        <v>44086</v>
      </c>
      <c r="B507">
        <v>2.8140000000000001</v>
      </c>
      <c r="C507">
        <v>2.9369999999999998</v>
      </c>
      <c r="D507">
        <v>2.7320000000000002</v>
      </c>
      <c r="E507">
        <v>2.8540000000000001</v>
      </c>
      <c r="F507">
        <v>6301949.108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0.19024390243902545</v>
      </c>
      <c r="Q507">
        <f t="shared" si="980"/>
        <v>1198907.3912780555</v>
      </c>
      <c r="R507">
        <f t="shared" si="981"/>
        <v>54222415.728166327</v>
      </c>
      <c r="S507">
        <f t="shared" si="982"/>
        <v>542.22415728166322</v>
      </c>
      <c r="T507">
        <f t="shared" si="983"/>
        <v>0.54222415728166318</v>
      </c>
    </row>
    <row r="508" spans="1:20" x14ac:dyDescent="0.25">
      <c r="A508" s="5">
        <v>44085</v>
      </c>
      <c r="B508">
        <v>2.6219999999999999</v>
      </c>
      <c r="C508">
        <v>2.8250000000000002</v>
      </c>
      <c r="D508">
        <v>2.5019999999999998</v>
      </c>
      <c r="E508">
        <v>2.8159999999999998</v>
      </c>
      <c r="F508">
        <v>5680277.665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0.94427244582043135</v>
      </c>
      <c r="Q508">
        <f t="shared" si="980"/>
        <v>5363729.6836687187</v>
      </c>
      <c r="R508">
        <f t="shared" si="981"/>
        <v>53023508.336888269</v>
      </c>
      <c r="S508">
        <f t="shared" si="982"/>
        <v>530.23508336888267</v>
      </c>
      <c r="T508">
        <f t="shared" si="983"/>
        <v>0.5302350833688827</v>
      </c>
    </row>
    <row r="509" spans="1:20" x14ac:dyDescent="0.25">
      <c r="A509" s="5">
        <v>44084</v>
      </c>
      <c r="B509">
        <v>2.4369999999999998</v>
      </c>
      <c r="C509">
        <v>2.6509999999999998</v>
      </c>
      <c r="D509">
        <v>2.4350000000000001</v>
      </c>
      <c r="E509">
        <v>2.6219999999999999</v>
      </c>
      <c r="F509">
        <v>5032941.2019999996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0.73148148148148195</v>
      </c>
      <c r="Q509">
        <f t="shared" si="980"/>
        <v>3681503.2866481501</v>
      </c>
      <c r="R509">
        <f t="shared" si="981"/>
        <v>47659778.653219551</v>
      </c>
      <c r="S509">
        <f t="shared" si="982"/>
        <v>476.59778653219553</v>
      </c>
      <c r="T509">
        <f t="shared" si="983"/>
        <v>0.47659778653219553</v>
      </c>
    </row>
    <row r="510" spans="1:20" x14ac:dyDescent="0.25">
      <c r="A510" s="5">
        <v>44083</v>
      </c>
      <c r="B510">
        <v>2.3559999999999999</v>
      </c>
      <c r="C510">
        <v>2.5289999999999999</v>
      </c>
      <c r="D510">
        <v>2.2799999999999998</v>
      </c>
      <c r="E510">
        <v>2.4390000000000001</v>
      </c>
      <c r="F510">
        <v>4459173.2450000001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0.27710843373494121</v>
      </c>
      <c r="Q510">
        <f t="shared" si="980"/>
        <v>1235674.5136747053</v>
      </c>
      <c r="R510">
        <f t="shared" si="981"/>
        <v>43978275.366571404</v>
      </c>
      <c r="S510">
        <f t="shared" si="982"/>
        <v>439.78275366571404</v>
      </c>
      <c r="T510">
        <f t="shared" si="983"/>
        <v>0.43978275366571407</v>
      </c>
    </row>
    <row r="511" spans="1:20" x14ac:dyDescent="0.25">
      <c r="A511" s="5">
        <v>44082</v>
      </c>
      <c r="B511">
        <v>2.411</v>
      </c>
      <c r="C511">
        <v>2.5049999999999999</v>
      </c>
      <c r="D511">
        <v>2.2509999999999999</v>
      </c>
      <c r="E511">
        <v>2.359</v>
      </c>
      <c r="F511">
        <v>5250428.125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-0.14960629921259769</v>
      </c>
      <c r="Q511">
        <f t="shared" si="980"/>
        <v>-785497.1210629883</v>
      </c>
      <c r="R511">
        <f t="shared" si="981"/>
        <v>42742600.852896698</v>
      </c>
      <c r="S511">
        <f t="shared" si="982"/>
        <v>427.42600852896697</v>
      </c>
      <c r="T511">
        <f t="shared" si="983"/>
        <v>0.42742600852896695</v>
      </c>
    </row>
    <row r="512" spans="1:20" x14ac:dyDescent="0.25">
      <c r="A512" s="5">
        <v>44081</v>
      </c>
      <c r="B512">
        <v>2.4220000000000002</v>
      </c>
      <c r="C512">
        <v>2.5299999999999998</v>
      </c>
      <c r="D512">
        <v>2.2349999999999999</v>
      </c>
      <c r="E512">
        <v>2.41</v>
      </c>
      <c r="F512">
        <v>5067508.8770000003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0.18644067796610378</v>
      </c>
      <c r="Q512">
        <f t="shared" si="980"/>
        <v>944789.79062712926</v>
      </c>
      <c r="R512">
        <f t="shared" si="981"/>
        <v>43528097.973959684</v>
      </c>
      <c r="S512">
        <f t="shared" si="982"/>
        <v>435.28097973959683</v>
      </c>
      <c r="T512">
        <f t="shared" si="983"/>
        <v>0.43528097973959684</v>
      </c>
    </row>
    <row r="513" spans="1:20" x14ac:dyDescent="0.25">
      <c r="A513" s="5">
        <v>44080</v>
      </c>
      <c r="B513">
        <v>2.343</v>
      </c>
      <c r="C513">
        <v>2.4710000000000001</v>
      </c>
      <c r="D513">
        <v>2.1920000000000002</v>
      </c>
      <c r="E513">
        <v>2.4220000000000002</v>
      </c>
      <c r="F513">
        <v>5154264.9979999997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0.648745519713262</v>
      </c>
      <c r="Q513">
        <f t="shared" si="980"/>
        <v>3343806.324867385</v>
      </c>
      <c r="R513">
        <f t="shared" si="981"/>
        <v>42583308.183332555</v>
      </c>
      <c r="S513">
        <f t="shared" si="982"/>
        <v>425.83308183332554</v>
      </c>
      <c r="T513">
        <f t="shared" si="983"/>
        <v>0.42583308183332552</v>
      </c>
    </row>
    <row r="514" spans="1:20" x14ac:dyDescent="0.25">
      <c r="A514" s="5">
        <v>44079</v>
      </c>
      <c r="B514">
        <v>2.581</v>
      </c>
      <c r="C514">
        <v>2.6589999999999998</v>
      </c>
      <c r="D514">
        <v>2.2269999999999999</v>
      </c>
      <c r="E514">
        <v>2.3439999999999999</v>
      </c>
      <c r="F514">
        <v>8278976.8700000001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-0.45833333333333331</v>
      </c>
      <c r="Q514">
        <f t="shared" si="980"/>
        <v>-3794531.0654166667</v>
      </c>
      <c r="R514">
        <f t="shared" si="981"/>
        <v>39239501.858465172</v>
      </c>
      <c r="S514">
        <f t="shared" si="982"/>
        <v>392.39501858465172</v>
      </c>
      <c r="T514">
        <f t="shared" si="983"/>
        <v>0.3923950185846517</v>
      </c>
    </row>
    <row r="515" spans="1:20" x14ac:dyDescent="0.25">
      <c r="A515" s="5">
        <v>44078</v>
      </c>
      <c r="B515">
        <v>2.3879999999999999</v>
      </c>
      <c r="C515">
        <v>2.67</v>
      </c>
      <c r="D515">
        <v>2.2549999999999999</v>
      </c>
      <c r="E515">
        <v>2.5779999999999998</v>
      </c>
      <c r="F515">
        <v>13847066.379000001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0.55662650602409602</v>
      </c>
      <c r="Q515">
        <f t="shared" si="980"/>
        <v>7707644.1772265015</v>
      </c>
      <c r="R515">
        <f t="shared" si="981"/>
        <v>43034032.923881836</v>
      </c>
      <c r="S515">
        <f t="shared" si="982"/>
        <v>430.34032923881836</v>
      </c>
      <c r="T515">
        <f t="shared" si="983"/>
        <v>0.43034032923881838</v>
      </c>
    </row>
    <row r="516" spans="1:20" x14ac:dyDescent="0.25">
      <c r="A516" s="5">
        <v>44077</v>
      </c>
      <c r="B516">
        <v>3.2389999999999999</v>
      </c>
      <c r="C516">
        <v>3.2970000000000002</v>
      </c>
      <c r="D516">
        <v>2.16</v>
      </c>
      <c r="E516">
        <v>2.3879999999999999</v>
      </c>
      <c r="F516">
        <v>11186103.035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-0.5989445910290242</v>
      </c>
      <c r="Q516">
        <f t="shared" si="980"/>
        <v>-6699855.9075066019</v>
      </c>
      <c r="R516">
        <f t="shared" si="981"/>
        <v>35326388.746655338</v>
      </c>
      <c r="S516">
        <f t="shared" si="982"/>
        <v>353.2638874665534</v>
      </c>
      <c r="T516">
        <f t="shared" si="983"/>
        <v>0.35326388746655341</v>
      </c>
    </row>
    <row r="517" spans="1:20" x14ac:dyDescent="0.25">
      <c r="A517" s="5">
        <v>44076</v>
      </c>
      <c r="B517">
        <v>3.5150000000000001</v>
      </c>
      <c r="C517">
        <v>3.7770000000000001</v>
      </c>
      <c r="D517">
        <v>3.0760000000000001</v>
      </c>
      <c r="E517">
        <v>3.238</v>
      </c>
      <c r="F517">
        <v>9532552.7530000005</v>
      </c>
      <c r="G517">
        <v>0</v>
      </c>
      <c r="L517" t="s">
        <v>8</v>
      </c>
      <c r="M517" t="s">
        <v>8</v>
      </c>
      <c r="N517" t="s">
        <v>7</v>
      </c>
      <c r="P517">
        <f t="shared" si="979"/>
        <v>-0.53780313837375204</v>
      </c>
      <c r="Q517">
        <f t="shared" si="980"/>
        <v>-5126636.7872767504</v>
      </c>
      <c r="R517">
        <f t="shared" si="981"/>
        <v>42026244.654161938</v>
      </c>
      <c r="S517">
        <f t="shared" si="982"/>
        <v>420.2624465416194</v>
      </c>
      <c r="T517">
        <f t="shared" si="983"/>
        <v>0.42026244654161937</v>
      </c>
    </row>
    <row r="518" spans="1:20" x14ac:dyDescent="0.25">
      <c r="A518" s="5">
        <v>44075</v>
      </c>
      <c r="B518">
        <v>3.359</v>
      </c>
      <c r="C518">
        <v>3.5979999999999999</v>
      </c>
      <c r="D518">
        <v>3.294</v>
      </c>
      <c r="E518">
        <v>3.5179999999999998</v>
      </c>
      <c r="F518">
        <v>6906910.5130000003</v>
      </c>
      <c r="G518">
        <v>0</v>
      </c>
      <c r="L518" t="s">
        <v>8</v>
      </c>
      <c r="M518" t="s">
        <v>7</v>
      </c>
      <c r="N518" t="s">
        <v>7</v>
      </c>
      <c r="P518">
        <f t="shared" ref="P518:P581" si="984">IF(C518=D518,0,((E518-D518)-(C518-E518))/(C518-D518))</f>
        <v>0.47368421052631504</v>
      </c>
      <c r="Q518">
        <f t="shared" ref="Q518:Q581" si="985">F518*P518</f>
        <v>3271694.4535263106</v>
      </c>
      <c r="R518">
        <f t="shared" ref="R518:R581" si="986">R519+Q518</f>
        <v>47152881.44143869</v>
      </c>
      <c r="S518">
        <f t="shared" ref="S518:S581" si="987">R518/100000</f>
        <v>471.52881441438689</v>
      </c>
      <c r="T518">
        <f t="shared" ref="T518:T581" si="988">S518/1000</f>
        <v>0.47152881441438688</v>
      </c>
    </row>
    <row r="519" spans="1:20" x14ac:dyDescent="0.25">
      <c r="A519" s="5">
        <v>44074</v>
      </c>
      <c r="B519">
        <v>3.448</v>
      </c>
      <c r="C519">
        <v>3.5329999999999999</v>
      </c>
      <c r="D519">
        <v>3.339</v>
      </c>
      <c r="E519">
        <v>3.359</v>
      </c>
      <c r="F519">
        <v>3678292.5150000001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-0.79381443298969045</v>
      </c>
      <c r="Q519">
        <f t="shared" si="985"/>
        <v>-2919881.6871649474</v>
      </c>
      <c r="R519">
        <f t="shared" si="986"/>
        <v>43881186.987912379</v>
      </c>
      <c r="S519">
        <f t="shared" si="987"/>
        <v>438.81186987912378</v>
      </c>
      <c r="T519">
        <f t="shared" si="988"/>
        <v>0.43881186987912379</v>
      </c>
    </row>
    <row r="520" spans="1:20" x14ac:dyDescent="0.25">
      <c r="A520" s="5">
        <v>44073</v>
      </c>
      <c r="B520">
        <v>3.4289999999999998</v>
      </c>
      <c r="C520">
        <v>3.6709999999999998</v>
      </c>
      <c r="D520">
        <v>3.3860000000000001</v>
      </c>
      <c r="E520">
        <v>3.4489999999999998</v>
      </c>
      <c r="F520">
        <v>5314162.0369999995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-0.55789473684210678</v>
      </c>
      <c r="Q520">
        <f t="shared" si="985"/>
        <v>-2964743.0311684287</v>
      </c>
      <c r="R520">
        <f t="shared" si="986"/>
        <v>46801068.675077327</v>
      </c>
      <c r="S520">
        <f t="shared" si="987"/>
        <v>468.01068675077329</v>
      </c>
      <c r="T520">
        <f t="shared" si="988"/>
        <v>0.46801068675077329</v>
      </c>
    </row>
    <row r="521" spans="1:20" x14ac:dyDescent="0.25">
      <c r="A521" s="5">
        <v>44072</v>
      </c>
      <c r="B521">
        <v>3.34</v>
      </c>
      <c r="C521">
        <v>3.5329999999999999</v>
      </c>
      <c r="D521">
        <v>3.2210000000000001</v>
      </c>
      <c r="E521">
        <v>3.431</v>
      </c>
      <c r="F521">
        <v>5128641.3420000002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0.34615384615384664</v>
      </c>
      <c r="Q521">
        <f t="shared" si="985"/>
        <v>1775298.9260769256</v>
      </c>
      <c r="R521">
        <f t="shared" si="986"/>
        <v>49765811.706245758</v>
      </c>
      <c r="S521">
        <f t="shared" si="987"/>
        <v>497.65811706245756</v>
      </c>
      <c r="T521">
        <f t="shared" si="988"/>
        <v>0.49765811706245755</v>
      </c>
    </row>
    <row r="522" spans="1:20" x14ac:dyDescent="0.25">
      <c r="A522" s="5">
        <v>44071</v>
      </c>
      <c r="B522">
        <v>3.37</v>
      </c>
      <c r="C522">
        <v>3.47</v>
      </c>
      <c r="D522">
        <v>3.2879999999999998</v>
      </c>
      <c r="E522">
        <v>3.3420000000000001</v>
      </c>
      <c r="F522">
        <v>3934286.0589999999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-0.40659340659340487</v>
      </c>
      <c r="Q522">
        <f t="shared" si="985"/>
        <v>-1599654.7712417515</v>
      </c>
      <c r="R522">
        <f t="shared" si="986"/>
        <v>47990512.780168831</v>
      </c>
      <c r="S522">
        <f t="shared" si="987"/>
        <v>479.90512780168831</v>
      </c>
      <c r="T522">
        <f t="shared" si="988"/>
        <v>0.47990512780168831</v>
      </c>
    </row>
    <row r="523" spans="1:20" x14ac:dyDescent="0.25">
      <c r="A523" s="5">
        <v>44070</v>
      </c>
      <c r="B523">
        <v>3.782</v>
      </c>
      <c r="C523">
        <v>3.8730000000000002</v>
      </c>
      <c r="D523">
        <v>3.2080000000000002</v>
      </c>
      <c r="E523">
        <v>3.37</v>
      </c>
      <c r="F523">
        <v>9638138.8670000006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-0.51278195488721834</v>
      </c>
      <c r="Q523">
        <f t="shared" si="985"/>
        <v>-4942263.6896947399</v>
      </c>
      <c r="R523">
        <f t="shared" si="986"/>
        <v>49590167.551410586</v>
      </c>
      <c r="S523">
        <f t="shared" si="987"/>
        <v>495.90167551410588</v>
      </c>
      <c r="T523">
        <f t="shared" si="988"/>
        <v>0.49590167551410586</v>
      </c>
    </row>
    <row r="524" spans="1:20" x14ac:dyDescent="0.25">
      <c r="A524" s="5">
        <v>44069</v>
      </c>
      <c r="B524">
        <v>3.484</v>
      </c>
      <c r="C524">
        <v>3.9980000000000002</v>
      </c>
      <c r="D524">
        <v>3.431</v>
      </c>
      <c r="E524">
        <v>3.7839999999999998</v>
      </c>
      <c r="F524">
        <v>10276926.698999999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0.24514991181657725</v>
      </c>
      <c r="Q524">
        <f t="shared" si="985"/>
        <v>2519387.6740052779</v>
      </c>
      <c r="R524">
        <f t="shared" si="986"/>
        <v>54532431.241105326</v>
      </c>
      <c r="S524">
        <f t="shared" si="987"/>
        <v>545.32431241105326</v>
      </c>
      <c r="T524">
        <f t="shared" si="988"/>
        <v>0.54532431241105328</v>
      </c>
    </row>
    <row r="525" spans="1:20" x14ac:dyDescent="0.25">
      <c r="A525" s="5">
        <v>44068</v>
      </c>
      <c r="B525">
        <v>3.82</v>
      </c>
      <c r="C525">
        <v>3.8740000000000001</v>
      </c>
      <c r="D525">
        <v>3.3370000000000002</v>
      </c>
      <c r="E525">
        <v>3.4820000000000002</v>
      </c>
      <c r="F525">
        <v>12274513.537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-0.45996275605214137</v>
      </c>
      <c r="Q525">
        <f t="shared" si="985"/>
        <v>-5645819.0756778382</v>
      </c>
      <c r="R525">
        <f t="shared" si="986"/>
        <v>52013043.567100048</v>
      </c>
      <c r="S525">
        <f t="shared" si="987"/>
        <v>520.13043567100044</v>
      </c>
      <c r="T525">
        <f t="shared" si="988"/>
        <v>0.52013043567100048</v>
      </c>
    </row>
    <row r="526" spans="1:20" x14ac:dyDescent="0.25">
      <c r="A526" s="5">
        <v>44067</v>
      </c>
      <c r="B526">
        <v>3.9849999999999999</v>
      </c>
      <c r="C526">
        <v>4.1710000000000003</v>
      </c>
      <c r="D526">
        <v>3.7589999999999999</v>
      </c>
      <c r="E526">
        <v>3.8180000000000001</v>
      </c>
      <c r="F526">
        <v>7110813.7369999997</v>
      </c>
      <c r="G526">
        <v>0</v>
      </c>
      <c r="L526" t="s">
        <v>7</v>
      </c>
      <c r="M526" t="s">
        <v>8</v>
      </c>
      <c r="N526" t="s">
        <v>7</v>
      </c>
      <c r="P526">
        <f t="shared" si="984"/>
        <v>-0.7135922330097082</v>
      </c>
      <c r="Q526">
        <f t="shared" si="985"/>
        <v>-5074221.4531019377</v>
      </c>
      <c r="R526">
        <f t="shared" si="986"/>
        <v>57658862.64277789</v>
      </c>
      <c r="S526">
        <f t="shared" si="987"/>
        <v>576.58862642777888</v>
      </c>
      <c r="T526">
        <f t="shared" si="988"/>
        <v>0.57658862642777886</v>
      </c>
    </row>
    <row r="527" spans="1:20" x14ac:dyDescent="0.25">
      <c r="A527" s="5">
        <v>44066</v>
      </c>
      <c r="B527">
        <v>4.1619999999999999</v>
      </c>
      <c r="C527">
        <v>4.3159999999999998</v>
      </c>
      <c r="D527">
        <v>3.8239999999999998</v>
      </c>
      <c r="E527">
        <v>3.988</v>
      </c>
      <c r="F527">
        <v>7772709.3310000002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-0.3333333333333327</v>
      </c>
      <c r="Q527">
        <f t="shared" si="985"/>
        <v>-2590903.1103333286</v>
      </c>
      <c r="R527">
        <f t="shared" si="986"/>
        <v>62733084.09587983</v>
      </c>
      <c r="S527">
        <f t="shared" si="987"/>
        <v>627.33084095879826</v>
      </c>
      <c r="T527">
        <f t="shared" si="988"/>
        <v>0.62733084095879821</v>
      </c>
    </row>
    <row r="528" spans="1:20" x14ac:dyDescent="0.25">
      <c r="A528" s="5">
        <v>44065</v>
      </c>
      <c r="B528">
        <v>3.7690000000000001</v>
      </c>
      <c r="C528">
        <v>4.3250000000000002</v>
      </c>
      <c r="D528">
        <v>3.4329999999999998</v>
      </c>
      <c r="E528">
        <v>4.1619999999999999</v>
      </c>
      <c r="F528">
        <v>12767643.933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0.63452914798206239</v>
      </c>
      <c r="Q528">
        <f t="shared" si="985"/>
        <v>8101442.2265448384</v>
      </c>
      <c r="R528">
        <f t="shared" si="986"/>
        <v>65323987.206213161</v>
      </c>
      <c r="S528">
        <f t="shared" si="987"/>
        <v>653.23987206213167</v>
      </c>
      <c r="T528">
        <f t="shared" si="988"/>
        <v>0.65323987206213163</v>
      </c>
    </row>
    <row r="529" spans="1:20" x14ac:dyDescent="0.25">
      <c r="A529" s="5">
        <v>44064</v>
      </c>
      <c r="B529">
        <v>4.08</v>
      </c>
      <c r="C529">
        <v>5.4669999999999996</v>
      </c>
      <c r="D529">
        <v>3.7349999999999999</v>
      </c>
      <c r="E529">
        <v>3.7690000000000001</v>
      </c>
      <c r="F529">
        <v>42678728.156999998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-0.96073903002309435</v>
      </c>
      <c r="Q529">
        <f t="shared" si="985"/>
        <v>-41003119.892175503</v>
      </c>
      <c r="R529">
        <f t="shared" si="986"/>
        <v>57222544.979668327</v>
      </c>
      <c r="S529">
        <f t="shared" si="987"/>
        <v>572.22544979668328</v>
      </c>
      <c r="T529">
        <f t="shared" si="988"/>
        <v>0.57222544979668333</v>
      </c>
    </row>
    <row r="530" spans="1:20" x14ac:dyDescent="0.25">
      <c r="A530" s="5">
        <v>44063</v>
      </c>
      <c r="B530">
        <v>3.2970000000000002</v>
      </c>
      <c r="C530">
        <v>4.1630000000000003</v>
      </c>
      <c r="D530">
        <v>3.2829999999999999</v>
      </c>
      <c r="E530">
        <v>4.0780000000000003</v>
      </c>
      <c r="F530">
        <v>15860796.505000001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0.80681818181818199</v>
      </c>
      <c r="Q530">
        <f t="shared" si="985"/>
        <v>12796778.998352276</v>
      </c>
      <c r="R530">
        <f t="shared" si="986"/>
        <v>98225664.87184383</v>
      </c>
      <c r="S530">
        <f t="shared" si="987"/>
        <v>982.25664871843833</v>
      </c>
      <c r="T530">
        <f t="shared" si="988"/>
        <v>0.98225664871843832</v>
      </c>
    </row>
    <row r="531" spans="1:20" x14ac:dyDescent="0.25">
      <c r="A531" s="5">
        <v>44062</v>
      </c>
      <c r="B531">
        <v>3.2919999999999998</v>
      </c>
      <c r="C531">
        <v>3.5</v>
      </c>
      <c r="D531">
        <v>3.0209999999999999</v>
      </c>
      <c r="E531">
        <v>3.2959999999999998</v>
      </c>
      <c r="F531">
        <v>9450374.2799999993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0.14822546972860065</v>
      </c>
      <c r="Q531">
        <f t="shared" si="985"/>
        <v>1400786.1667640861</v>
      </c>
      <c r="R531">
        <f t="shared" si="986"/>
        <v>85428885.873491555</v>
      </c>
      <c r="S531">
        <f t="shared" si="987"/>
        <v>854.28885873491561</v>
      </c>
      <c r="T531">
        <f t="shared" si="988"/>
        <v>0.85428885873491556</v>
      </c>
    </row>
    <row r="532" spans="1:20" x14ac:dyDescent="0.25">
      <c r="A532" s="5">
        <v>44061</v>
      </c>
      <c r="B532">
        <v>3.4180000000000001</v>
      </c>
      <c r="C532">
        <v>3.6</v>
      </c>
      <c r="D532">
        <v>3.1930000000000001</v>
      </c>
      <c r="E532">
        <v>3.2930000000000001</v>
      </c>
      <c r="F532">
        <v>6320452.9040000001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-0.5085995085995082</v>
      </c>
      <c r="Q532">
        <f t="shared" si="985"/>
        <v>-3214579.2411007346</v>
      </c>
      <c r="R532">
        <f t="shared" si="986"/>
        <v>84028099.706727475</v>
      </c>
      <c r="S532">
        <f t="shared" si="987"/>
        <v>840.28099706727471</v>
      </c>
      <c r="T532">
        <f t="shared" si="988"/>
        <v>0.84028099706727466</v>
      </c>
    </row>
    <row r="533" spans="1:20" x14ac:dyDescent="0.25">
      <c r="A533" s="5">
        <v>44060</v>
      </c>
      <c r="B533">
        <v>3.3370000000000002</v>
      </c>
      <c r="C533">
        <v>3.573</v>
      </c>
      <c r="D533">
        <v>3.26</v>
      </c>
      <c r="E533">
        <v>3.4180000000000001</v>
      </c>
      <c r="F533">
        <v>6523909.4950000001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9.5846645367429918E-3</v>
      </c>
      <c r="Q533">
        <f t="shared" si="985"/>
        <v>62529.483977647382</v>
      </c>
      <c r="R533">
        <f t="shared" si="986"/>
        <v>87242678.947828203</v>
      </c>
      <c r="S533">
        <f t="shared" si="987"/>
        <v>872.42678947828199</v>
      </c>
      <c r="T533">
        <f t="shared" si="988"/>
        <v>0.87242678947828201</v>
      </c>
    </row>
    <row r="534" spans="1:20" x14ac:dyDescent="0.25">
      <c r="A534" s="5">
        <v>44059</v>
      </c>
      <c r="B534">
        <v>3.0960000000000001</v>
      </c>
      <c r="C534">
        <v>3.4409999999999998</v>
      </c>
      <c r="D534">
        <v>2.9020000000000001</v>
      </c>
      <c r="E534">
        <v>3.3359999999999999</v>
      </c>
      <c r="F534">
        <v>5081750.0039999997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0.61038961038961026</v>
      </c>
      <c r="Q534">
        <f t="shared" si="985"/>
        <v>3101847.4050389603</v>
      </c>
      <c r="R534">
        <f t="shared" si="986"/>
        <v>87180149.463850558</v>
      </c>
      <c r="S534">
        <f t="shared" si="987"/>
        <v>871.80149463850557</v>
      </c>
      <c r="T534">
        <f t="shared" si="988"/>
        <v>0.87180149463850554</v>
      </c>
    </row>
    <row r="535" spans="1:20" x14ac:dyDescent="0.25">
      <c r="A535" s="5">
        <v>44058</v>
      </c>
      <c r="B535">
        <v>3.0990000000000002</v>
      </c>
      <c r="C535">
        <v>3.2210000000000001</v>
      </c>
      <c r="D535">
        <v>3.0230000000000001</v>
      </c>
      <c r="E535">
        <v>3.0950000000000002</v>
      </c>
      <c r="F535">
        <v>4577950.34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-0.27272727272727193</v>
      </c>
      <c r="Q535">
        <f t="shared" si="985"/>
        <v>-1248531.9109090872</v>
      </c>
      <c r="R535">
        <f t="shared" si="986"/>
        <v>84078302.058811605</v>
      </c>
      <c r="S535">
        <f t="shared" si="987"/>
        <v>840.78302058811607</v>
      </c>
      <c r="T535">
        <f t="shared" si="988"/>
        <v>0.84078302058811605</v>
      </c>
    </row>
    <row r="536" spans="1:20" x14ac:dyDescent="0.25">
      <c r="A536" s="5">
        <v>44057</v>
      </c>
      <c r="B536">
        <v>2.8580000000000001</v>
      </c>
      <c r="C536">
        <v>3.1709999999999998</v>
      </c>
      <c r="D536">
        <v>2.782</v>
      </c>
      <c r="E536">
        <v>3.1</v>
      </c>
      <c r="F536">
        <v>10572326.759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0.63496143958869011</v>
      </c>
      <c r="Q536">
        <f t="shared" si="985"/>
        <v>6713019.8186966702</v>
      </c>
      <c r="R536">
        <f t="shared" si="986"/>
        <v>85326833.969720691</v>
      </c>
      <c r="S536">
        <f t="shared" si="987"/>
        <v>853.2683396972069</v>
      </c>
      <c r="T536">
        <f t="shared" si="988"/>
        <v>0.85326833969720695</v>
      </c>
    </row>
    <row r="537" spans="1:20" x14ac:dyDescent="0.25">
      <c r="A537" s="5">
        <v>44056</v>
      </c>
      <c r="B537">
        <v>2.798</v>
      </c>
      <c r="C537">
        <v>2.88</v>
      </c>
      <c r="D537">
        <v>2.63</v>
      </c>
      <c r="E537">
        <v>2.86</v>
      </c>
      <c r="F537">
        <v>4803312.2920000004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0.83999999999999986</v>
      </c>
      <c r="Q537">
        <f t="shared" si="985"/>
        <v>4034782.3252799995</v>
      </c>
      <c r="R537">
        <f t="shared" si="986"/>
        <v>78613814.151024029</v>
      </c>
      <c r="S537">
        <f t="shared" si="987"/>
        <v>786.1381415102403</v>
      </c>
      <c r="T537">
        <f t="shared" si="988"/>
        <v>0.78613814151024031</v>
      </c>
    </row>
    <row r="538" spans="1:20" x14ac:dyDescent="0.25">
      <c r="A538" s="5">
        <v>44055</v>
      </c>
      <c r="B538">
        <v>2.726</v>
      </c>
      <c r="C538">
        <v>2.8149999999999999</v>
      </c>
      <c r="D538">
        <v>2.5819999999999999</v>
      </c>
      <c r="E538">
        <v>2.7989999999999999</v>
      </c>
      <c r="F538">
        <v>3736269.398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0.86266094420600847</v>
      </c>
      <c r="Q538">
        <f t="shared" si="985"/>
        <v>3223133.6866866951</v>
      </c>
      <c r="R538">
        <f t="shared" si="986"/>
        <v>74579031.825744033</v>
      </c>
      <c r="S538">
        <f t="shared" si="987"/>
        <v>745.79031825744028</v>
      </c>
      <c r="T538">
        <f t="shared" si="988"/>
        <v>0.74579031825744024</v>
      </c>
    </row>
    <row r="539" spans="1:20" x14ac:dyDescent="0.25">
      <c r="A539" s="5">
        <v>44054</v>
      </c>
      <c r="B539">
        <v>2.927</v>
      </c>
      <c r="C539">
        <v>2.9740000000000002</v>
      </c>
      <c r="D539">
        <v>2.601</v>
      </c>
      <c r="E539">
        <v>2.722</v>
      </c>
      <c r="F539">
        <v>4820351.0029999996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-0.35120643431635429</v>
      </c>
      <c r="Q539">
        <f t="shared" si="985"/>
        <v>-1692938.2879168917</v>
      </c>
      <c r="R539">
        <f t="shared" si="986"/>
        <v>71355898.139057338</v>
      </c>
      <c r="S539">
        <f t="shared" si="987"/>
        <v>713.55898139057342</v>
      </c>
      <c r="T539">
        <f t="shared" si="988"/>
        <v>0.71355898139057339</v>
      </c>
    </row>
    <row r="540" spans="1:20" x14ac:dyDescent="0.25">
      <c r="A540" s="5">
        <v>44053</v>
      </c>
      <c r="B540">
        <v>2.7189999999999999</v>
      </c>
      <c r="C540">
        <v>2.9980000000000002</v>
      </c>
      <c r="D540">
        <v>2.6920000000000002</v>
      </c>
      <c r="E540">
        <v>2.9260000000000002</v>
      </c>
      <c r="F540">
        <v>5393163.3789999997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0.52941176470588203</v>
      </c>
      <c r="Q540">
        <f t="shared" si="985"/>
        <v>2855204.1418235274</v>
      </c>
      <c r="R540">
        <f t="shared" si="986"/>
        <v>73048836.426974237</v>
      </c>
      <c r="S540">
        <f t="shared" si="987"/>
        <v>730.48836426974242</v>
      </c>
      <c r="T540">
        <f t="shared" si="988"/>
        <v>0.7304883642697424</v>
      </c>
    </row>
    <row r="541" spans="1:20" x14ac:dyDescent="0.25">
      <c r="A541" s="5">
        <v>44052</v>
      </c>
      <c r="B541">
        <v>2.7559999999999998</v>
      </c>
      <c r="C541">
        <v>2.782</v>
      </c>
      <c r="D541">
        <v>2.633</v>
      </c>
      <c r="E541">
        <v>2.7170000000000001</v>
      </c>
      <c r="F541">
        <v>2369345.9139999999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0.12751677852349078</v>
      </c>
      <c r="Q541">
        <f t="shared" si="985"/>
        <v>302131.3581610758</v>
      </c>
      <c r="R541">
        <f t="shared" si="986"/>
        <v>70193632.285150707</v>
      </c>
      <c r="S541">
        <f t="shared" si="987"/>
        <v>701.93632285150704</v>
      </c>
      <c r="T541">
        <f t="shared" si="988"/>
        <v>0.70193632285150709</v>
      </c>
    </row>
    <row r="542" spans="1:20" x14ac:dyDescent="0.25">
      <c r="A542" s="5">
        <v>44051</v>
      </c>
      <c r="B542">
        <v>2.6419999999999999</v>
      </c>
      <c r="C542">
        <v>2.7610000000000001</v>
      </c>
      <c r="D542">
        <v>2.6080000000000001</v>
      </c>
      <c r="E542">
        <v>2.7559999999999998</v>
      </c>
      <c r="F542">
        <v>1858112.5079999999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0.93464052287581256</v>
      </c>
      <c r="Q542">
        <f t="shared" si="985"/>
        <v>1736667.2460392073</v>
      </c>
      <c r="R542">
        <f t="shared" si="986"/>
        <v>69891500.92698963</v>
      </c>
      <c r="S542">
        <f t="shared" si="987"/>
        <v>698.91500926989625</v>
      </c>
      <c r="T542">
        <f t="shared" si="988"/>
        <v>0.69891500926989625</v>
      </c>
    </row>
    <row r="543" spans="1:20" x14ac:dyDescent="0.25">
      <c r="A543" s="5">
        <v>44050</v>
      </c>
      <c r="B543">
        <v>2.762</v>
      </c>
      <c r="C543">
        <v>2.786</v>
      </c>
      <c r="D543">
        <v>2.5329999999999999</v>
      </c>
      <c r="E543">
        <v>2.6419999999999999</v>
      </c>
      <c r="F543">
        <v>3349870.4360000002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-0.13833992094861711</v>
      </c>
      <c r="Q543">
        <f t="shared" si="985"/>
        <v>-463420.81130434957</v>
      </c>
      <c r="R543">
        <f t="shared" si="986"/>
        <v>68154833.680950418</v>
      </c>
      <c r="S543">
        <f t="shared" si="987"/>
        <v>681.54833680950424</v>
      </c>
      <c r="T543">
        <f t="shared" si="988"/>
        <v>0.68154833680950422</v>
      </c>
    </row>
    <row r="544" spans="1:20" x14ac:dyDescent="0.25">
      <c r="A544" s="5">
        <v>44049</v>
      </c>
      <c r="B544">
        <v>2.7730000000000001</v>
      </c>
      <c r="C544">
        <v>2.8290000000000002</v>
      </c>
      <c r="D544">
        <v>2.6659999999999999</v>
      </c>
      <c r="E544">
        <v>2.762</v>
      </c>
      <c r="F544">
        <v>3564339.08</v>
      </c>
      <c r="G544">
        <v>0</v>
      </c>
      <c r="L544" t="s">
        <v>7</v>
      </c>
      <c r="M544" t="s">
        <v>8</v>
      </c>
      <c r="N544" t="s">
        <v>8</v>
      </c>
      <c r="P544">
        <f t="shared" si="984"/>
        <v>0.17791411042944705</v>
      </c>
      <c r="Q544">
        <f t="shared" si="985"/>
        <v>634146.21668711375</v>
      </c>
      <c r="R544">
        <f t="shared" si="986"/>
        <v>68618254.492254764</v>
      </c>
      <c r="S544">
        <f t="shared" si="987"/>
        <v>686.18254492254766</v>
      </c>
      <c r="T544">
        <f t="shared" si="988"/>
        <v>0.68618254492254771</v>
      </c>
    </row>
    <row r="545" spans="1:20" x14ac:dyDescent="0.25">
      <c r="A545" s="5">
        <v>44048</v>
      </c>
      <c r="B545">
        <v>2.8479999999999999</v>
      </c>
      <c r="C545">
        <v>2.89</v>
      </c>
      <c r="D545">
        <v>2.7309999999999999</v>
      </c>
      <c r="E545">
        <v>2.7730000000000001</v>
      </c>
      <c r="F545">
        <v>3127882.622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-0.47169811320754473</v>
      </c>
      <c r="Q545">
        <f t="shared" si="985"/>
        <v>-1475416.3311320678</v>
      </c>
      <c r="R545">
        <f t="shared" si="986"/>
        <v>67984108.275567651</v>
      </c>
      <c r="S545">
        <f t="shared" si="987"/>
        <v>679.84108275567655</v>
      </c>
      <c r="T545">
        <f t="shared" si="988"/>
        <v>0.67984108275567656</v>
      </c>
    </row>
    <row r="546" spans="1:20" x14ac:dyDescent="0.25">
      <c r="A546" s="5">
        <v>44047</v>
      </c>
      <c r="B546">
        <v>2.62</v>
      </c>
      <c r="C546">
        <v>2.9140000000000001</v>
      </c>
      <c r="D546">
        <v>2.6179999999999999</v>
      </c>
      <c r="E546">
        <v>2.8479999999999999</v>
      </c>
      <c r="F546">
        <v>5534997.1900000004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0.5540540540540525</v>
      </c>
      <c r="Q546">
        <f t="shared" si="985"/>
        <v>3066687.6322972891</v>
      </c>
      <c r="R546">
        <f t="shared" si="986"/>
        <v>69459524.60669972</v>
      </c>
      <c r="S546">
        <f t="shared" si="987"/>
        <v>694.59524606699722</v>
      </c>
      <c r="T546">
        <f t="shared" si="988"/>
        <v>0.69459524606699719</v>
      </c>
    </row>
    <row r="547" spans="1:20" x14ac:dyDescent="0.25">
      <c r="A547" s="5">
        <v>44046</v>
      </c>
      <c r="B547">
        <v>2.403</v>
      </c>
      <c r="C547">
        <v>2.6970000000000001</v>
      </c>
      <c r="D547">
        <v>2.3730000000000002</v>
      </c>
      <c r="E547">
        <v>2.621</v>
      </c>
      <c r="F547">
        <v>4576505.42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0.53086419753086356</v>
      </c>
      <c r="Q547">
        <f t="shared" si="985"/>
        <v>2429502.8772839475</v>
      </c>
      <c r="R547">
        <f t="shared" si="986"/>
        <v>66392836.974402428</v>
      </c>
      <c r="S547">
        <f t="shared" si="987"/>
        <v>663.92836974402428</v>
      </c>
      <c r="T547">
        <f t="shared" si="988"/>
        <v>0.66392836974402425</v>
      </c>
    </row>
    <row r="548" spans="1:20" x14ac:dyDescent="0.25">
      <c r="A548" s="5">
        <v>44045</v>
      </c>
      <c r="B548">
        <v>2.6509999999999998</v>
      </c>
      <c r="C548">
        <v>2.7210000000000001</v>
      </c>
      <c r="D548">
        <v>2.2639999999999998</v>
      </c>
      <c r="E548">
        <v>2.403</v>
      </c>
      <c r="F548">
        <v>7074988.909</v>
      </c>
      <c r="G548">
        <v>0</v>
      </c>
      <c r="L548" t="s">
        <v>8</v>
      </c>
      <c r="M548" t="s">
        <v>7</v>
      </c>
      <c r="N548" t="s">
        <v>8</v>
      </c>
      <c r="P548">
        <f t="shared" si="984"/>
        <v>-0.39168490153172802</v>
      </c>
      <c r="Q548">
        <f t="shared" si="985"/>
        <v>-2771166.3341597328</v>
      </c>
      <c r="R548">
        <f t="shared" si="986"/>
        <v>63963334.097118482</v>
      </c>
      <c r="S548">
        <f t="shared" si="987"/>
        <v>639.63334097118479</v>
      </c>
      <c r="T548">
        <f t="shared" si="988"/>
        <v>0.63963334097118474</v>
      </c>
    </row>
    <row r="549" spans="1:20" x14ac:dyDescent="0.25">
      <c r="A549" s="5">
        <v>44044</v>
      </c>
      <c r="B549">
        <v>2.419</v>
      </c>
      <c r="C549">
        <v>2.6619999999999999</v>
      </c>
      <c r="D549">
        <v>2.3969999999999998</v>
      </c>
      <c r="E549">
        <v>2.65</v>
      </c>
      <c r="F549">
        <v>3463876.281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0.90943396226415085</v>
      </c>
      <c r="Q549">
        <f t="shared" si="985"/>
        <v>3150166.7310226411</v>
      </c>
      <c r="R549">
        <f t="shared" si="986"/>
        <v>66734500.431278214</v>
      </c>
      <c r="S549">
        <f t="shared" si="987"/>
        <v>667.34500431278218</v>
      </c>
      <c r="T549">
        <f t="shared" si="988"/>
        <v>0.66734500431278221</v>
      </c>
    </row>
    <row r="550" spans="1:20" x14ac:dyDescent="0.25">
      <c r="A550" s="5">
        <v>44043</v>
      </c>
      <c r="B550">
        <v>2.3730000000000002</v>
      </c>
      <c r="C550">
        <v>2.4380000000000002</v>
      </c>
      <c r="D550">
        <v>2.3450000000000002</v>
      </c>
      <c r="E550">
        <v>2.42</v>
      </c>
      <c r="F550">
        <v>1677112.406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0.61290322580644641</v>
      </c>
      <c r="Q550">
        <f t="shared" si="985"/>
        <v>1027907.6036774106</v>
      </c>
      <c r="R550">
        <f t="shared" si="986"/>
        <v>63584333.700255573</v>
      </c>
      <c r="S550">
        <f t="shared" si="987"/>
        <v>635.8433370025557</v>
      </c>
      <c r="T550">
        <f t="shared" si="988"/>
        <v>0.63584333700255569</v>
      </c>
    </row>
    <row r="551" spans="1:20" x14ac:dyDescent="0.25">
      <c r="A551" s="5">
        <v>44042</v>
      </c>
      <c r="B551">
        <v>2.351</v>
      </c>
      <c r="C551">
        <v>2.4079999999999999</v>
      </c>
      <c r="D551">
        <v>2.3149999999999999</v>
      </c>
      <c r="E551">
        <v>2.3730000000000002</v>
      </c>
      <c r="F551">
        <v>2206222.6129999999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0.24731182795699552</v>
      </c>
      <c r="Q551">
        <f t="shared" si="985"/>
        <v>545624.94730108907</v>
      </c>
      <c r="R551">
        <f t="shared" si="986"/>
        <v>62556426.096578166</v>
      </c>
      <c r="S551">
        <f t="shared" si="987"/>
        <v>625.56426096578161</v>
      </c>
      <c r="T551">
        <f t="shared" si="988"/>
        <v>0.62556426096578166</v>
      </c>
    </row>
    <row r="552" spans="1:20" x14ac:dyDescent="0.25">
      <c r="A552" s="5">
        <v>44041</v>
      </c>
      <c r="B552">
        <v>2.3740000000000001</v>
      </c>
      <c r="C552">
        <v>2.4500000000000002</v>
      </c>
      <c r="D552">
        <v>2.339</v>
      </c>
      <c r="E552">
        <v>2.351</v>
      </c>
      <c r="F552">
        <v>3046515.4279999998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-0.78378378378378399</v>
      </c>
      <c r="Q552">
        <f t="shared" si="985"/>
        <v>-2387809.389513514</v>
      </c>
      <c r="R552">
        <f t="shared" si="986"/>
        <v>62010801.149277076</v>
      </c>
      <c r="S552">
        <f t="shared" si="987"/>
        <v>620.10801149277074</v>
      </c>
      <c r="T552">
        <f t="shared" si="988"/>
        <v>0.62010801149277073</v>
      </c>
    </row>
    <row r="553" spans="1:20" x14ac:dyDescent="0.25">
      <c r="A553" s="5">
        <v>44040</v>
      </c>
      <c r="B553">
        <v>2.3220000000000001</v>
      </c>
      <c r="C553">
        <v>2.395</v>
      </c>
      <c r="D553">
        <v>2.2519999999999998</v>
      </c>
      <c r="E553">
        <v>2.3740000000000001</v>
      </c>
      <c r="F553">
        <v>3940504.1510000001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0.70629370629370802</v>
      </c>
      <c r="Q553">
        <f t="shared" si="985"/>
        <v>2783153.2814755314</v>
      </c>
      <c r="R553">
        <f t="shared" si="986"/>
        <v>64398610.538790591</v>
      </c>
      <c r="S553">
        <f t="shared" si="987"/>
        <v>643.98610538790592</v>
      </c>
      <c r="T553">
        <f t="shared" si="988"/>
        <v>0.6439861053879059</v>
      </c>
    </row>
    <row r="554" spans="1:20" x14ac:dyDescent="0.25">
      <c r="A554" s="5">
        <v>44039</v>
      </c>
      <c r="B554">
        <v>2.3580000000000001</v>
      </c>
      <c r="C554">
        <v>2.37</v>
      </c>
      <c r="D554">
        <v>2.202</v>
      </c>
      <c r="E554">
        <v>2.3199999999999998</v>
      </c>
      <c r="F554">
        <v>6140261.9249999998</v>
      </c>
      <c r="G554">
        <v>0</v>
      </c>
      <c r="L554" t="s">
        <v>7</v>
      </c>
      <c r="M554" t="s">
        <v>8</v>
      </c>
      <c r="N554" t="s">
        <v>8</v>
      </c>
      <c r="P554">
        <f t="shared" si="984"/>
        <v>0.4047619047619021</v>
      </c>
      <c r="Q554">
        <f t="shared" si="985"/>
        <v>2485344.1124999835</v>
      </c>
      <c r="R554">
        <f t="shared" si="986"/>
        <v>61615457.257315062</v>
      </c>
      <c r="S554">
        <f t="shared" si="987"/>
        <v>616.15457257315063</v>
      </c>
      <c r="T554">
        <f t="shared" si="988"/>
        <v>0.61615457257315065</v>
      </c>
    </row>
    <row r="555" spans="1:20" x14ac:dyDescent="0.25">
      <c r="A555" s="5">
        <v>44038</v>
      </c>
      <c r="B555">
        <v>2.41</v>
      </c>
      <c r="C555">
        <v>2.4820000000000002</v>
      </c>
      <c r="D555">
        <v>2.2959999999999998</v>
      </c>
      <c r="E555">
        <v>2.3570000000000002</v>
      </c>
      <c r="F555">
        <v>4090893.2420000001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-0.34408602150537354</v>
      </c>
      <c r="Q555">
        <f t="shared" si="985"/>
        <v>-1407619.1800429993</v>
      </c>
      <c r="R555">
        <f t="shared" si="986"/>
        <v>59130113.14481508</v>
      </c>
      <c r="S555">
        <f t="shared" si="987"/>
        <v>591.30113144815084</v>
      </c>
      <c r="T555">
        <f t="shared" si="988"/>
        <v>0.59130113144815089</v>
      </c>
    </row>
    <row r="556" spans="1:20" x14ac:dyDescent="0.25">
      <c r="A556" s="5">
        <v>44037</v>
      </c>
      <c r="B556">
        <v>2.2869999999999999</v>
      </c>
      <c r="C556">
        <v>2.4319999999999999</v>
      </c>
      <c r="D556">
        <v>2.286</v>
      </c>
      <c r="E556">
        <v>2.4089999999999998</v>
      </c>
      <c r="F556">
        <v>2865773.611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0.68493150684931303</v>
      </c>
      <c r="Q556">
        <f t="shared" si="985"/>
        <v>1962858.6376712271</v>
      </c>
      <c r="R556">
        <f t="shared" si="986"/>
        <v>60537732.324858077</v>
      </c>
      <c r="S556">
        <f t="shared" si="987"/>
        <v>605.37732324858075</v>
      </c>
      <c r="T556">
        <f t="shared" si="988"/>
        <v>0.60537732324858073</v>
      </c>
    </row>
    <row r="557" spans="1:20" x14ac:dyDescent="0.25">
      <c r="A557" s="5">
        <v>44036</v>
      </c>
      <c r="B557">
        <v>2.3580000000000001</v>
      </c>
      <c r="C557">
        <v>2.3580000000000001</v>
      </c>
      <c r="D557">
        <v>2.2850000000000001</v>
      </c>
      <c r="E557">
        <v>2.2869999999999999</v>
      </c>
      <c r="F557">
        <v>2063215.534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-0.94520547945206079</v>
      </c>
      <c r="Q557">
        <f t="shared" si="985"/>
        <v>-1950162.6280274095</v>
      </c>
      <c r="R557">
        <f t="shared" si="986"/>
        <v>58574873.687186852</v>
      </c>
      <c r="S557">
        <f t="shared" si="987"/>
        <v>585.74873687186857</v>
      </c>
      <c r="T557">
        <f t="shared" si="988"/>
        <v>0.58574873687186857</v>
      </c>
    </row>
    <row r="558" spans="1:20" x14ac:dyDescent="0.25">
      <c r="A558" s="5">
        <v>44035</v>
      </c>
      <c r="B558">
        <v>2.375</v>
      </c>
      <c r="C558">
        <v>2.3969999999999998</v>
      </c>
      <c r="D558">
        <v>2.331</v>
      </c>
      <c r="E558">
        <v>2.3570000000000002</v>
      </c>
      <c r="F558">
        <v>2369844.358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-0.21212121212120275</v>
      </c>
      <c r="Q558">
        <f t="shared" si="985"/>
        <v>-502694.25775755354</v>
      </c>
      <c r="R558">
        <f t="shared" si="986"/>
        <v>60525036.315214261</v>
      </c>
      <c r="S558">
        <f t="shared" si="987"/>
        <v>605.25036315214265</v>
      </c>
      <c r="T558">
        <f t="shared" si="988"/>
        <v>0.60525036315214265</v>
      </c>
    </row>
    <row r="559" spans="1:20" x14ac:dyDescent="0.25">
      <c r="A559" s="5">
        <v>44034</v>
      </c>
      <c r="B559">
        <v>2.35</v>
      </c>
      <c r="C559">
        <v>2.4079999999999999</v>
      </c>
      <c r="D559">
        <v>2.2759999999999998</v>
      </c>
      <c r="E559">
        <v>2.3759999999999999</v>
      </c>
      <c r="F559">
        <v>2758620.693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0.51515151515151514</v>
      </c>
      <c r="Q559">
        <f t="shared" si="985"/>
        <v>1421107.6297272728</v>
      </c>
      <c r="R559">
        <f t="shared" si="986"/>
        <v>61027730.572971813</v>
      </c>
      <c r="S559">
        <f t="shared" si="987"/>
        <v>610.27730572971814</v>
      </c>
      <c r="T559">
        <f t="shared" si="988"/>
        <v>0.61027730572971817</v>
      </c>
    </row>
    <row r="560" spans="1:20" x14ac:dyDescent="0.25">
      <c r="A560" s="5">
        <v>44033</v>
      </c>
      <c r="B560">
        <v>2.2149999999999999</v>
      </c>
      <c r="C560">
        <v>2.359</v>
      </c>
      <c r="D560">
        <v>2.1709999999999998</v>
      </c>
      <c r="E560">
        <v>2.351</v>
      </c>
      <c r="F560">
        <v>3440854.0129999998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0.91489361702127658</v>
      </c>
      <c r="Q560">
        <f t="shared" si="985"/>
        <v>3148015.3735957444</v>
      </c>
      <c r="R560">
        <f t="shared" si="986"/>
        <v>59606622.943244539</v>
      </c>
      <c r="S560">
        <f t="shared" si="987"/>
        <v>596.06622943244543</v>
      </c>
      <c r="T560">
        <f t="shared" si="988"/>
        <v>0.59606622943244547</v>
      </c>
    </row>
    <row r="561" spans="1:104" x14ac:dyDescent="0.25">
      <c r="A561" s="5">
        <v>44032</v>
      </c>
      <c r="B561">
        <v>2.3439999999999999</v>
      </c>
      <c r="C561">
        <v>2.3460000000000001</v>
      </c>
      <c r="D561">
        <v>2.206</v>
      </c>
      <c r="E561">
        <v>2.2149999999999999</v>
      </c>
      <c r="F561">
        <v>2709799.1320000002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-0.871428571428573</v>
      </c>
      <c r="Q561">
        <f t="shared" si="985"/>
        <v>-2361396.3864571471</v>
      </c>
      <c r="R561">
        <f t="shared" si="986"/>
        <v>56458607.569648795</v>
      </c>
      <c r="S561">
        <f t="shared" si="987"/>
        <v>564.58607569648791</v>
      </c>
      <c r="T561">
        <f t="shared" si="988"/>
        <v>0.56458607569648789</v>
      </c>
      <c r="CZ561" t="s">
        <v>7</v>
      </c>
    </row>
    <row r="562" spans="1:104" x14ac:dyDescent="0.25">
      <c r="A562" s="5">
        <v>44031</v>
      </c>
      <c r="B562">
        <v>2.363</v>
      </c>
      <c r="C562">
        <v>2.3839999999999999</v>
      </c>
      <c r="D562">
        <v>2.2909999999999999</v>
      </c>
      <c r="E562">
        <v>2.3439999999999999</v>
      </c>
      <c r="F562">
        <v>2739732.7409999999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0.1397849462365581</v>
      </c>
      <c r="Q562">
        <f t="shared" si="985"/>
        <v>382973.39390322292</v>
      </c>
      <c r="R562">
        <f t="shared" si="986"/>
        <v>58820003.95610594</v>
      </c>
      <c r="S562">
        <f t="shared" si="987"/>
        <v>588.20003956105938</v>
      </c>
      <c r="T562">
        <f t="shared" si="988"/>
        <v>0.58820003956105937</v>
      </c>
      <c r="CZ562" t="s">
        <v>7</v>
      </c>
    </row>
    <row r="563" spans="1:104" x14ac:dyDescent="0.25">
      <c r="A563" s="5">
        <v>44030</v>
      </c>
      <c r="B563">
        <v>2.391</v>
      </c>
      <c r="C563">
        <v>2.4159999999999999</v>
      </c>
      <c r="D563">
        <v>2.3090000000000002</v>
      </c>
      <c r="E563">
        <v>2.3639999999999999</v>
      </c>
      <c r="F563">
        <v>3701716.7050000001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2.8037383177567068E-2</v>
      </c>
      <c r="Q563">
        <f t="shared" si="985"/>
        <v>103786.449672886</v>
      </c>
      <c r="R563">
        <f t="shared" si="986"/>
        <v>58437030.562202714</v>
      </c>
      <c r="S563">
        <f t="shared" si="987"/>
        <v>584.3703056220271</v>
      </c>
      <c r="T563">
        <f t="shared" si="988"/>
        <v>0.58437030562202708</v>
      </c>
      <c r="CZ563" t="s">
        <v>7</v>
      </c>
    </row>
    <row r="564" spans="1:104" x14ac:dyDescent="0.25">
      <c r="A564" s="5">
        <v>44029</v>
      </c>
      <c r="B564">
        <v>2.3039999999999998</v>
      </c>
      <c r="C564">
        <v>2.4180000000000001</v>
      </c>
      <c r="D564">
        <v>2.2709999999999999</v>
      </c>
      <c r="E564">
        <v>2.3919999999999999</v>
      </c>
      <c r="F564">
        <v>5520421.1770000001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0.64625850340135782</v>
      </c>
      <c r="Q564">
        <f t="shared" si="985"/>
        <v>3567619.1279931823</v>
      </c>
      <c r="R564">
        <f t="shared" si="986"/>
        <v>58333244.112529829</v>
      </c>
      <c r="S564">
        <f t="shared" si="987"/>
        <v>583.33244112529826</v>
      </c>
      <c r="T564">
        <f t="shared" si="988"/>
        <v>0.58333244112529825</v>
      </c>
    </row>
    <row r="565" spans="1:104" x14ac:dyDescent="0.25">
      <c r="A565" s="5">
        <v>44028</v>
      </c>
      <c r="B565">
        <v>2.2930000000000001</v>
      </c>
      <c r="C565">
        <v>2.3410000000000002</v>
      </c>
      <c r="D565">
        <v>2.1110000000000002</v>
      </c>
      <c r="E565">
        <v>2.3029999999999999</v>
      </c>
      <c r="F565">
        <v>6575385.835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0.66956521739130215</v>
      </c>
      <c r="Q565">
        <f t="shared" si="985"/>
        <v>4402649.6460434636</v>
      </c>
      <c r="R565">
        <f t="shared" si="986"/>
        <v>54765624.984536648</v>
      </c>
      <c r="S565">
        <f t="shared" si="987"/>
        <v>547.65624984536646</v>
      </c>
      <c r="T565">
        <f t="shared" si="988"/>
        <v>0.54765624984536643</v>
      </c>
    </row>
    <row r="566" spans="1:104" x14ac:dyDescent="0.25">
      <c r="A566" s="5">
        <v>44027</v>
      </c>
      <c r="B566">
        <v>2.347</v>
      </c>
      <c r="C566">
        <v>2.4769999999999999</v>
      </c>
      <c r="D566">
        <v>2.2770000000000001</v>
      </c>
      <c r="E566">
        <v>2.2930000000000001</v>
      </c>
      <c r="F566">
        <v>5539324.7359999996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-0.83999999999999964</v>
      </c>
      <c r="Q566">
        <f t="shared" si="985"/>
        <v>-4653032.778239998</v>
      </c>
      <c r="R566">
        <f t="shared" si="986"/>
        <v>50362975.338493183</v>
      </c>
      <c r="S566">
        <f t="shared" si="987"/>
        <v>503.62975338493186</v>
      </c>
      <c r="T566">
        <f t="shared" si="988"/>
        <v>0.50362975338493188</v>
      </c>
    </row>
    <row r="567" spans="1:104" x14ac:dyDescent="0.25">
      <c r="A567" s="5">
        <v>44026</v>
      </c>
      <c r="B567">
        <v>2.2109999999999999</v>
      </c>
      <c r="C567">
        <v>2.3919999999999999</v>
      </c>
      <c r="D567">
        <v>2.1150000000000002</v>
      </c>
      <c r="E567">
        <v>2.3460000000000001</v>
      </c>
      <c r="F567">
        <v>7084515.7220000001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0.66787003610108397</v>
      </c>
      <c r="Q567">
        <f t="shared" si="985"/>
        <v>4731535.7710108366</v>
      </c>
      <c r="R567">
        <f t="shared" si="986"/>
        <v>55016008.116733178</v>
      </c>
      <c r="S567">
        <f t="shared" si="987"/>
        <v>550.16008116733178</v>
      </c>
      <c r="T567">
        <f t="shared" si="988"/>
        <v>0.55016008116733173</v>
      </c>
    </row>
    <row r="568" spans="1:104" x14ac:dyDescent="0.25">
      <c r="A568" s="5">
        <v>44025</v>
      </c>
      <c r="B568">
        <v>2.0449999999999999</v>
      </c>
      <c r="C568">
        <v>2.2650000000000001</v>
      </c>
      <c r="D568">
        <v>2.0310000000000001</v>
      </c>
      <c r="E568">
        <v>2.2109999999999999</v>
      </c>
      <c r="F568">
        <v>6053568.1320000002</v>
      </c>
      <c r="G568">
        <v>0</v>
      </c>
      <c r="L568" t="s">
        <v>8</v>
      </c>
      <c r="M568" t="s">
        <v>7</v>
      </c>
      <c r="N568" t="s">
        <v>8</v>
      </c>
      <c r="P568">
        <f t="shared" si="984"/>
        <v>0.5384615384615361</v>
      </c>
      <c r="Q568">
        <f t="shared" si="985"/>
        <v>3259613.6095384476</v>
      </c>
      <c r="R568">
        <f t="shared" si="986"/>
        <v>50284472.34572234</v>
      </c>
      <c r="S568">
        <f t="shared" si="987"/>
        <v>502.84472345722338</v>
      </c>
      <c r="T568">
        <f t="shared" si="988"/>
        <v>0.50284472345722342</v>
      </c>
    </row>
    <row r="569" spans="1:104" x14ac:dyDescent="0.25">
      <c r="A569" s="5">
        <v>44024</v>
      </c>
      <c r="B569">
        <v>2.0790000000000002</v>
      </c>
      <c r="C569">
        <v>2.109</v>
      </c>
      <c r="D569">
        <v>1.962</v>
      </c>
      <c r="E569">
        <v>2.0449999999999999</v>
      </c>
      <c r="F569">
        <v>3560148.1809999999</v>
      </c>
      <c r="G569">
        <v>0</v>
      </c>
      <c r="L569" t="s">
        <v>8</v>
      </c>
      <c r="M569" t="s">
        <v>7</v>
      </c>
      <c r="N569" t="s">
        <v>8</v>
      </c>
      <c r="P569">
        <f t="shared" si="984"/>
        <v>0.12925170068027145</v>
      </c>
      <c r="Q569">
        <f t="shared" si="985"/>
        <v>460155.20706802484</v>
      </c>
      <c r="R569">
        <f t="shared" si="986"/>
        <v>47024858.736183889</v>
      </c>
      <c r="S569">
        <f t="shared" si="987"/>
        <v>470.24858736183887</v>
      </c>
      <c r="T569">
        <f t="shared" si="988"/>
        <v>0.47024858736183889</v>
      </c>
    </row>
    <row r="570" spans="1:104" x14ac:dyDescent="0.25">
      <c r="A570" s="5">
        <v>44023</v>
      </c>
      <c r="B570">
        <v>2.0369999999999999</v>
      </c>
      <c r="C570">
        <v>2.0960000000000001</v>
      </c>
      <c r="D570">
        <v>2.0009999999999999</v>
      </c>
      <c r="E570">
        <v>2.0790000000000002</v>
      </c>
      <c r="F570">
        <v>3793609.2059999998</v>
      </c>
      <c r="G570">
        <v>0</v>
      </c>
      <c r="L570" t="s">
        <v>8</v>
      </c>
      <c r="M570" t="s">
        <v>7</v>
      </c>
      <c r="N570" t="s">
        <v>8</v>
      </c>
      <c r="P570">
        <f t="shared" si="984"/>
        <v>0.64210526315789751</v>
      </c>
      <c r="Q570">
        <f t="shared" si="985"/>
        <v>2435896.4375368524</v>
      </c>
      <c r="R570">
        <f t="shared" si="986"/>
        <v>46564703.529115863</v>
      </c>
      <c r="S570">
        <f t="shared" si="987"/>
        <v>465.64703529115866</v>
      </c>
      <c r="T570">
        <f t="shared" si="988"/>
        <v>0.46564703529115864</v>
      </c>
    </row>
    <row r="571" spans="1:104" x14ac:dyDescent="0.25">
      <c r="A571" s="5">
        <v>44022</v>
      </c>
      <c r="B571">
        <v>2.129</v>
      </c>
      <c r="C571">
        <v>2.1379999999999999</v>
      </c>
      <c r="D571">
        <v>1.9530000000000001</v>
      </c>
      <c r="E571">
        <v>2.0369999999999999</v>
      </c>
      <c r="F571">
        <v>4147812.0210000002</v>
      </c>
      <c r="G571">
        <v>0</v>
      </c>
      <c r="L571" t="s">
        <v>7</v>
      </c>
      <c r="M571" t="s">
        <v>7</v>
      </c>
      <c r="N571" t="s">
        <v>8</v>
      </c>
      <c r="P571">
        <f t="shared" si="984"/>
        <v>-9.189189189189266E-2</v>
      </c>
      <c r="Q571">
        <f t="shared" si="985"/>
        <v>-381150.29382162483</v>
      </c>
      <c r="R571">
        <f t="shared" si="986"/>
        <v>44128807.091579013</v>
      </c>
      <c r="S571">
        <f t="shared" si="987"/>
        <v>441.28807091579012</v>
      </c>
      <c r="T571">
        <f t="shared" si="988"/>
        <v>0.44128807091579014</v>
      </c>
    </row>
    <row r="572" spans="1:104" x14ac:dyDescent="0.25">
      <c r="A572" s="5">
        <v>44021</v>
      </c>
      <c r="B572">
        <v>2.0169999999999999</v>
      </c>
      <c r="C572">
        <v>2.31</v>
      </c>
      <c r="D572">
        <v>1.9339999999999999</v>
      </c>
      <c r="E572">
        <v>2.13</v>
      </c>
      <c r="F572">
        <v>7131590.1090000002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4.2553191489361139E-2</v>
      </c>
      <c r="Q572">
        <f t="shared" si="985"/>
        <v>303471.91953191091</v>
      </c>
      <c r="R572">
        <f t="shared" si="986"/>
        <v>44509957.385400638</v>
      </c>
      <c r="S572">
        <f t="shared" si="987"/>
        <v>445.09957385400639</v>
      </c>
      <c r="T572">
        <f t="shared" si="988"/>
        <v>0.44509957385400639</v>
      </c>
    </row>
    <row r="573" spans="1:104" x14ac:dyDescent="0.25">
      <c r="A573" s="5">
        <v>44020</v>
      </c>
      <c r="B573">
        <v>1.8069999999999999</v>
      </c>
      <c r="C573">
        <v>2.1030000000000002</v>
      </c>
      <c r="D573">
        <v>1.784</v>
      </c>
      <c r="E573">
        <v>2.0190000000000001</v>
      </c>
      <c r="F573">
        <v>6000596.2039999999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0.47335423197492144</v>
      </c>
      <c r="Q573">
        <f t="shared" si="985"/>
        <v>2840407.6075360491</v>
      </c>
      <c r="R573">
        <f t="shared" si="986"/>
        <v>44206485.465868726</v>
      </c>
      <c r="S573">
        <f t="shared" si="987"/>
        <v>442.06485465868724</v>
      </c>
      <c r="T573">
        <f t="shared" si="988"/>
        <v>0.44206485465868722</v>
      </c>
    </row>
    <row r="574" spans="1:104" x14ac:dyDescent="0.25">
      <c r="A574" s="5">
        <v>44019</v>
      </c>
      <c r="B574">
        <v>1.823</v>
      </c>
      <c r="C574">
        <v>1.833</v>
      </c>
      <c r="D574">
        <v>1.746</v>
      </c>
      <c r="E574">
        <v>1.8069999999999999</v>
      </c>
      <c r="F574">
        <v>1636528.5619999999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0.40229885057471187</v>
      </c>
      <c r="Q574">
        <f t="shared" si="985"/>
        <v>658373.55942528602</v>
      </c>
      <c r="R574">
        <f t="shared" si="986"/>
        <v>41366077.858332679</v>
      </c>
      <c r="S574">
        <f t="shared" si="987"/>
        <v>413.66077858332676</v>
      </c>
      <c r="T574">
        <f t="shared" si="988"/>
        <v>0.41366077858332678</v>
      </c>
    </row>
    <row r="575" spans="1:104" x14ac:dyDescent="0.25">
      <c r="A575" s="5">
        <v>44018</v>
      </c>
      <c r="B575">
        <v>1.774</v>
      </c>
      <c r="C575">
        <v>1.8320000000000001</v>
      </c>
      <c r="D575">
        <v>1.748</v>
      </c>
      <c r="E575">
        <v>1.821</v>
      </c>
      <c r="F575">
        <v>2065285.3689999999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0.73809523809523547</v>
      </c>
      <c r="Q575">
        <f t="shared" si="985"/>
        <v>1524377.2961666612</v>
      </c>
      <c r="R575">
        <f t="shared" si="986"/>
        <v>40707704.298907392</v>
      </c>
      <c r="S575">
        <f t="shared" si="987"/>
        <v>407.0770429890739</v>
      </c>
      <c r="T575">
        <f t="shared" si="988"/>
        <v>0.40707704298907388</v>
      </c>
    </row>
    <row r="576" spans="1:104" x14ac:dyDescent="0.25">
      <c r="A576" s="5">
        <v>44017</v>
      </c>
      <c r="B576">
        <v>1.6950000000000001</v>
      </c>
      <c r="C576">
        <v>1.7849999999999999</v>
      </c>
      <c r="D576">
        <v>1.651</v>
      </c>
      <c r="E576">
        <v>1.774</v>
      </c>
      <c r="F576">
        <v>1887432.18</v>
      </c>
      <c r="G576">
        <v>0</v>
      </c>
      <c r="L576" t="s">
        <v>8</v>
      </c>
      <c r="M576" t="s">
        <v>7</v>
      </c>
      <c r="N576" t="s">
        <v>8</v>
      </c>
      <c r="P576">
        <f t="shared" si="984"/>
        <v>0.83582089552238947</v>
      </c>
      <c r="Q576">
        <f t="shared" si="985"/>
        <v>1577555.2549253758</v>
      </c>
      <c r="R576">
        <f t="shared" si="986"/>
        <v>39183327.002740733</v>
      </c>
      <c r="S576">
        <f t="shared" si="987"/>
        <v>391.83327002740731</v>
      </c>
      <c r="T576">
        <f t="shared" si="988"/>
        <v>0.39183327002740731</v>
      </c>
    </row>
    <row r="577" spans="1:20" x14ac:dyDescent="0.25">
      <c r="A577" s="5">
        <v>44016</v>
      </c>
      <c r="B577">
        <v>1.635</v>
      </c>
      <c r="C577">
        <v>1.696</v>
      </c>
      <c r="D577">
        <v>1.631</v>
      </c>
      <c r="E577">
        <v>1.6950000000000001</v>
      </c>
      <c r="F577">
        <v>1587983.0160000001</v>
      </c>
      <c r="G577">
        <v>0</v>
      </c>
      <c r="L577" t="s">
        <v>8</v>
      </c>
      <c r="M577" t="s">
        <v>7</v>
      </c>
      <c r="N577" t="s">
        <v>8</v>
      </c>
      <c r="P577">
        <f t="shared" si="984"/>
        <v>0.96923076923077256</v>
      </c>
      <c r="Q577">
        <f t="shared" si="985"/>
        <v>1539122.0001230822</v>
      </c>
      <c r="R577">
        <f t="shared" si="986"/>
        <v>37605771.747815356</v>
      </c>
      <c r="S577">
        <f t="shared" si="987"/>
        <v>376.05771747815356</v>
      </c>
      <c r="T577">
        <f t="shared" si="988"/>
        <v>0.37605771747815359</v>
      </c>
    </row>
    <row r="578" spans="1:20" x14ac:dyDescent="0.25">
      <c r="A578" s="5">
        <v>44015</v>
      </c>
      <c r="B578">
        <v>1.649</v>
      </c>
      <c r="C578">
        <v>1.677</v>
      </c>
      <c r="D578">
        <v>1.625</v>
      </c>
      <c r="E578">
        <v>1.6359999999999999</v>
      </c>
      <c r="F578">
        <v>1895269.79</v>
      </c>
      <c r="G578">
        <v>0</v>
      </c>
      <c r="L578" t="s">
        <v>8</v>
      </c>
      <c r="M578" t="s">
        <v>7</v>
      </c>
      <c r="N578" t="s">
        <v>8</v>
      </c>
      <c r="P578">
        <f t="shared" si="984"/>
        <v>-0.5769230769230812</v>
      </c>
      <c r="Q578">
        <f t="shared" si="985"/>
        <v>-1093424.878846162</v>
      </c>
      <c r="R578">
        <f t="shared" si="986"/>
        <v>36066649.747692272</v>
      </c>
      <c r="S578">
        <f t="shared" si="987"/>
        <v>360.6664974769227</v>
      </c>
      <c r="T578">
        <f t="shared" si="988"/>
        <v>0.3606664974769227</v>
      </c>
    </row>
    <row r="579" spans="1:20" x14ac:dyDescent="0.25">
      <c r="A579" s="5">
        <v>44014</v>
      </c>
      <c r="B579">
        <v>1.6559999999999999</v>
      </c>
      <c r="C579">
        <v>1.6919999999999999</v>
      </c>
      <c r="D579">
        <v>1.5980000000000001</v>
      </c>
      <c r="E579">
        <v>1.647</v>
      </c>
      <c r="F579">
        <v>3159975.8089999999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4.2553191489361805E-2</v>
      </c>
      <c r="Q579">
        <f t="shared" si="985"/>
        <v>134467.05570212798</v>
      </c>
      <c r="R579">
        <f t="shared" si="986"/>
        <v>37160074.626538433</v>
      </c>
      <c r="S579">
        <f t="shared" si="987"/>
        <v>371.60074626538432</v>
      </c>
      <c r="T579">
        <f t="shared" si="988"/>
        <v>0.37160074626538431</v>
      </c>
    </row>
    <row r="580" spans="1:20" x14ac:dyDescent="0.25">
      <c r="A580" s="5">
        <v>44013</v>
      </c>
      <c r="B580">
        <v>1.6419999999999999</v>
      </c>
      <c r="C580">
        <v>1.6830000000000001</v>
      </c>
      <c r="D580">
        <v>1.613</v>
      </c>
      <c r="E580">
        <v>1.657</v>
      </c>
      <c r="F580">
        <v>1503721.861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0.25714285714285712</v>
      </c>
      <c r="Q580">
        <f t="shared" si="985"/>
        <v>386671.33568571426</v>
      </c>
      <c r="R580">
        <f t="shared" si="986"/>
        <v>37025607.570836306</v>
      </c>
      <c r="S580">
        <f t="shared" si="987"/>
        <v>370.25607570836303</v>
      </c>
      <c r="T580">
        <f t="shared" si="988"/>
        <v>0.37025607570836305</v>
      </c>
    </row>
    <row r="581" spans="1:20" x14ac:dyDescent="0.25">
      <c r="A581" s="5">
        <v>44012</v>
      </c>
      <c r="B581">
        <v>1.671</v>
      </c>
      <c r="C581">
        <v>1.68</v>
      </c>
      <c r="D581">
        <v>1.6240000000000001</v>
      </c>
      <c r="E581">
        <v>1.643</v>
      </c>
      <c r="F581">
        <v>1156756.048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-0.32142857142857273</v>
      </c>
      <c r="Q581">
        <f t="shared" si="985"/>
        <v>-371814.44400000147</v>
      </c>
      <c r="R581">
        <f t="shared" si="986"/>
        <v>36638936.235150591</v>
      </c>
      <c r="S581">
        <f t="shared" si="987"/>
        <v>366.38936235150589</v>
      </c>
      <c r="T581">
        <f t="shared" si="988"/>
        <v>0.36638936235150588</v>
      </c>
    </row>
    <row r="582" spans="1:20" x14ac:dyDescent="0.25">
      <c r="A582" s="5">
        <v>44011</v>
      </c>
      <c r="B582">
        <v>1.615</v>
      </c>
      <c r="C582">
        <v>1.69</v>
      </c>
      <c r="D582">
        <v>1.593</v>
      </c>
      <c r="E582">
        <v>1.671</v>
      </c>
      <c r="F582">
        <v>2032501.14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0.60824742268041421</v>
      </c>
      <c r="Q582">
        <f t="shared" ref="Q582:Q645" si="990">F582*P582</f>
        <v>1236263.5800000036</v>
      </c>
      <c r="R582">
        <f t="shared" ref="R582:R645" si="991">R583+Q582</f>
        <v>37010750.679150589</v>
      </c>
      <c r="S582">
        <f t="shared" ref="S582:S645" si="992">R582/100000</f>
        <v>370.1075067915059</v>
      </c>
      <c r="T582">
        <f t="shared" ref="T582:T645" si="993">S582/1000</f>
        <v>0.37010750679150589</v>
      </c>
    </row>
    <row r="583" spans="1:20" x14ac:dyDescent="0.25">
      <c r="A583" s="5">
        <v>44010</v>
      </c>
      <c r="B583">
        <v>1.577</v>
      </c>
      <c r="C583">
        <v>1.6519999999999999</v>
      </c>
      <c r="D583">
        <v>1.5409999999999999</v>
      </c>
      <c r="E583">
        <v>1.615</v>
      </c>
      <c r="F583">
        <v>1295504.392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0.33333333333333465</v>
      </c>
      <c r="Q583">
        <f t="shared" si="990"/>
        <v>431834.79733333504</v>
      </c>
      <c r="R583">
        <f t="shared" si="991"/>
        <v>35774487.099150583</v>
      </c>
      <c r="S583">
        <f t="shared" si="992"/>
        <v>357.74487099150582</v>
      </c>
      <c r="T583">
        <f t="shared" si="993"/>
        <v>0.35774487099150581</v>
      </c>
    </row>
    <row r="584" spans="1:20" x14ac:dyDescent="0.25">
      <c r="A584" s="5">
        <v>44009</v>
      </c>
      <c r="B584">
        <v>1.677</v>
      </c>
      <c r="C584">
        <v>1.718</v>
      </c>
      <c r="D584">
        <v>1.482</v>
      </c>
      <c r="E584">
        <v>1.577</v>
      </c>
      <c r="F584">
        <v>1961139.638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-0.19491525423728831</v>
      </c>
      <c r="Q584">
        <f t="shared" si="990"/>
        <v>-382256.03113559354</v>
      </c>
      <c r="R584">
        <f t="shared" si="991"/>
        <v>35342652.301817246</v>
      </c>
      <c r="S584">
        <f t="shared" si="992"/>
        <v>353.42652301817247</v>
      </c>
      <c r="T584">
        <f t="shared" si="993"/>
        <v>0.35342652301817246</v>
      </c>
    </row>
    <row r="585" spans="1:20" x14ac:dyDescent="0.25">
      <c r="A585" s="5">
        <v>44008</v>
      </c>
      <c r="B585">
        <v>1.7170000000000001</v>
      </c>
      <c r="C585">
        <v>1.736</v>
      </c>
      <c r="D585">
        <v>1.655</v>
      </c>
      <c r="E585">
        <v>1.6779999999999999</v>
      </c>
      <c r="F585">
        <v>1268782.2009999999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-0.43209876543210074</v>
      </c>
      <c r="Q585">
        <f t="shared" si="990"/>
        <v>-548239.22265432344</v>
      </c>
      <c r="R585">
        <f t="shared" si="991"/>
        <v>35724908.332952842</v>
      </c>
      <c r="S585">
        <f t="shared" si="992"/>
        <v>357.24908332952845</v>
      </c>
      <c r="T585">
        <f t="shared" si="993"/>
        <v>0.35724908332952843</v>
      </c>
    </row>
    <row r="586" spans="1:20" x14ac:dyDescent="0.25">
      <c r="A586" s="5">
        <v>44007</v>
      </c>
      <c r="B586">
        <v>1.7330000000000001</v>
      </c>
      <c r="C586">
        <v>1.7370000000000001</v>
      </c>
      <c r="D586">
        <v>1.659</v>
      </c>
      <c r="E586">
        <v>1.718</v>
      </c>
      <c r="F586">
        <v>1230820.159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0.51282051282051</v>
      </c>
      <c r="Q586">
        <f t="shared" si="990"/>
        <v>631189.82512820163</v>
      </c>
      <c r="R586">
        <f t="shared" si="991"/>
        <v>36273147.555607162</v>
      </c>
      <c r="S586">
        <f t="shared" si="992"/>
        <v>362.73147555607164</v>
      </c>
      <c r="T586">
        <f t="shared" si="993"/>
        <v>0.36273147555607166</v>
      </c>
    </row>
    <row r="587" spans="1:20" x14ac:dyDescent="0.25">
      <c r="A587" s="5">
        <v>44006</v>
      </c>
      <c r="B587">
        <v>1.796</v>
      </c>
      <c r="C587">
        <v>1.839</v>
      </c>
      <c r="D587">
        <v>1.6919999999999999</v>
      </c>
      <c r="E587">
        <v>1.736</v>
      </c>
      <c r="F587">
        <v>2037499.1950000001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-0.40136054421768663</v>
      </c>
      <c r="Q587">
        <f t="shared" si="990"/>
        <v>-817771.7857482984</v>
      </c>
      <c r="R587">
        <f t="shared" si="991"/>
        <v>35641957.730478957</v>
      </c>
      <c r="S587">
        <f t="shared" si="992"/>
        <v>356.41957730478958</v>
      </c>
      <c r="T587">
        <f t="shared" si="993"/>
        <v>0.35641957730478957</v>
      </c>
    </row>
    <row r="588" spans="1:20" x14ac:dyDescent="0.25">
      <c r="A588" s="5">
        <v>44005</v>
      </c>
      <c r="B588">
        <v>1.839</v>
      </c>
      <c r="C588">
        <v>1.8480000000000001</v>
      </c>
      <c r="D588">
        <v>1.7729999999999999</v>
      </c>
      <c r="E588">
        <v>1.796</v>
      </c>
      <c r="F588">
        <v>1236502.4140000001</v>
      </c>
      <c r="G588">
        <v>0</v>
      </c>
      <c r="L588" t="s">
        <v>8</v>
      </c>
      <c r="M588" t="s">
        <v>7</v>
      </c>
      <c r="N588" t="s">
        <v>8</v>
      </c>
      <c r="P588">
        <f t="shared" si="989"/>
        <v>-0.3866666666666646</v>
      </c>
      <c r="Q588">
        <f t="shared" si="990"/>
        <v>-478114.26674666419</v>
      </c>
      <c r="R588">
        <f t="shared" si="991"/>
        <v>36459729.516227253</v>
      </c>
      <c r="S588">
        <f t="shared" si="992"/>
        <v>364.59729516227253</v>
      </c>
      <c r="T588">
        <f t="shared" si="993"/>
        <v>0.36459729516227252</v>
      </c>
    </row>
    <row r="589" spans="1:20" x14ac:dyDescent="0.25">
      <c r="A589" s="5">
        <v>44004</v>
      </c>
      <c r="B589">
        <v>1.7290000000000001</v>
      </c>
      <c r="C589">
        <v>1.84</v>
      </c>
      <c r="D589">
        <v>1.7230000000000001</v>
      </c>
      <c r="E589">
        <v>1.8380000000000001</v>
      </c>
      <c r="F589">
        <v>1774780.2690000001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0.96581196581196582</v>
      </c>
      <c r="Q589">
        <f t="shared" si="990"/>
        <v>1714104.0204871795</v>
      </c>
      <c r="R589">
        <f t="shared" si="991"/>
        <v>36937843.782973915</v>
      </c>
      <c r="S589">
        <f t="shared" si="992"/>
        <v>369.37843782973914</v>
      </c>
      <c r="T589">
        <f t="shared" si="993"/>
        <v>0.36937843782973911</v>
      </c>
    </row>
    <row r="590" spans="1:20" x14ac:dyDescent="0.25">
      <c r="A590" s="5">
        <v>44003</v>
      </c>
      <c r="B590">
        <v>1.68</v>
      </c>
      <c r="C590">
        <v>1.7949999999999999</v>
      </c>
      <c r="D590">
        <v>1.653</v>
      </c>
      <c r="E590">
        <v>1.7290000000000001</v>
      </c>
      <c r="F590">
        <v>2000980.01</v>
      </c>
      <c r="G590">
        <v>0</v>
      </c>
      <c r="L590" t="s">
        <v>8</v>
      </c>
      <c r="M590" t="s">
        <v>7</v>
      </c>
      <c r="N590" t="s">
        <v>8</v>
      </c>
      <c r="P590">
        <f t="shared" si="989"/>
        <v>7.0422535211269274E-2</v>
      </c>
      <c r="Q590">
        <f t="shared" si="990"/>
        <v>140914.08521127095</v>
      </c>
      <c r="R590">
        <f t="shared" si="991"/>
        <v>35223739.762486733</v>
      </c>
      <c r="S590">
        <f t="shared" si="992"/>
        <v>352.23739762486736</v>
      </c>
      <c r="T590">
        <f t="shared" si="993"/>
        <v>0.35223739762486733</v>
      </c>
    </row>
    <row r="591" spans="1:20" x14ac:dyDescent="0.25">
      <c r="A591" s="5">
        <v>44002</v>
      </c>
      <c r="B591">
        <v>1.675</v>
      </c>
      <c r="C591">
        <v>1.6850000000000001</v>
      </c>
      <c r="D591">
        <v>1.63</v>
      </c>
      <c r="E591">
        <v>1.68</v>
      </c>
      <c r="F591">
        <v>673563.11800000002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0.81818181818181446</v>
      </c>
      <c r="Q591">
        <f t="shared" si="990"/>
        <v>551097.09654545202</v>
      </c>
      <c r="R591">
        <f t="shared" si="991"/>
        <v>35082825.677275464</v>
      </c>
      <c r="S591">
        <f t="shared" si="992"/>
        <v>350.82825677275463</v>
      </c>
      <c r="T591">
        <f t="shared" si="993"/>
        <v>0.35082825677275464</v>
      </c>
    </row>
    <row r="592" spans="1:20" x14ac:dyDescent="0.25">
      <c r="A592" s="5">
        <v>44001</v>
      </c>
      <c r="B592">
        <v>1.681</v>
      </c>
      <c r="C592">
        <v>1.6919999999999999</v>
      </c>
      <c r="D592">
        <v>1.6379999999999999</v>
      </c>
      <c r="E592">
        <v>1.6759999999999999</v>
      </c>
      <c r="F592">
        <v>882607.19200000004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0.40740740740740738</v>
      </c>
      <c r="Q592">
        <f t="shared" si="990"/>
        <v>359580.70785185182</v>
      </c>
      <c r="R592">
        <f t="shared" si="991"/>
        <v>34531728.580730014</v>
      </c>
      <c r="S592">
        <f t="shared" si="992"/>
        <v>345.31728580730015</v>
      </c>
      <c r="T592">
        <f t="shared" si="993"/>
        <v>0.34531728580730014</v>
      </c>
    </row>
    <row r="593" spans="1:20" x14ac:dyDescent="0.25">
      <c r="A593" s="5">
        <v>44000</v>
      </c>
      <c r="B593">
        <v>1.7090000000000001</v>
      </c>
      <c r="C593">
        <v>1.7170000000000001</v>
      </c>
      <c r="D593">
        <v>1.6479999999999999</v>
      </c>
      <c r="E593">
        <v>1.6819999999999999</v>
      </c>
      <c r="F593">
        <v>955445.64500000002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-1.4492753623189992E-2</v>
      </c>
      <c r="Q593">
        <f t="shared" si="990"/>
        <v>-13847.038333334849</v>
      </c>
      <c r="R593">
        <f t="shared" si="991"/>
        <v>34172147.872878164</v>
      </c>
      <c r="S593">
        <f t="shared" si="992"/>
        <v>341.72147872878162</v>
      </c>
      <c r="T593">
        <f t="shared" si="993"/>
        <v>0.34172147872878161</v>
      </c>
    </row>
    <row r="594" spans="1:20" x14ac:dyDescent="0.25">
      <c r="A594" s="5">
        <v>43999</v>
      </c>
      <c r="B594">
        <v>1.732</v>
      </c>
      <c r="C594">
        <v>1.7370000000000001</v>
      </c>
      <c r="D594">
        <v>1.66</v>
      </c>
      <c r="E594">
        <v>1.71</v>
      </c>
      <c r="F594">
        <v>887463.27099999995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0.2987012987012968</v>
      </c>
      <c r="Q594">
        <f t="shared" si="990"/>
        <v>265086.43159740092</v>
      </c>
      <c r="R594">
        <f t="shared" si="991"/>
        <v>34185994.911211498</v>
      </c>
      <c r="S594">
        <f t="shared" si="992"/>
        <v>341.85994911211498</v>
      </c>
      <c r="T594">
        <f t="shared" si="993"/>
        <v>0.34185994911211498</v>
      </c>
    </row>
    <row r="595" spans="1:20" x14ac:dyDescent="0.25">
      <c r="A595" s="5">
        <v>43998</v>
      </c>
      <c r="B595">
        <v>1.675</v>
      </c>
      <c r="C595">
        <v>1.742</v>
      </c>
      <c r="D595">
        <v>1.655</v>
      </c>
      <c r="E595">
        <v>1.732</v>
      </c>
      <c r="F595">
        <v>1143515.9890000001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0.77011494252873536</v>
      </c>
      <c r="Q595">
        <f t="shared" si="990"/>
        <v>880638.750149425</v>
      </c>
      <c r="R595">
        <f t="shared" si="991"/>
        <v>33920908.479614094</v>
      </c>
      <c r="S595">
        <f t="shared" si="992"/>
        <v>339.20908479614093</v>
      </c>
      <c r="T595">
        <f t="shared" si="993"/>
        <v>0.33920908479614093</v>
      </c>
    </row>
    <row r="596" spans="1:20" x14ac:dyDescent="0.25">
      <c r="A596" s="5">
        <v>43997</v>
      </c>
      <c r="B596">
        <v>1.722</v>
      </c>
      <c r="C596">
        <v>1.722</v>
      </c>
      <c r="D596">
        <v>1.5620000000000001</v>
      </c>
      <c r="E596">
        <v>1.6739999999999999</v>
      </c>
      <c r="F596">
        <v>2034736.148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0.39999999999999919</v>
      </c>
      <c r="Q596">
        <f t="shared" si="990"/>
        <v>813894.45919999841</v>
      </c>
      <c r="R596">
        <f t="shared" si="991"/>
        <v>33040269.729464673</v>
      </c>
      <c r="S596">
        <f t="shared" si="992"/>
        <v>330.40269729464671</v>
      </c>
      <c r="T596">
        <f t="shared" si="993"/>
        <v>0.33040269729464672</v>
      </c>
    </row>
    <row r="597" spans="1:20" x14ac:dyDescent="0.25">
      <c r="A597" s="5">
        <v>43996</v>
      </c>
      <c r="B597">
        <v>1.7809999999999999</v>
      </c>
      <c r="C597">
        <v>1.7809999999999999</v>
      </c>
      <c r="D597">
        <v>1.702</v>
      </c>
      <c r="E597">
        <v>1.72</v>
      </c>
      <c r="F597">
        <v>906631.51800000004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-0.54430379746835378</v>
      </c>
      <c r="Q597">
        <f t="shared" si="990"/>
        <v>-493482.97815189819</v>
      </c>
      <c r="R597">
        <f t="shared" si="991"/>
        <v>32226375.270264674</v>
      </c>
      <c r="S597">
        <f t="shared" si="992"/>
        <v>322.26375270264674</v>
      </c>
      <c r="T597">
        <f t="shared" si="993"/>
        <v>0.32226375270264673</v>
      </c>
    </row>
    <row r="598" spans="1:20" x14ac:dyDescent="0.25">
      <c r="A598" s="5">
        <v>43995</v>
      </c>
      <c r="B598">
        <v>1.746</v>
      </c>
      <c r="C598">
        <v>1.7829999999999999</v>
      </c>
      <c r="D598">
        <v>1.7070000000000001</v>
      </c>
      <c r="E598">
        <v>1.778</v>
      </c>
      <c r="F598">
        <v>1075182.4680000001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0.86842105263158154</v>
      </c>
      <c r="Q598">
        <f t="shared" si="990"/>
        <v>933711.09063158184</v>
      </c>
      <c r="R598">
        <f t="shared" si="991"/>
        <v>32719858.248416573</v>
      </c>
      <c r="S598">
        <f t="shared" si="992"/>
        <v>327.19858248416574</v>
      </c>
      <c r="T598">
        <f t="shared" si="993"/>
        <v>0.32719858248416572</v>
      </c>
    </row>
    <row r="599" spans="1:20" x14ac:dyDescent="0.25">
      <c r="A599" s="5">
        <v>43994</v>
      </c>
      <c r="B599">
        <v>1.6879999999999999</v>
      </c>
      <c r="C599">
        <v>1.788</v>
      </c>
      <c r="D599">
        <v>1.665</v>
      </c>
      <c r="E599">
        <v>1.7450000000000001</v>
      </c>
      <c r="F599">
        <v>1758942.4920000001</v>
      </c>
      <c r="G599">
        <v>0</v>
      </c>
      <c r="L599" t="s">
        <v>8</v>
      </c>
      <c r="M599" t="s">
        <v>8</v>
      </c>
      <c r="N599" t="s">
        <v>8</v>
      </c>
      <c r="P599">
        <f t="shared" si="989"/>
        <v>0.30081300813008249</v>
      </c>
      <c r="Q599">
        <f t="shared" si="990"/>
        <v>529112.78214634361</v>
      </c>
      <c r="R599">
        <f t="shared" si="991"/>
        <v>31786147.157784991</v>
      </c>
      <c r="S599">
        <f t="shared" si="992"/>
        <v>317.8614715778499</v>
      </c>
      <c r="T599">
        <f t="shared" si="993"/>
        <v>0.31786147157784989</v>
      </c>
    </row>
    <row r="600" spans="1:20" x14ac:dyDescent="0.25">
      <c r="A600" s="5">
        <v>43993</v>
      </c>
      <c r="B600">
        <v>1.8640000000000001</v>
      </c>
      <c r="C600">
        <v>1.946</v>
      </c>
      <c r="D600">
        <v>1.661</v>
      </c>
      <c r="E600">
        <v>1.6859999999999999</v>
      </c>
      <c r="F600">
        <v>2922324.4530000002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-0.82456140350877249</v>
      </c>
      <c r="Q600">
        <f t="shared" si="990"/>
        <v>-2409635.9524736861</v>
      </c>
      <c r="R600">
        <f t="shared" si="991"/>
        <v>31257034.375638649</v>
      </c>
      <c r="S600">
        <f t="shared" si="992"/>
        <v>312.57034375638648</v>
      </c>
      <c r="T600">
        <f t="shared" si="993"/>
        <v>0.31257034375638648</v>
      </c>
    </row>
    <row r="601" spans="1:20" x14ac:dyDescent="0.25">
      <c r="A601" s="5">
        <v>43992</v>
      </c>
      <c r="B601">
        <v>1.8049999999999999</v>
      </c>
      <c r="C601">
        <v>1.879</v>
      </c>
      <c r="D601">
        <v>1.8009999999999999</v>
      </c>
      <c r="E601">
        <v>1.863</v>
      </c>
      <c r="F601">
        <v>1451455.453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0.58974358974358976</v>
      </c>
      <c r="Q601">
        <f t="shared" si="990"/>
        <v>855986.54920512822</v>
      </c>
      <c r="R601">
        <f t="shared" si="991"/>
        <v>33666670.328112334</v>
      </c>
      <c r="S601">
        <f t="shared" si="992"/>
        <v>336.66670328112332</v>
      </c>
      <c r="T601">
        <f t="shared" si="993"/>
        <v>0.3366667032811233</v>
      </c>
    </row>
    <row r="602" spans="1:20" x14ac:dyDescent="0.25">
      <c r="A602" s="5">
        <v>43991</v>
      </c>
      <c r="B602">
        <v>1.827</v>
      </c>
      <c r="C602">
        <v>1.837</v>
      </c>
      <c r="D602">
        <v>1.7929999999999999</v>
      </c>
      <c r="E602">
        <v>1.8049999999999999</v>
      </c>
      <c r="F602">
        <v>1034356.997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-0.45454545454545453</v>
      </c>
      <c r="Q602">
        <f t="shared" si="990"/>
        <v>-470162.27136363636</v>
      </c>
      <c r="R602">
        <f t="shared" si="991"/>
        <v>32810683.778907206</v>
      </c>
      <c r="S602">
        <f t="shared" si="992"/>
        <v>328.10683778907207</v>
      </c>
      <c r="T602">
        <f t="shared" si="993"/>
        <v>0.32810683778907207</v>
      </c>
    </row>
    <row r="603" spans="1:20" x14ac:dyDescent="0.25">
      <c r="A603" s="5">
        <v>43990</v>
      </c>
      <c r="B603">
        <v>1.8069999999999999</v>
      </c>
      <c r="C603">
        <v>1.837</v>
      </c>
      <c r="D603">
        <v>1.7969999999999999</v>
      </c>
      <c r="E603">
        <v>1.825</v>
      </c>
      <c r="F603">
        <v>1101220.6740000001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0.4</v>
      </c>
      <c r="Q603">
        <f t="shared" si="990"/>
        <v>440488.26960000006</v>
      </c>
      <c r="R603">
        <f t="shared" si="991"/>
        <v>33280846.050270841</v>
      </c>
      <c r="S603">
        <f t="shared" si="992"/>
        <v>332.80846050270839</v>
      </c>
      <c r="T603">
        <f t="shared" si="993"/>
        <v>0.3328084605027084</v>
      </c>
    </row>
    <row r="604" spans="1:20" x14ac:dyDescent="0.25">
      <c r="A604" s="5">
        <v>43989</v>
      </c>
      <c r="B604">
        <v>1.8480000000000001</v>
      </c>
      <c r="C604">
        <v>1.857</v>
      </c>
      <c r="D604">
        <v>1.7430000000000001</v>
      </c>
      <c r="E604">
        <v>1.8069999999999999</v>
      </c>
      <c r="F604">
        <v>1230774.497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0.12280701754385794</v>
      </c>
      <c r="Q604">
        <f t="shared" si="990"/>
        <v>151147.74524561194</v>
      </c>
      <c r="R604">
        <f t="shared" si="991"/>
        <v>32840357.78067084</v>
      </c>
      <c r="S604">
        <f t="shared" si="992"/>
        <v>328.40357780670843</v>
      </c>
      <c r="T604">
        <f t="shared" si="993"/>
        <v>0.32840357780670842</v>
      </c>
    </row>
    <row r="605" spans="1:20" x14ac:dyDescent="0.25">
      <c r="A605" s="5">
        <v>43988</v>
      </c>
      <c r="B605">
        <v>1.7969999999999999</v>
      </c>
      <c r="C605">
        <v>1.855</v>
      </c>
      <c r="D605">
        <v>1.77</v>
      </c>
      <c r="E605">
        <v>1.8480000000000001</v>
      </c>
      <c r="F605">
        <v>1425862.436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0.83529411764706119</v>
      </c>
      <c r="Q605">
        <f t="shared" si="990"/>
        <v>1191014.5053647093</v>
      </c>
      <c r="R605">
        <f t="shared" si="991"/>
        <v>32689210.035425227</v>
      </c>
      <c r="S605">
        <f t="shared" si="992"/>
        <v>326.89210035425225</v>
      </c>
      <c r="T605">
        <f t="shared" si="993"/>
        <v>0.32689210035425226</v>
      </c>
    </row>
    <row r="606" spans="1:20" x14ac:dyDescent="0.25">
      <c r="A606" s="5">
        <v>43987</v>
      </c>
      <c r="B606">
        <v>1.8380000000000001</v>
      </c>
      <c r="C606">
        <v>1.855</v>
      </c>
      <c r="D606">
        <v>1.7889999999999999</v>
      </c>
      <c r="E606">
        <v>1.798</v>
      </c>
      <c r="F606">
        <v>1542859.155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-0.72727272727272396</v>
      </c>
      <c r="Q606">
        <f t="shared" si="990"/>
        <v>-1122079.3854545404</v>
      </c>
      <c r="R606">
        <f t="shared" si="991"/>
        <v>31498195.530060519</v>
      </c>
      <c r="S606">
        <f t="shared" si="992"/>
        <v>314.98195530060519</v>
      </c>
      <c r="T606">
        <f t="shared" si="993"/>
        <v>0.31498195530060519</v>
      </c>
    </row>
    <row r="607" spans="1:20" x14ac:dyDescent="0.25">
      <c r="A607" s="5">
        <v>43986</v>
      </c>
      <c r="B607">
        <v>1.8320000000000001</v>
      </c>
      <c r="C607">
        <v>1.8779999999999999</v>
      </c>
      <c r="D607">
        <v>1.77</v>
      </c>
      <c r="E607">
        <v>1.8380000000000001</v>
      </c>
      <c r="F607">
        <v>1466462.9410000001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0.25925925925926185</v>
      </c>
      <c r="Q607">
        <f t="shared" si="990"/>
        <v>380194.09581481863</v>
      </c>
      <c r="R607">
        <f t="shared" si="991"/>
        <v>32620274.915515058</v>
      </c>
      <c r="S607">
        <f t="shared" si="992"/>
        <v>326.20274915515057</v>
      </c>
      <c r="T607">
        <f t="shared" si="993"/>
        <v>0.32620274915515057</v>
      </c>
    </row>
    <row r="608" spans="1:20" x14ac:dyDescent="0.25">
      <c r="A608" s="5">
        <v>43985</v>
      </c>
      <c r="B608">
        <v>1.7949999999999999</v>
      </c>
      <c r="C608">
        <v>1.8380000000000001</v>
      </c>
      <c r="D608">
        <v>1.752</v>
      </c>
      <c r="E608">
        <v>1.829</v>
      </c>
      <c r="F608">
        <v>1548148.2350000001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0.79069767441860206</v>
      </c>
      <c r="Q608">
        <f t="shared" si="990"/>
        <v>1224117.2090697635</v>
      </c>
      <c r="R608">
        <f t="shared" si="991"/>
        <v>32240080.819700237</v>
      </c>
      <c r="S608">
        <f t="shared" si="992"/>
        <v>322.40080819700239</v>
      </c>
      <c r="T608">
        <f t="shared" si="993"/>
        <v>0.3224008081970024</v>
      </c>
    </row>
    <row r="609" spans="1:20" x14ac:dyDescent="0.25">
      <c r="A609" s="5">
        <v>43984</v>
      </c>
      <c r="B609">
        <v>1.893</v>
      </c>
      <c r="C609">
        <v>1.9239999999999999</v>
      </c>
      <c r="D609">
        <v>1.7070000000000001</v>
      </c>
      <c r="E609">
        <v>1.794</v>
      </c>
      <c r="F609">
        <v>3387304.5010000002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-0.19815668202764955</v>
      </c>
      <c r="Q609">
        <f t="shared" si="990"/>
        <v>-671217.02093548316</v>
      </c>
      <c r="R609">
        <f t="shared" si="991"/>
        <v>31015963.610630475</v>
      </c>
      <c r="S609">
        <f t="shared" si="992"/>
        <v>310.15963610630473</v>
      </c>
      <c r="T609">
        <f t="shared" si="993"/>
        <v>0.3101596361063047</v>
      </c>
    </row>
    <row r="610" spans="1:20" x14ac:dyDescent="0.25">
      <c r="A610" s="5">
        <v>43983</v>
      </c>
      <c r="B610">
        <v>1.748</v>
      </c>
      <c r="C610">
        <v>1.9079999999999999</v>
      </c>
      <c r="D610">
        <v>1.736</v>
      </c>
      <c r="E610">
        <v>1.89</v>
      </c>
      <c r="F610">
        <v>3879050.202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0.79069767441860439</v>
      </c>
      <c r="Q610">
        <f t="shared" si="990"/>
        <v>3067155.9736744175</v>
      </c>
      <c r="R610">
        <f t="shared" si="991"/>
        <v>31687180.631565958</v>
      </c>
      <c r="S610">
        <f t="shared" si="992"/>
        <v>316.87180631565957</v>
      </c>
      <c r="T610">
        <f t="shared" si="993"/>
        <v>0.31687180631565959</v>
      </c>
    </row>
    <row r="611" spans="1:20" x14ac:dyDescent="0.25">
      <c r="A611" s="5">
        <v>43982</v>
      </c>
      <c r="B611">
        <v>1.802</v>
      </c>
      <c r="C611">
        <v>1.841</v>
      </c>
      <c r="D611">
        <v>1.726</v>
      </c>
      <c r="E611">
        <v>1.7470000000000001</v>
      </c>
      <c r="F611">
        <v>3183530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-0.63478260869564984</v>
      </c>
      <c r="Q611">
        <f t="shared" si="990"/>
        <v>-2020849.4782608622</v>
      </c>
      <c r="R611">
        <f t="shared" si="991"/>
        <v>28620024.657891542</v>
      </c>
      <c r="S611">
        <f t="shared" si="992"/>
        <v>286.20024657891543</v>
      </c>
      <c r="T611">
        <f t="shared" si="993"/>
        <v>0.28620024657891541</v>
      </c>
    </row>
    <row r="612" spans="1:20" x14ac:dyDescent="0.25">
      <c r="A612" s="5">
        <v>43981</v>
      </c>
      <c r="B612">
        <v>1.69</v>
      </c>
      <c r="C612">
        <v>1.8109999999999999</v>
      </c>
      <c r="D612">
        <v>1.6619999999999999</v>
      </c>
      <c r="E612">
        <v>1.802</v>
      </c>
      <c r="F612">
        <v>2234549.5460000001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0.87919463087248462</v>
      </c>
      <c r="Q612">
        <f t="shared" si="990"/>
        <v>1964603.9632617482</v>
      </c>
      <c r="R612">
        <f t="shared" si="991"/>
        <v>30640874.136152405</v>
      </c>
      <c r="S612">
        <f t="shared" si="992"/>
        <v>306.40874136152405</v>
      </c>
      <c r="T612">
        <f t="shared" si="993"/>
        <v>0.30640874136152407</v>
      </c>
    </row>
    <row r="613" spans="1:20" x14ac:dyDescent="0.25">
      <c r="A613" s="5">
        <v>43980</v>
      </c>
      <c r="B613">
        <v>1.6879999999999999</v>
      </c>
      <c r="C613">
        <v>1.718</v>
      </c>
      <c r="D613">
        <v>1.649</v>
      </c>
      <c r="E613">
        <v>1.6870000000000001</v>
      </c>
      <c r="F613">
        <v>1326791.27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0.10144927536232061</v>
      </c>
      <c r="Q613">
        <f t="shared" si="990"/>
        <v>134602.01289855308</v>
      </c>
      <c r="R613">
        <f t="shared" si="991"/>
        <v>28676270.172890656</v>
      </c>
      <c r="S613">
        <f t="shared" si="992"/>
        <v>286.76270172890656</v>
      </c>
      <c r="T613">
        <f t="shared" si="993"/>
        <v>0.28676270172890655</v>
      </c>
    </row>
    <row r="614" spans="1:20" x14ac:dyDescent="0.25">
      <c r="A614" s="5">
        <v>43979</v>
      </c>
      <c r="B614">
        <v>1.6359999999999999</v>
      </c>
      <c r="C614">
        <v>1.698</v>
      </c>
      <c r="D614">
        <v>1.617</v>
      </c>
      <c r="E614">
        <v>1.6890000000000001</v>
      </c>
      <c r="F614">
        <v>1567640.517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0.77777777777778023</v>
      </c>
      <c r="Q614">
        <f t="shared" si="990"/>
        <v>1219275.9576666704</v>
      </c>
      <c r="R614">
        <f t="shared" si="991"/>
        <v>28541668.159992103</v>
      </c>
      <c r="S614">
        <f t="shared" si="992"/>
        <v>285.41668159992105</v>
      </c>
      <c r="T614">
        <f t="shared" si="993"/>
        <v>0.28541668159992106</v>
      </c>
    </row>
    <row r="615" spans="1:20" x14ac:dyDescent="0.25">
      <c r="A615" s="5">
        <v>43978</v>
      </c>
      <c r="B615">
        <v>1.66</v>
      </c>
      <c r="C615">
        <v>1.6850000000000001</v>
      </c>
      <c r="D615">
        <v>1.609</v>
      </c>
      <c r="E615">
        <v>1.635</v>
      </c>
      <c r="F615">
        <v>1527648.371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-0.31578947368421051</v>
      </c>
      <c r="Q615">
        <f t="shared" si="990"/>
        <v>-482415.27505263156</v>
      </c>
      <c r="R615">
        <f t="shared" si="991"/>
        <v>27322392.202325433</v>
      </c>
      <c r="S615">
        <f t="shared" si="992"/>
        <v>273.22392202325432</v>
      </c>
      <c r="T615">
        <f t="shared" si="993"/>
        <v>0.2732239220232543</v>
      </c>
    </row>
    <row r="616" spans="1:20" x14ac:dyDescent="0.25">
      <c r="A616" s="5">
        <v>43977</v>
      </c>
      <c r="B616">
        <v>1.657</v>
      </c>
      <c r="C616">
        <v>1.6739999999999999</v>
      </c>
      <c r="D616">
        <v>1.577</v>
      </c>
      <c r="E616">
        <v>1.6579999999999999</v>
      </c>
      <c r="F616">
        <v>2650765.1150000002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0.67010309278350477</v>
      </c>
      <c r="Q616">
        <f t="shared" si="990"/>
        <v>1776285.9018041228</v>
      </c>
      <c r="R616">
        <f t="shared" si="991"/>
        <v>27804807.477378067</v>
      </c>
      <c r="S616">
        <f t="shared" si="992"/>
        <v>278.04807477378068</v>
      </c>
      <c r="T616">
        <f t="shared" si="993"/>
        <v>0.27804807477378068</v>
      </c>
    </row>
    <row r="617" spans="1:20" x14ac:dyDescent="0.25">
      <c r="A617" s="5">
        <v>43976</v>
      </c>
      <c r="B617">
        <v>1.56</v>
      </c>
      <c r="C617">
        <v>1.661</v>
      </c>
      <c r="D617">
        <v>1.552</v>
      </c>
      <c r="E617">
        <v>1.657</v>
      </c>
      <c r="F617">
        <v>2404254.65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0.92660550458715585</v>
      </c>
      <c r="Q617">
        <f t="shared" si="990"/>
        <v>2227795.5931192655</v>
      </c>
      <c r="R617">
        <f t="shared" si="991"/>
        <v>26028521.575573944</v>
      </c>
      <c r="S617">
        <f t="shared" si="992"/>
        <v>260.28521575573944</v>
      </c>
      <c r="T617">
        <f t="shared" si="993"/>
        <v>0.26028521575573943</v>
      </c>
    </row>
    <row r="618" spans="1:20" x14ac:dyDescent="0.25">
      <c r="A618" s="5">
        <v>43975</v>
      </c>
      <c r="B618">
        <v>1.667</v>
      </c>
      <c r="C618">
        <v>1.7350000000000001</v>
      </c>
      <c r="D618">
        <v>1.5569999999999999</v>
      </c>
      <c r="E618">
        <v>1.56</v>
      </c>
      <c r="F618">
        <v>2558462.264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-0.96629213483145948</v>
      </c>
      <c r="Q618">
        <f t="shared" si="990"/>
        <v>-2472221.9629662889</v>
      </c>
      <c r="R618">
        <f t="shared" si="991"/>
        <v>23800725.982454676</v>
      </c>
      <c r="S618">
        <f t="shared" si="992"/>
        <v>238.00725982454676</v>
      </c>
      <c r="T618">
        <f t="shared" si="993"/>
        <v>0.23800725982454676</v>
      </c>
    </row>
    <row r="619" spans="1:20" x14ac:dyDescent="0.25">
      <c r="A619" s="5">
        <v>43974</v>
      </c>
      <c r="B619">
        <v>1.7629999999999999</v>
      </c>
      <c r="C619">
        <v>1.7849999999999999</v>
      </c>
      <c r="D619">
        <v>1.661</v>
      </c>
      <c r="E619">
        <v>1.6679999999999999</v>
      </c>
      <c r="F619">
        <v>2596631.8769999999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-0.88709677419354993</v>
      </c>
      <c r="Q619">
        <f t="shared" si="990"/>
        <v>-2303463.7618548428</v>
      </c>
      <c r="R619">
        <f t="shared" si="991"/>
        <v>26272947.945420966</v>
      </c>
      <c r="S619">
        <f t="shared" si="992"/>
        <v>262.72947945420964</v>
      </c>
      <c r="T619">
        <f t="shared" si="993"/>
        <v>0.26272947945420966</v>
      </c>
    </row>
    <row r="620" spans="1:20" x14ac:dyDescent="0.25">
      <c r="A620" s="5">
        <v>43973</v>
      </c>
      <c r="B620">
        <v>1.4950000000000001</v>
      </c>
      <c r="C620">
        <v>1.8180000000000001</v>
      </c>
      <c r="D620">
        <v>1.482</v>
      </c>
      <c r="E620">
        <v>1.7629999999999999</v>
      </c>
      <c r="F620">
        <v>5408538.3870000001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0.67261904761904678</v>
      </c>
      <c r="Q620">
        <f t="shared" si="990"/>
        <v>3637885.9388749953</v>
      </c>
      <c r="R620">
        <f t="shared" si="991"/>
        <v>28576411.707275808</v>
      </c>
      <c r="S620">
        <f t="shared" si="992"/>
        <v>285.7641170727581</v>
      </c>
      <c r="T620">
        <f t="shared" si="993"/>
        <v>0.28576411707275812</v>
      </c>
    </row>
    <row r="621" spans="1:20" x14ac:dyDescent="0.25">
      <c r="A621" s="5">
        <v>43972</v>
      </c>
      <c r="B621">
        <v>1.5760000000000001</v>
      </c>
      <c r="C621">
        <v>1.59</v>
      </c>
      <c r="D621">
        <v>1.4590000000000001</v>
      </c>
      <c r="E621">
        <v>1.4970000000000001</v>
      </c>
      <c r="F621">
        <v>1499951.8959999999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-0.41984732824427434</v>
      </c>
      <c r="Q621">
        <f t="shared" si="990"/>
        <v>-629750.79603053362</v>
      </c>
      <c r="R621">
        <f t="shared" si="991"/>
        <v>24938525.768400811</v>
      </c>
      <c r="S621">
        <f t="shared" si="992"/>
        <v>249.38525768400811</v>
      </c>
      <c r="T621">
        <f t="shared" si="993"/>
        <v>0.2493852576840081</v>
      </c>
    </row>
    <row r="622" spans="1:20" x14ac:dyDescent="0.25">
      <c r="A622" s="5">
        <v>43971</v>
      </c>
      <c r="B622">
        <v>1.583</v>
      </c>
      <c r="C622">
        <v>1.619</v>
      </c>
      <c r="D622">
        <v>1.5469999999999999</v>
      </c>
      <c r="E622">
        <v>1.5760000000000001</v>
      </c>
      <c r="F622">
        <v>1473756.898</v>
      </c>
      <c r="G622">
        <v>0</v>
      </c>
      <c r="L622" t="s">
        <v>8</v>
      </c>
      <c r="M622" t="s">
        <v>7</v>
      </c>
      <c r="N622" t="s">
        <v>8</v>
      </c>
      <c r="P622">
        <f t="shared" si="989"/>
        <v>-0.19444444444444137</v>
      </c>
      <c r="Q622">
        <f t="shared" si="990"/>
        <v>-286563.84127777326</v>
      </c>
      <c r="R622">
        <f t="shared" si="991"/>
        <v>25568276.564431343</v>
      </c>
      <c r="S622">
        <f t="shared" si="992"/>
        <v>255.68276564431343</v>
      </c>
      <c r="T622">
        <f t="shared" si="993"/>
        <v>0.25568276564431341</v>
      </c>
    </row>
    <row r="623" spans="1:20" x14ac:dyDescent="0.25">
      <c r="A623" s="5">
        <v>43970</v>
      </c>
      <c r="B623">
        <v>1.579</v>
      </c>
      <c r="C623">
        <v>1.585</v>
      </c>
      <c r="D623">
        <v>1.526</v>
      </c>
      <c r="E623">
        <v>1.5820000000000001</v>
      </c>
      <c r="F623">
        <v>926338.19400000002</v>
      </c>
      <c r="G623">
        <v>0</v>
      </c>
      <c r="L623" t="s">
        <v>8</v>
      </c>
      <c r="M623" t="s">
        <v>7</v>
      </c>
      <c r="N623" t="s">
        <v>8</v>
      </c>
      <c r="P623">
        <f t="shared" si="989"/>
        <v>0.89830508474576631</v>
      </c>
      <c r="Q623">
        <f t="shared" si="990"/>
        <v>832134.30986441008</v>
      </c>
      <c r="R623">
        <f t="shared" si="991"/>
        <v>25854840.405709118</v>
      </c>
      <c r="S623">
        <f t="shared" si="992"/>
        <v>258.5484040570912</v>
      </c>
      <c r="T623">
        <f t="shared" si="993"/>
        <v>0.25854840405709123</v>
      </c>
    </row>
    <row r="624" spans="1:20" x14ac:dyDescent="0.25">
      <c r="A624" s="5">
        <v>43969</v>
      </c>
      <c r="B624">
        <v>1.5469999999999999</v>
      </c>
      <c r="C624">
        <v>1.6060000000000001</v>
      </c>
      <c r="D624">
        <v>1.5429999999999999</v>
      </c>
      <c r="E624">
        <v>1.579</v>
      </c>
      <c r="F624">
        <v>1165580.361</v>
      </c>
      <c r="G624">
        <v>0</v>
      </c>
      <c r="L624" t="s">
        <v>8</v>
      </c>
      <c r="M624" t="s">
        <v>7</v>
      </c>
      <c r="N624" t="s">
        <v>8</v>
      </c>
      <c r="P624">
        <f t="shared" si="989"/>
        <v>0.14285714285714085</v>
      </c>
      <c r="Q624">
        <f t="shared" si="990"/>
        <v>166511.48014285482</v>
      </c>
      <c r="R624">
        <f t="shared" si="991"/>
        <v>25022706.095844708</v>
      </c>
      <c r="S624">
        <f t="shared" si="992"/>
        <v>250.22706095844708</v>
      </c>
      <c r="T624">
        <f t="shared" si="993"/>
        <v>0.2502270609584471</v>
      </c>
    </row>
    <row r="625" spans="1:20" x14ac:dyDescent="0.25">
      <c r="A625" s="5">
        <v>43968</v>
      </c>
      <c r="B625">
        <v>1.54</v>
      </c>
      <c r="C625">
        <v>1.5820000000000001</v>
      </c>
      <c r="D625">
        <v>1.5349999999999999</v>
      </c>
      <c r="E625">
        <v>1.5469999999999999</v>
      </c>
      <c r="F625">
        <v>1241389.1629999999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-0.48936170212766078</v>
      </c>
      <c r="Q625">
        <f t="shared" si="990"/>
        <v>-607488.31380851206</v>
      </c>
      <c r="R625">
        <f t="shared" si="991"/>
        <v>24856194.615701854</v>
      </c>
      <c r="S625">
        <f t="shared" si="992"/>
        <v>248.56194615701855</v>
      </c>
      <c r="T625">
        <f t="shared" si="993"/>
        <v>0.24856194615701854</v>
      </c>
    </row>
    <row r="626" spans="1:20" x14ac:dyDescent="0.25">
      <c r="A626" s="5">
        <v>43967</v>
      </c>
      <c r="B626">
        <v>1.5049999999999999</v>
      </c>
      <c r="C626">
        <v>1.5509999999999999</v>
      </c>
      <c r="D626">
        <v>1.4930000000000001</v>
      </c>
      <c r="E626">
        <v>1.54</v>
      </c>
      <c r="F626">
        <v>1375577.798</v>
      </c>
      <c r="G626">
        <v>0</v>
      </c>
      <c r="L626" t="s">
        <v>8</v>
      </c>
      <c r="M626" t="s">
        <v>7</v>
      </c>
      <c r="N626" t="s">
        <v>8</v>
      </c>
      <c r="P626">
        <f t="shared" si="989"/>
        <v>0.62068965517241614</v>
      </c>
      <c r="Q626">
        <f t="shared" si="990"/>
        <v>853806.90910345153</v>
      </c>
      <c r="R626">
        <f t="shared" si="991"/>
        <v>25463682.929510366</v>
      </c>
      <c r="S626">
        <f t="shared" si="992"/>
        <v>254.63682929510367</v>
      </c>
      <c r="T626">
        <f t="shared" si="993"/>
        <v>0.25463682929510367</v>
      </c>
    </row>
    <row r="627" spans="1:20" x14ac:dyDescent="0.25">
      <c r="A627" s="5">
        <v>43966</v>
      </c>
      <c r="B627">
        <v>1.5369999999999999</v>
      </c>
      <c r="C627">
        <v>1.5669999999999999</v>
      </c>
      <c r="D627">
        <v>1.482</v>
      </c>
      <c r="E627">
        <v>1.5009999999999999</v>
      </c>
      <c r="F627">
        <v>1788185.5549999999</v>
      </c>
      <c r="G627">
        <v>0</v>
      </c>
      <c r="L627" t="s">
        <v>8</v>
      </c>
      <c r="M627" t="s">
        <v>7</v>
      </c>
      <c r="N627" t="s">
        <v>8</v>
      </c>
      <c r="P627">
        <f t="shared" si="989"/>
        <v>-0.55294117647059027</v>
      </c>
      <c r="Q627">
        <f t="shared" si="990"/>
        <v>-988761.42452941532</v>
      </c>
      <c r="R627">
        <f t="shared" si="991"/>
        <v>24609876.020406913</v>
      </c>
      <c r="S627">
        <f t="shared" si="992"/>
        <v>246.09876020406912</v>
      </c>
      <c r="T627">
        <f t="shared" si="993"/>
        <v>0.24609876020406912</v>
      </c>
    </row>
    <row r="628" spans="1:20" x14ac:dyDescent="0.25">
      <c r="A628" s="5">
        <v>43965</v>
      </c>
      <c r="B628">
        <v>1.4910000000000001</v>
      </c>
      <c r="C628">
        <v>1.54</v>
      </c>
      <c r="D628">
        <v>1.4570000000000001</v>
      </c>
      <c r="E628">
        <v>1.536</v>
      </c>
      <c r="F628">
        <v>1858254.5449999999</v>
      </c>
      <c r="G628">
        <v>0</v>
      </c>
      <c r="L628" t="s">
        <v>8</v>
      </c>
      <c r="M628" t="s">
        <v>7</v>
      </c>
      <c r="N628" t="s">
        <v>8</v>
      </c>
      <c r="P628">
        <f t="shared" si="989"/>
        <v>0.90361445783132521</v>
      </c>
      <c r="Q628">
        <f t="shared" si="990"/>
        <v>1679145.6731927709</v>
      </c>
      <c r="R628">
        <f t="shared" si="991"/>
        <v>25598637.444936328</v>
      </c>
      <c r="S628">
        <f t="shared" si="992"/>
        <v>255.98637444936327</v>
      </c>
      <c r="T628">
        <f t="shared" si="993"/>
        <v>0.25598637444936329</v>
      </c>
    </row>
    <row r="629" spans="1:20" x14ac:dyDescent="0.25">
      <c r="A629" s="5">
        <v>43964</v>
      </c>
      <c r="B629">
        <v>1.466</v>
      </c>
      <c r="C629">
        <v>1.5049999999999999</v>
      </c>
      <c r="D629">
        <v>1.4550000000000001</v>
      </c>
      <c r="E629">
        <v>1.49</v>
      </c>
      <c r="F629">
        <v>976804.16099999996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0.4000000000000018</v>
      </c>
      <c r="Q629">
        <f t="shared" si="990"/>
        <v>390721.66440000175</v>
      </c>
      <c r="R629">
        <f t="shared" si="991"/>
        <v>23919491.771743558</v>
      </c>
      <c r="S629">
        <f t="shared" si="992"/>
        <v>239.19491771743557</v>
      </c>
      <c r="T629">
        <f t="shared" si="993"/>
        <v>0.23919491771743556</v>
      </c>
    </row>
    <row r="630" spans="1:20" x14ac:dyDescent="0.25">
      <c r="A630" s="5">
        <v>43963</v>
      </c>
      <c r="B630">
        <v>1.401</v>
      </c>
      <c r="C630">
        <v>1.48</v>
      </c>
      <c r="D630">
        <v>1.3959999999999999</v>
      </c>
      <c r="E630">
        <v>1.468</v>
      </c>
      <c r="F630">
        <v>1650057.031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0.7142857142857143</v>
      </c>
      <c r="Q630">
        <f t="shared" si="990"/>
        <v>1178612.165</v>
      </c>
      <c r="R630">
        <f t="shared" si="991"/>
        <v>23528770.107343558</v>
      </c>
      <c r="S630">
        <f t="shared" si="992"/>
        <v>235.28770107343558</v>
      </c>
      <c r="T630">
        <f t="shared" si="993"/>
        <v>0.23528770107343558</v>
      </c>
    </row>
    <row r="631" spans="1:20" x14ac:dyDescent="0.25">
      <c r="A631" s="5">
        <v>43962</v>
      </c>
      <c r="B631">
        <v>1.4419999999999999</v>
      </c>
      <c r="C631">
        <v>1.47</v>
      </c>
      <c r="D631">
        <v>1.3540000000000001</v>
      </c>
      <c r="E631">
        <v>1.401</v>
      </c>
      <c r="F631">
        <v>3421204.0830000001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-0.18965517241379345</v>
      </c>
      <c r="Q631">
        <f t="shared" si="990"/>
        <v>-648849.05022413912</v>
      </c>
      <c r="R631">
        <f t="shared" si="991"/>
        <v>22350157.942343559</v>
      </c>
      <c r="S631">
        <f t="shared" si="992"/>
        <v>223.5015794234356</v>
      </c>
      <c r="T631">
        <f t="shared" si="993"/>
        <v>0.2235015794234356</v>
      </c>
    </row>
    <row r="632" spans="1:20" x14ac:dyDescent="0.25">
      <c r="A632" s="5">
        <v>43961</v>
      </c>
      <c r="B632">
        <v>1.5940000000000001</v>
      </c>
      <c r="C632">
        <v>1.595</v>
      </c>
      <c r="D632">
        <v>1.359</v>
      </c>
      <c r="E632">
        <v>1.4419999999999999</v>
      </c>
      <c r="F632">
        <v>4983810.6160000004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-0.29661016949152569</v>
      </c>
      <c r="Q632">
        <f t="shared" si="990"/>
        <v>-1478248.9115254253</v>
      </c>
      <c r="R632">
        <f t="shared" si="991"/>
        <v>22999006.992567699</v>
      </c>
      <c r="S632">
        <f t="shared" si="992"/>
        <v>229.99006992567701</v>
      </c>
      <c r="T632">
        <f t="shared" si="993"/>
        <v>0.229990069925677</v>
      </c>
    </row>
    <row r="633" spans="1:20" x14ac:dyDescent="0.25">
      <c r="A633" s="5">
        <v>43960</v>
      </c>
      <c r="B633">
        <v>1.655</v>
      </c>
      <c r="C633">
        <v>1.7110000000000001</v>
      </c>
      <c r="D633">
        <v>1.58</v>
      </c>
      <c r="E633">
        <v>1.5940000000000001</v>
      </c>
      <c r="F633">
        <v>2934095.3470000001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-0.78625954198473269</v>
      </c>
      <c r="Q633">
        <f t="shared" si="990"/>
        <v>-2306960.4636717555</v>
      </c>
      <c r="R633">
        <f t="shared" si="991"/>
        <v>24477255.904093124</v>
      </c>
      <c r="S633">
        <f t="shared" si="992"/>
        <v>244.77255904093124</v>
      </c>
      <c r="T633">
        <f t="shared" si="993"/>
        <v>0.24477255904093123</v>
      </c>
    </row>
    <row r="634" spans="1:20" x14ac:dyDescent="0.25">
      <c r="A634" s="5">
        <v>43959</v>
      </c>
      <c r="B634">
        <v>1.59</v>
      </c>
      <c r="C634">
        <v>1.6950000000000001</v>
      </c>
      <c r="D634">
        <v>1.548</v>
      </c>
      <c r="E634">
        <v>1.657</v>
      </c>
      <c r="F634">
        <v>2110594.2850000001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0.48299319727891116</v>
      </c>
      <c r="Q634">
        <f t="shared" si="990"/>
        <v>1019402.6818707475</v>
      </c>
      <c r="R634">
        <f t="shared" si="991"/>
        <v>26784216.367764879</v>
      </c>
      <c r="S634">
        <f t="shared" si="992"/>
        <v>267.84216367764878</v>
      </c>
      <c r="T634">
        <f t="shared" si="993"/>
        <v>0.26784216367764879</v>
      </c>
    </row>
    <row r="635" spans="1:20" x14ac:dyDescent="0.25">
      <c r="A635" s="5">
        <v>43958</v>
      </c>
      <c r="B635">
        <v>1.5049999999999999</v>
      </c>
      <c r="C635">
        <v>1.6180000000000001</v>
      </c>
      <c r="D635">
        <v>1.492</v>
      </c>
      <c r="E635">
        <v>1.5880000000000001</v>
      </c>
      <c r="F635">
        <v>2165144.2409999999</v>
      </c>
      <c r="G635">
        <v>0</v>
      </c>
      <c r="L635" t="s">
        <v>8</v>
      </c>
      <c r="M635" t="s">
        <v>7</v>
      </c>
      <c r="N635" t="s">
        <v>8</v>
      </c>
      <c r="P635">
        <f t="shared" si="989"/>
        <v>0.52380952380952384</v>
      </c>
      <c r="Q635">
        <f t="shared" si="990"/>
        <v>1134123.1738571429</v>
      </c>
      <c r="R635">
        <f t="shared" si="991"/>
        <v>25764813.685894132</v>
      </c>
      <c r="S635">
        <f t="shared" si="992"/>
        <v>257.64813685894131</v>
      </c>
      <c r="T635">
        <f t="shared" si="993"/>
        <v>0.25764813685894133</v>
      </c>
    </row>
    <row r="636" spans="1:20" x14ac:dyDescent="0.25">
      <c r="A636" s="5">
        <v>43957</v>
      </c>
      <c r="B636">
        <v>1.546</v>
      </c>
      <c r="C636">
        <v>1.593</v>
      </c>
      <c r="D636">
        <v>1.488</v>
      </c>
      <c r="E636">
        <v>1.508</v>
      </c>
      <c r="F636">
        <v>1567600.5390000001</v>
      </c>
      <c r="G636">
        <v>0</v>
      </c>
      <c r="L636" t="s">
        <v>8</v>
      </c>
      <c r="M636" t="s">
        <v>7</v>
      </c>
      <c r="N636" t="s">
        <v>8</v>
      </c>
      <c r="P636">
        <f t="shared" si="989"/>
        <v>-0.61904761904761862</v>
      </c>
      <c r="Q636">
        <f t="shared" si="990"/>
        <v>-970419.38128571364</v>
      </c>
      <c r="R636">
        <f t="shared" si="991"/>
        <v>24630690.51203699</v>
      </c>
      <c r="S636">
        <f t="shared" si="992"/>
        <v>246.30690512036989</v>
      </c>
      <c r="T636">
        <f t="shared" si="993"/>
        <v>0.2463069051203699</v>
      </c>
    </row>
    <row r="637" spans="1:20" x14ac:dyDescent="0.25">
      <c r="A637" s="5">
        <v>43956</v>
      </c>
      <c r="B637">
        <v>1.5580000000000001</v>
      </c>
      <c r="C637">
        <v>1.587</v>
      </c>
      <c r="D637">
        <v>1.5109999999999999</v>
      </c>
      <c r="E637">
        <v>1.5469999999999999</v>
      </c>
      <c r="F637">
        <v>1733461.145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-5.2631578947368418E-2</v>
      </c>
      <c r="Q637">
        <f t="shared" si="990"/>
        <v>-91234.797105263147</v>
      </c>
      <c r="R637">
        <f t="shared" si="991"/>
        <v>25601109.893322702</v>
      </c>
      <c r="S637">
        <f t="shared" si="992"/>
        <v>256.011098933227</v>
      </c>
      <c r="T637">
        <f t="shared" si="993"/>
        <v>0.25601109893322699</v>
      </c>
    </row>
    <row r="638" spans="1:20" x14ac:dyDescent="0.25">
      <c r="A638" s="5">
        <v>43955</v>
      </c>
      <c r="B638">
        <v>1.589</v>
      </c>
      <c r="C638">
        <v>1.5940000000000001</v>
      </c>
      <c r="D638">
        <v>1.456</v>
      </c>
      <c r="E638">
        <v>1.5580000000000001</v>
      </c>
      <c r="F638">
        <v>2243091.915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0.47826086956521741</v>
      </c>
      <c r="Q638">
        <f t="shared" si="990"/>
        <v>1072783.0897826087</v>
      </c>
      <c r="R638">
        <f t="shared" si="991"/>
        <v>25692344.690427966</v>
      </c>
      <c r="S638">
        <f t="shared" si="992"/>
        <v>256.92344690427967</v>
      </c>
      <c r="T638">
        <f t="shared" si="993"/>
        <v>0.25692344690427965</v>
      </c>
    </row>
    <row r="639" spans="1:20" x14ac:dyDescent="0.25">
      <c r="A639" s="5">
        <v>43954</v>
      </c>
      <c r="B639">
        <v>1.643</v>
      </c>
      <c r="C639">
        <v>1.6679999999999999</v>
      </c>
      <c r="D639">
        <v>1.5529999999999999</v>
      </c>
      <c r="E639">
        <v>1.5840000000000001</v>
      </c>
      <c r="F639">
        <v>1373424.477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-0.46086956521738887</v>
      </c>
      <c r="Q639">
        <f t="shared" si="990"/>
        <v>-632969.54157390969</v>
      </c>
      <c r="R639">
        <f t="shared" si="991"/>
        <v>24619561.600645356</v>
      </c>
      <c r="S639">
        <f t="shared" si="992"/>
        <v>246.19561600645355</v>
      </c>
      <c r="T639">
        <f t="shared" si="993"/>
        <v>0.24619561600645354</v>
      </c>
    </row>
    <row r="640" spans="1:20" x14ac:dyDescent="0.25">
      <c r="A640" s="5">
        <v>43953</v>
      </c>
      <c r="B640">
        <v>1.585</v>
      </c>
      <c r="C640">
        <v>1.649</v>
      </c>
      <c r="D640">
        <v>1.5820000000000001</v>
      </c>
      <c r="E640">
        <v>1.6419999999999999</v>
      </c>
      <c r="F640">
        <v>921590.04599999997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0.79104477611939927</v>
      </c>
      <c r="Q640">
        <f t="shared" si="990"/>
        <v>729018.99161193683</v>
      </c>
      <c r="R640">
        <f t="shared" si="991"/>
        <v>25252531.142219264</v>
      </c>
      <c r="S640">
        <f t="shared" si="992"/>
        <v>252.52531142219263</v>
      </c>
      <c r="T640">
        <f t="shared" si="993"/>
        <v>0.25252531142219264</v>
      </c>
    </row>
    <row r="641" spans="1:20" x14ac:dyDescent="0.25">
      <c r="A641" s="5">
        <v>43952</v>
      </c>
      <c r="B641">
        <v>1.5369999999999999</v>
      </c>
      <c r="C641">
        <v>1.64</v>
      </c>
      <c r="D641">
        <v>1.5369999999999999</v>
      </c>
      <c r="E641">
        <v>1.585</v>
      </c>
      <c r="F641">
        <v>1423745.6459999999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-6.7961165048542688E-2</v>
      </c>
      <c r="Q641">
        <f t="shared" si="990"/>
        <v>-96759.412834950024</v>
      </c>
      <c r="R641">
        <f t="shared" si="991"/>
        <v>24523512.150607329</v>
      </c>
      <c r="S641">
        <f t="shared" si="992"/>
        <v>245.23512150607328</v>
      </c>
      <c r="T641">
        <f t="shared" si="993"/>
        <v>0.24523512150607329</v>
      </c>
    </row>
    <row r="642" spans="1:20" x14ac:dyDescent="0.25">
      <c r="A642" s="5">
        <v>43951</v>
      </c>
      <c r="B642">
        <v>1.633</v>
      </c>
      <c r="C642">
        <v>1.716</v>
      </c>
      <c r="D642">
        <v>1.5109999999999999</v>
      </c>
      <c r="E642">
        <v>1.536</v>
      </c>
      <c r="F642">
        <v>2860743.037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-0.75609756097560854</v>
      </c>
      <c r="Q642">
        <f t="shared" si="990"/>
        <v>-2163000.8328536549</v>
      </c>
      <c r="R642">
        <f t="shared" si="991"/>
        <v>24620271.563442279</v>
      </c>
      <c r="S642">
        <f t="shared" si="992"/>
        <v>246.20271563442279</v>
      </c>
      <c r="T642">
        <f t="shared" si="993"/>
        <v>0.24620271563442278</v>
      </c>
    </row>
    <row r="643" spans="1:20" x14ac:dyDescent="0.25">
      <c r="A643" s="5">
        <v>43950</v>
      </c>
      <c r="B643">
        <v>1.5249999999999999</v>
      </c>
      <c r="C643">
        <v>1.6559999999999999</v>
      </c>
      <c r="D643">
        <v>1.5229999999999999</v>
      </c>
      <c r="E643">
        <v>1.633</v>
      </c>
      <c r="F643">
        <v>2231114.2110000001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0.65413533834586601</v>
      </c>
      <c r="Q643">
        <f t="shared" si="990"/>
        <v>1459450.649300755</v>
      </c>
      <c r="R643">
        <f t="shared" si="991"/>
        <v>26783272.396295935</v>
      </c>
      <c r="S643">
        <f t="shared" si="992"/>
        <v>267.83272396295934</v>
      </c>
      <c r="T643">
        <f t="shared" si="993"/>
        <v>0.26783272396295932</v>
      </c>
    </row>
    <row r="644" spans="1:20" x14ac:dyDescent="0.25">
      <c r="A644" s="5">
        <v>43949</v>
      </c>
      <c r="B644">
        <v>1.506</v>
      </c>
      <c r="C644">
        <v>1.536</v>
      </c>
      <c r="D644">
        <v>1.4670000000000001</v>
      </c>
      <c r="E644">
        <v>1.5269999999999999</v>
      </c>
      <c r="F644">
        <v>864096.14300000004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0.73913043478260509</v>
      </c>
      <c r="Q644">
        <f t="shared" si="990"/>
        <v>638679.75786956213</v>
      </c>
      <c r="R644">
        <f t="shared" si="991"/>
        <v>25323821.746995181</v>
      </c>
      <c r="S644">
        <f t="shared" si="992"/>
        <v>253.23821746995182</v>
      </c>
      <c r="T644">
        <f t="shared" si="993"/>
        <v>0.25323821746995184</v>
      </c>
    </row>
    <row r="645" spans="1:20" x14ac:dyDescent="0.25">
      <c r="A645" s="5">
        <v>43948</v>
      </c>
      <c r="B645">
        <v>1.532</v>
      </c>
      <c r="C645">
        <v>1.5469999999999999</v>
      </c>
      <c r="D645">
        <v>1.4490000000000001</v>
      </c>
      <c r="E645">
        <v>1.5049999999999999</v>
      </c>
      <c r="F645">
        <v>1388430.091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0.14285714285714091</v>
      </c>
      <c r="Q645">
        <f t="shared" si="990"/>
        <v>198347.15585714014</v>
      </c>
      <c r="R645">
        <f t="shared" si="991"/>
        <v>24685141.989125617</v>
      </c>
      <c r="S645">
        <f t="shared" si="992"/>
        <v>246.85141989125617</v>
      </c>
      <c r="T645">
        <f t="shared" si="993"/>
        <v>0.24685141989125617</v>
      </c>
    </row>
    <row r="646" spans="1:20" x14ac:dyDescent="0.25">
      <c r="A646" s="5">
        <v>43947</v>
      </c>
      <c r="B646">
        <v>1.482</v>
      </c>
      <c r="C646">
        <v>1.5620000000000001</v>
      </c>
      <c r="D646">
        <v>1.4730000000000001</v>
      </c>
      <c r="E646">
        <v>1.532</v>
      </c>
      <c r="F646">
        <v>1626484.9609999999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0.32584269662921267</v>
      </c>
      <c r="Q646">
        <f t="shared" ref="Q646:Q709" si="995">F646*P646</f>
        <v>529978.24571909977</v>
      </c>
      <c r="R646">
        <f t="shared" ref="R646:R709" si="996">R647+Q646</f>
        <v>24486794.833268479</v>
      </c>
      <c r="S646">
        <f t="shared" ref="S646:S709" si="997">R646/100000</f>
        <v>244.86794833268479</v>
      </c>
      <c r="T646">
        <f t="shared" ref="T646:T709" si="998">S646/1000</f>
        <v>0.2448679483326848</v>
      </c>
    </row>
    <row r="647" spans="1:20" x14ac:dyDescent="0.25">
      <c r="A647" s="5">
        <v>43946</v>
      </c>
      <c r="B647">
        <v>1.427</v>
      </c>
      <c r="C647">
        <v>1.5349999999999999</v>
      </c>
      <c r="D647">
        <v>1.407</v>
      </c>
      <c r="E647">
        <v>1.482</v>
      </c>
      <c r="F647">
        <v>1897364.02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0.17187500000000031</v>
      </c>
      <c r="Q647">
        <f t="shared" si="995"/>
        <v>326109.44093750056</v>
      </c>
      <c r="R647">
        <f t="shared" si="996"/>
        <v>23956816.587549377</v>
      </c>
      <c r="S647">
        <f t="shared" si="997"/>
        <v>239.56816587549378</v>
      </c>
      <c r="T647">
        <f t="shared" si="998"/>
        <v>0.23956816587549379</v>
      </c>
    </row>
    <row r="648" spans="1:20" x14ac:dyDescent="0.25">
      <c r="A648" s="5">
        <v>43945</v>
      </c>
      <c r="B648">
        <v>1.389</v>
      </c>
      <c r="C648">
        <v>1.464</v>
      </c>
      <c r="D648">
        <v>1.389</v>
      </c>
      <c r="E648">
        <v>1.4259999999999999</v>
      </c>
      <c r="F648">
        <v>1588961.8459999999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-1.3333333333334833E-2</v>
      </c>
      <c r="Q648">
        <f t="shared" si="995"/>
        <v>-21186.157946669049</v>
      </c>
      <c r="R648">
        <f t="shared" si="996"/>
        <v>23630707.146611877</v>
      </c>
      <c r="S648">
        <f t="shared" si="997"/>
        <v>236.30707146611877</v>
      </c>
      <c r="T648">
        <f t="shared" si="998"/>
        <v>0.23630707146611876</v>
      </c>
    </row>
    <row r="649" spans="1:20" x14ac:dyDescent="0.25">
      <c r="A649" s="5">
        <v>43944</v>
      </c>
      <c r="B649">
        <v>1.3680000000000001</v>
      </c>
      <c r="C649">
        <v>1.431</v>
      </c>
      <c r="D649">
        <v>1.337</v>
      </c>
      <c r="E649">
        <v>1.389</v>
      </c>
      <c r="F649">
        <v>1802336.3670000001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0.10638297872340426</v>
      </c>
      <c r="Q649">
        <f t="shared" si="995"/>
        <v>191737.91138297872</v>
      </c>
      <c r="R649">
        <f t="shared" si="996"/>
        <v>23651893.304558545</v>
      </c>
      <c r="S649">
        <f t="shared" si="997"/>
        <v>236.51893304558544</v>
      </c>
      <c r="T649">
        <f t="shared" si="998"/>
        <v>0.23651893304558544</v>
      </c>
    </row>
    <row r="650" spans="1:20" x14ac:dyDescent="0.25">
      <c r="A650" s="5">
        <v>43943</v>
      </c>
      <c r="B650">
        <v>1.3149999999999999</v>
      </c>
      <c r="C650">
        <v>1.3859999999999999</v>
      </c>
      <c r="D650">
        <v>1.3069999999999999</v>
      </c>
      <c r="E650">
        <v>1.367</v>
      </c>
      <c r="F650">
        <v>1161988.827</v>
      </c>
      <c r="G650">
        <v>0</v>
      </c>
      <c r="L650" t="s">
        <v>7</v>
      </c>
      <c r="M650" t="s">
        <v>7</v>
      </c>
      <c r="N650" t="s">
        <v>8</v>
      </c>
      <c r="P650">
        <f t="shared" si="994"/>
        <v>0.518987341772154</v>
      </c>
      <c r="Q650">
        <f t="shared" si="995"/>
        <v>603057.49249367334</v>
      </c>
      <c r="R650">
        <f t="shared" si="996"/>
        <v>23460155.393175568</v>
      </c>
      <c r="S650">
        <f t="shared" si="997"/>
        <v>234.60155393175569</v>
      </c>
      <c r="T650">
        <f t="shared" si="998"/>
        <v>0.23460155393175569</v>
      </c>
    </row>
    <row r="651" spans="1:20" x14ac:dyDescent="0.25">
      <c r="A651" s="5">
        <v>43942</v>
      </c>
      <c r="B651">
        <v>1.31</v>
      </c>
      <c r="C651">
        <v>1.34</v>
      </c>
      <c r="D651">
        <v>1.2969999999999999</v>
      </c>
      <c r="E651">
        <v>1.3149999999999999</v>
      </c>
      <c r="F651">
        <v>1462190.132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-0.16279069767442075</v>
      </c>
      <c r="Q651">
        <f t="shared" si="995"/>
        <v>-238030.95172093337</v>
      </c>
      <c r="R651">
        <f t="shared" si="996"/>
        <v>22857097.900681894</v>
      </c>
      <c r="S651">
        <f t="shared" si="997"/>
        <v>228.57097900681893</v>
      </c>
      <c r="T651">
        <f t="shared" si="998"/>
        <v>0.22857097900681894</v>
      </c>
    </row>
    <row r="652" spans="1:20" x14ac:dyDescent="0.25">
      <c r="A652" s="5">
        <v>43941</v>
      </c>
      <c r="B652">
        <v>1.39</v>
      </c>
      <c r="C652">
        <v>1.4219999999999999</v>
      </c>
      <c r="D652">
        <v>1.2949999999999999</v>
      </c>
      <c r="E652">
        <v>1.3109999999999999</v>
      </c>
      <c r="F652">
        <v>2160133.04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-0.74803149606299191</v>
      </c>
      <c r="Q652">
        <f t="shared" si="995"/>
        <v>-1615847.5496062988</v>
      </c>
      <c r="R652">
        <f t="shared" si="996"/>
        <v>23095128.852402829</v>
      </c>
      <c r="S652">
        <f t="shared" si="997"/>
        <v>230.95128852402829</v>
      </c>
      <c r="T652">
        <f t="shared" si="998"/>
        <v>0.2309512885240283</v>
      </c>
    </row>
    <row r="653" spans="1:20" x14ac:dyDescent="0.25">
      <c r="A653" s="5">
        <v>43940</v>
      </c>
      <c r="B653">
        <v>1.4370000000000001</v>
      </c>
      <c r="C653">
        <v>1.44</v>
      </c>
      <c r="D653">
        <v>1.3759999999999999</v>
      </c>
      <c r="E653">
        <v>1.391</v>
      </c>
      <c r="F653">
        <v>1123885.115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-0.53124999999999656</v>
      </c>
      <c r="Q653">
        <f t="shared" si="995"/>
        <v>-597063.9673437461</v>
      </c>
      <c r="R653">
        <f t="shared" si="996"/>
        <v>24710976.402009126</v>
      </c>
      <c r="S653">
        <f t="shared" si="997"/>
        <v>247.10976402009126</v>
      </c>
      <c r="T653">
        <f t="shared" si="998"/>
        <v>0.24710976402009127</v>
      </c>
    </row>
    <row r="654" spans="1:20" x14ac:dyDescent="0.25">
      <c r="A654" s="5">
        <v>43939</v>
      </c>
      <c r="B654">
        <v>1.381</v>
      </c>
      <c r="C654">
        <v>1.4510000000000001</v>
      </c>
      <c r="D654">
        <v>1.379</v>
      </c>
      <c r="E654">
        <v>1.4370000000000001</v>
      </c>
      <c r="F654">
        <v>1308756.83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0.61111111111111116</v>
      </c>
      <c r="Q654">
        <f t="shared" si="995"/>
        <v>799795.84055555565</v>
      </c>
      <c r="R654">
        <f t="shared" si="996"/>
        <v>25308040.369352873</v>
      </c>
      <c r="S654">
        <f t="shared" si="997"/>
        <v>253.08040369352872</v>
      </c>
      <c r="T654">
        <f t="shared" si="998"/>
        <v>0.25308040369352874</v>
      </c>
    </row>
    <row r="655" spans="1:20" x14ac:dyDescent="0.25">
      <c r="A655" s="5">
        <v>43938</v>
      </c>
      <c r="B655">
        <v>1.403</v>
      </c>
      <c r="C655">
        <v>1.41</v>
      </c>
      <c r="D655">
        <v>1.371</v>
      </c>
      <c r="E655">
        <v>1.383</v>
      </c>
      <c r="F655">
        <v>1041728.753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-0.38461538461538286</v>
      </c>
      <c r="Q655">
        <f t="shared" si="995"/>
        <v>-400664.90499999817</v>
      </c>
      <c r="R655">
        <f t="shared" si="996"/>
        <v>24508244.528797317</v>
      </c>
      <c r="S655">
        <f t="shared" si="997"/>
        <v>245.08244528797317</v>
      </c>
      <c r="T655">
        <f t="shared" si="998"/>
        <v>0.24508244528797318</v>
      </c>
    </row>
    <row r="656" spans="1:20" x14ac:dyDescent="0.25">
      <c r="A656" s="5">
        <v>43937</v>
      </c>
      <c r="B656">
        <v>1.2949999999999999</v>
      </c>
      <c r="C656">
        <v>1.4330000000000001</v>
      </c>
      <c r="D656">
        <v>1.2609999999999999</v>
      </c>
      <c r="E656">
        <v>1.403</v>
      </c>
      <c r="F656">
        <v>2520543.7050000001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0.65116279069767447</v>
      </c>
      <c r="Q656">
        <f t="shared" si="995"/>
        <v>1641284.2730232559</v>
      </c>
      <c r="R656">
        <f t="shared" si="996"/>
        <v>24908909.433797315</v>
      </c>
      <c r="S656">
        <f t="shared" si="997"/>
        <v>249.08909433797314</v>
      </c>
      <c r="T656">
        <f t="shared" si="998"/>
        <v>0.24908909433797313</v>
      </c>
    </row>
    <row r="657" spans="1:20" x14ac:dyDescent="0.25">
      <c r="A657" s="5">
        <v>43936</v>
      </c>
      <c r="B657">
        <v>1.331</v>
      </c>
      <c r="C657">
        <v>1.3620000000000001</v>
      </c>
      <c r="D657">
        <v>1.2889999999999999</v>
      </c>
      <c r="E657">
        <v>1.2949999999999999</v>
      </c>
      <c r="F657">
        <v>1270663.578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-0.83561643835616461</v>
      </c>
      <c r="Q657">
        <f t="shared" si="995"/>
        <v>-1061787.3733972604</v>
      </c>
      <c r="R657">
        <f t="shared" si="996"/>
        <v>23267625.16077406</v>
      </c>
      <c r="S657">
        <f t="shared" si="997"/>
        <v>232.6762516077406</v>
      </c>
      <c r="T657">
        <f t="shared" si="998"/>
        <v>0.23267625160774061</v>
      </c>
    </row>
    <row r="658" spans="1:20" x14ac:dyDescent="0.25">
      <c r="A658" s="5">
        <v>43935</v>
      </c>
      <c r="B658">
        <v>1.343</v>
      </c>
      <c r="C658">
        <v>1.3620000000000001</v>
      </c>
      <c r="D658">
        <v>1.3180000000000001</v>
      </c>
      <c r="E658">
        <v>1.331</v>
      </c>
      <c r="F658">
        <v>1089647.95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-0.40909090909091411</v>
      </c>
      <c r="Q658">
        <f t="shared" si="995"/>
        <v>-445765.07045455091</v>
      </c>
      <c r="R658">
        <f t="shared" si="996"/>
        <v>24329412.53417132</v>
      </c>
      <c r="S658">
        <f t="shared" si="997"/>
        <v>243.2941253417132</v>
      </c>
      <c r="T658">
        <f t="shared" si="998"/>
        <v>0.24329412534171319</v>
      </c>
    </row>
    <row r="659" spans="1:20" x14ac:dyDescent="0.25">
      <c r="A659" s="5">
        <v>43934</v>
      </c>
      <c r="B659">
        <v>1.36</v>
      </c>
      <c r="C659">
        <v>1.36</v>
      </c>
      <c r="D659">
        <v>1.292</v>
      </c>
      <c r="E659">
        <v>1.341</v>
      </c>
      <c r="F659">
        <v>1913876.804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0.44117647058823201</v>
      </c>
      <c r="Q659">
        <f t="shared" si="995"/>
        <v>844357.41352940549</v>
      </c>
      <c r="R659">
        <f t="shared" si="996"/>
        <v>24775177.60462587</v>
      </c>
      <c r="S659">
        <f t="shared" si="997"/>
        <v>247.7517760462587</v>
      </c>
      <c r="T659">
        <f t="shared" si="998"/>
        <v>0.2477517760462587</v>
      </c>
    </row>
    <row r="660" spans="1:20" x14ac:dyDescent="0.25">
      <c r="A660" s="5">
        <v>43933</v>
      </c>
      <c r="B660">
        <v>1.349</v>
      </c>
      <c r="C660">
        <v>1.419</v>
      </c>
      <c r="D660">
        <v>1.3220000000000001</v>
      </c>
      <c r="E660">
        <v>1.36</v>
      </c>
      <c r="F660">
        <v>1073752.2579999999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-0.21649484536082383</v>
      </c>
      <c r="Q660">
        <f t="shared" si="995"/>
        <v>-232461.82905154538</v>
      </c>
      <c r="R660">
        <f t="shared" si="996"/>
        <v>23930820.191096462</v>
      </c>
      <c r="S660">
        <f t="shared" si="997"/>
        <v>239.30820191096461</v>
      </c>
      <c r="T660">
        <f t="shared" si="998"/>
        <v>0.23930820191096461</v>
      </c>
    </row>
    <row r="661" spans="1:20" x14ac:dyDescent="0.25">
      <c r="A661" s="5">
        <v>43932</v>
      </c>
      <c r="B661">
        <v>1.3420000000000001</v>
      </c>
      <c r="C661">
        <v>1.383</v>
      </c>
      <c r="D661">
        <v>1.3109999999999999</v>
      </c>
      <c r="E661">
        <v>1.3480000000000001</v>
      </c>
      <c r="F661">
        <v>1293198.2490000001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2.7777777777780861E-2</v>
      </c>
      <c r="Q661">
        <f t="shared" si="995"/>
        <v>35922.173583337324</v>
      </c>
      <c r="R661">
        <f t="shared" si="996"/>
        <v>24163282.020148009</v>
      </c>
      <c r="S661">
        <f t="shared" si="997"/>
        <v>241.63282020148009</v>
      </c>
      <c r="T661">
        <f t="shared" si="998"/>
        <v>0.24163282020148008</v>
      </c>
    </row>
    <row r="662" spans="1:20" x14ac:dyDescent="0.25">
      <c r="A662" s="5">
        <v>43931</v>
      </c>
      <c r="B662">
        <v>1.4750000000000001</v>
      </c>
      <c r="C662">
        <v>1.494</v>
      </c>
      <c r="D662">
        <v>1.2909999999999999</v>
      </c>
      <c r="E662">
        <v>1.341</v>
      </c>
      <c r="F662">
        <v>2986384.0180000002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-0.50738916256157607</v>
      </c>
      <c r="Q662">
        <f t="shared" si="995"/>
        <v>-1515258.8859802948</v>
      </c>
      <c r="R662">
        <f t="shared" si="996"/>
        <v>24127359.846564673</v>
      </c>
      <c r="S662">
        <f t="shared" si="997"/>
        <v>241.27359846564673</v>
      </c>
      <c r="T662">
        <f t="shared" si="998"/>
        <v>0.24127359846564672</v>
      </c>
    </row>
    <row r="663" spans="1:20" x14ac:dyDescent="0.25">
      <c r="A663" s="5">
        <v>43930</v>
      </c>
      <c r="B663">
        <v>1.5009999999999999</v>
      </c>
      <c r="C663">
        <v>1.5229999999999999</v>
      </c>
      <c r="D663">
        <v>1.43</v>
      </c>
      <c r="E663">
        <v>1.476</v>
      </c>
      <c r="F663">
        <v>1798994.7790000001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-1.075268817204183E-2</v>
      </c>
      <c r="Q663">
        <f t="shared" si="995"/>
        <v>-19344.029881718307</v>
      </c>
      <c r="R663">
        <f t="shared" si="996"/>
        <v>25642618.732544966</v>
      </c>
      <c r="S663">
        <f t="shared" si="997"/>
        <v>256.42618732544963</v>
      </c>
      <c r="T663">
        <f t="shared" si="998"/>
        <v>0.25642618732544964</v>
      </c>
    </row>
    <row r="664" spans="1:20" x14ac:dyDescent="0.25">
      <c r="A664" s="5">
        <v>43929</v>
      </c>
      <c r="B664">
        <v>1.3740000000000001</v>
      </c>
      <c r="C664">
        <v>1.5049999999999999</v>
      </c>
      <c r="D664">
        <v>1.3640000000000001</v>
      </c>
      <c r="E664">
        <v>1.5</v>
      </c>
      <c r="F664">
        <v>2926019.73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0.92907801418439862</v>
      </c>
      <c r="Q664">
        <f t="shared" si="995"/>
        <v>2718500.60021277</v>
      </c>
      <c r="R664">
        <f t="shared" si="996"/>
        <v>25661962.762426686</v>
      </c>
      <c r="S664">
        <f t="shared" si="997"/>
        <v>256.61962762426685</v>
      </c>
      <c r="T664">
        <f t="shared" si="998"/>
        <v>0.25661962762426688</v>
      </c>
    </row>
    <row r="665" spans="1:20" x14ac:dyDescent="0.25">
      <c r="A665" s="5">
        <v>43928</v>
      </c>
      <c r="B665">
        <v>1.4159999999999999</v>
      </c>
      <c r="C665">
        <v>1.448</v>
      </c>
      <c r="D665">
        <v>1.347</v>
      </c>
      <c r="E665">
        <v>1.375</v>
      </c>
      <c r="F665">
        <v>2536904.412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-0.44554455445544494</v>
      </c>
      <c r="Q665">
        <f t="shared" si="995"/>
        <v>-1130303.9459405926</v>
      </c>
      <c r="R665">
        <f t="shared" si="996"/>
        <v>22943462.162213914</v>
      </c>
      <c r="S665">
        <f t="shared" si="997"/>
        <v>229.43462162213913</v>
      </c>
      <c r="T665">
        <f t="shared" si="998"/>
        <v>0.22943462162213912</v>
      </c>
    </row>
    <row r="666" spans="1:20" x14ac:dyDescent="0.25">
      <c r="A666" s="5">
        <v>43927</v>
      </c>
      <c r="B666">
        <v>1.258</v>
      </c>
      <c r="C666">
        <v>1.42</v>
      </c>
      <c r="D666">
        <v>1.2569999999999999</v>
      </c>
      <c r="E666">
        <v>1.4159999999999999</v>
      </c>
      <c r="F666">
        <v>2620959.9369999999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0.95092024539877296</v>
      </c>
      <c r="Q666">
        <f t="shared" si="995"/>
        <v>2492323.8664723923</v>
      </c>
      <c r="R666">
        <f t="shared" si="996"/>
        <v>24073766.108154505</v>
      </c>
      <c r="S666">
        <f t="shared" si="997"/>
        <v>240.73766108154504</v>
      </c>
      <c r="T666">
        <f t="shared" si="998"/>
        <v>0.24073766108154504</v>
      </c>
    </row>
    <row r="667" spans="1:20" x14ac:dyDescent="0.25">
      <c r="A667" s="5">
        <v>43926</v>
      </c>
      <c r="B667">
        <v>1.2909999999999999</v>
      </c>
      <c r="C667">
        <v>1.2989999999999999</v>
      </c>
      <c r="D667">
        <v>1.2410000000000001</v>
      </c>
      <c r="E667">
        <v>1.258</v>
      </c>
      <c r="F667">
        <v>1090706.7239999999</v>
      </c>
      <c r="G667">
        <v>0</v>
      </c>
      <c r="L667" t="s">
        <v>8</v>
      </c>
      <c r="M667" t="s">
        <v>7</v>
      </c>
      <c r="N667" t="s">
        <v>8</v>
      </c>
      <c r="P667">
        <f t="shared" si="994"/>
        <v>-0.41379310344827747</v>
      </c>
      <c r="Q667">
        <f t="shared" si="995"/>
        <v>-451326.92027586378</v>
      </c>
      <c r="R667">
        <f t="shared" si="996"/>
        <v>21581442.241682112</v>
      </c>
      <c r="S667">
        <f t="shared" si="997"/>
        <v>215.81442241682112</v>
      </c>
      <c r="T667">
        <f t="shared" si="998"/>
        <v>0.21581442241682111</v>
      </c>
    </row>
    <row r="668" spans="1:20" x14ac:dyDescent="0.25">
      <c r="A668" s="5">
        <v>43925</v>
      </c>
      <c r="B668">
        <v>1.268</v>
      </c>
      <c r="C668">
        <v>1.302</v>
      </c>
      <c r="D668">
        <v>1.2430000000000001</v>
      </c>
      <c r="E668">
        <v>1.29</v>
      </c>
      <c r="F668">
        <v>1388502.1950000001</v>
      </c>
      <c r="G668">
        <v>0</v>
      </c>
      <c r="L668" t="s">
        <v>8</v>
      </c>
      <c r="M668" t="s">
        <v>7</v>
      </c>
      <c r="N668" t="s">
        <v>8</v>
      </c>
      <c r="P668">
        <f t="shared" si="994"/>
        <v>0.59322033898305004</v>
      </c>
      <c r="Q668">
        <f t="shared" si="995"/>
        <v>823687.74279660906</v>
      </c>
      <c r="R668">
        <f t="shared" si="996"/>
        <v>22032769.161957975</v>
      </c>
      <c r="S668">
        <f t="shared" si="997"/>
        <v>220.32769161957975</v>
      </c>
      <c r="T668">
        <f t="shared" si="998"/>
        <v>0.22032769161957974</v>
      </c>
    </row>
    <row r="669" spans="1:20" x14ac:dyDescent="0.25">
      <c r="A669" s="5">
        <v>43924</v>
      </c>
      <c r="B669">
        <v>1.2669999999999999</v>
      </c>
      <c r="C669">
        <v>1.3009999999999999</v>
      </c>
      <c r="D669">
        <v>1.2410000000000001</v>
      </c>
      <c r="E669">
        <v>1.268</v>
      </c>
      <c r="F669">
        <v>1937881.9380000001</v>
      </c>
      <c r="G669">
        <v>0</v>
      </c>
      <c r="L669" t="s">
        <v>8</v>
      </c>
      <c r="M669" t="s">
        <v>7</v>
      </c>
      <c r="N669" t="s">
        <v>8</v>
      </c>
      <c r="P669">
        <f t="shared" si="994"/>
        <v>-0.10000000000000037</v>
      </c>
      <c r="Q669">
        <f t="shared" si="995"/>
        <v>-193788.19380000071</v>
      </c>
      <c r="R669">
        <f t="shared" si="996"/>
        <v>21209081.419161368</v>
      </c>
      <c r="S669">
        <f t="shared" si="997"/>
        <v>212.09081419161367</v>
      </c>
      <c r="T669">
        <f t="shared" si="998"/>
        <v>0.21209081419161369</v>
      </c>
    </row>
    <row r="670" spans="1:20" x14ac:dyDescent="0.25">
      <c r="A670" s="5">
        <v>43923</v>
      </c>
      <c r="B670">
        <v>1.2230000000000001</v>
      </c>
      <c r="C670">
        <v>1.3160000000000001</v>
      </c>
      <c r="D670">
        <v>1.216</v>
      </c>
      <c r="E670">
        <v>1.268</v>
      </c>
      <c r="F670">
        <v>1852939.922</v>
      </c>
      <c r="G670">
        <v>0</v>
      </c>
      <c r="L670" t="s">
        <v>8</v>
      </c>
      <c r="M670" t="s">
        <v>7</v>
      </c>
      <c r="N670" t="s">
        <v>8</v>
      </c>
      <c r="P670">
        <f t="shared" si="994"/>
        <v>0.04</v>
      </c>
      <c r="Q670">
        <f t="shared" si="995"/>
        <v>74117.596879999997</v>
      </c>
      <c r="R670">
        <f t="shared" si="996"/>
        <v>21402869.61296137</v>
      </c>
      <c r="S670">
        <f t="shared" si="997"/>
        <v>214.02869612961371</v>
      </c>
      <c r="T670">
        <f t="shared" si="998"/>
        <v>0.2140286961296137</v>
      </c>
    </row>
    <row r="671" spans="1:20" x14ac:dyDescent="0.25">
      <c r="A671" s="5">
        <v>43922</v>
      </c>
      <c r="B671">
        <v>1.21</v>
      </c>
      <c r="C671">
        <v>1.232</v>
      </c>
      <c r="D671">
        <v>1.17</v>
      </c>
      <c r="E671">
        <v>1.2230000000000001</v>
      </c>
      <c r="F671">
        <v>1322484.4110000001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0.7096774193548423</v>
      </c>
      <c r="Q671">
        <f t="shared" si="995"/>
        <v>938537.3239354887</v>
      </c>
      <c r="R671">
        <f t="shared" si="996"/>
        <v>21328752.01608137</v>
      </c>
      <c r="S671">
        <f t="shared" si="997"/>
        <v>213.2875201608137</v>
      </c>
      <c r="T671">
        <f t="shared" si="998"/>
        <v>0.2132875201608137</v>
      </c>
    </row>
    <row r="672" spans="1:20" x14ac:dyDescent="0.25">
      <c r="A672" s="5">
        <v>43921</v>
      </c>
      <c r="B672">
        <v>1.1990000000000001</v>
      </c>
      <c r="C672">
        <v>1.2370000000000001</v>
      </c>
      <c r="D672">
        <v>1.1850000000000001</v>
      </c>
      <c r="E672">
        <v>1.21</v>
      </c>
      <c r="F672">
        <v>1122665.2409999999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-3.8461538461542731E-2</v>
      </c>
      <c r="Q672">
        <f t="shared" si="995"/>
        <v>-43179.432346158639</v>
      </c>
      <c r="R672">
        <f t="shared" si="996"/>
        <v>20390214.69214588</v>
      </c>
      <c r="S672">
        <f t="shared" si="997"/>
        <v>203.90214692145881</v>
      </c>
      <c r="T672">
        <f t="shared" si="998"/>
        <v>0.2039021469214588</v>
      </c>
    </row>
    <row r="673" spans="1:20" x14ac:dyDescent="0.25">
      <c r="A673" s="5">
        <v>43920</v>
      </c>
      <c r="B673">
        <v>1.1419999999999999</v>
      </c>
      <c r="C673">
        <v>1.226</v>
      </c>
      <c r="D673">
        <v>1.139</v>
      </c>
      <c r="E673">
        <v>1.1970000000000001</v>
      </c>
      <c r="F673">
        <v>1695119.4890000001</v>
      </c>
      <c r="G673">
        <v>0</v>
      </c>
      <c r="L673" t="s">
        <v>7</v>
      </c>
      <c r="M673" t="s">
        <v>7</v>
      </c>
      <c r="N673" t="s">
        <v>8</v>
      </c>
      <c r="P673">
        <f t="shared" si="994"/>
        <v>0.33333333333333504</v>
      </c>
      <c r="Q673">
        <f t="shared" si="995"/>
        <v>565039.8296666696</v>
      </c>
      <c r="R673">
        <f t="shared" si="996"/>
        <v>20433394.124492038</v>
      </c>
      <c r="S673">
        <f t="shared" si="997"/>
        <v>204.33394124492037</v>
      </c>
      <c r="T673">
        <f t="shared" si="998"/>
        <v>0.20433394124492038</v>
      </c>
    </row>
    <row r="674" spans="1:20" x14ac:dyDescent="0.25">
      <c r="A674" s="5">
        <v>43919</v>
      </c>
      <c r="B674">
        <v>1.214</v>
      </c>
      <c r="C674">
        <v>1.2190000000000001</v>
      </c>
      <c r="D674">
        <v>1.133</v>
      </c>
      <c r="E674">
        <v>1.141</v>
      </c>
      <c r="F674">
        <v>1030799.1580000001</v>
      </c>
      <c r="G674">
        <v>0</v>
      </c>
      <c r="L674" t="s">
        <v>8</v>
      </c>
      <c r="M674" t="s">
        <v>7</v>
      </c>
      <c r="N674" t="s">
        <v>8</v>
      </c>
      <c r="P674">
        <f t="shared" si="994"/>
        <v>-0.81395348837209303</v>
      </c>
      <c r="Q674">
        <f t="shared" si="995"/>
        <v>-839022.5704651163</v>
      </c>
      <c r="R674">
        <f t="shared" si="996"/>
        <v>19868354.294825368</v>
      </c>
      <c r="S674">
        <f t="shared" si="997"/>
        <v>198.68354294825369</v>
      </c>
      <c r="T674">
        <f t="shared" si="998"/>
        <v>0.19868354294825369</v>
      </c>
    </row>
    <row r="675" spans="1:20" x14ac:dyDescent="0.25">
      <c r="A675" s="5">
        <v>43918</v>
      </c>
      <c r="B675">
        <v>1.2030000000000001</v>
      </c>
      <c r="C675">
        <v>1.23</v>
      </c>
      <c r="D675">
        <v>1.1479999999999999</v>
      </c>
      <c r="E675">
        <v>1.2130000000000001</v>
      </c>
      <c r="F675">
        <v>1567125.9750000001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0.58536585365853933</v>
      </c>
      <c r="Q675">
        <f t="shared" si="995"/>
        <v>917342.0341463458</v>
      </c>
      <c r="R675">
        <f t="shared" si="996"/>
        <v>20707376.865290485</v>
      </c>
      <c r="S675">
        <f t="shared" si="997"/>
        <v>207.07376865290485</v>
      </c>
      <c r="T675">
        <f t="shared" si="998"/>
        <v>0.20707376865290483</v>
      </c>
    </row>
    <row r="676" spans="1:20" x14ac:dyDescent="0.25">
      <c r="A676" s="5">
        <v>43917</v>
      </c>
      <c r="B676">
        <v>1.278</v>
      </c>
      <c r="C676">
        <v>1.29</v>
      </c>
      <c r="D676">
        <v>1.2</v>
      </c>
      <c r="E676">
        <v>1.204</v>
      </c>
      <c r="F676">
        <v>1370070.6910000001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-0.91111111111111109</v>
      </c>
      <c r="Q676">
        <f t="shared" si="995"/>
        <v>-1248286.6295777778</v>
      </c>
      <c r="R676">
        <f t="shared" si="996"/>
        <v>19790034.831144139</v>
      </c>
      <c r="S676">
        <f t="shared" si="997"/>
        <v>197.90034831144141</v>
      </c>
      <c r="T676">
        <f t="shared" si="998"/>
        <v>0.1979003483114414</v>
      </c>
    </row>
    <row r="677" spans="1:20" x14ac:dyDescent="0.25">
      <c r="A677" s="5">
        <v>43916</v>
      </c>
      <c r="B677">
        <v>1.2609999999999999</v>
      </c>
      <c r="C677">
        <v>1.286</v>
      </c>
      <c r="D677">
        <v>1.22</v>
      </c>
      <c r="E677">
        <v>1.2769999999999999</v>
      </c>
      <c r="F677">
        <v>1424026.622</v>
      </c>
      <c r="G677">
        <v>0</v>
      </c>
      <c r="L677" t="s">
        <v>7</v>
      </c>
      <c r="M677" t="s">
        <v>7</v>
      </c>
      <c r="N677" t="s">
        <v>8</v>
      </c>
      <c r="P677">
        <f t="shared" si="994"/>
        <v>0.72727272727272396</v>
      </c>
      <c r="Q677">
        <f t="shared" si="995"/>
        <v>1035655.7250909044</v>
      </c>
      <c r="R677">
        <f t="shared" si="996"/>
        <v>21038321.460721917</v>
      </c>
      <c r="S677">
        <f t="shared" si="997"/>
        <v>210.38321460721917</v>
      </c>
      <c r="T677">
        <f t="shared" si="998"/>
        <v>0.21038321460721918</v>
      </c>
    </row>
    <row r="678" spans="1:20" x14ac:dyDescent="0.25">
      <c r="A678" s="5">
        <v>43915</v>
      </c>
      <c r="B678">
        <v>1.272</v>
      </c>
      <c r="C678">
        <v>1.278</v>
      </c>
      <c r="D678">
        <v>1.204</v>
      </c>
      <c r="E678">
        <v>1.2609999999999999</v>
      </c>
      <c r="F678">
        <v>1736484.5319999999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0.54054054054053757</v>
      </c>
      <c r="Q678">
        <f t="shared" si="995"/>
        <v>938640.28756756231</v>
      </c>
      <c r="R678">
        <f t="shared" si="996"/>
        <v>20002665.735631011</v>
      </c>
      <c r="S678">
        <f t="shared" si="997"/>
        <v>200.02665735631012</v>
      </c>
      <c r="T678">
        <f t="shared" si="998"/>
        <v>0.20002665735631012</v>
      </c>
    </row>
    <row r="679" spans="1:20" x14ac:dyDescent="0.25">
      <c r="A679" s="5">
        <v>43914</v>
      </c>
      <c r="B679">
        <v>1.234</v>
      </c>
      <c r="C679">
        <v>1.294</v>
      </c>
      <c r="D679">
        <v>1.21</v>
      </c>
      <c r="E679">
        <v>1.272</v>
      </c>
      <c r="F679">
        <v>2966379.0610000002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0.47619047619047616</v>
      </c>
      <c r="Q679">
        <f t="shared" si="995"/>
        <v>1412561.4576190477</v>
      </c>
      <c r="R679">
        <f t="shared" si="996"/>
        <v>19064025.448063448</v>
      </c>
      <c r="S679">
        <f t="shared" si="997"/>
        <v>190.64025448063447</v>
      </c>
      <c r="T679">
        <f t="shared" si="998"/>
        <v>0.19064025448063446</v>
      </c>
    </row>
    <row r="680" spans="1:20" x14ac:dyDescent="0.25">
      <c r="A680" s="5">
        <v>43913</v>
      </c>
      <c r="B680">
        <v>1.1459999999999999</v>
      </c>
      <c r="C680">
        <v>1.26</v>
      </c>
      <c r="D680">
        <v>1.1279999999999999</v>
      </c>
      <c r="E680">
        <v>1.234</v>
      </c>
      <c r="F680">
        <v>2307482.523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0.60606060606060608</v>
      </c>
      <c r="Q680">
        <f t="shared" si="995"/>
        <v>1398474.2563636363</v>
      </c>
      <c r="R680">
        <f t="shared" si="996"/>
        <v>17651463.990444399</v>
      </c>
      <c r="S680">
        <f t="shared" si="997"/>
        <v>176.51463990444398</v>
      </c>
      <c r="T680">
        <f t="shared" si="998"/>
        <v>0.17651463990444399</v>
      </c>
    </row>
    <row r="681" spans="1:20" x14ac:dyDescent="0.25">
      <c r="A681" s="5">
        <v>43912</v>
      </c>
      <c r="B681">
        <v>1.2310000000000001</v>
      </c>
      <c r="C681">
        <v>1.278</v>
      </c>
      <c r="D681">
        <v>1.133</v>
      </c>
      <c r="E681">
        <v>1.147</v>
      </c>
      <c r="F681">
        <v>2473003.7969999998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-0.80689655172413777</v>
      </c>
      <c r="Q681">
        <f t="shared" si="995"/>
        <v>-1995458.2361999995</v>
      </c>
      <c r="R681">
        <f t="shared" si="996"/>
        <v>16252989.734080764</v>
      </c>
      <c r="S681">
        <f t="shared" si="997"/>
        <v>162.52989734080762</v>
      </c>
      <c r="T681">
        <f t="shared" si="998"/>
        <v>0.16252989734080761</v>
      </c>
    </row>
    <row r="682" spans="1:20" x14ac:dyDescent="0.25">
      <c r="A682" s="5">
        <v>43911</v>
      </c>
      <c r="B682">
        <v>1.2310000000000001</v>
      </c>
      <c r="C682">
        <v>1.2829999999999999</v>
      </c>
      <c r="D682">
        <v>1.1759999999999999</v>
      </c>
      <c r="E682">
        <v>1.232</v>
      </c>
      <c r="F682">
        <v>3484320.7349999999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4.672897196261791E-2</v>
      </c>
      <c r="Q682">
        <f t="shared" si="995"/>
        <v>162818.72593458323</v>
      </c>
      <c r="R682">
        <f t="shared" si="996"/>
        <v>18248447.970280763</v>
      </c>
      <c r="S682">
        <f t="shared" si="997"/>
        <v>182.48447970280762</v>
      </c>
      <c r="T682">
        <f t="shared" si="998"/>
        <v>0.18248447970280762</v>
      </c>
    </row>
    <row r="683" spans="1:20" x14ac:dyDescent="0.25">
      <c r="A683" s="5">
        <v>43910</v>
      </c>
      <c r="B683">
        <v>1.2549999999999999</v>
      </c>
      <c r="C683">
        <v>1.375</v>
      </c>
      <c r="D683">
        <v>1.123</v>
      </c>
      <c r="E683">
        <v>1.232</v>
      </c>
      <c r="F683">
        <v>4129042.4219999998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-0.13492063492063505</v>
      </c>
      <c r="Q683">
        <f t="shared" si="995"/>
        <v>-557093.02519047668</v>
      </c>
      <c r="R683">
        <f t="shared" si="996"/>
        <v>18085629.244346179</v>
      </c>
      <c r="S683">
        <f t="shared" si="997"/>
        <v>180.8562924434618</v>
      </c>
      <c r="T683">
        <f t="shared" si="998"/>
        <v>0.1808562924434618</v>
      </c>
    </row>
    <row r="684" spans="1:20" x14ac:dyDescent="0.25">
      <c r="A684" s="5">
        <v>43909</v>
      </c>
      <c r="B684">
        <v>1.111</v>
      </c>
      <c r="C684">
        <v>1.3149999999999999</v>
      </c>
      <c r="D684">
        <v>1.095</v>
      </c>
      <c r="E684">
        <v>1.256</v>
      </c>
      <c r="F684">
        <v>3846926.6170000001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0.46363636363636412</v>
      </c>
      <c r="Q684">
        <f t="shared" si="995"/>
        <v>1783575.06788182</v>
      </c>
      <c r="R684">
        <f t="shared" si="996"/>
        <v>18642722.269536655</v>
      </c>
      <c r="S684">
        <f t="shared" si="997"/>
        <v>186.42722269536657</v>
      </c>
      <c r="T684">
        <f t="shared" si="998"/>
        <v>0.18642722269536657</v>
      </c>
    </row>
    <row r="685" spans="1:20" x14ac:dyDescent="0.25">
      <c r="A685" s="5">
        <v>43908</v>
      </c>
      <c r="B685">
        <v>1.0980000000000001</v>
      </c>
      <c r="C685">
        <v>1.1180000000000001</v>
      </c>
      <c r="D685">
        <v>1.0149999999999999</v>
      </c>
      <c r="E685">
        <v>1.111</v>
      </c>
      <c r="F685">
        <v>2422996.7149999999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0.86407766990291057</v>
      </c>
      <c r="Q685">
        <f t="shared" si="995"/>
        <v>2093657.3556796066</v>
      </c>
      <c r="R685">
        <f t="shared" si="996"/>
        <v>16859147.201654837</v>
      </c>
      <c r="S685">
        <f t="shared" si="997"/>
        <v>168.59147201654835</v>
      </c>
      <c r="T685">
        <f t="shared" si="998"/>
        <v>0.16859147201654834</v>
      </c>
    </row>
    <row r="686" spans="1:20" x14ac:dyDescent="0.25">
      <c r="A686" s="5">
        <v>43907</v>
      </c>
      <c r="B686">
        <v>1.0489999999999999</v>
      </c>
      <c r="C686">
        <v>1.1519999999999999</v>
      </c>
      <c r="D686">
        <v>1.028</v>
      </c>
      <c r="E686">
        <v>1.097</v>
      </c>
      <c r="F686">
        <v>3166174.2379999999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0.11290322580645182</v>
      </c>
      <c r="Q686">
        <f t="shared" si="995"/>
        <v>357471.28493548452</v>
      </c>
      <c r="R686">
        <f t="shared" si="996"/>
        <v>14765489.845975231</v>
      </c>
      <c r="S686">
        <f t="shared" si="997"/>
        <v>147.6548984597523</v>
      </c>
      <c r="T686">
        <f t="shared" si="998"/>
        <v>0.1476548984597523</v>
      </c>
    </row>
    <row r="687" spans="1:20" x14ac:dyDescent="0.25">
      <c r="A687" s="5">
        <v>43906</v>
      </c>
      <c r="B687">
        <v>1.2090000000000001</v>
      </c>
      <c r="C687">
        <v>1.2110000000000001</v>
      </c>
      <c r="D687">
        <v>0.90400000000000003</v>
      </c>
      <c r="E687">
        <v>1.0469999999999999</v>
      </c>
      <c r="F687">
        <v>6218009.8959999997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-6.840390879478904E-2</v>
      </c>
      <c r="Q687">
        <f t="shared" si="995"/>
        <v>-425336.18181107967</v>
      </c>
      <c r="R687">
        <f t="shared" si="996"/>
        <v>14408018.561039748</v>
      </c>
      <c r="S687">
        <f t="shared" si="997"/>
        <v>144.08018561039748</v>
      </c>
      <c r="T687">
        <f t="shared" si="998"/>
        <v>0.14408018561039748</v>
      </c>
    </row>
    <row r="688" spans="1:20" x14ac:dyDescent="0.25">
      <c r="A688" s="5">
        <v>43905</v>
      </c>
      <c r="B688">
        <v>1.173</v>
      </c>
      <c r="C688">
        <v>1.282</v>
      </c>
      <c r="D688">
        <v>1.1599999999999999</v>
      </c>
      <c r="E688">
        <v>1.2090000000000001</v>
      </c>
      <c r="F688">
        <v>2147005.4569999999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-0.19672131147540803</v>
      </c>
      <c r="Q688">
        <f t="shared" si="995"/>
        <v>-422361.72924589773</v>
      </c>
      <c r="R688">
        <f t="shared" si="996"/>
        <v>14833354.742850827</v>
      </c>
      <c r="S688">
        <f t="shared" si="997"/>
        <v>148.33354742850827</v>
      </c>
      <c r="T688">
        <f t="shared" si="998"/>
        <v>0.14833354742850827</v>
      </c>
    </row>
    <row r="689" spans="1:20" x14ac:dyDescent="0.25">
      <c r="A689" s="5">
        <v>43904</v>
      </c>
      <c r="B689">
        <v>1.2549999999999999</v>
      </c>
      <c r="C689">
        <v>1.2649999999999999</v>
      </c>
      <c r="D689">
        <v>1.1539999999999999</v>
      </c>
      <c r="E689">
        <v>1.173</v>
      </c>
      <c r="F689">
        <v>2524404.9500000002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-0.65765765765765527</v>
      </c>
      <c r="Q689">
        <f t="shared" si="995"/>
        <v>-1660194.2463963905</v>
      </c>
      <c r="R689">
        <f t="shared" si="996"/>
        <v>15255716.472096724</v>
      </c>
      <c r="S689">
        <f t="shared" si="997"/>
        <v>152.55716472096725</v>
      </c>
      <c r="T689">
        <f t="shared" si="998"/>
        <v>0.15255716472096725</v>
      </c>
    </row>
    <row r="690" spans="1:20" x14ac:dyDescent="0.25">
      <c r="A690" s="5">
        <v>43903</v>
      </c>
      <c r="B690">
        <v>1.04</v>
      </c>
      <c r="C690">
        <v>1.3280000000000001</v>
      </c>
      <c r="D690">
        <v>0.71</v>
      </c>
      <c r="E690">
        <v>1.258</v>
      </c>
      <c r="F690">
        <v>9142182.2430000007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0.77346278317152084</v>
      </c>
      <c r="Q690">
        <f t="shared" si="995"/>
        <v>7071137.7219320377</v>
      </c>
      <c r="R690">
        <f t="shared" si="996"/>
        <v>16915910.718493115</v>
      </c>
      <c r="S690">
        <f t="shared" si="997"/>
        <v>169.15910718493114</v>
      </c>
      <c r="T690">
        <f t="shared" si="998"/>
        <v>0.16915910718493116</v>
      </c>
    </row>
    <row r="691" spans="1:20" x14ac:dyDescent="0.25">
      <c r="A691" s="5">
        <v>43902</v>
      </c>
      <c r="B691">
        <v>1.944</v>
      </c>
      <c r="C691">
        <v>1.958</v>
      </c>
      <c r="D691">
        <v>1.0089999999999999</v>
      </c>
      <c r="E691">
        <v>1.0389999999999999</v>
      </c>
      <c r="F691">
        <v>8472701.1610000003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-0.93677555321390937</v>
      </c>
      <c r="Q691">
        <f t="shared" si="995"/>
        <v>-7937019.3173119072</v>
      </c>
      <c r="R691">
        <f t="shared" si="996"/>
        <v>9844772.9965610784</v>
      </c>
      <c r="S691">
        <f t="shared" si="997"/>
        <v>98.44772996561079</v>
      </c>
      <c r="T691">
        <f t="shared" si="998"/>
        <v>9.8447729965610783E-2</v>
      </c>
    </row>
    <row r="692" spans="1:20" x14ac:dyDescent="0.25">
      <c r="A692" s="5">
        <v>43901</v>
      </c>
      <c r="B692">
        <v>1.954</v>
      </c>
      <c r="C692">
        <v>1.974</v>
      </c>
      <c r="D692">
        <v>1.8160000000000001</v>
      </c>
      <c r="E692">
        <v>1.9430000000000001</v>
      </c>
      <c r="F692">
        <v>1923898.831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0.60759493670886167</v>
      </c>
      <c r="Q692">
        <f t="shared" si="995"/>
        <v>1168951.1884556978</v>
      </c>
      <c r="R692">
        <f t="shared" si="996"/>
        <v>17781792.313872986</v>
      </c>
      <c r="S692">
        <f t="shared" si="997"/>
        <v>177.81792313872987</v>
      </c>
      <c r="T692">
        <f t="shared" si="998"/>
        <v>0.17781792313872988</v>
      </c>
    </row>
    <row r="693" spans="1:20" x14ac:dyDescent="0.25">
      <c r="A693" s="5">
        <v>43900</v>
      </c>
      <c r="B693">
        <v>1.9430000000000001</v>
      </c>
      <c r="C693">
        <v>1.9870000000000001</v>
      </c>
      <c r="D693">
        <v>1.8740000000000001</v>
      </c>
      <c r="E693">
        <v>1.954</v>
      </c>
      <c r="F693">
        <v>2515929.6809999999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0.41592920353982049</v>
      </c>
      <c r="Q693">
        <f t="shared" si="995"/>
        <v>1046448.6283805246</v>
      </c>
      <c r="R693">
        <f t="shared" si="996"/>
        <v>16612841.125417287</v>
      </c>
      <c r="S693">
        <f t="shared" si="997"/>
        <v>166.12841125417287</v>
      </c>
      <c r="T693">
        <f t="shared" si="998"/>
        <v>0.16612841125417288</v>
      </c>
    </row>
    <row r="694" spans="1:20" x14ac:dyDescent="0.25">
      <c r="A694" s="5">
        <v>43899</v>
      </c>
      <c r="B694">
        <v>1.8939999999999999</v>
      </c>
      <c r="C694">
        <v>1.972</v>
      </c>
      <c r="D694">
        <v>1.8049999999999999</v>
      </c>
      <c r="E694">
        <v>1.9430000000000001</v>
      </c>
      <c r="F694">
        <v>3507291.906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0.65269461077844426</v>
      </c>
      <c r="Q694">
        <f t="shared" si="995"/>
        <v>2289190.5254730578</v>
      </c>
      <c r="R694">
        <f t="shared" si="996"/>
        <v>15566392.497036763</v>
      </c>
      <c r="S694">
        <f t="shared" si="997"/>
        <v>155.66392497036762</v>
      </c>
      <c r="T694">
        <f t="shared" si="998"/>
        <v>0.15566392497036763</v>
      </c>
    </row>
    <row r="695" spans="1:20" x14ac:dyDescent="0.25">
      <c r="A695" s="5">
        <v>43898</v>
      </c>
      <c r="B695">
        <v>2.2109999999999999</v>
      </c>
      <c r="C695">
        <v>2.2109999999999999</v>
      </c>
      <c r="D695">
        <v>1.867</v>
      </c>
      <c r="E695">
        <v>1.893</v>
      </c>
      <c r="F695">
        <v>3445645.8319999999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-0.84883720930232542</v>
      </c>
      <c r="Q695">
        <f t="shared" si="995"/>
        <v>-2924792.3922790689</v>
      </c>
      <c r="R695">
        <f t="shared" si="996"/>
        <v>13277201.971563704</v>
      </c>
      <c r="S695">
        <f t="shared" si="997"/>
        <v>132.77201971563704</v>
      </c>
      <c r="T695">
        <f t="shared" si="998"/>
        <v>0.13277201971563704</v>
      </c>
    </row>
    <row r="696" spans="1:20" x14ac:dyDescent="0.25">
      <c r="A696" s="5">
        <v>43897</v>
      </c>
      <c r="B696">
        <v>2.3149999999999999</v>
      </c>
      <c r="C696">
        <v>2.3330000000000002</v>
      </c>
      <c r="D696">
        <v>2.19</v>
      </c>
      <c r="E696">
        <v>2.2120000000000002</v>
      </c>
      <c r="F696">
        <v>1172609.611</v>
      </c>
      <c r="G696">
        <v>0</v>
      </c>
      <c r="L696" t="s">
        <v>8</v>
      </c>
      <c r="M696" t="s">
        <v>7</v>
      </c>
      <c r="N696" t="s">
        <v>7</v>
      </c>
      <c r="P696">
        <f t="shared" si="994"/>
        <v>-0.6923076923076894</v>
      </c>
      <c r="Q696">
        <f t="shared" si="995"/>
        <v>-811806.65376922744</v>
      </c>
      <c r="R696">
        <f t="shared" si="996"/>
        <v>16201994.363842772</v>
      </c>
      <c r="S696">
        <f t="shared" si="997"/>
        <v>162.01994363842772</v>
      </c>
      <c r="T696">
        <f t="shared" si="998"/>
        <v>0.16201994363842773</v>
      </c>
    </row>
    <row r="697" spans="1:20" x14ac:dyDescent="0.25">
      <c r="A697" s="5">
        <v>43896</v>
      </c>
      <c r="B697">
        <v>2.194</v>
      </c>
      <c r="C697">
        <v>2.3159999999999998</v>
      </c>
      <c r="D697">
        <v>2.1779999999999999</v>
      </c>
      <c r="E697">
        <v>2.3140000000000001</v>
      </c>
      <c r="F697">
        <v>1406462.6089999999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0.97101449275362639</v>
      </c>
      <c r="Q697">
        <f t="shared" si="995"/>
        <v>1365695.5768550769</v>
      </c>
      <c r="R697">
        <f t="shared" si="996"/>
        <v>17013801.017611999</v>
      </c>
      <c r="S697">
        <f t="shared" si="997"/>
        <v>170.13801017611999</v>
      </c>
      <c r="T697">
        <f t="shared" si="998"/>
        <v>0.17013801017611999</v>
      </c>
    </row>
    <row r="698" spans="1:20" x14ac:dyDescent="0.25">
      <c r="A698" s="5">
        <v>43895</v>
      </c>
      <c r="B698">
        <v>2.1520000000000001</v>
      </c>
      <c r="C698">
        <v>2.2530000000000001</v>
      </c>
      <c r="D698">
        <v>2.149</v>
      </c>
      <c r="E698">
        <v>2.194</v>
      </c>
      <c r="F698">
        <v>1305348.3640000001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-0.13461538461538675</v>
      </c>
      <c r="Q698">
        <f t="shared" si="995"/>
        <v>-175719.97207692586</v>
      </c>
      <c r="R698">
        <f t="shared" si="996"/>
        <v>15648105.440756921</v>
      </c>
      <c r="S698">
        <f t="shared" si="997"/>
        <v>156.48105440756922</v>
      </c>
      <c r="T698">
        <f t="shared" si="998"/>
        <v>0.15648105440756921</v>
      </c>
    </row>
    <row r="699" spans="1:20" x14ac:dyDescent="0.25">
      <c r="A699" s="5">
        <v>43894</v>
      </c>
      <c r="B699">
        <v>2.1459999999999999</v>
      </c>
      <c r="C699">
        <v>2.1789999999999998</v>
      </c>
      <c r="D699">
        <v>2.0859999999999999</v>
      </c>
      <c r="E699">
        <v>2.1520000000000001</v>
      </c>
      <c r="F699">
        <v>938950.36800000002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0.41935483870968387</v>
      </c>
      <c r="Q699">
        <f t="shared" si="995"/>
        <v>393753.3801290383</v>
      </c>
      <c r="R699">
        <f t="shared" si="996"/>
        <v>15823825.412833847</v>
      </c>
      <c r="S699">
        <f t="shared" si="997"/>
        <v>158.23825412833847</v>
      </c>
      <c r="T699">
        <f t="shared" si="998"/>
        <v>0.15823825412833847</v>
      </c>
    </row>
    <row r="700" spans="1:20" x14ac:dyDescent="0.25">
      <c r="A700" s="5">
        <v>43893</v>
      </c>
      <c r="B700">
        <v>2.181</v>
      </c>
      <c r="C700">
        <v>2.1829999999999998</v>
      </c>
      <c r="D700">
        <v>2.0880000000000001</v>
      </c>
      <c r="E700">
        <v>2.145</v>
      </c>
      <c r="F700">
        <v>1478117.57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0.20000000000000187</v>
      </c>
      <c r="Q700">
        <f t="shared" si="995"/>
        <v>295623.51400000276</v>
      </c>
      <c r="R700">
        <f t="shared" si="996"/>
        <v>15430072.03270481</v>
      </c>
      <c r="S700">
        <f t="shared" si="997"/>
        <v>154.30072032704808</v>
      </c>
      <c r="T700">
        <f t="shared" si="998"/>
        <v>0.15430072032704809</v>
      </c>
    </row>
    <row r="701" spans="1:20" x14ac:dyDescent="0.25">
      <c r="A701" s="5">
        <v>43892</v>
      </c>
      <c r="B701">
        <v>2.0270000000000001</v>
      </c>
      <c r="C701">
        <v>2.2149999999999999</v>
      </c>
      <c r="D701">
        <v>2.0139999999999998</v>
      </c>
      <c r="E701">
        <v>2.1819999999999999</v>
      </c>
      <c r="F701">
        <v>1386924.03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0.67164179104477706</v>
      </c>
      <c r="Q701">
        <f t="shared" si="995"/>
        <v>931516.13955224014</v>
      </c>
      <c r="R701">
        <f t="shared" si="996"/>
        <v>15134448.518704807</v>
      </c>
      <c r="S701">
        <f t="shared" si="997"/>
        <v>151.34448518704806</v>
      </c>
      <c r="T701">
        <f t="shared" si="998"/>
        <v>0.15134448518704807</v>
      </c>
    </row>
    <row r="702" spans="1:20" x14ac:dyDescent="0.25">
      <c r="A702" s="5">
        <v>43891</v>
      </c>
      <c r="B702">
        <v>2.0259999999999998</v>
      </c>
      <c r="C702">
        <v>2.1</v>
      </c>
      <c r="D702">
        <v>1.9810000000000001</v>
      </c>
      <c r="E702">
        <v>2.028</v>
      </c>
      <c r="F702">
        <v>1252622.557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-0.21008403361344652</v>
      </c>
      <c r="Q702">
        <f t="shared" si="995"/>
        <v>-263155.99936974933</v>
      </c>
      <c r="R702">
        <f t="shared" si="996"/>
        <v>14202932.379152568</v>
      </c>
      <c r="S702">
        <f t="shared" si="997"/>
        <v>142.02932379152568</v>
      </c>
      <c r="T702">
        <f t="shared" si="998"/>
        <v>0.14202932379152569</v>
      </c>
    </row>
    <row r="703" spans="1:20" x14ac:dyDescent="0.25">
      <c r="A703" s="5">
        <v>43890</v>
      </c>
      <c r="B703">
        <v>2.0720000000000001</v>
      </c>
      <c r="C703">
        <v>2.1219999999999999</v>
      </c>
      <c r="D703">
        <v>2.0190000000000001</v>
      </c>
      <c r="E703">
        <v>2.0249999999999999</v>
      </c>
      <c r="F703">
        <v>1525855.047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-0.8834951456310719</v>
      </c>
      <c r="Q703">
        <f t="shared" si="995"/>
        <v>-1348085.5269611711</v>
      </c>
      <c r="R703">
        <f t="shared" si="996"/>
        <v>14466088.378522318</v>
      </c>
      <c r="S703">
        <f t="shared" si="997"/>
        <v>144.66088378522318</v>
      </c>
      <c r="T703">
        <f t="shared" si="998"/>
        <v>0.14466088378522318</v>
      </c>
    </row>
    <row r="704" spans="1:20" x14ac:dyDescent="0.25">
      <c r="A704" s="5">
        <v>43889</v>
      </c>
      <c r="B704">
        <v>2.125</v>
      </c>
      <c r="C704">
        <v>2.173</v>
      </c>
      <c r="D704">
        <v>1.9930000000000001</v>
      </c>
      <c r="E704">
        <v>2.073</v>
      </c>
      <c r="F704">
        <v>2872849.9589999998</v>
      </c>
      <c r="G704">
        <v>0</v>
      </c>
      <c r="L704" t="s">
        <v>8</v>
      </c>
      <c r="M704" t="s">
        <v>7</v>
      </c>
      <c r="N704" t="s">
        <v>7</v>
      </c>
      <c r="P704">
        <f t="shared" si="994"/>
        <v>-0.11111111111111248</v>
      </c>
      <c r="Q704">
        <f t="shared" si="995"/>
        <v>-319205.55100000394</v>
      </c>
      <c r="R704">
        <f t="shared" si="996"/>
        <v>15814173.905483488</v>
      </c>
      <c r="S704">
        <f t="shared" si="997"/>
        <v>158.14173905483489</v>
      </c>
      <c r="T704">
        <f t="shared" si="998"/>
        <v>0.15814173905483489</v>
      </c>
    </row>
    <row r="705" spans="1:20" x14ac:dyDescent="0.25">
      <c r="A705" s="5">
        <v>43888</v>
      </c>
      <c r="B705">
        <v>2.0979999999999999</v>
      </c>
      <c r="C705">
        <v>2.222</v>
      </c>
      <c r="D705">
        <v>1.996</v>
      </c>
      <c r="E705">
        <v>2.1230000000000002</v>
      </c>
      <c r="F705">
        <v>3142918.2</v>
      </c>
      <c r="G705">
        <v>0</v>
      </c>
      <c r="L705" t="s">
        <v>7</v>
      </c>
      <c r="M705" t="s">
        <v>7</v>
      </c>
      <c r="N705" t="s">
        <v>7</v>
      </c>
      <c r="P705">
        <f t="shared" si="994"/>
        <v>0.12389380530973659</v>
      </c>
      <c r="Q705">
        <f t="shared" si="995"/>
        <v>389388.09557522781</v>
      </c>
      <c r="R705">
        <f t="shared" si="996"/>
        <v>16133379.456483493</v>
      </c>
      <c r="S705">
        <f t="shared" si="997"/>
        <v>161.33379456483493</v>
      </c>
      <c r="T705">
        <f t="shared" si="998"/>
        <v>0.16133379456483493</v>
      </c>
    </row>
    <row r="706" spans="1:20" x14ac:dyDescent="0.25">
      <c r="A706" s="5">
        <v>43887</v>
      </c>
      <c r="B706">
        <v>2.383</v>
      </c>
      <c r="C706">
        <v>2.4180000000000001</v>
      </c>
      <c r="D706">
        <v>2.0430000000000001</v>
      </c>
      <c r="E706">
        <v>2.097</v>
      </c>
      <c r="F706">
        <v>4254995.3339999998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-0.71200000000000097</v>
      </c>
      <c r="Q706">
        <f t="shared" si="995"/>
        <v>-3029556.677808004</v>
      </c>
      <c r="R706">
        <f t="shared" si="996"/>
        <v>15743991.360908264</v>
      </c>
      <c r="S706">
        <f t="shared" si="997"/>
        <v>157.43991360908265</v>
      </c>
      <c r="T706">
        <f t="shared" si="998"/>
        <v>0.15743991360908266</v>
      </c>
    </row>
    <row r="707" spans="1:20" x14ac:dyDescent="0.25">
      <c r="A707" s="5">
        <v>43886</v>
      </c>
      <c r="B707">
        <v>2.3570000000000002</v>
      </c>
      <c r="C707">
        <v>2.6280000000000001</v>
      </c>
      <c r="D707">
        <v>2.3090000000000002</v>
      </c>
      <c r="E707">
        <v>2.3839999999999999</v>
      </c>
      <c r="F707">
        <v>4827337.04</v>
      </c>
      <c r="G707">
        <v>0</v>
      </c>
      <c r="L707" t="s">
        <v>8</v>
      </c>
      <c r="M707" t="s">
        <v>7</v>
      </c>
      <c r="N707" t="s">
        <v>8</v>
      </c>
      <c r="P707">
        <f t="shared" si="994"/>
        <v>-0.52978056426332443</v>
      </c>
      <c r="Q707">
        <f t="shared" si="995"/>
        <v>-2557429.3409404461</v>
      </c>
      <c r="R707">
        <f t="shared" si="996"/>
        <v>18773548.038716268</v>
      </c>
      <c r="S707">
        <f t="shared" si="997"/>
        <v>187.73548038716268</v>
      </c>
      <c r="T707">
        <f t="shared" si="998"/>
        <v>0.18773548038716267</v>
      </c>
    </row>
    <row r="708" spans="1:20" x14ac:dyDescent="0.25">
      <c r="A708" s="5">
        <v>43885</v>
      </c>
      <c r="B708">
        <v>2.4889999999999999</v>
      </c>
      <c r="C708">
        <v>2.5030000000000001</v>
      </c>
      <c r="D708">
        <v>2.2829999999999999</v>
      </c>
      <c r="E708">
        <v>2.3580000000000001</v>
      </c>
      <c r="F708">
        <v>1635058.5360000001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-0.31818181818181718</v>
      </c>
      <c r="Q708">
        <f t="shared" si="995"/>
        <v>-520245.89781818021</v>
      </c>
      <c r="R708">
        <f t="shared" si="996"/>
        <v>21330977.379656713</v>
      </c>
      <c r="S708">
        <f t="shared" si="997"/>
        <v>213.30977379656713</v>
      </c>
      <c r="T708">
        <f t="shared" si="998"/>
        <v>0.21330977379656713</v>
      </c>
    </row>
    <row r="709" spans="1:20" x14ac:dyDescent="0.25">
      <c r="A709" s="5">
        <v>43884</v>
      </c>
      <c r="B709">
        <v>2.39</v>
      </c>
      <c r="C709">
        <v>2.5049999999999999</v>
      </c>
      <c r="D709">
        <v>2.3879999999999999</v>
      </c>
      <c r="E709">
        <v>2.4910000000000001</v>
      </c>
      <c r="F709">
        <v>988539.68200000003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0.7606837606837642</v>
      </c>
      <c r="Q709">
        <f t="shared" si="995"/>
        <v>751966.08288889239</v>
      </c>
      <c r="R709">
        <f t="shared" si="996"/>
        <v>21851223.277474895</v>
      </c>
      <c r="S709">
        <f t="shared" si="997"/>
        <v>218.51223277474895</v>
      </c>
      <c r="T709">
        <f t="shared" si="998"/>
        <v>0.21851223277474896</v>
      </c>
    </row>
    <row r="710" spans="1:20" x14ac:dyDescent="0.25">
      <c r="A710" s="5">
        <v>43883</v>
      </c>
      <c r="B710">
        <v>2.4159999999999999</v>
      </c>
      <c r="C710">
        <v>2.4340000000000002</v>
      </c>
      <c r="D710">
        <v>2.3439999999999999</v>
      </c>
      <c r="E710">
        <v>2.3879999999999999</v>
      </c>
      <c r="F710">
        <v>986355.51300000004</v>
      </c>
      <c r="G710">
        <v>0</v>
      </c>
      <c r="L710" t="s">
        <v>8</v>
      </c>
      <c r="M710" t="s">
        <v>7</v>
      </c>
      <c r="N710" t="s">
        <v>8</v>
      </c>
      <c r="P710">
        <f t="shared" ref="P710:P766" si="999">IF(C710=D710,0,((E710-D710)-(C710-E710))/(C710-D710))</f>
        <v>-2.2222222222224634E-2</v>
      </c>
      <c r="Q710">
        <f t="shared" ref="Q710:Q766" si="1000">F710*P710</f>
        <v>-21919.011400002379</v>
      </c>
      <c r="R710">
        <f t="shared" ref="R710:R766" si="1001">R711+Q710</f>
        <v>21099257.194586001</v>
      </c>
      <c r="S710">
        <f t="shared" ref="S710:S766" si="1002">R710/100000</f>
        <v>210.99257194586002</v>
      </c>
      <c r="T710">
        <f t="shared" ref="T710:T766" si="1003">S710/1000</f>
        <v>0.21099257194586002</v>
      </c>
    </row>
    <row r="711" spans="1:20" x14ac:dyDescent="0.25">
      <c r="A711" s="5">
        <v>43882</v>
      </c>
      <c r="B711">
        <v>2.3889999999999998</v>
      </c>
      <c r="C711">
        <v>2.4729999999999999</v>
      </c>
      <c r="D711">
        <v>2.359</v>
      </c>
      <c r="E711">
        <v>2.4159999999999999</v>
      </c>
      <c r="F711">
        <v>1681007.0209999999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0</v>
      </c>
      <c r="Q711">
        <f t="shared" si="1000"/>
        <v>0</v>
      </c>
      <c r="R711">
        <f t="shared" si="1001"/>
        <v>21121176.205986004</v>
      </c>
      <c r="S711">
        <f t="shared" si="1002"/>
        <v>211.21176205986004</v>
      </c>
      <c r="T711">
        <f t="shared" si="1003"/>
        <v>0.21121176205986003</v>
      </c>
    </row>
    <row r="712" spans="1:20" x14ac:dyDescent="0.25">
      <c r="A712" s="5">
        <v>43881</v>
      </c>
      <c r="B712">
        <v>2.4420000000000002</v>
      </c>
      <c r="C712">
        <v>2.4849999999999999</v>
      </c>
      <c r="D712">
        <v>2.282</v>
      </c>
      <c r="E712">
        <v>2.3889999999999998</v>
      </c>
      <c r="F712">
        <v>3199580.88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5.418719211822505E-2</v>
      </c>
      <c r="Q712">
        <f t="shared" si="1000"/>
        <v>173376.30384235957</v>
      </c>
      <c r="R712">
        <f t="shared" si="1001"/>
        <v>21121176.205986004</v>
      </c>
      <c r="S712">
        <f t="shared" si="1002"/>
        <v>211.21176205986004</v>
      </c>
      <c r="T712">
        <f t="shared" si="1003"/>
        <v>0.21121176205986003</v>
      </c>
    </row>
    <row r="713" spans="1:20" x14ac:dyDescent="0.25">
      <c r="A713" s="5">
        <v>43880</v>
      </c>
      <c r="B713">
        <v>2.6379999999999999</v>
      </c>
      <c r="C713">
        <v>2.7210000000000001</v>
      </c>
      <c r="D713">
        <v>2.431</v>
      </c>
      <c r="E713">
        <v>2.4430000000000001</v>
      </c>
      <c r="F713">
        <v>2191148.0159999998</v>
      </c>
      <c r="G713">
        <v>0</v>
      </c>
      <c r="L713" t="s">
        <v>8</v>
      </c>
      <c r="M713" t="s">
        <v>8</v>
      </c>
      <c r="N713" t="s">
        <v>8</v>
      </c>
      <c r="P713">
        <f t="shared" si="999"/>
        <v>-0.91724137931034477</v>
      </c>
      <c r="Q713">
        <f t="shared" si="1000"/>
        <v>-2009811.6284689652</v>
      </c>
      <c r="R713">
        <f t="shared" si="1001"/>
        <v>20947799.902143646</v>
      </c>
      <c r="S713">
        <f t="shared" si="1002"/>
        <v>209.47799902143646</v>
      </c>
      <c r="T713">
        <f t="shared" si="1003"/>
        <v>0.20947799902143646</v>
      </c>
    </row>
    <row r="714" spans="1:20" x14ac:dyDescent="0.25">
      <c r="A714" s="5">
        <v>43879</v>
      </c>
      <c r="B714">
        <v>2.5110000000000001</v>
      </c>
      <c r="C714">
        <v>2.6619999999999999</v>
      </c>
      <c r="D714">
        <v>2.4</v>
      </c>
      <c r="E714">
        <v>2.6389999999999998</v>
      </c>
      <c r="F714">
        <v>3371561.31</v>
      </c>
      <c r="G714">
        <v>0</v>
      </c>
      <c r="L714" t="s">
        <v>8</v>
      </c>
      <c r="M714" t="s">
        <v>8</v>
      </c>
      <c r="N714" t="s">
        <v>8</v>
      </c>
      <c r="P714">
        <f t="shared" si="999"/>
        <v>0.82442748091602958</v>
      </c>
      <c r="Q714">
        <f t="shared" si="1000"/>
        <v>2779607.7975572487</v>
      </c>
      <c r="R714">
        <f t="shared" si="1001"/>
        <v>22957611.53061261</v>
      </c>
      <c r="S714">
        <f t="shared" si="1002"/>
        <v>229.5761153061261</v>
      </c>
      <c r="T714">
        <f t="shared" si="1003"/>
        <v>0.22957611530612609</v>
      </c>
    </row>
    <row r="715" spans="1:20" x14ac:dyDescent="0.25">
      <c r="A715" s="5">
        <v>43878</v>
      </c>
      <c r="B715">
        <v>2.4900000000000002</v>
      </c>
      <c r="C715">
        <v>2.5230000000000001</v>
      </c>
      <c r="D715">
        <v>2.2850000000000001</v>
      </c>
      <c r="E715">
        <v>2.5099999999999998</v>
      </c>
      <c r="F715">
        <v>5293183.2980000004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0.89075630252100546</v>
      </c>
      <c r="Q715">
        <f t="shared" si="1000"/>
        <v>4714936.383092422</v>
      </c>
      <c r="R715">
        <f t="shared" si="1001"/>
        <v>20178003.733055361</v>
      </c>
      <c r="S715">
        <f t="shared" si="1002"/>
        <v>201.7800373305536</v>
      </c>
      <c r="T715">
        <f t="shared" si="1003"/>
        <v>0.20178003733055361</v>
      </c>
    </row>
    <row r="716" spans="1:20" x14ac:dyDescent="0.25">
      <c r="A716" s="5">
        <v>43877</v>
      </c>
      <c r="B716">
        <v>2.69</v>
      </c>
      <c r="C716">
        <v>2.8279999999999998</v>
      </c>
      <c r="D716">
        <v>2.21</v>
      </c>
      <c r="E716">
        <v>2.4929999999999999</v>
      </c>
      <c r="F716">
        <v>5217200.3320000004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-8.4142394822006569E-2</v>
      </c>
      <c r="Q716">
        <f t="shared" si="1000"/>
        <v>-438987.73020064778</v>
      </c>
      <c r="R716">
        <f t="shared" si="1001"/>
        <v>15463067.34996294</v>
      </c>
      <c r="S716">
        <f t="shared" si="1002"/>
        <v>154.63067349962941</v>
      </c>
      <c r="T716">
        <f t="shared" si="1003"/>
        <v>0.15463067349962942</v>
      </c>
    </row>
    <row r="717" spans="1:20" x14ac:dyDescent="0.25">
      <c r="A717" s="5">
        <v>43876</v>
      </c>
      <c r="B717">
        <v>3.032</v>
      </c>
      <c r="C717">
        <v>3.0680000000000001</v>
      </c>
      <c r="D717">
        <v>2.5920000000000001</v>
      </c>
      <c r="E717">
        <v>2.69</v>
      </c>
      <c r="F717">
        <v>3196752.0150000001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-0.58823529411764763</v>
      </c>
      <c r="Q717">
        <f t="shared" si="1000"/>
        <v>-1880442.3617647078</v>
      </c>
      <c r="R717">
        <f t="shared" si="1001"/>
        <v>15902055.080163589</v>
      </c>
      <c r="S717">
        <f t="shared" si="1002"/>
        <v>159.02055080163589</v>
      </c>
      <c r="T717">
        <f t="shared" si="1003"/>
        <v>0.15902055080163588</v>
      </c>
    </row>
    <row r="718" spans="1:20" x14ac:dyDescent="0.25">
      <c r="A718" s="5">
        <v>43875</v>
      </c>
      <c r="B718">
        <v>2.8490000000000002</v>
      </c>
      <c r="C718">
        <v>3.052</v>
      </c>
      <c r="D718">
        <v>2.7909999999999999</v>
      </c>
      <c r="E718">
        <v>3.032</v>
      </c>
      <c r="F718">
        <v>1812227.095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0.84674329501915702</v>
      </c>
      <c r="Q718">
        <f t="shared" si="1000"/>
        <v>1534491.1417432949</v>
      </c>
      <c r="R718">
        <f t="shared" si="1001"/>
        <v>17782497.441928297</v>
      </c>
      <c r="S718">
        <f t="shared" si="1002"/>
        <v>177.82497441928297</v>
      </c>
      <c r="T718">
        <f t="shared" si="1003"/>
        <v>0.17782497441928297</v>
      </c>
    </row>
    <row r="719" spans="1:20" x14ac:dyDescent="0.25">
      <c r="A719" s="5">
        <v>43874</v>
      </c>
      <c r="B719">
        <v>2.8069999999999999</v>
      </c>
      <c r="C719">
        <v>2.98</v>
      </c>
      <c r="D719">
        <v>2.7490000000000001</v>
      </c>
      <c r="E719">
        <v>2.8490000000000002</v>
      </c>
      <c r="F719">
        <v>3396614.719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-0.13419913419913296</v>
      </c>
      <c r="Q719">
        <f t="shared" si="1000"/>
        <v>-455822.75449783128</v>
      </c>
      <c r="R719">
        <f t="shared" si="1001"/>
        <v>16248006.300185004</v>
      </c>
      <c r="S719">
        <f t="shared" si="1002"/>
        <v>162.48006300185006</v>
      </c>
      <c r="T719">
        <f t="shared" si="1003"/>
        <v>0.16248006300185006</v>
      </c>
    </row>
    <row r="720" spans="1:20" x14ac:dyDescent="0.25">
      <c r="A720" s="5">
        <v>43873</v>
      </c>
      <c r="B720">
        <v>2.7080000000000002</v>
      </c>
      <c r="C720">
        <v>2.899</v>
      </c>
      <c r="D720">
        <v>2.7050000000000001</v>
      </c>
      <c r="E720">
        <v>2.8050000000000002</v>
      </c>
      <c r="F720">
        <v>2921334.4240000001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3.0927835051547573E-2</v>
      </c>
      <c r="Q720">
        <f t="shared" si="1000"/>
        <v>90350.549195879736</v>
      </c>
      <c r="R720">
        <f t="shared" si="1001"/>
        <v>16703829.054682836</v>
      </c>
      <c r="S720">
        <f t="shared" si="1002"/>
        <v>167.03829054682836</v>
      </c>
      <c r="T720">
        <f t="shared" si="1003"/>
        <v>0.16703829054682837</v>
      </c>
    </row>
    <row r="721" spans="1:20" x14ac:dyDescent="0.25">
      <c r="A721" s="5">
        <v>43872</v>
      </c>
      <c r="B721">
        <v>2.5979999999999999</v>
      </c>
      <c r="C721">
        <v>2.7429999999999999</v>
      </c>
      <c r="D721">
        <v>2.5230000000000001</v>
      </c>
      <c r="E721">
        <v>2.7090000000000001</v>
      </c>
      <c r="F721">
        <v>2208771.9479999999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0.69090909090909225</v>
      </c>
      <c r="Q721">
        <f t="shared" si="1000"/>
        <v>1526060.6186181847</v>
      </c>
      <c r="R721">
        <f t="shared" si="1001"/>
        <v>16613478.505486956</v>
      </c>
      <c r="S721">
        <f t="shared" si="1002"/>
        <v>166.13478505486955</v>
      </c>
      <c r="T721">
        <f t="shared" si="1003"/>
        <v>0.16613478505486956</v>
      </c>
    </row>
    <row r="722" spans="1:20" x14ac:dyDescent="0.25">
      <c r="A722" s="5">
        <v>43871</v>
      </c>
      <c r="B722">
        <v>2.698</v>
      </c>
      <c r="C722">
        <v>2.7130000000000001</v>
      </c>
      <c r="D722">
        <v>2.4889999999999999</v>
      </c>
      <c r="E722">
        <v>2.597</v>
      </c>
      <c r="F722">
        <v>2024753.2239999999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-3.5714285714285712E-2</v>
      </c>
      <c r="Q722">
        <f t="shared" si="1000"/>
        <v>-72312.615142857132</v>
      </c>
      <c r="R722">
        <f t="shared" si="1001"/>
        <v>15087417.886868771</v>
      </c>
      <c r="S722">
        <f t="shared" si="1002"/>
        <v>150.87417886868772</v>
      </c>
      <c r="T722">
        <f t="shared" si="1003"/>
        <v>0.15087417886868773</v>
      </c>
    </row>
    <row r="723" spans="1:20" x14ac:dyDescent="0.25">
      <c r="A723" s="5">
        <v>43870</v>
      </c>
      <c r="B723">
        <v>2.5979999999999999</v>
      </c>
      <c r="C723">
        <v>2.7240000000000002</v>
      </c>
      <c r="D723">
        <v>2.5760000000000001</v>
      </c>
      <c r="E723">
        <v>2.6970000000000001</v>
      </c>
      <c r="F723">
        <v>1853764.3049999999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0.63513513513513364</v>
      </c>
      <c r="Q723">
        <f t="shared" si="1000"/>
        <v>1177390.8423648621</v>
      </c>
      <c r="R723">
        <f t="shared" si="1001"/>
        <v>15159730.502011629</v>
      </c>
      <c r="S723">
        <f t="shared" si="1002"/>
        <v>151.59730502011629</v>
      </c>
      <c r="T723">
        <f t="shared" si="1003"/>
        <v>0.15159730502011629</v>
      </c>
    </row>
    <row r="724" spans="1:20" x14ac:dyDescent="0.25">
      <c r="A724" s="5">
        <v>43869</v>
      </c>
      <c r="B724">
        <v>2.5710000000000002</v>
      </c>
      <c r="C724">
        <v>2.6360000000000001</v>
      </c>
      <c r="D724">
        <v>2.4329999999999998</v>
      </c>
      <c r="E724">
        <v>2.6</v>
      </c>
      <c r="F724">
        <v>1899984.7009999999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0.64532019704433519</v>
      </c>
      <c r="Q724">
        <f t="shared" si="1000"/>
        <v>1226098.5016305421</v>
      </c>
      <c r="R724">
        <f t="shared" si="1001"/>
        <v>13982339.659646766</v>
      </c>
      <c r="S724">
        <f t="shared" si="1002"/>
        <v>139.82339659646766</v>
      </c>
      <c r="T724">
        <f t="shared" si="1003"/>
        <v>0.13982339659646767</v>
      </c>
    </row>
    <row r="725" spans="1:20" x14ac:dyDescent="0.25">
      <c r="A725" s="5">
        <v>43868</v>
      </c>
      <c r="B725">
        <v>2.544</v>
      </c>
      <c r="C725">
        <v>2.649</v>
      </c>
      <c r="D725">
        <v>2.5030000000000001</v>
      </c>
      <c r="E725">
        <v>2.5720000000000001</v>
      </c>
      <c r="F725">
        <v>2217217.6919999998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-5.4794520547945286E-2</v>
      </c>
      <c r="Q725">
        <f t="shared" si="1000"/>
        <v>-121491.38038356182</v>
      </c>
      <c r="R725">
        <f t="shared" si="1001"/>
        <v>12756241.158016223</v>
      </c>
      <c r="S725">
        <f t="shared" si="1002"/>
        <v>127.56241158016223</v>
      </c>
      <c r="T725">
        <f t="shared" si="1003"/>
        <v>0.12756241158016224</v>
      </c>
    </row>
    <row r="726" spans="1:20" x14ac:dyDescent="0.25">
      <c r="A726" s="5">
        <v>43867</v>
      </c>
      <c r="B726">
        <v>2.4430000000000001</v>
      </c>
      <c r="C726">
        <v>2.5779999999999998</v>
      </c>
      <c r="D726">
        <v>2.38</v>
      </c>
      <c r="E726">
        <v>2.544</v>
      </c>
      <c r="F726">
        <v>1884186.577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0.65656565656565846</v>
      </c>
      <c r="Q726">
        <f t="shared" si="1000"/>
        <v>1237092.1970202057</v>
      </c>
      <c r="R726">
        <f t="shared" si="1001"/>
        <v>12877732.538399786</v>
      </c>
      <c r="S726">
        <f t="shared" si="1002"/>
        <v>128.77732538399786</v>
      </c>
      <c r="T726">
        <f t="shared" si="1003"/>
        <v>0.12877732538399786</v>
      </c>
    </row>
    <row r="727" spans="1:20" x14ac:dyDescent="0.25">
      <c r="A727" s="5">
        <v>43866</v>
      </c>
      <c r="B727">
        <v>2.3090000000000002</v>
      </c>
      <c r="C727">
        <v>2.468</v>
      </c>
      <c r="D727">
        <v>2.2919999999999998</v>
      </c>
      <c r="E727">
        <v>2.4420000000000002</v>
      </c>
      <c r="F727">
        <v>1675998.943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0.70454545454545703</v>
      </c>
      <c r="Q727">
        <f t="shared" si="1000"/>
        <v>1180817.4371136406</v>
      </c>
      <c r="R727">
        <f t="shared" si="1001"/>
        <v>11640640.341379579</v>
      </c>
      <c r="S727">
        <f t="shared" si="1002"/>
        <v>116.40640341379579</v>
      </c>
      <c r="T727">
        <f t="shared" si="1003"/>
        <v>0.11640640341379578</v>
      </c>
    </row>
    <row r="728" spans="1:20" x14ac:dyDescent="0.25">
      <c r="A728" s="5">
        <v>43865</v>
      </c>
      <c r="B728">
        <v>2.2879999999999998</v>
      </c>
      <c r="C728">
        <v>2.3210000000000002</v>
      </c>
      <c r="D728">
        <v>2.173</v>
      </c>
      <c r="E728">
        <v>2.3069999999999999</v>
      </c>
      <c r="F728">
        <v>1434005.66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0.81081081081080786</v>
      </c>
      <c r="Q728">
        <f t="shared" si="1000"/>
        <v>1162707.2918918876</v>
      </c>
      <c r="R728">
        <f t="shared" si="1001"/>
        <v>10459822.904265938</v>
      </c>
      <c r="S728">
        <f t="shared" si="1002"/>
        <v>104.59822904265938</v>
      </c>
      <c r="T728">
        <f t="shared" si="1003"/>
        <v>0.10459822904265938</v>
      </c>
    </row>
    <row r="729" spans="1:20" x14ac:dyDescent="0.25">
      <c r="A729" s="5">
        <v>43864</v>
      </c>
      <c r="B729">
        <v>2.2599999999999998</v>
      </c>
      <c r="C729">
        <v>2.379</v>
      </c>
      <c r="D729">
        <v>2.2389999999999999</v>
      </c>
      <c r="E729">
        <v>2.286</v>
      </c>
      <c r="F729">
        <v>1456349.1040000001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-0.32857142857142696</v>
      </c>
      <c r="Q729">
        <f t="shared" si="1000"/>
        <v>-478514.70559999766</v>
      </c>
      <c r="R729">
        <f t="shared" si="1001"/>
        <v>9297115.6123740505</v>
      </c>
      <c r="S729">
        <f t="shared" si="1002"/>
        <v>92.971156123740499</v>
      </c>
      <c r="T729">
        <f t="shared" si="1003"/>
        <v>9.2971156123740503E-2</v>
      </c>
    </row>
    <row r="730" spans="1:20" x14ac:dyDescent="0.25">
      <c r="A730" s="5">
        <v>43863</v>
      </c>
      <c r="B730">
        <v>2.194</v>
      </c>
      <c r="C730">
        <v>2.39</v>
      </c>
      <c r="D730">
        <v>2.137</v>
      </c>
      <c r="E730">
        <v>2.262</v>
      </c>
      <c r="F730">
        <v>2617961.61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-1.1857707509881866E-2</v>
      </c>
      <c r="Q730">
        <f t="shared" si="1000"/>
        <v>-31043.023043479421</v>
      </c>
      <c r="R730">
        <f t="shared" si="1001"/>
        <v>9775630.3179740477</v>
      </c>
      <c r="S730">
        <f t="shared" si="1002"/>
        <v>97.75630317974047</v>
      </c>
      <c r="T730">
        <f t="shared" si="1003"/>
        <v>9.7756303179740475E-2</v>
      </c>
    </row>
    <row r="731" spans="1:20" x14ac:dyDescent="0.25">
      <c r="A731" s="5">
        <v>43862</v>
      </c>
      <c r="B731">
        <v>2.1259999999999999</v>
      </c>
      <c r="C731">
        <v>2.2000000000000002</v>
      </c>
      <c r="D731">
        <v>2.1190000000000002</v>
      </c>
      <c r="E731">
        <v>2.1930000000000001</v>
      </c>
      <c r="F731">
        <v>927007.13600000006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0.82716049382715751</v>
      </c>
      <c r="Q731">
        <f t="shared" si="1000"/>
        <v>766783.68039505905</v>
      </c>
      <c r="R731">
        <f t="shared" si="1001"/>
        <v>9806673.3410175275</v>
      </c>
      <c r="S731">
        <f t="shared" si="1002"/>
        <v>98.066733410175274</v>
      </c>
      <c r="T731">
        <f t="shared" si="1003"/>
        <v>9.8066733410175272E-2</v>
      </c>
    </row>
    <row r="732" spans="1:20" x14ac:dyDescent="0.25">
      <c r="A732" s="5">
        <v>43861</v>
      </c>
      <c r="B732">
        <v>2.1760000000000002</v>
      </c>
      <c r="C732">
        <v>2.1880000000000002</v>
      </c>
      <c r="D732">
        <v>2.0619999999999998</v>
      </c>
      <c r="E732">
        <v>2.125</v>
      </c>
      <c r="F732">
        <v>1438108.8219999999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0</v>
      </c>
      <c r="Q732">
        <f t="shared" si="1000"/>
        <v>0</v>
      </c>
      <c r="R732">
        <f t="shared" si="1001"/>
        <v>9039889.6606224682</v>
      </c>
      <c r="S732">
        <f t="shared" si="1002"/>
        <v>90.398896606224682</v>
      </c>
      <c r="T732">
        <f t="shared" si="1003"/>
        <v>9.0398896606224688E-2</v>
      </c>
    </row>
    <row r="733" spans="1:20" x14ac:dyDescent="0.25">
      <c r="A733" s="5">
        <v>43860</v>
      </c>
      <c r="B733">
        <v>2.0649999999999999</v>
      </c>
      <c r="C733">
        <v>2.2069999999999999</v>
      </c>
      <c r="D733">
        <v>2.0249999999999999</v>
      </c>
      <c r="E733">
        <v>2.1760000000000002</v>
      </c>
      <c r="F733">
        <v>2065498.0079999999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0.65934065934066255</v>
      </c>
      <c r="Q733">
        <f t="shared" si="1000"/>
        <v>1361866.818461545</v>
      </c>
      <c r="R733">
        <f t="shared" si="1001"/>
        <v>9039889.6606224682</v>
      </c>
      <c r="S733">
        <f t="shared" si="1002"/>
        <v>90.398896606224682</v>
      </c>
      <c r="T733">
        <f t="shared" si="1003"/>
        <v>9.0398896606224688E-2</v>
      </c>
    </row>
    <row r="734" spans="1:20" x14ac:dyDescent="0.25">
      <c r="A734" s="5">
        <v>43859</v>
      </c>
      <c r="B734">
        <v>2.0529999999999999</v>
      </c>
      <c r="C734">
        <v>2.1179999999999999</v>
      </c>
      <c r="D734">
        <v>2.0249999999999999</v>
      </c>
      <c r="E734">
        <v>2.0659999999999998</v>
      </c>
      <c r="F734">
        <v>1710688.08</v>
      </c>
      <c r="G734">
        <v>0</v>
      </c>
      <c r="L734" t="s">
        <v>8</v>
      </c>
      <c r="M734" t="s">
        <v>7</v>
      </c>
      <c r="N734" t="s">
        <v>8</v>
      </c>
      <c r="P734">
        <f t="shared" si="999"/>
        <v>-0.11827956989247446</v>
      </c>
      <c r="Q734">
        <f t="shared" si="1000"/>
        <v>-202339.45032258294</v>
      </c>
      <c r="R734">
        <f t="shared" si="1001"/>
        <v>7678022.8421609225</v>
      </c>
      <c r="S734">
        <f t="shared" si="1002"/>
        <v>76.780228421609223</v>
      </c>
      <c r="T734">
        <f t="shared" si="1003"/>
        <v>7.6780228421609226E-2</v>
      </c>
    </row>
    <row r="735" spans="1:20" x14ac:dyDescent="0.25">
      <c r="A735" s="5">
        <v>43858</v>
      </c>
      <c r="B735">
        <v>1.998</v>
      </c>
      <c r="C735">
        <v>2.0699999999999998</v>
      </c>
      <c r="D735">
        <v>1.99</v>
      </c>
      <c r="E735">
        <v>2.052</v>
      </c>
      <c r="F735">
        <v>1439833.692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0.55000000000000426</v>
      </c>
      <c r="Q735">
        <f t="shared" si="1000"/>
        <v>791908.53060000611</v>
      </c>
      <c r="R735">
        <f t="shared" si="1001"/>
        <v>7880362.2924835058</v>
      </c>
      <c r="S735">
        <f t="shared" si="1002"/>
        <v>78.803622924835054</v>
      </c>
      <c r="T735">
        <f t="shared" si="1003"/>
        <v>7.8803622924835059E-2</v>
      </c>
    </row>
    <row r="736" spans="1:20" x14ac:dyDescent="0.25">
      <c r="A736" s="5">
        <v>43857</v>
      </c>
      <c r="B736">
        <v>1.9379999999999999</v>
      </c>
      <c r="C736">
        <v>2.0329999999999999</v>
      </c>
      <c r="D736">
        <v>1.925</v>
      </c>
      <c r="E736">
        <v>1.9970000000000001</v>
      </c>
      <c r="F736">
        <v>1371291.9790000001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0.33333333333333609</v>
      </c>
      <c r="Q736">
        <f t="shared" si="1000"/>
        <v>457097.32633333711</v>
      </c>
      <c r="R736">
        <f t="shared" si="1001"/>
        <v>7088453.7618835</v>
      </c>
      <c r="S736">
        <f t="shared" si="1002"/>
        <v>70.884537618834997</v>
      </c>
      <c r="T736">
        <f t="shared" si="1003"/>
        <v>7.0884537618834995E-2</v>
      </c>
    </row>
    <row r="737" spans="1:20" x14ac:dyDescent="0.25">
      <c r="A737" s="5">
        <v>43856</v>
      </c>
      <c r="B737">
        <v>1.8660000000000001</v>
      </c>
      <c r="C737">
        <v>1.948</v>
      </c>
      <c r="D737">
        <v>1.85</v>
      </c>
      <c r="E737">
        <v>1.9350000000000001</v>
      </c>
      <c r="F737">
        <v>567706.86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0.73469387755102211</v>
      </c>
      <c r="Q737">
        <f t="shared" si="1000"/>
        <v>417090.75428571523</v>
      </c>
      <c r="R737">
        <f t="shared" si="1001"/>
        <v>6631356.4355501626</v>
      </c>
      <c r="S737">
        <f t="shared" si="1002"/>
        <v>66.313564355501626</v>
      </c>
      <c r="T737">
        <f t="shared" si="1003"/>
        <v>6.631356435550162E-2</v>
      </c>
    </row>
    <row r="738" spans="1:20" x14ac:dyDescent="0.25">
      <c r="A738" s="5">
        <v>43855</v>
      </c>
      <c r="B738">
        <v>1.89</v>
      </c>
      <c r="C738">
        <v>1.9019999999999999</v>
      </c>
      <c r="D738">
        <v>1.839</v>
      </c>
      <c r="E738">
        <v>1.867</v>
      </c>
      <c r="F738">
        <v>587200.47100000002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-0.11111111111110955</v>
      </c>
      <c r="Q738">
        <f t="shared" si="1000"/>
        <v>-65244.496777776862</v>
      </c>
      <c r="R738">
        <f t="shared" si="1001"/>
        <v>6214265.681264447</v>
      </c>
      <c r="S738">
        <f t="shared" si="1002"/>
        <v>62.142656812644468</v>
      </c>
      <c r="T738">
        <f t="shared" si="1003"/>
        <v>6.214265681264447E-2</v>
      </c>
    </row>
    <row r="739" spans="1:20" x14ac:dyDescent="0.25">
      <c r="A739" s="5">
        <v>43854</v>
      </c>
      <c r="B739">
        <v>1.889</v>
      </c>
      <c r="C739">
        <v>1.9119999999999999</v>
      </c>
      <c r="D739">
        <v>1.8029999999999999</v>
      </c>
      <c r="E739">
        <v>1.89</v>
      </c>
      <c r="F739">
        <v>881319.94099999999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0.59633027522935733</v>
      </c>
      <c r="Q739">
        <f t="shared" si="1000"/>
        <v>525557.762981651</v>
      </c>
      <c r="R739">
        <f t="shared" si="1001"/>
        <v>6279510.1780422237</v>
      </c>
      <c r="S739">
        <f t="shared" si="1002"/>
        <v>62.795101780422236</v>
      </c>
      <c r="T739">
        <f t="shared" si="1003"/>
        <v>6.2795101780422233E-2</v>
      </c>
    </row>
    <row r="740" spans="1:20" x14ac:dyDescent="0.25">
      <c r="A740" s="5">
        <v>43853</v>
      </c>
      <c r="B740">
        <v>1.994</v>
      </c>
      <c r="C740">
        <v>1.9990000000000001</v>
      </c>
      <c r="D740">
        <v>1.837</v>
      </c>
      <c r="E740">
        <v>1.89</v>
      </c>
      <c r="F740">
        <v>877557.02099999995</v>
      </c>
      <c r="G740">
        <v>0</v>
      </c>
      <c r="L740" t="s">
        <v>7</v>
      </c>
      <c r="M740" t="s">
        <v>7</v>
      </c>
      <c r="N740" t="s">
        <v>8</v>
      </c>
      <c r="P740">
        <f t="shared" si="999"/>
        <v>-0.34567901234568038</v>
      </c>
      <c r="Q740">
        <f t="shared" si="1000"/>
        <v>-303353.04429629748</v>
      </c>
      <c r="R740">
        <f t="shared" si="1001"/>
        <v>5753952.4150605723</v>
      </c>
      <c r="S740">
        <f t="shared" si="1002"/>
        <v>57.539524150605722</v>
      </c>
      <c r="T740">
        <f t="shared" si="1003"/>
        <v>5.7539524150605724E-2</v>
      </c>
    </row>
    <row r="741" spans="1:20" x14ac:dyDescent="0.25">
      <c r="A741" s="5">
        <v>43852</v>
      </c>
      <c r="B741">
        <v>1.9510000000000001</v>
      </c>
      <c r="C741">
        <v>2.0379999999999998</v>
      </c>
      <c r="D741">
        <v>1.9419999999999999</v>
      </c>
      <c r="E741">
        <v>1.994</v>
      </c>
      <c r="F741">
        <v>1023139.519</v>
      </c>
      <c r="G741">
        <v>0</v>
      </c>
      <c r="L741" t="s">
        <v>8</v>
      </c>
      <c r="M741" t="s">
        <v>7</v>
      </c>
      <c r="N741" t="s">
        <v>8</v>
      </c>
      <c r="P741">
        <f t="shared" si="999"/>
        <v>8.3333333333335841E-2</v>
      </c>
      <c r="Q741">
        <f t="shared" si="1000"/>
        <v>85261.626583335892</v>
      </c>
      <c r="R741">
        <f t="shared" si="1001"/>
        <v>6057305.4593568696</v>
      </c>
      <c r="S741">
        <f t="shared" si="1002"/>
        <v>60.573054593568699</v>
      </c>
      <c r="T741">
        <f t="shared" si="1003"/>
        <v>6.0573054593568702E-2</v>
      </c>
    </row>
    <row r="742" spans="1:20" x14ac:dyDescent="0.25">
      <c r="A742" s="5">
        <v>43851</v>
      </c>
      <c r="B742">
        <v>1.9219999999999999</v>
      </c>
      <c r="C742">
        <v>1.9670000000000001</v>
      </c>
      <c r="D742">
        <v>1.8819999999999999</v>
      </c>
      <c r="E742">
        <v>1.95</v>
      </c>
      <c r="F742">
        <v>804614.272</v>
      </c>
      <c r="G742">
        <v>0</v>
      </c>
      <c r="L742" t="s">
        <v>7</v>
      </c>
      <c r="M742" t="s">
        <v>7</v>
      </c>
      <c r="N742" t="s">
        <v>8</v>
      </c>
      <c r="P742">
        <f t="shared" si="999"/>
        <v>0.59999999999999787</v>
      </c>
      <c r="Q742">
        <f t="shared" si="1000"/>
        <v>482768.56319999829</v>
      </c>
      <c r="R742">
        <f t="shared" si="1001"/>
        <v>5972043.8327735336</v>
      </c>
      <c r="S742">
        <f t="shared" si="1002"/>
        <v>59.720438327735337</v>
      </c>
      <c r="T742">
        <f t="shared" si="1003"/>
        <v>5.972043832773534E-2</v>
      </c>
    </row>
    <row r="743" spans="1:20" x14ac:dyDescent="0.25">
      <c r="A743" s="5">
        <v>43850</v>
      </c>
      <c r="B743">
        <v>1.9319999999999999</v>
      </c>
      <c r="C743">
        <v>1.9390000000000001</v>
      </c>
      <c r="D743">
        <v>1.8520000000000001</v>
      </c>
      <c r="E743">
        <v>1.923</v>
      </c>
      <c r="F743">
        <v>1160481.679</v>
      </c>
      <c r="G743">
        <v>0</v>
      </c>
      <c r="L743" t="s">
        <v>7</v>
      </c>
      <c r="M743" t="s">
        <v>7</v>
      </c>
      <c r="N743" t="s">
        <v>8</v>
      </c>
      <c r="P743">
        <f t="shared" si="999"/>
        <v>0.63218390804597657</v>
      </c>
      <c r="Q743">
        <f t="shared" si="1000"/>
        <v>733637.84304597648</v>
      </c>
      <c r="R743">
        <f t="shared" si="1001"/>
        <v>5489275.2695735358</v>
      </c>
      <c r="S743">
        <f t="shared" si="1002"/>
        <v>54.892752695735361</v>
      </c>
      <c r="T743">
        <f t="shared" si="1003"/>
        <v>5.4892752695735361E-2</v>
      </c>
    </row>
    <row r="744" spans="1:20" x14ac:dyDescent="0.25">
      <c r="A744" s="5">
        <v>43849</v>
      </c>
      <c r="B744">
        <v>2.0339999999999998</v>
      </c>
      <c r="C744">
        <v>2.0870000000000002</v>
      </c>
      <c r="D744">
        <v>1.865</v>
      </c>
      <c r="E744">
        <v>1.931</v>
      </c>
      <c r="F744">
        <v>1862539.703</v>
      </c>
      <c r="G744">
        <v>0</v>
      </c>
      <c r="L744" t="s">
        <v>7</v>
      </c>
      <c r="M744" t="s">
        <v>7</v>
      </c>
      <c r="N744" t="s">
        <v>8</v>
      </c>
      <c r="P744">
        <f t="shared" si="999"/>
        <v>-0.40540540540540543</v>
      </c>
      <c r="Q744">
        <f t="shared" si="1000"/>
        <v>-755083.66337837838</v>
      </c>
      <c r="R744">
        <f t="shared" si="1001"/>
        <v>4755637.4265275598</v>
      </c>
      <c r="S744">
        <f t="shared" si="1002"/>
        <v>47.556374265275601</v>
      </c>
      <c r="T744">
        <f t="shared" si="1003"/>
        <v>4.7556374265275599E-2</v>
      </c>
    </row>
    <row r="745" spans="1:20" x14ac:dyDescent="0.25">
      <c r="A745" s="5">
        <v>43848</v>
      </c>
      <c r="B745">
        <v>2.09</v>
      </c>
      <c r="C745">
        <v>2.1240000000000001</v>
      </c>
      <c r="D745">
        <v>1.9730000000000001</v>
      </c>
      <c r="E745">
        <v>2.0350000000000001</v>
      </c>
      <c r="F745">
        <v>2136866.969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-0.17880794701986694</v>
      </c>
      <c r="Q745">
        <f t="shared" si="1000"/>
        <v>-382088.79578145564</v>
      </c>
      <c r="R745">
        <f t="shared" si="1001"/>
        <v>5510721.0899059381</v>
      </c>
      <c r="S745">
        <f t="shared" si="1002"/>
        <v>55.107210899059382</v>
      </c>
      <c r="T745">
        <f t="shared" si="1003"/>
        <v>5.5107210899059379E-2</v>
      </c>
    </row>
    <row r="746" spans="1:20" x14ac:dyDescent="0.25">
      <c r="A746" s="5">
        <v>43847</v>
      </c>
      <c r="B746">
        <v>1.9330000000000001</v>
      </c>
      <c r="C746">
        <v>2.2109999999999999</v>
      </c>
      <c r="D746">
        <v>1.895</v>
      </c>
      <c r="E746">
        <v>2.0920000000000001</v>
      </c>
      <c r="F746">
        <v>3866747.8840000001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0.24683544303797572</v>
      </c>
      <c r="Q746">
        <f t="shared" si="1000"/>
        <v>954450.42706329515</v>
      </c>
      <c r="R746">
        <f t="shared" si="1001"/>
        <v>5892809.8856873941</v>
      </c>
      <c r="S746">
        <f t="shared" si="1002"/>
        <v>58.928098856873937</v>
      </c>
      <c r="T746">
        <f t="shared" si="1003"/>
        <v>5.8928098856873938E-2</v>
      </c>
    </row>
    <row r="747" spans="1:20" x14ac:dyDescent="0.25">
      <c r="A747" s="5">
        <v>43846</v>
      </c>
      <c r="B747">
        <v>1.976</v>
      </c>
      <c r="C747">
        <v>2.0059999999999998</v>
      </c>
      <c r="D747">
        <v>1.8560000000000001</v>
      </c>
      <c r="E747">
        <v>1.9319999999999999</v>
      </c>
      <c r="F747">
        <v>2159052.173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1.3333333333333372E-2</v>
      </c>
      <c r="Q747">
        <f t="shared" si="1000"/>
        <v>28787.36230666675</v>
      </c>
      <c r="R747">
        <f t="shared" si="1001"/>
        <v>4938359.4586240994</v>
      </c>
      <c r="S747">
        <f t="shared" si="1002"/>
        <v>49.383594586240996</v>
      </c>
      <c r="T747">
        <f t="shared" si="1003"/>
        <v>4.9383594586240996E-2</v>
      </c>
    </row>
    <row r="748" spans="1:20" x14ac:dyDescent="0.25">
      <c r="A748" s="5">
        <v>43845</v>
      </c>
      <c r="B748">
        <v>1.913</v>
      </c>
      <c r="C748">
        <v>2.113</v>
      </c>
      <c r="D748">
        <v>1.8819999999999999</v>
      </c>
      <c r="E748">
        <v>1.974</v>
      </c>
      <c r="F748">
        <v>3136363.9369999999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-0.20346320346320307</v>
      </c>
      <c r="Q748">
        <f t="shared" si="1000"/>
        <v>-638134.65384848358</v>
      </c>
      <c r="R748">
        <f t="shared" si="1001"/>
        <v>4909572.0963174328</v>
      </c>
      <c r="S748">
        <f t="shared" si="1002"/>
        <v>49.09572096317433</v>
      </c>
      <c r="T748">
        <f t="shared" si="1003"/>
        <v>4.9095720963174327E-2</v>
      </c>
    </row>
    <row r="749" spans="1:20" x14ac:dyDescent="0.25">
      <c r="A749" s="5">
        <v>43844</v>
      </c>
      <c r="B749">
        <v>1.7010000000000001</v>
      </c>
      <c r="C749">
        <v>1.962</v>
      </c>
      <c r="D749">
        <v>1.6990000000000001</v>
      </c>
      <c r="E749">
        <v>1.915</v>
      </c>
      <c r="F749">
        <v>3449098.5219999999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0.64258555133079887</v>
      </c>
      <c r="Q749">
        <f t="shared" si="1000"/>
        <v>2216340.8753536134</v>
      </c>
      <c r="R749">
        <f t="shared" si="1001"/>
        <v>5547706.750165916</v>
      </c>
      <c r="S749">
        <f t="shared" si="1002"/>
        <v>55.477067501659164</v>
      </c>
      <c r="T749">
        <f t="shared" si="1003"/>
        <v>5.5477067501659164E-2</v>
      </c>
    </row>
    <row r="750" spans="1:20" x14ac:dyDescent="0.25">
      <c r="A750" s="5">
        <v>43843</v>
      </c>
      <c r="B750">
        <v>1.7549999999999999</v>
      </c>
      <c r="C750">
        <v>1.76</v>
      </c>
      <c r="D750">
        <v>1.681</v>
      </c>
      <c r="E750">
        <v>1.7010000000000001</v>
      </c>
      <c r="F750">
        <v>1152072.5930000001</v>
      </c>
      <c r="G750">
        <v>0</v>
      </c>
      <c r="L750" t="s">
        <v>8</v>
      </c>
      <c r="M750" t="s">
        <v>8</v>
      </c>
      <c r="N750" t="s">
        <v>8</v>
      </c>
      <c r="P750">
        <f t="shared" si="999"/>
        <v>-0.49367088607594867</v>
      </c>
      <c r="Q750">
        <f t="shared" si="1000"/>
        <v>-568744.69781012589</v>
      </c>
      <c r="R750">
        <f t="shared" si="1001"/>
        <v>3331365.8748123026</v>
      </c>
      <c r="S750">
        <f t="shared" si="1002"/>
        <v>33.313658748123025</v>
      </c>
      <c r="T750">
        <f t="shared" si="1003"/>
        <v>3.3313658748123025E-2</v>
      </c>
    </row>
    <row r="751" spans="1:20" x14ac:dyDescent="0.25">
      <c r="A751" s="5">
        <v>43842</v>
      </c>
      <c r="B751">
        <v>1.738</v>
      </c>
      <c r="C751">
        <v>1.806</v>
      </c>
      <c r="D751">
        <v>1.728</v>
      </c>
      <c r="E751">
        <v>1.754</v>
      </c>
      <c r="F751">
        <v>1302138.088</v>
      </c>
      <c r="G751">
        <v>0</v>
      </c>
      <c r="L751" t="s">
        <v>8</v>
      </c>
      <c r="M751" t="s">
        <v>8</v>
      </c>
      <c r="N751" t="s">
        <v>8</v>
      </c>
      <c r="P751">
        <f t="shared" si="999"/>
        <v>-0.33333333333333331</v>
      </c>
      <c r="Q751">
        <f t="shared" si="1000"/>
        <v>-434046.02933333331</v>
      </c>
      <c r="R751">
        <f t="shared" si="1001"/>
        <v>3900110.5726224286</v>
      </c>
      <c r="S751">
        <f t="shared" si="1002"/>
        <v>39.001105726224289</v>
      </c>
      <c r="T751">
        <f t="shared" si="1003"/>
        <v>3.900110572622429E-2</v>
      </c>
    </row>
    <row r="752" spans="1:20" x14ac:dyDescent="0.25">
      <c r="A752" s="5">
        <v>43841</v>
      </c>
      <c r="B752">
        <v>1.7350000000000001</v>
      </c>
      <c r="C752">
        <v>1.8109999999999999</v>
      </c>
      <c r="D752">
        <v>1.712</v>
      </c>
      <c r="E752">
        <v>1.74</v>
      </c>
      <c r="F752">
        <v>826882.98</v>
      </c>
      <c r="G752">
        <v>0</v>
      </c>
      <c r="L752" t="s">
        <v>8</v>
      </c>
      <c r="M752" t="s">
        <v>8</v>
      </c>
      <c r="N752" t="s">
        <v>8</v>
      </c>
      <c r="P752">
        <f t="shared" si="999"/>
        <v>-0.4343434343434337</v>
      </c>
      <c r="Q752">
        <f t="shared" si="1000"/>
        <v>-359151.19333333278</v>
      </c>
      <c r="R752">
        <f t="shared" si="1001"/>
        <v>4334156.6019557621</v>
      </c>
      <c r="S752">
        <f t="shared" si="1002"/>
        <v>43.341566019557618</v>
      </c>
      <c r="T752">
        <f t="shared" si="1003"/>
        <v>4.3341566019557617E-2</v>
      </c>
    </row>
    <row r="753" spans="1:20" x14ac:dyDescent="0.25">
      <c r="A753" s="5">
        <v>43840</v>
      </c>
      <c r="B753">
        <v>1.6339999999999999</v>
      </c>
      <c r="C753">
        <v>1.738</v>
      </c>
      <c r="D753">
        <v>1.609</v>
      </c>
      <c r="E753">
        <v>1.734</v>
      </c>
      <c r="F753">
        <v>784654.39599999995</v>
      </c>
      <c r="G753">
        <v>0</v>
      </c>
      <c r="L753" t="s">
        <v>7</v>
      </c>
      <c r="M753" t="s">
        <v>7</v>
      </c>
      <c r="N753" t="s">
        <v>8</v>
      </c>
      <c r="P753">
        <f t="shared" si="999"/>
        <v>0.93798449612403101</v>
      </c>
      <c r="Q753">
        <f t="shared" si="1000"/>
        <v>735993.65826356586</v>
      </c>
      <c r="R753">
        <f t="shared" si="1001"/>
        <v>4693307.7952890946</v>
      </c>
      <c r="S753">
        <f t="shared" si="1002"/>
        <v>46.933077952890947</v>
      </c>
      <c r="T753">
        <f t="shared" si="1003"/>
        <v>4.693307795289095E-2</v>
      </c>
    </row>
    <row r="754" spans="1:20" x14ac:dyDescent="0.25">
      <c r="A754" s="5">
        <v>43839</v>
      </c>
      <c r="B754">
        <v>1.6839999999999999</v>
      </c>
      <c r="C754">
        <v>1.6839999999999999</v>
      </c>
      <c r="D754">
        <v>1.6180000000000001</v>
      </c>
      <c r="E754">
        <v>1.6339999999999999</v>
      </c>
      <c r="F754">
        <v>562098.23499999999</v>
      </c>
      <c r="G754">
        <v>0</v>
      </c>
      <c r="L754" t="s">
        <v>7</v>
      </c>
      <c r="M754" t="s">
        <v>7</v>
      </c>
      <c r="N754" t="s">
        <v>8</v>
      </c>
      <c r="P754">
        <f t="shared" si="999"/>
        <v>-0.51515151515152025</v>
      </c>
      <c r="Q754">
        <f t="shared" si="1000"/>
        <v>-289565.7574242453</v>
      </c>
      <c r="R754">
        <f t="shared" si="1001"/>
        <v>3957314.1370255291</v>
      </c>
      <c r="S754">
        <f t="shared" si="1002"/>
        <v>39.573141370255293</v>
      </c>
      <c r="T754">
        <f t="shared" si="1003"/>
        <v>3.9573141370255291E-2</v>
      </c>
    </row>
    <row r="755" spans="1:20" x14ac:dyDescent="0.25">
      <c r="A755" s="5">
        <v>43838</v>
      </c>
      <c r="B755">
        <v>1.7370000000000001</v>
      </c>
      <c r="C755">
        <v>1.7749999999999999</v>
      </c>
      <c r="D755">
        <v>1.661</v>
      </c>
      <c r="E755">
        <v>1.6830000000000001</v>
      </c>
      <c r="F755">
        <v>945822.28500000003</v>
      </c>
      <c r="G755">
        <v>0</v>
      </c>
      <c r="L755" t="s">
        <v>7</v>
      </c>
      <c r="M755" t="s">
        <v>7</v>
      </c>
      <c r="N755" t="s">
        <v>8</v>
      </c>
      <c r="P755">
        <f t="shared" si="999"/>
        <v>-0.61403508771929749</v>
      </c>
      <c r="Q755">
        <f t="shared" si="1000"/>
        <v>-580768.06973684137</v>
      </c>
      <c r="R755">
        <f t="shared" si="1001"/>
        <v>4246879.8944497742</v>
      </c>
      <c r="S755">
        <f t="shared" si="1002"/>
        <v>42.468798944497742</v>
      </c>
      <c r="T755">
        <f t="shared" si="1003"/>
        <v>4.2468798944497739E-2</v>
      </c>
    </row>
    <row r="756" spans="1:20" x14ac:dyDescent="0.25">
      <c r="A756" s="5">
        <v>43837</v>
      </c>
      <c r="B756">
        <v>1.7470000000000001</v>
      </c>
      <c r="C756">
        <v>1.7769999999999999</v>
      </c>
      <c r="D756">
        <v>1.6679999999999999</v>
      </c>
      <c r="E756">
        <v>1.7350000000000001</v>
      </c>
      <c r="F756">
        <v>914383.7</v>
      </c>
      <c r="G756">
        <v>0</v>
      </c>
      <c r="L756" t="s">
        <v>8</v>
      </c>
      <c r="M756" t="s">
        <v>7</v>
      </c>
      <c r="N756" t="s">
        <v>8</v>
      </c>
      <c r="P756">
        <f t="shared" si="999"/>
        <v>0.2293577981651409</v>
      </c>
      <c r="Q756">
        <f t="shared" si="1000"/>
        <v>209721.03211009473</v>
      </c>
      <c r="R756">
        <f t="shared" si="1001"/>
        <v>4827647.9641866153</v>
      </c>
      <c r="S756">
        <f t="shared" si="1002"/>
        <v>48.276479641866153</v>
      </c>
      <c r="T756">
        <f t="shared" si="1003"/>
        <v>4.8276479641866155E-2</v>
      </c>
    </row>
    <row r="757" spans="1:20" x14ac:dyDescent="0.25">
      <c r="A757" s="5">
        <v>43836</v>
      </c>
      <c r="B757">
        <v>1.631</v>
      </c>
      <c r="C757">
        <v>1.7509999999999999</v>
      </c>
      <c r="D757">
        <v>1.6259999999999999</v>
      </c>
      <c r="E757">
        <v>1.7470000000000001</v>
      </c>
      <c r="F757">
        <v>857762.47</v>
      </c>
      <c r="G757">
        <v>0</v>
      </c>
      <c r="L757" t="s">
        <v>8</v>
      </c>
      <c r="M757" t="s">
        <v>7</v>
      </c>
      <c r="N757" t="s">
        <v>8</v>
      </c>
      <c r="P757">
        <f t="shared" si="999"/>
        <v>0.9360000000000035</v>
      </c>
      <c r="Q757">
        <f t="shared" si="1000"/>
        <v>802865.67192000302</v>
      </c>
      <c r="R757">
        <f t="shared" si="1001"/>
        <v>4617926.9320765203</v>
      </c>
      <c r="S757">
        <f t="shared" si="1002"/>
        <v>46.179269320765201</v>
      </c>
      <c r="T757">
        <f t="shared" si="1003"/>
        <v>4.6179269320765201E-2</v>
      </c>
    </row>
    <row r="758" spans="1:20" x14ac:dyDescent="0.25">
      <c r="A758" s="5">
        <v>43835</v>
      </c>
      <c r="B758">
        <v>1.643</v>
      </c>
      <c r="C758">
        <v>1.675</v>
      </c>
      <c r="D758">
        <v>1.6180000000000001</v>
      </c>
      <c r="E758">
        <v>1.631</v>
      </c>
      <c r="F758">
        <v>516216.72</v>
      </c>
      <c r="G758">
        <v>0</v>
      </c>
      <c r="L758" t="s">
        <v>8</v>
      </c>
      <c r="M758" t="s">
        <v>7</v>
      </c>
      <c r="N758" t="s">
        <v>8</v>
      </c>
      <c r="P758">
        <f t="shared" si="999"/>
        <v>-0.54385964912281004</v>
      </c>
      <c r="Q758">
        <f t="shared" si="1000"/>
        <v>-280749.44421052787</v>
      </c>
      <c r="R758">
        <f t="shared" si="1001"/>
        <v>3815061.2601565174</v>
      </c>
      <c r="S758">
        <f t="shared" si="1002"/>
        <v>38.150612601565172</v>
      </c>
      <c r="T758">
        <f t="shared" si="1003"/>
        <v>3.8150612601565173E-2</v>
      </c>
    </row>
    <row r="759" spans="1:20" x14ac:dyDescent="0.25">
      <c r="A759" s="5">
        <v>43834</v>
      </c>
      <c r="B759">
        <v>1.6279999999999999</v>
      </c>
      <c r="C759">
        <v>1.65</v>
      </c>
      <c r="D759">
        <v>1.5960000000000001</v>
      </c>
      <c r="E759">
        <v>1.6419999999999999</v>
      </c>
      <c r="F759">
        <v>433051.97600000002</v>
      </c>
      <c r="G759">
        <v>0</v>
      </c>
      <c r="L759" t="s">
        <v>8</v>
      </c>
      <c r="M759" t="s">
        <v>7</v>
      </c>
      <c r="N759" t="s">
        <v>8</v>
      </c>
      <c r="P759">
        <f t="shared" si="999"/>
        <v>0.7037037037037025</v>
      </c>
      <c r="Q759">
        <f t="shared" si="1000"/>
        <v>304740.27940740692</v>
      </c>
      <c r="R759">
        <f t="shared" si="1001"/>
        <v>4095810.7043670453</v>
      </c>
      <c r="S759">
        <f t="shared" si="1002"/>
        <v>40.958107043670452</v>
      </c>
      <c r="T759">
        <f t="shared" si="1003"/>
        <v>4.095810704367045E-2</v>
      </c>
    </row>
    <row r="760" spans="1:20" x14ac:dyDescent="0.25">
      <c r="A760" s="5">
        <v>43833</v>
      </c>
      <c r="B760">
        <v>1.5329999999999999</v>
      </c>
      <c r="C760">
        <v>1.6379999999999999</v>
      </c>
      <c r="D760">
        <v>1.5129999999999999</v>
      </c>
      <c r="E760">
        <v>1.629</v>
      </c>
      <c r="F760">
        <v>570291.31900000002</v>
      </c>
      <c r="G760">
        <v>0</v>
      </c>
      <c r="L760" t="s">
        <v>7</v>
      </c>
      <c r="M760" t="s">
        <v>7</v>
      </c>
      <c r="N760" t="s">
        <v>8</v>
      </c>
      <c r="P760">
        <f t="shared" si="999"/>
        <v>0.85600000000000165</v>
      </c>
      <c r="Q760">
        <f t="shared" si="1000"/>
        <v>488169.36906400096</v>
      </c>
      <c r="R760">
        <f t="shared" si="1001"/>
        <v>3791070.4249596382</v>
      </c>
      <c r="S760">
        <f t="shared" si="1002"/>
        <v>37.910704249596378</v>
      </c>
      <c r="T760">
        <f t="shared" si="1003"/>
        <v>3.7910704249596375E-2</v>
      </c>
    </row>
    <row r="761" spans="1:20" x14ac:dyDescent="0.25">
      <c r="A761" s="5">
        <v>43832</v>
      </c>
      <c r="B761">
        <v>1.6020000000000001</v>
      </c>
      <c r="C761">
        <v>1.6060000000000001</v>
      </c>
      <c r="D761">
        <v>1.5289999999999999</v>
      </c>
      <c r="E761">
        <v>1.5329999999999999</v>
      </c>
      <c r="F761">
        <v>413159.66899999999</v>
      </c>
      <c r="G761">
        <v>0</v>
      </c>
      <c r="L761" t="s">
        <v>7</v>
      </c>
      <c r="M761" t="s">
        <v>7</v>
      </c>
      <c r="N761" t="s">
        <v>8</v>
      </c>
      <c r="P761">
        <f t="shared" si="999"/>
        <v>-0.89610389610389629</v>
      </c>
      <c r="Q761">
        <f t="shared" si="1000"/>
        <v>-370233.98910389619</v>
      </c>
      <c r="R761">
        <f t="shared" si="1001"/>
        <v>3302901.0558956373</v>
      </c>
      <c r="S761">
        <f t="shared" si="1002"/>
        <v>33.029010558956372</v>
      </c>
      <c r="T761">
        <f t="shared" si="1003"/>
        <v>3.3029010558956372E-2</v>
      </c>
    </row>
    <row r="762" spans="1:20" x14ac:dyDescent="0.25">
      <c r="A762" s="5">
        <v>43831</v>
      </c>
      <c r="B762">
        <v>1.609</v>
      </c>
      <c r="C762">
        <v>1.6279999999999999</v>
      </c>
      <c r="D762">
        <v>1.5980000000000001</v>
      </c>
      <c r="E762">
        <v>1.603</v>
      </c>
      <c r="F762">
        <v>237063.24600000001</v>
      </c>
      <c r="G762">
        <v>0</v>
      </c>
      <c r="L762" t="s">
        <v>7</v>
      </c>
      <c r="M762" t="s">
        <v>7</v>
      </c>
      <c r="N762" t="s">
        <v>8</v>
      </c>
      <c r="P762">
        <f t="shared" si="999"/>
        <v>-0.66666666666667163</v>
      </c>
      <c r="Q762">
        <f t="shared" si="1000"/>
        <v>-158042.16400000118</v>
      </c>
      <c r="R762">
        <f t="shared" si="1001"/>
        <v>3673135.0449995333</v>
      </c>
      <c r="S762">
        <f t="shared" si="1002"/>
        <v>36.731350449995332</v>
      </c>
      <c r="T762">
        <f t="shared" si="1003"/>
        <v>3.6731350449995336E-2</v>
      </c>
    </row>
    <row r="763" spans="1:20" x14ac:dyDescent="0.25">
      <c r="A763" s="5">
        <v>43830</v>
      </c>
      <c r="B763">
        <v>1.63</v>
      </c>
      <c r="C763">
        <v>1.6379999999999999</v>
      </c>
      <c r="D763">
        <v>1.5920000000000001</v>
      </c>
      <c r="E763">
        <v>1.6120000000000001</v>
      </c>
      <c r="F763">
        <v>299156.14899999998</v>
      </c>
      <c r="G763">
        <v>0</v>
      </c>
      <c r="L763" t="s">
        <v>7</v>
      </c>
      <c r="M763" t="s">
        <v>7</v>
      </c>
      <c r="N763" t="s">
        <v>8</v>
      </c>
      <c r="P763">
        <f t="shared" si="999"/>
        <v>-0.13043478260869146</v>
      </c>
      <c r="Q763">
        <f t="shared" si="1000"/>
        <v>-39020.367260868305</v>
      </c>
      <c r="R763">
        <f t="shared" si="1001"/>
        <v>3831177.2089995346</v>
      </c>
      <c r="S763">
        <f t="shared" si="1002"/>
        <v>38.311772089995344</v>
      </c>
      <c r="T763">
        <f t="shared" si="1003"/>
        <v>3.8311772089995345E-2</v>
      </c>
    </row>
    <row r="764" spans="1:20" x14ac:dyDescent="0.25">
      <c r="A764" s="5">
        <v>43829</v>
      </c>
      <c r="B764">
        <v>1.665</v>
      </c>
      <c r="C764">
        <v>1.675</v>
      </c>
      <c r="D764">
        <v>1.6040000000000001</v>
      </c>
      <c r="E764">
        <v>1.631</v>
      </c>
      <c r="F764">
        <v>489388.033</v>
      </c>
      <c r="G764">
        <v>0</v>
      </c>
      <c r="L764" t="s">
        <v>7</v>
      </c>
      <c r="M764" t="s">
        <v>7</v>
      </c>
      <c r="N764" t="s">
        <v>8</v>
      </c>
      <c r="P764">
        <f t="shared" si="999"/>
        <v>-0.23943661971831179</v>
      </c>
      <c r="Q764">
        <f t="shared" si="1000"/>
        <v>-117177.41635211362</v>
      </c>
      <c r="R764">
        <f t="shared" si="1001"/>
        <v>3870197.5762604028</v>
      </c>
      <c r="S764">
        <f t="shared" si="1002"/>
        <v>38.701975762604029</v>
      </c>
      <c r="T764">
        <f t="shared" si="1003"/>
        <v>3.8701975762604028E-2</v>
      </c>
    </row>
    <row r="765" spans="1:20" x14ac:dyDescent="0.25">
      <c r="A765" s="5">
        <v>43828</v>
      </c>
      <c r="B765">
        <v>1.6279999999999999</v>
      </c>
      <c r="C765">
        <v>1.708</v>
      </c>
      <c r="D765">
        <v>1.617</v>
      </c>
      <c r="E765">
        <v>1.6659999999999999</v>
      </c>
      <c r="F765">
        <v>436220.49300000002</v>
      </c>
      <c r="G765">
        <v>0</v>
      </c>
      <c r="L765" t="s">
        <v>8</v>
      </c>
      <c r="M765" t="s">
        <v>7</v>
      </c>
      <c r="N765" t="s">
        <v>8</v>
      </c>
      <c r="P765">
        <f t="shared" si="999"/>
        <v>7.6923076923075803E-2</v>
      </c>
      <c r="Q765">
        <f t="shared" si="1000"/>
        <v>33555.422538461055</v>
      </c>
      <c r="R765">
        <f t="shared" si="1001"/>
        <v>3987374.9926125165</v>
      </c>
      <c r="S765">
        <f t="shared" si="1002"/>
        <v>39.873749926125164</v>
      </c>
      <c r="T765">
        <f t="shared" si="1003"/>
        <v>3.9873749926125163E-2</v>
      </c>
    </row>
    <row r="766" spans="1:20" x14ac:dyDescent="0.25">
      <c r="A766" s="5">
        <v>43827</v>
      </c>
      <c r="B766">
        <v>1.611</v>
      </c>
      <c r="C766">
        <v>1.6519999999999999</v>
      </c>
      <c r="D766">
        <v>1.6080000000000001</v>
      </c>
      <c r="E766">
        <v>1.627</v>
      </c>
      <c r="F766">
        <v>335276.375</v>
      </c>
      <c r="G766">
        <v>0</v>
      </c>
      <c r="L766" t="s">
        <v>7</v>
      </c>
      <c r="M766" t="s">
        <v>7</v>
      </c>
      <c r="N766" t="s">
        <v>8</v>
      </c>
      <c r="P766">
        <f t="shared" si="999"/>
        <v>-0.13636363636363705</v>
      </c>
      <c r="Q766">
        <f t="shared" si="1000"/>
        <v>-45719.505681818409</v>
      </c>
      <c r="R766">
        <f t="shared" si="1001"/>
        <v>3953819.5700740553</v>
      </c>
      <c r="S766">
        <f t="shared" si="1002"/>
        <v>39.538195700740552</v>
      </c>
      <c r="T766">
        <f t="shared" si="1003"/>
        <v>3.9538195700740554E-2</v>
      </c>
    </row>
    <row r="767" spans="1:20" x14ac:dyDescent="0.25">
      <c r="A767" s="5">
        <v>43826</v>
      </c>
      <c r="B767">
        <v>1.5880000000000001</v>
      </c>
      <c r="C767">
        <v>1.631</v>
      </c>
      <c r="D767">
        <v>1.5580000000000001</v>
      </c>
      <c r="E767">
        <v>1.611</v>
      </c>
      <c r="F767">
        <v>498190.495</v>
      </c>
      <c r="G767">
        <v>0</v>
      </c>
      <c r="L767" t="s">
        <v>7</v>
      </c>
      <c r="M767" t="s">
        <v>7</v>
      </c>
      <c r="N767" t="s">
        <v>8</v>
      </c>
      <c r="P767">
        <f t="shared" ref="P767:P830" si="1004">IF(C767=D767,0,((E767-D767)-(C767-E767))/(C767-D767))</f>
        <v>0.45205479452054709</v>
      </c>
      <c r="Q767">
        <f t="shared" ref="Q767:Q830" si="1005">F767*P767</f>
        <v>225209.40184931463</v>
      </c>
      <c r="R767">
        <f t="shared" ref="R767:R830" si="1006">R768+Q767</f>
        <v>3999539.0757558737</v>
      </c>
      <c r="S767">
        <f t="shared" ref="S767:S830" si="1007">R767/100000</f>
        <v>39.995390757558738</v>
      </c>
      <c r="T767">
        <f t="shared" ref="T767:T830" si="1008">S767/1000</f>
        <v>3.9995390757558737E-2</v>
      </c>
    </row>
    <row r="768" spans="1:20" x14ac:dyDescent="0.25">
      <c r="A768" s="5">
        <v>43825</v>
      </c>
      <c r="B768">
        <v>1.5880000000000001</v>
      </c>
      <c r="C768">
        <v>1.6459999999999999</v>
      </c>
      <c r="D768">
        <v>1.5629999999999999</v>
      </c>
      <c r="E768">
        <v>1.589</v>
      </c>
      <c r="F768">
        <v>434036.821</v>
      </c>
      <c r="G768">
        <v>0</v>
      </c>
      <c r="L768" t="s">
        <v>7</v>
      </c>
      <c r="M768" t="s">
        <v>7</v>
      </c>
      <c r="N768" t="s">
        <v>8</v>
      </c>
      <c r="P768">
        <f t="shared" si="1004"/>
        <v>-0.37349397590361361</v>
      </c>
      <c r="Q768">
        <f t="shared" si="1005"/>
        <v>-162110.13796385506</v>
      </c>
      <c r="R768">
        <f t="shared" si="1006"/>
        <v>3774329.6739065591</v>
      </c>
      <c r="S768">
        <f t="shared" si="1007"/>
        <v>37.743296739065592</v>
      </c>
      <c r="T768">
        <f t="shared" si="1008"/>
        <v>3.7743296739065589E-2</v>
      </c>
    </row>
    <row r="769" spans="1:20" x14ac:dyDescent="0.25">
      <c r="A769" s="5">
        <v>43824</v>
      </c>
      <c r="B769">
        <v>1.603</v>
      </c>
      <c r="C769">
        <v>1.6080000000000001</v>
      </c>
      <c r="D769">
        <v>1.552</v>
      </c>
      <c r="E769">
        <v>1.587</v>
      </c>
      <c r="F769">
        <v>272839.77799999999</v>
      </c>
      <c r="G769">
        <v>0</v>
      </c>
      <c r="L769" t="s">
        <v>7</v>
      </c>
      <c r="M769" t="s">
        <v>7</v>
      </c>
      <c r="N769" t="s">
        <v>8</v>
      </c>
      <c r="P769">
        <f t="shared" si="1004"/>
        <v>0.24999999999999603</v>
      </c>
      <c r="Q769">
        <f t="shared" si="1005"/>
        <v>68209.944499998921</v>
      </c>
      <c r="R769">
        <f t="shared" si="1006"/>
        <v>3936439.8118704143</v>
      </c>
      <c r="S769">
        <f t="shared" si="1007"/>
        <v>39.364398118704145</v>
      </c>
      <c r="T769">
        <f t="shared" si="1008"/>
        <v>3.9364398118704146E-2</v>
      </c>
    </row>
    <row r="770" spans="1:20" x14ac:dyDescent="0.25">
      <c r="A770" s="5">
        <v>43823</v>
      </c>
      <c r="B770">
        <v>1.6120000000000001</v>
      </c>
      <c r="C770">
        <v>1.6259999999999999</v>
      </c>
      <c r="D770">
        <v>1.5860000000000001</v>
      </c>
      <c r="E770">
        <v>1.603</v>
      </c>
      <c r="F770">
        <v>488884.91899999999</v>
      </c>
      <c r="G770">
        <v>0</v>
      </c>
      <c r="L770" t="s">
        <v>7</v>
      </c>
      <c r="M770" t="s">
        <v>7</v>
      </c>
      <c r="N770" t="s">
        <v>8</v>
      </c>
      <c r="P770">
        <f t="shared" si="1004"/>
        <v>-0.15000000000000083</v>
      </c>
      <c r="Q770">
        <f t="shared" si="1005"/>
        <v>-73332.737850000398</v>
      </c>
      <c r="R770">
        <f t="shared" si="1006"/>
        <v>3868229.8673704155</v>
      </c>
      <c r="S770">
        <f t="shared" si="1007"/>
        <v>38.682298673704153</v>
      </c>
      <c r="T770">
        <f t="shared" si="1008"/>
        <v>3.8682298673704152E-2</v>
      </c>
    </row>
    <row r="771" spans="1:20" x14ac:dyDescent="0.25">
      <c r="A771" s="5">
        <v>43822</v>
      </c>
      <c r="B771">
        <v>1.6830000000000001</v>
      </c>
      <c r="C771">
        <v>1.702</v>
      </c>
      <c r="D771">
        <v>1.599</v>
      </c>
      <c r="E771">
        <v>1.6120000000000001</v>
      </c>
      <c r="F771">
        <v>724435.14899999998</v>
      </c>
      <c r="G771">
        <v>0</v>
      </c>
      <c r="L771" t="s">
        <v>7</v>
      </c>
      <c r="M771" t="s">
        <v>7</v>
      </c>
      <c r="N771" t="s">
        <v>8</v>
      </c>
      <c r="P771">
        <f t="shared" si="1004"/>
        <v>-0.74757281553397814</v>
      </c>
      <c r="Q771">
        <f t="shared" si="1005"/>
        <v>-541568.02400970692</v>
      </c>
      <c r="R771">
        <f t="shared" si="1006"/>
        <v>3941562.6052204161</v>
      </c>
      <c r="S771">
        <f t="shared" si="1007"/>
        <v>39.415626052204161</v>
      </c>
      <c r="T771">
        <f t="shared" si="1008"/>
        <v>3.941562605220416E-2</v>
      </c>
    </row>
    <row r="772" spans="1:20" x14ac:dyDescent="0.25">
      <c r="A772" s="5">
        <v>43821</v>
      </c>
      <c r="B772">
        <v>1.62</v>
      </c>
      <c r="C772">
        <v>1.6870000000000001</v>
      </c>
      <c r="D772">
        <v>1.609</v>
      </c>
      <c r="E772">
        <v>1.6819999999999999</v>
      </c>
      <c r="F772">
        <v>587472.07299999997</v>
      </c>
      <c r="G772">
        <v>0</v>
      </c>
      <c r="L772" t="s">
        <v>7</v>
      </c>
      <c r="M772" t="s">
        <v>7</v>
      </c>
      <c r="N772" t="s">
        <v>8</v>
      </c>
      <c r="P772">
        <f t="shared" si="1004"/>
        <v>0.87179487179486892</v>
      </c>
      <c r="Q772">
        <f t="shared" si="1005"/>
        <v>512155.14056410088</v>
      </c>
      <c r="R772">
        <f t="shared" si="1006"/>
        <v>4483130.629230123</v>
      </c>
      <c r="S772">
        <f t="shared" si="1007"/>
        <v>44.831306292301228</v>
      </c>
      <c r="T772">
        <f t="shared" si="1008"/>
        <v>4.4831306292301226E-2</v>
      </c>
    </row>
    <row r="773" spans="1:20" x14ac:dyDescent="0.25">
      <c r="A773" s="5">
        <v>43820</v>
      </c>
      <c r="B773">
        <v>1.66</v>
      </c>
      <c r="C773">
        <v>1.66</v>
      </c>
      <c r="D773">
        <v>1.609</v>
      </c>
      <c r="E773">
        <v>1.619</v>
      </c>
      <c r="F773">
        <v>349973.06300000002</v>
      </c>
      <c r="G773">
        <v>0</v>
      </c>
      <c r="L773" t="s">
        <v>7</v>
      </c>
      <c r="M773" t="s">
        <v>7</v>
      </c>
      <c r="N773" t="s">
        <v>8</v>
      </c>
      <c r="P773">
        <f t="shared" si="1004"/>
        <v>-0.60784313725490113</v>
      </c>
      <c r="Q773">
        <f t="shared" si="1005"/>
        <v>-212728.72456862716</v>
      </c>
      <c r="R773">
        <f t="shared" si="1006"/>
        <v>3970975.4886660217</v>
      </c>
      <c r="S773">
        <f t="shared" si="1007"/>
        <v>39.709754886660214</v>
      </c>
      <c r="T773">
        <f t="shared" si="1008"/>
        <v>3.9709754886660217E-2</v>
      </c>
    </row>
    <row r="774" spans="1:20" x14ac:dyDescent="0.25">
      <c r="A774" s="5">
        <v>43819</v>
      </c>
      <c r="B774">
        <v>1.661</v>
      </c>
      <c r="C774">
        <v>1.681</v>
      </c>
      <c r="D774">
        <v>1.62</v>
      </c>
      <c r="E774">
        <v>1.6579999999999999</v>
      </c>
      <c r="F774">
        <v>541504.31200000003</v>
      </c>
      <c r="G774">
        <v>0</v>
      </c>
      <c r="L774" t="s">
        <v>7</v>
      </c>
      <c r="M774" t="s">
        <v>7</v>
      </c>
      <c r="N774" t="s">
        <v>8</v>
      </c>
      <c r="P774">
        <f t="shared" si="1004"/>
        <v>0.24590163934425729</v>
      </c>
      <c r="Q774">
        <f t="shared" si="1005"/>
        <v>133156.79803278419</v>
      </c>
      <c r="R774">
        <f t="shared" si="1006"/>
        <v>4183704.213234649</v>
      </c>
      <c r="S774">
        <f t="shared" si="1007"/>
        <v>41.83704213234649</v>
      </c>
      <c r="T774">
        <f t="shared" si="1008"/>
        <v>4.1837042132346493E-2</v>
      </c>
    </row>
    <row r="775" spans="1:20" x14ac:dyDescent="0.25">
      <c r="A775" s="5">
        <v>43818</v>
      </c>
      <c r="B775">
        <v>1.679</v>
      </c>
      <c r="C775">
        <v>1.6950000000000001</v>
      </c>
      <c r="D775">
        <v>1.597</v>
      </c>
      <c r="E775">
        <v>1.66</v>
      </c>
      <c r="F775">
        <v>683181.98</v>
      </c>
      <c r="G775">
        <v>0</v>
      </c>
      <c r="L775" t="s">
        <v>7</v>
      </c>
      <c r="M775" t="s">
        <v>7</v>
      </c>
      <c r="N775" t="s">
        <v>8</v>
      </c>
      <c r="P775">
        <f t="shared" si="1004"/>
        <v>0.28571428571428342</v>
      </c>
      <c r="Q775">
        <f t="shared" si="1005"/>
        <v>195194.85142856985</v>
      </c>
      <c r="R775">
        <f t="shared" si="1006"/>
        <v>4050547.4152018647</v>
      </c>
      <c r="S775">
        <f t="shared" si="1007"/>
        <v>40.50547415201865</v>
      </c>
      <c r="T775">
        <f t="shared" si="1008"/>
        <v>4.0505474152018647E-2</v>
      </c>
    </row>
    <row r="776" spans="1:20" x14ac:dyDescent="0.25">
      <c r="A776" s="5">
        <v>43817</v>
      </c>
      <c r="B776">
        <v>1.53</v>
      </c>
      <c r="C776">
        <v>1.7190000000000001</v>
      </c>
      <c r="D776">
        <v>1.49</v>
      </c>
      <c r="E776">
        <v>1.677</v>
      </c>
      <c r="F776">
        <v>1096833.4650000001</v>
      </c>
      <c r="G776">
        <v>0</v>
      </c>
      <c r="L776" t="s">
        <v>8</v>
      </c>
      <c r="M776" t="s">
        <v>7</v>
      </c>
      <c r="N776" t="s">
        <v>8</v>
      </c>
      <c r="P776">
        <f t="shared" si="1004"/>
        <v>0.633187772925764</v>
      </c>
      <c r="Q776">
        <f t="shared" si="1005"/>
        <v>694501.53897379898</v>
      </c>
      <c r="R776">
        <f t="shared" si="1006"/>
        <v>3855352.5637732949</v>
      </c>
      <c r="S776">
        <f t="shared" si="1007"/>
        <v>38.553525637732946</v>
      </c>
      <c r="T776">
        <f t="shared" si="1008"/>
        <v>3.8553525637732948E-2</v>
      </c>
    </row>
    <row r="777" spans="1:20" x14ac:dyDescent="0.25">
      <c r="A777" s="5">
        <v>43816</v>
      </c>
      <c r="B777">
        <v>1.655</v>
      </c>
      <c r="C777">
        <v>1.655</v>
      </c>
      <c r="D777">
        <v>1.5009999999999999</v>
      </c>
      <c r="E777">
        <v>1.53</v>
      </c>
      <c r="F777">
        <v>1453929.4180000001</v>
      </c>
      <c r="G777">
        <v>0</v>
      </c>
      <c r="L777" t="s">
        <v>7</v>
      </c>
      <c r="M777" t="s">
        <v>7</v>
      </c>
      <c r="N777" t="s">
        <v>8</v>
      </c>
      <c r="P777">
        <f t="shared" si="1004"/>
        <v>-0.62337662337662192</v>
      </c>
      <c r="Q777">
        <f t="shared" si="1005"/>
        <v>-906345.61122077715</v>
      </c>
      <c r="R777">
        <f t="shared" si="1006"/>
        <v>3160851.0247994959</v>
      </c>
      <c r="S777">
        <f t="shared" si="1007"/>
        <v>31.60851024799496</v>
      </c>
      <c r="T777">
        <f t="shared" si="1008"/>
        <v>3.1608510247994957E-2</v>
      </c>
    </row>
    <row r="778" spans="1:20" x14ac:dyDescent="0.25">
      <c r="A778" s="5">
        <v>43815</v>
      </c>
      <c r="B778">
        <v>1.758</v>
      </c>
      <c r="C778">
        <v>1.762</v>
      </c>
      <c r="D778">
        <v>1.647</v>
      </c>
      <c r="E778">
        <v>1.6539999999999999</v>
      </c>
      <c r="F778">
        <v>548084.00699999998</v>
      </c>
      <c r="G778">
        <v>0</v>
      </c>
      <c r="L778" t="s">
        <v>7</v>
      </c>
      <c r="M778" t="s">
        <v>8</v>
      </c>
      <c r="N778" t="s">
        <v>8</v>
      </c>
      <c r="P778">
        <f t="shared" si="1004"/>
        <v>-0.8782608695652192</v>
      </c>
      <c r="Q778">
        <f t="shared" si="1005"/>
        <v>-481360.73658260965</v>
      </c>
      <c r="R778">
        <f t="shared" si="1006"/>
        <v>4067196.636020273</v>
      </c>
      <c r="S778">
        <f t="shared" si="1007"/>
        <v>40.671966360202731</v>
      </c>
      <c r="T778">
        <f t="shared" si="1008"/>
        <v>4.0671966360202733E-2</v>
      </c>
    </row>
    <row r="779" spans="1:20" x14ac:dyDescent="0.25">
      <c r="A779" s="5">
        <v>43814</v>
      </c>
      <c r="B779">
        <v>1.7490000000000001</v>
      </c>
      <c r="C779">
        <v>1.7869999999999999</v>
      </c>
      <c r="D779">
        <v>1.6879999999999999</v>
      </c>
      <c r="E779">
        <v>1.7569999999999999</v>
      </c>
      <c r="F779">
        <v>998234.10699999996</v>
      </c>
      <c r="G779">
        <v>0</v>
      </c>
      <c r="L779" t="s">
        <v>7</v>
      </c>
      <c r="M779" t="s">
        <v>8</v>
      </c>
      <c r="N779" t="s">
        <v>8</v>
      </c>
      <c r="P779">
        <f t="shared" si="1004"/>
        <v>0.39393939393939326</v>
      </c>
      <c r="Q779">
        <f t="shared" si="1005"/>
        <v>393243.7391212114</v>
      </c>
      <c r="R779">
        <f t="shared" si="1006"/>
        <v>4548557.3726028828</v>
      </c>
      <c r="S779">
        <f t="shared" si="1007"/>
        <v>45.485573726028825</v>
      </c>
      <c r="T779">
        <f t="shared" si="1008"/>
        <v>4.5485573726028822E-2</v>
      </c>
    </row>
    <row r="780" spans="1:20" x14ac:dyDescent="0.25">
      <c r="A780" s="5">
        <v>43813</v>
      </c>
      <c r="B780">
        <v>1.8640000000000001</v>
      </c>
      <c r="C780">
        <v>1.873</v>
      </c>
      <c r="D780">
        <v>1.7470000000000001</v>
      </c>
      <c r="E780">
        <v>1.7490000000000001</v>
      </c>
      <c r="F780">
        <v>944849.99399999995</v>
      </c>
      <c r="G780">
        <v>0</v>
      </c>
      <c r="L780" t="s">
        <v>7</v>
      </c>
      <c r="M780" t="s">
        <v>8</v>
      </c>
      <c r="N780" t="s">
        <v>8</v>
      </c>
      <c r="P780">
        <f t="shared" si="1004"/>
        <v>-0.96825396825396814</v>
      </c>
      <c r="Q780">
        <f t="shared" si="1005"/>
        <v>-914854.75609523791</v>
      </c>
      <c r="R780">
        <f t="shared" si="1006"/>
        <v>4155313.6334816711</v>
      </c>
      <c r="S780">
        <f t="shared" si="1007"/>
        <v>41.553136334816713</v>
      </c>
      <c r="T780">
        <f t="shared" si="1008"/>
        <v>4.1553136334816713E-2</v>
      </c>
    </row>
    <row r="781" spans="1:20" x14ac:dyDescent="0.25">
      <c r="A781" s="5">
        <v>43812</v>
      </c>
      <c r="B781">
        <v>1.8160000000000001</v>
      </c>
      <c r="C781">
        <v>1.954</v>
      </c>
      <c r="D781">
        <v>1.792</v>
      </c>
      <c r="E781">
        <v>1.865</v>
      </c>
      <c r="F781">
        <v>1869308.1850000001</v>
      </c>
      <c r="G781">
        <v>0</v>
      </c>
      <c r="L781" t="s">
        <v>8</v>
      </c>
      <c r="M781" t="s">
        <v>8</v>
      </c>
      <c r="N781" t="s">
        <v>8</v>
      </c>
      <c r="P781">
        <f t="shared" si="1004"/>
        <v>-9.8765432098765565E-2</v>
      </c>
      <c r="Q781">
        <f t="shared" si="1005"/>
        <v>-184623.03061728421</v>
      </c>
      <c r="R781">
        <f t="shared" si="1006"/>
        <v>5070168.3895769091</v>
      </c>
      <c r="S781">
        <f t="shared" si="1007"/>
        <v>50.701683895769094</v>
      </c>
      <c r="T781">
        <f t="shared" si="1008"/>
        <v>5.0701683895769095E-2</v>
      </c>
    </row>
    <row r="782" spans="1:20" x14ac:dyDescent="0.25">
      <c r="A782" s="5">
        <v>43811</v>
      </c>
      <c r="B782">
        <v>1.7490000000000001</v>
      </c>
      <c r="C782">
        <v>1.8460000000000001</v>
      </c>
      <c r="D782">
        <v>1.702</v>
      </c>
      <c r="E782">
        <v>1.8169999999999999</v>
      </c>
      <c r="F782">
        <v>914518.33100000001</v>
      </c>
      <c r="G782">
        <v>0</v>
      </c>
      <c r="L782" t="s">
        <v>8</v>
      </c>
      <c r="M782" t="s">
        <v>8</v>
      </c>
      <c r="N782" t="s">
        <v>7</v>
      </c>
      <c r="P782">
        <f t="shared" si="1004"/>
        <v>0.59722222222222066</v>
      </c>
      <c r="Q782">
        <f t="shared" si="1005"/>
        <v>546170.66990277637</v>
      </c>
      <c r="R782">
        <f t="shared" si="1006"/>
        <v>5254791.4201941937</v>
      </c>
      <c r="S782">
        <f t="shared" si="1007"/>
        <v>52.547914201941936</v>
      </c>
      <c r="T782">
        <f t="shared" si="1008"/>
        <v>5.2547914201941937E-2</v>
      </c>
    </row>
    <row r="783" spans="1:20" x14ac:dyDescent="0.25">
      <c r="A783" s="5">
        <v>43810</v>
      </c>
      <c r="B783">
        <v>1.7410000000000001</v>
      </c>
      <c r="C783">
        <v>1.7509999999999999</v>
      </c>
      <c r="D783">
        <v>1.704</v>
      </c>
      <c r="E783">
        <v>1.7490000000000001</v>
      </c>
      <c r="F783">
        <v>646763.277</v>
      </c>
      <c r="G783">
        <v>0</v>
      </c>
      <c r="L783" t="s">
        <v>8</v>
      </c>
      <c r="M783" t="s">
        <v>8</v>
      </c>
      <c r="N783" t="s">
        <v>7</v>
      </c>
      <c r="P783">
        <f t="shared" si="1004"/>
        <v>0.9148936170212858</v>
      </c>
      <c r="Q783">
        <f t="shared" si="1005"/>
        <v>591719.5938510698</v>
      </c>
      <c r="R783">
        <f t="shared" si="1006"/>
        <v>4708620.7502914174</v>
      </c>
      <c r="S783">
        <f t="shared" si="1007"/>
        <v>47.086207502914171</v>
      </c>
      <c r="T783">
        <f t="shared" si="1008"/>
        <v>4.7086207502914174E-2</v>
      </c>
    </row>
    <row r="784" spans="1:20" x14ac:dyDescent="0.25">
      <c r="A784" s="5">
        <v>43809</v>
      </c>
      <c r="B784">
        <v>1.7370000000000001</v>
      </c>
      <c r="C784">
        <v>1.7669999999999999</v>
      </c>
      <c r="D784">
        <v>1.6859999999999999</v>
      </c>
      <c r="E784">
        <v>1.7410000000000001</v>
      </c>
      <c r="F784">
        <v>811923.30099999998</v>
      </c>
      <c r="G784">
        <v>0</v>
      </c>
      <c r="L784" t="s">
        <v>8</v>
      </c>
      <c r="M784" t="s">
        <v>8</v>
      </c>
      <c r="N784" t="s">
        <v>7</v>
      </c>
      <c r="P784">
        <f t="shared" si="1004"/>
        <v>0.35802469135802928</v>
      </c>
      <c r="Q784">
        <f t="shared" si="1005"/>
        <v>290688.58924691728</v>
      </c>
      <c r="R784">
        <f t="shared" si="1006"/>
        <v>4116901.1564403474</v>
      </c>
      <c r="S784">
        <f t="shared" si="1007"/>
        <v>41.169011564403476</v>
      </c>
      <c r="T784">
        <f t="shared" si="1008"/>
        <v>4.1169011564403474E-2</v>
      </c>
    </row>
    <row r="785" spans="1:20" x14ac:dyDescent="0.25">
      <c r="A785" s="5">
        <v>43808</v>
      </c>
      <c r="B785">
        <v>1.7430000000000001</v>
      </c>
      <c r="C785">
        <v>1.784</v>
      </c>
      <c r="D785">
        <v>1.718</v>
      </c>
      <c r="E785">
        <v>1.738</v>
      </c>
      <c r="F785">
        <v>879511.50899999996</v>
      </c>
      <c r="G785">
        <v>0</v>
      </c>
      <c r="L785" t="s">
        <v>8</v>
      </c>
      <c r="M785" t="s">
        <v>8</v>
      </c>
      <c r="N785" t="s">
        <v>7</v>
      </c>
      <c r="P785">
        <f t="shared" si="1004"/>
        <v>-0.39393939393939392</v>
      </c>
      <c r="Q785">
        <f t="shared" si="1005"/>
        <v>-346474.23081818176</v>
      </c>
      <c r="R785">
        <f t="shared" si="1006"/>
        <v>3826212.5671934304</v>
      </c>
      <c r="S785">
        <f t="shared" si="1007"/>
        <v>38.262125671934307</v>
      </c>
      <c r="T785">
        <f t="shared" si="1008"/>
        <v>3.8262125671934308E-2</v>
      </c>
    </row>
    <row r="786" spans="1:20" x14ac:dyDescent="0.25">
      <c r="A786" s="5">
        <v>43807</v>
      </c>
      <c r="B786">
        <v>1.7410000000000001</v>
      </c>
      <c r="C786">
        <v>1.766</v>
      </c>
      <c r="D786">
        <v>1.7150000000000001</v>
      </c>
      <c r="E786">
        <v>1.7430000000000001</v>
      </c>
      <c r="F786">
        <v>346096.74</v>
      </c>
      <c r="G786">
        <v>0</v>
      </c>
      <c r="L786" t="s">
        <v>8</v>
      </c>
      <c r="M786" t="s">
        <v>8</v>
      </c>
      <c r="N786" t="s">
        <v>7</v>
      </c>
      <c r="P786">
        <f t="shared" si="1004"/>
        <v>9.8039215686276895E-2</v>
      </c>
      <c r="Q786">
        <f t="shared" si="1005"/>
        <v>33931.052941177295</v>
      </c>
      <c r="R786">
        <f t="shared" si="1006"/>
        <v>4172686.7980116121</v>
      </c>
      <c r="S786">
        <f t="shared" si="1007"/>
        <v>41.726867980116118</v>
      </c>
      <c r="T786">
        <f t="shared" si="1008"/>
        <v>4.1726867980116121E-2</v>
      </c>
    </row>
    <row r="787" spans="1:20" x14ac:dyDescent="0.25">
      <c r="A787" s="5">
        <v>43806</v>
      </c>
      <c r="B787">
        <v>1.748</v>
      </c>
      <c r="C787">
        <v>1.778</v>
      </c>
      <c r="D787">
        <v>1.732</v>
      </c>
      <c r="E787">
        <v>1.742</v>
      </c>
      <c r="F787">
        <v>287325.565</v>
      </c>
      <c r="G787">
        <v>0</v>
      </c>
      <c r="L787" t="s">
        <v>8</v>
      </c>
      <c r="M787" t="s">
        <v>8</v>
      </c>
      <c r="N787" t="s">
        <v>7</v>
      </c>
      <c r="P787">
        <f t="shared" si="1004"/>
        <v>-0.56521739130434778</v>
      </c>
      <c r="Q787">
        <f t="shared" si="1005"/>
        <v>-162401.40630434782</v>
      </c>
      <c r="R787">
        <f t="shared" si="1006"/>
        <v>4138755.7450704346</v>
      </c>
      <c r="S787">
        <f t="shared" si="1007"/>
        <v>41.38755745070435</v>
      </c>
      <c r="T787">
        <f t="shared" si="1008"/>
        <v>4.1387557450704347E-2</v>
      </c>
    </row>
    <row r="788" spans="1:20" x14ac:dyDescent="0.25">
      <c r="A788" s="5">
        <v>43805</v>
      </c>
      <c r="B788">
        <v>1.73</v>
      </c>
      <c r="C788">
        <v>1.758</v>
      </c>
      <c r="D788">
        <v>1.702</v>
      </c>
      <c r="E788">
        <v>1.748</v>
      </c>
      <c r="F788">
        <v>693847.66899999999</v>
      </c>
      <c r="G788">
        <v>0</v>
      </c>
      <c r="L788" t="s">
        <v>7</v>
      </c>
      <c r="M788" t="s">
        <v>8</v>
      </c>
      <c r="N788" t="s">
        <v>7</v>
      </c>
      <c r="P788">
        <f t="shared" si="1004"/>
        <v>0.6428571428571429</v>
      </c>
      <c r="Q788">
        <f t="shared" si="1005"/>
        <v>446044.93007142859</v>
      </c>
      <c r="R788">
        <f t="shared" si="1006"/>
        <v>4301157.1513747824</v>
      </c>
      <c r="S788">
        <f t="shared" si="1007"/>
        <v>43.011571513747825</v>
      </c>
      <c r="T788">
        <f t="shared" si="1008"/>
        <v>4.3011571513747827E-2</v>
      </c>
    </row>
    <row r="789" spans="1:20" x14ac:dyDescent="0.25">
      <c r="A789" s="5">
        <v>43804</v>
      </c>
      <c r="B789">
        <v>1.7050000000000001</v>
      </c>
      <c r="C789">
        <v>1.7450000000000001</v>
      </c>
      <c r="D789">
        <v>1.671</v>
      </c>
      <c r="E789">
        <v>1.73</v>
      </c>
      <c r="F789">
        <v>670632.41200000001</v>
      </c>
      <c r="G789">
        <v>0</v>
      </c>
      <c r="L789" t="s">
        <v>7</v>
      </c>
      <c r="M789" t="s">
        <v>8</v>
      </c>
      <c r="N789" t="s">
        <v>7</v>
      </c>
      <c r="P789">
        <f t="shared" si="1004"/>
        <v>0.59459459459459163</v>
      </c>
      <c r="Q789">
        <f t="shared" si="1005"/>
        <v>398754.40713513317</v>
      </c>
      <c r="R789">
        <f t="shared" si="1006"/>
        <v>3855112.2213033536</v>
      </c>
      <c r="S789">
        <f t="shared" si="1007"/>
        <v>38.551122213033537</v>
      </c>
      <c r="T789">
        <f t="shared" si="1008"/>
        <v>3.8551122213033535E-2</v>
      </c>
    </row>
    <row r="790" spans="1:20" x14ac:dyDescent="0.25">
      <c r="A790" s="5">
        <v>43803</v>
      </c>
      <c r="B790">
        <v>1.7529999999999999</v>
      </c>
      <c r="C790">
        <v>1.78</v>
      </c>
      <c r="D790">
        <v>1.67</v>
      </c>
      <c r="E790">
        <v>1.704</v>
      </c>
      <c r="F790">
        <v>958676.73499999999</v>
      </c>
      <c r="G790">
        <v>0</v>
      </c>
      <c r="L790" t="s">
        <v>7</v>
      </c>
      <c r="M790" t="s">
        <v>8</v>
      </c>
      <c r="N790" t="s">
        <v>7</v>
      </c>
      <c r="P790">
        <f t="shared" si="1004"/>
        <v>-0.38181818181818183</v>
      </c>
      <c r="Q790">
        <f t="shared" si="1005"/>
        <v>-366040.20790909091</v>
      </c>
      <c r="R790">
        <f t="shared" si="1006"/>
        <v>3456357.8141682204</v>
      </c>
      <c r="S790">
        <f t="shared" si="1007"/>
        <v>34.563578141682207</v>
      </c>
      <c r="T790">
        <f t="shared" si="1008"/>
        <v>3.4563578141682205E-2</v>
      </c>
    </row>
    <row r="791" spans="1:20" x14ac:dyDescent="0.25">
      <c r="A791" s="5">
        <v>43802</v>
      </c>
      <c r="B791">
        <v>1.7509999999999999</v>
      </c>
      <c r="C791">
        <v>1.7749999999999999</v>
      </c>
      <c r="D791">
        <v>1.728</v>
      </c>
      <c r="E791">
        <v>1.7529999999999999</v>
      </c>
      <c r="F791">
        <v>398571.48599999998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6.3829787234040342E-2</v>
      </c>
      <c r="Q791">
        <f t="shared" si="1005"/>
        <v>25440.733148935287</v>
      </c>
      <c r="R791">
        <f t="shared" si="1006"/>
        <v>3822398.0220773113</v>
      </c>
      <c r="S791">
        <f t="shared" si="1007"/>
        <v>38.223980220773115</v>
      </c>
      <c r="T791">
        <f t="shared" si="1008"/>
        <v>3.8223980220773113E-2</v>
      </c>
    </row>
    <row r="792" spans="1:20" x14ac:dyDescent="0.25">
      <c r="A792" s="5">
        <v>43801</v>
      </c>
      <c r="B792">
        <v>1.7829999999999999</v>
      </c>
      <c r="C792">
        <v>1.8080000000000001</v>
      </c>
      <c r="D792">
        <v>1.7090000000000001</v>
      </c>
      <c r="E792">
        <v>1.752</v>
      </c>
      <c r="F792">
        <v>626347.22900000005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-0.13131313131313258</v>
      </c>
      <c r="Q792">
        <f t="shared" si="1005"/>
        <v>-82247.615929293723</v>
      </c>
      <c r="R792">
        <f t="shared" si="1006"/>
        <v>3796957.288928376</v>
      </c>
      <c r="S792">
        <f t="shared" si="1007"/>
        <v>37.969572889283761</v>
      </c>
      <c r="T792">
        <f t="shared" si="1008"/>
        <v>3.7969572889283758E-2</v>
      </c>
    </row>
    <row r="793" spans="1:20" x14ac:dyDescent="0.25">
      <c r="A793" s="5">
        <v>43800</v>
      </c>
      <c r="B793">
        <v>1.79</v>
      </c>
      <c r="C793">
        <v>1.8240000000000001</v>
      </c>
      <c r="D793">
        <v>1.712</v>
      </c>
      <c r="E793">
        <v>1.7829999999999999</v>
      </c>
      <c r="F793">
        <v>796611.46299999999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0.26785714285714085</v>
      </c>
      <c r="Q793">
        <f t="shared" si="1005"/>
        <v>213378.07044642698</v>
      </c>
      <c r="R793">
        <f t="shared" si="1006"/>
        <v>3879204.90485767</v>
      </c>
      <c r="S793">
        <f t="shared" si="1007"/>
        <v>38.7920490485767</v>
      </c>
      <c r="T793">
        <f t="shared" si="1008"/>
        <v>3.87920490485767E-2</v>
      </c>
    </row>
    <row r="794" spans="1:20" x14ac:dyDescent="0.25">
      <c r="A794" s="5">
        <v>43799</v>
      </c>
      <c r="B794">
        <v>1.8819999999999999</v>
      </c>
      <c r="C794">
        <v>1.8979999999999999</v>
      </c>
      <c r="D794">
        <v>1.742</v>
      </c>
      <c r="E794">
        <v>1.79</v>
      </c>
      <c r="F794">
        <v>1084483.527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-0.38461538461538375</v>
      </c>
      <c r="Q794">
        <f t="shared" si="1005"/>
        <v>-417109.0488461529</v>
      </c>
      <c r="R794">
        <f t="shared" si="1006"/>
        <v>3665826.834411243</v>
      </c>
      <c r="S794">
        <f t="shared" si="1007"/>
        <v>36.658268344112429</v>
      </c>
      <c r="T794">
        <f t="shared" si="1008"/>
        <v>3.6658268344112427E-2</v>
      </c>
    </row>
    <row r="795" spans="1:20" x14ac:dyDescent="0.25">
      <c r="A795" s="5">
        <v>43798</v>
      </c>
      <c r="B795">
        <v>1.8</v>
      </c>
      <c r="C795">
        <v>1.913</v>
      </c>
      <c r="D795">
        <v>1.794</v>
      </c>
      <c r="E795">
        <v>1.8819999999999999</v>
      </c>
      <c r="F795">
        <v>845578.76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0.47899159663865309</v>
      </c>
      <c r="Q795">
        <f t="shared" si="1005"/>
        <v>405025.12033613247</v>
      </c>
      <c r="R795">
        <f t="shared" si="1006"/>
        <v>4082935.8832573961</v>
      </c>
      <c r="S795">
        <f t="shared" si="1007"/>
        <v>40.829358832573959</v>
      </c>
      <c r="T795">
        <f t="shared" si="1008"/>
        <v>4.0829358832573957E-2</v>
      </c>
    </row>
    <row r="796" spans="1:20" x14ac:dyDescent="0.25">
      <c r="A796" s="5">
        <v>43797</v>
      </c>
      <c r="B796">
        <v>1.7170000000000001</v>
      </c>
      <c r="C796">
        <v>1.885</v>
      </c>
      <c r="D796">
        <v>1.716</v>
      </c>
      <c r="E796">
        <v>1.802</v>
      </c>
      <c r="F796">
        <v>1164667.318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1.7751479289941498E-2</v>
      </c>
      <c r="Q796">
        <f t="shared" si="1005"/>
        <v>20674.567775148709</v>
      </c>
      <c r="R796">
        <f t="shared" si="1006"/>
        <v>3677910.7629212635</v>
      </c>
      <c r="S796">
        <f t="shared" si="1007"/>
        <v>36.779107629212632</v>
      </c>
      <c r="T796">
        <f t="shared" si="1008"/>
        <v>3.6779107629212632E-2</v>
      </c>
    </row>
    <row r="797" spans="1:20" x14ac:dyDescent="0.25">
      <c r="A797" s="5">
        <v>43796</v>
      </c>
      <c r="B797">
        <v>1.665</v>
      </c>
      <c r="C797">
        <v>1.744</v>
      </c>
      <c r="D797">
        <v>1.5569999999999999</v>
      </c>
      <c r="E797">
        <v>1.7170000000000001</v>
      </c>
      <c r="F797">
        <v>1189044.9990000001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0.71122994652406524</v>
      </c>
      <c r="Q797">
        <f t="shared" si="1005"/>
        <v>845684.4110534772</v>
      </c>
      <c r="R797">
        <f t="shared" si="1006"/>
        <v>3657236.1951461146</v>
      </c>
      <c r="S797">
        <f t="shared" si="1007"/>
        <v>36.572361951461147</v>
      </c>
      <c r="T797">
        <f t="shared" si="1008"/>
        <v>3.6572361951461144E-2</v>
      </c>
    </row>
    <row r="798" spans="1:20" x14ac:dyDescent="0.25">
      <c r="A798" s="5">
        <v>43795</v>
      </c>
      <c r="B798">
        <v>1.615</v>
      </c>
      <c r="C798">
        <v>1.6779999999999999</v>
      </c>
      <c r="D798">
        <v>1.607</v>
      </c>
      <c r="E798">
        <v>1.665</v>
      </c>
      <c r="F798">
        <v>738369.46100000001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0.63380281690141105</v>
      </c>
      <c r="Q798">
        <f t="shared" si="1005"/>
        <v>467980.64429577655</v>
      </c>
      <c r="R798">
        <f t="shared" si="1006"/>
        <v>2811551.7840926372</v>
      </c>
      <c r="S798">
        <f t="shared" si="1007"/>
        <v>28.115517840926373</v>
      </c>
      <c r="T798">
        <f t="shared" si="1008"/>
        <v>2.8115517840926373E-2</v>
      </c>
    </row>
    <row r="799" spans="1:20" x14ac:dyDescent="0.25">
      <c r="A799" s="5">
        <v>43794</v>
      </c>
      <c r="B799">
        <v>1.603</v>
      </c>
      <c r="C799">
        <v>1.7</v>
      </c>
      <c r="D799">
        <v>1.4590000000000001</v>
      </c>
      <c r="E799">
        <v>1.6160000000000001</v>
      </c>
      <c r="F799">
        <v>1774804.2479999999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0.30290456431535356</v>
      </c>
      <c r="Q799">
        <f t="shared" si="1005"/>
        <v>537596.3074854787</v>
      </c>
      <c r="R799">
        <f t="shared" si="1006"/>
        <v>2343571.1397968605</v>
      </c>
      <c r="S799">
        <f t="shared" si="1007"/>
        <v>23.435711397968607</v>
      </c>
      <c r="T799">
        <f t="shared" si="1008"/>
        <v>2.3435711397968607E-2</v>
      </c>
    </row>
    <row r="800" spans="1:20" x14ac:dyDescent="0.25">
      <c r="A800" s="5">
        <v>43793</v>
      </c>
      <c r="B800">
        <v>1.7470000000000001</v>
      </c>
      <c r="C800">
        <v>1.762</v>
      </c>
      <c r="D800">
        <v>1.5840000000000001</v>
      </c>
      <c r="E800">
        <v>1.605</v>
      </c>
      <c r="F800">
        <v>1010809.938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-0.7640449438202257</v>
      </c>
      <c r="Q800">
        <f t="shared" si="1005"/>
        <v>-772304.22229213582</v>
      </c>
      <c r="R800">
        <f t="shared" si="1006"/>
        <v>1805974.8323113821</v>
      </c>
      <c r="S800">
        <f t="shared" si="1007"/>
        <v>18.059748323113819</v>
      </c>
      <c r="T800">
        <f t="shared" si="1008"/>
        <v>1.8059748323113821E-2</v>
      </c>
    </row>
    <row r="801" spans="1:20" x14ac:dyDescent="0.25">
      <c r="A801" s="5">
        <v>43792</v>
      </c>
      <c r="B801">
        <v>1.661</v>
      </c>
      <c r="C801">
        <v>1.764</v>
      </c>
      <c r="D801">
        <v>1.621</v>
      </c>
      <c r="E801">
        <v>1.744</v>
      </c>
      <c r="F801">
        <v>1801759.3910000001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0.72027972027972009</v>
      </c>
      <c r="Q801">
        <f t="shared" si="1005"/>
        <v>1297770.7501608389</v>
      </c>
      <c r="R801">
        <f t="shared" si="1006"/>
        <v>2578279.054603518</v>
      </c>
      <c r="S801">
        <f t="shared" si="1007"/>
        <v>25.78279054603518</v>
      </c>
      <c r="T801">
        <f t="shared" si="1008"/>
        <v>2.5782790546035179E-2</v>
      </c>
    </row>
    <row r="802" spans="1:20" x14ac:dyDescent="0.25">
      <c r="A802" s="5">
        <v>43791</v>
      </c>
      <c r="B802">
        <v>1.7849999999999999</v>
      </c>
      <c r="C802">
        <v>1.821</v>
      </c>
      <c r="D802">
        <v>1.5329999999999999</v>
      </c>
      <c r="E802">
        <v>1.66</v>
      </c>
      <c r="F802">
        <v>2449780.9040000001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-0.11805555555555565</v>
      </c>
      <c r="Q802">
        <f t="shared" si="1005"/>
        <v>-289210.24561111134</v>
      </c>
      <c r="R802">
        <f t="shared" si="1006"/>
        <v>1280508.304442679</v>
      </c>
      <c r="S802">
        <f t="shared" si="1007"/>
        <v>12.805083044426791</v>
      </c>
      <c r="T802">
        <f t="shared" si="1008"/>
        <v>1.280508304442679E-2</v>
      </c>
    </row>
    <row r="803" spans="1:20" x14ac:dyDescent="0.25">
      <c r="A803" s="5">
        <v>43790</v>
      </c>
      <c r="B803">
        <v>1.899</v>
      </c>
      <c r="C803">
        <v>1.9079999999999999</v>
      </c>
      <c r="D803">
        <v>1.6990000000000001</v>
      </c>
      <c r="E803">
        <v>1.786</v>
      </c>
      <c r="F803">
        <v>1652565.781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-0.16746411483253562</v>
      </c>
      <c r="Q803">
        <f t="shared" si="1005"/>
        <v>-276745.46571770293</v>
      </c>
      <c r="R803">
        <f t="shared" si="1006"/>
        <v>1569718.5500537904</v>
      </c>
      <c r="S803">
        <f t="shared" si="1007"/>
        <v>15.697185500537904</v>
      </c>
      <c r="T803">
        <f t="shared" si="1008"/>
        <v>1.5697185500537905E-2</v>
      </c>
    </row>
    <row r="804" spans="1:20" x14ac:dyDescent="0.25">
      <c r="A804" s="5">
        <v>43789</v>
      </c>
      <c r="B804">
        <v>1.9239999999999999</v>
      </c>
      <c r="C804">
        <v>1.972</v>
      </c>
      <c r="D804">
        <v>1.8640000000000001</v>
      </c>
      <c r="E804">
        <v>1.901</v>
      </c>
      <c r="F804">
        <v>1060389.122</v>
      </c>
      <c r="G804">
        <v>0</v>
      </c>
      <c r="L804" t="s">
        <v>8</v>
      </c>
      <c r="M804" t="s">
        <v>7</v>
      </c>
      <c r="N804" t="s">
        <v>7</v>
      </c>
      <c r="P804">
        <f t="shared" si="1004"/>
        <v>-0.31481481481481544</v>
      </c>
      <c r="Q804">
        <f t="shared" si="1005"/>
        <v>-333826.20507407474</v>
      </c>
      <c r="R804">
        <f t="shared" si="1006"/>
        <v>1846464.0157714933</v>
      </c>
      <c r="S804">
        <f t="shared" si="1007"/>
        <v>18.464640157714932</v>
      </c>
      <c r="T804">
        <f t="shared" si="1008"/>
        <v>1.8464640157714932E-2</v>
      </c>
    </row>
    <row r="805" spans="1:20" x14ac:dyDescent="0.25">
      <c r="A805" s="5">
        <v>43788</v>
      </c>
      <c r="B805">
        <v>1.962</v>
      </c>
      <c r="C805">
        <v>1.9710000000000001</v>
      </c>
      <c r="D805">
        <v>1.845</v>
      </c>
      <c r="E805">
        <v>1.9259999999999999</v>
      </c>
      <c r="F805">
        <v>2194891.443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0.28571428571428398</v>
      </c>
      <c r="Q805">
        <f t="shared" si="1005"/>
        <v>627111.84085713909</v>
      </c>
      <c r="R805">
        <f t="shared" si="1006"/>
        <v>2180290.220845568</v>
      </c>
      <c r="S805">
        <f t="shared" si="1007"/>
        <v>21.802902208455681</v>
      </c>
      <c r="T805">
        <f t="shared" si="1008"/>
        <v>2.1802902208455682E-2</v>
      </c>
    </row>
    <row r="806" spans="1:20" x14ac:dyDescent="0.25">
      <c r="A806" s="5">
        <v>43787</v>
      </c>
      <c r="B806">
        <v>2.13</v>
      </c>
      <c r="C806">
        <v>2.13</v>
      </c>
      <c r="D806">
        <v>1.917</v>
      </c>
      <c r="E806">
        <v>1.964</v>
      </c>
      <c r="F806">
        <v>1189639.327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-0.55868544600939007</v>
      </c>
      <c r="Q806">
        <f t="shared" si="1005"/>
        <v>-664634.17799530562</v>
      </c>
      <c r="R806">
        <f t="shared" si="1006"/>
        <v>1553178.3799884291</v>
      </c>
      <c r="S806">
        <f t="shared" si="1007"/>
        <v>15.531783799884291</v>
      </c>
      <c r="T806">
        <f t="shared" si="1008"/>
        <v>1.5531783799884291E-2</v>
      </c>
    </row>
    <row r="807" spans="1:20" x14ac:dyDescent="0.25">
      <c r="A807" s="5">
        <v>43786</v>
      </c>
      <c r="B807">
        <v>2.1459999999999999</v>
      </c>
      <c r="C807">
        <v>2.1749999999999998</v>
      </c>
      <c r="D807">
        <v>2.09</v>
      </c>
      <c r="E807">
        <v>2.13</v>
      </c>
      <c r="F807">
        <v>826767.43500000006</v>
      </c>
      <c r="G807">
        <v>0</v>
      </c>
      <c r="L807" t="s">
        <v>7</v>
      </c>
      <c r="M807" t="s">
        <v>7</v>
      </c>
      <c r="N807" t="s">
        <v>8</v>
      </c>
      <c r="P807">
        <f t="shared" si="1004"/>
        <v>-5.8823529411763477E-2</v>
      </c>
      <c r="Q807">
        <f t="shared" si="1005"/>
        <v>-48633.378529410751</v>
      </c>
      <c r="R807">
        <f t="shared" si="1006"/>
        <v>2217812.5579837346</v>
      </c>
      <c r="S807">
        <f t="shared" si="1007"/>
        <v>22.178125579837346</v>
      </c>
      <c r="T807">
        <f t="shared" si="1008"/>
        <v>2.2178125579837345E-2</v>
      </c>
    </row>
    <row r="808" spans="1:20" x14ac:dyDescent="0.25">
      <c r="A808" s="5">
        <v>43785</v>
      </c>
      <c r="B808">
        <v>2.17</v>
      </c>
      <c r="C808">
        <v>2.1930000000000001</v>
      </c>
      <c r="D808">
        <v>2.1339999999999999</v>
      </c>
      <c r="E808">
        <v>2.145</v>
      </c>
      <c r="F808">
        <v>609252.50699999998</v>
      </c>
      <c r="G808">
        <v>0</v>
      </c>
      <c r="L808" t="s">
        <v>7</v>
      </c>
      <c r="M808" t="s">
        <v>7</v>
      </c>
      <c r="N808" t="s">
        <v>8</v>
      </c>
      <c r="P808">
        <f t="shared" si="1004"/>
        <v>-0.6271186440677935</v>
      </c>
      <c r="Q808">
        <f t="shared" si="1005"/>
        <v>-382073.60608474386</v>
      </c>
      <c r="R808">
        <f t="shared" si="1006"/>
        <v>2266445.9365131455</v>
      </c>
      <c r="S808">
        <f t="shared" si="1007"/>
        <v>22.664459365131453</v>
      </c>
      <c r="T808">
        <f t="shared" si="1008"/>
        <v>2.2664459365131454E-2</v>
      </c>
    </row>
    <row r="809" spans="1:20" x14ac:dyDescent="0.25">
      <c r="A809" s="5">
        <v>43784</v>
      </c>
      <c r="B809">
        <v>2.3079999999999998</v>
      </c>
      <c r="C809">
        <v>2.36</v>
      </c>
      <c r="D809">
        <v>2.1030000000000002</v>
      </c>
      <c r="E809">
        <v>2.17</v>
      </c>
      <c r="F809">
        <v>1636661.83</v>
      </c>
      <c r="G809">
        <v>0</v>
      </c>
      <c r="L809" t="s">
        <v>7</v>
      </c>
      <c r="M809" t="s">
        <v>7</v>
      </c>
      <c r="N809" t="s">
        <v>8</v>
      </c>
      <c r="P809">
        <f t="shared" si="1004"/>
        <v>-0.47859922178988473</v>
      </c>
      <c r="Q809">
        <f t="shared" si="1005"/>
        <v>-783305.07817120862</v>
      </c>
      <c r="R809">
        <f t="shared" si="1006"/>
        <v>2648519.5425978894</v>
      </c>
      <c r="S809">
        <f t="shared" si="1007"/>
        <v>26.485195425978894</v>
      </c>
      <c r="T809">
        <f t="shared" si="1008"/>
        <v>2.6485195425978894E-2</v>
      </c>
    </row>
    <row r="810" spans="1:20" x14ac:dyDescent="0.25">
      <c r="A810" s="5">
        <v>43783</v>
      </c>
      <c r="B810">
        <v>2.266</v>
      </c>
      <c r="C810">
        <v>2.3849999999999998</v>
      </c>
      <c r="D810">
        <v>2.2130000000000001</v>
      </c>
      <c r="E810">
        <v>2.3079999999999998</v>
      </c>
      <c r="F810">
        <v>2278313.5580000002</v>
      </c>
      <c r="G810">
        <v>0</v>
      </c>
      <c r="L810" t="s">
        <v>8</v>
      </c>
      <c r="M810" t="s">
        <v>7</v>
      </c>
      <c r="N810" t="s">
        <v>8</v>
      </c>
      <c r="P810">
        <f t="shared" si="1004"/>
        <v>0.10465116279069665</v>
      </c>
      <c r="Q810">
        <f t="shared" si="1005"/>
        <v>238428.16304650932</v>
      </c>
      <c r="R810">
        <f t="shared" si="1006"/>
        <v>3431824.6207690979</v>
      </c>
      <c r="S810">
        <f t="shared" si="1007"/>
        <v>34.318246207690983</v>
      </c>
      <c r="T810">
        <f t="shared" si="1008"/>
        <v>3.4318246207690986E-2</v>
      </c>
    </row>
    <row r="811" spans="1:20" x14ac:dyDescent="0.25">
      <c r="A811" s="5">
        <v>43782</v>
      </c>
      <c r="B811">
        <v>2.2509999999999999</v>
      </c>
      <c r="C811">
        <v>2.3090000000000002</v>
      </c>
      <c r="D811">
        <v>2.1760000000000002</v>
      </c>
      <c r="E811">
        <v>2.266</v>
      </c>
      <c r="F811">
        <v>1354524.2379999999</v>
      </c>
      <c r="G811">
        <v>0</v>
      </c>
      <c r="L811" t="s">
        <v>8</v>
      </c>
      <c r="M811" t="s">
        <v>7</v>
      </c>
      <c r="N811" t="s">
        <v>8</v>
      </c>
      <c r="P811">
        <f t="shared" si="1004"/>
        <v>0.35338345864661436</v>
      </c>
      <c r="Q811">
        <f t="shared" si="1005"/>
        <v>478666.46004510979</v>
      </c>
      <c r="R811">
        <f t="shared" si="1006"/>
        <v>3193396.4577225884</v>
      </c>
      <c r="S811">
        <f t="shared" si="1007"/>
        <v>31.933964577225883</v>
      </c>
      <c r="T811">
        <f t="shared" si="1008"/>
        <v>3.193396457722588E-2</v>
      </c>
    </row>
    <row r="812" spans="1:20" x14ac:dyDescent="0.25">
      <c r="A812" s="5">
        <v>43781</v>
      </c>
      <c r="B812">
        <v>2.11</v>
      </c>
      <c r="C812">
        <v>2.262</v>
      </c>
      <c r="D812">
        <v>2.089</v>
      </c>
      <c r="E812">
        <v>2.25</v>
      </c>
      <c r="F812">
        <v>2314602.9419999998</v>
      </c>
      <c r="G812">
        <v>0</v>
      </c>
      <c r="L812" t="s">
        <v>8</v>
      </c>
      <c r="M812" t="s">
        <v>7</v>
      </c>
      <c r="N812" t="s">
        <v>8</v>
      </c>
      <c r="P812">
        <f t="shared" si="1004"/>
        <v>0.86127167630057799</v>
      </c>
      <c r="Q812">
        <f t="shared" si="1005"/>
        <v>1993501.9558265894</v>
      </c>
      <c r="R812">
        <f t="shared" si="1006"/>
        <v>2714729.9976774785</v>
      </c>
      <c r="S812">
        <f t="shared" si="1007"/>
        <v>27.147299976774786</v>
      </c>
      <c r="T812">
        <f t="shared" si="1008"/>
        <v>2.7147299976774786E-2</v>
      </c>
    </row>
    <row r="813" spans="1:20" x14ac:dyDescent="0.25">
      <c r="A813" s="5">
        <v>43780</v>
      </c>
      <c r="B813">
        <v>2.1869999999999998</v>
      </c>
      <c r="C813">
        <v>2.1920000000000002</v>
      </c>
      <c r="D813">
        <v>2.0739999999999998</v>
      </c>
      <c r="E813">
        <v>2.109</v>
      </c>
      <c r="F813">
        <v>10460776.096000001</v>
      </c>
      <c r="G813">
        <v>0</v>
      </c>
      <c r="L813" t="s">
        <v>7</v>
      </c>
      <c r="M813" t="s">
        <v>7</v>
      </c>
      <c r="N813" t="s">
        <v>8</v>
      </c>
      <c r="P813">
        <f t="shared" si="1004"/>
        <v>-0.4067796610169484</v>
      </c>
      <c r="Q813">
        <f t="shared" si="1005"/>
        <v>-4255230.954305077</v>
      </c>
      <c r="R813">
        <f t="shared" si="1006"/>
        <v>721228.0418508891</v>
      </c>
      <c r="S813">
        <f t="shared" si="1007"/>
        <v>7.2122804185088913</v>
      </c>
      <c r="T813">
        <f t="shared" si="1008"/>
        <v>7.2122804185088913E-3</v>
      </c>
    </row>
    <row r="814" spans="1:20" x14ac:dyDescent="0.25">
      <c r="A814" s="5">
        <v>43779</v>
      </c>
      <c r="B814">
        <v>2.1349999999999998</v>
      </c>
      <c r="C814">
        <v>2.202</v>
      </c>
      <c r="D814">
        <v>2.1040000000000001</v>
      </c>
      <c r="E814">
        <v>2.1850000000000001</v>
      </c>
      <c r="F814">
        <v>9825610.7129999995</v>
      </c>
      <c r="G814">
        <v>0</v>
      </c>
      <c r="L814" t="s">
        <v>7</v>
      </c>
      <c r="M814" t="s">
        <v>7</v>
      </c>
      <c r="N814" t="s">
        <v>8</v>
      </c>
      <c r="P814">
        <f t="shared" si="1004"/>
        <v>0.65306122448979742</v>
      </c>
      <c r="Q814">
        <f t="shared" si="1005"/>
        <v>6416725.3635918507</v>
      </c>
      <c r="R814">
        <f t="shared" si="1006"/>
        <v>4976458.9961559661</v>
      </c>
      <c r="S814">
        <f t="shared" si="1007"/>
        <v>49.764589961559658</v>
      </c>
      <c r="T814">
        <f t="shared" si="1008"/>
        <v>4.9764589961559656E-2</v>
      </c>
    </row>
    <row r="815" spans="1:20" x14ac:dyDescent="0.25">
      <c r="A815" s="5">
        <v>43778</v>
      </c>
      <c r="B815">
        <v>2.153</v>
      </c>
      <c r="C815">
        <v>2.17</v>
      </c>
      <c r="D815">
        <v>2.1019999999999999</v>
      </c>
      <c r="E815">
        <v>2.1360000000000001</v>
      </c>
      <c r="F815">
        <v>3346136.4029999999</v>
      </c>
      <c r="G815">
        <v>0</v>
      </c>
      <c r="L815" t="s">
        <v>7</v>
      </c>
      <c r="M815" t="s">
        <v>7</v>
      </c>
      <c r="N815" t="s">
        <v>8</v>
      </c>
      <c r="P815">
        <f t="shared" si="1004"/>
        <v>6.5307236742656209E-15</v>
      </c>
      <c r="Q815">
        <f t="shared" si="1005"/>
        <v>2.1852692224394107E-8</v>
      </c>
      <c r="R815">
        <f t="shared" si="1006"/>
        <v>-1440266.3674358844</v>
      </c>
      <c r="S815">
        <f t="shared" si="1007"/>
        <v>-14.402663674358845</v>
      </c>
      <c r="T815">
        <f t="shared" si="1008"/>
        <v>-1.4402663674358844E-2</v>
      </c>
    </row>
    <row r="816" spans="1:20" x14ac:dyDescent="0.25">
      <c r="A816" s="5">
        <v>43777</v>
      </c>
      <c r="B816">
        <v>2.2040000000000002</v>
      </c>
      <c r="C816">
        <v>2.2360000000000002</v>
      </c>
      <c r="D816">
        <v>2.0710000000000002</v>
      </c>
      <c r="E816">
        <v>2.153</v>
      </c>
      <c r="F816">
        <v>9433965.5960000008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-6.0606060606080833E-3</v>
      </c>
      <c r="Q816">
        <f t="shared" si="1005"/>
        <v>-57175.549066685751</v>
      </c>
      <c r="R816">
        <f t="shared" si="1006"/>
        <v>-1440266.3674359063</v>
      </c>
      <c r="S816">
        <f t="shared" si="1007"/>
        <v>-14.402663674359063</v>
      </c>
      <c r="T816">
        <f t="shared" si="1008"/>
        <v>-1.4402663674359063E-2</v>
      </c>
    </row>
    <row r="817" spans="1:20" x14ac:dyDescent="0.25">
      <c r="A817" s="5">
        <v>43776</v>
      </c>
      <c r="B817">
        <v>2.2839999999999998</v>
      </c>
      <c r="C817">
        <v>2.3090000000000002</v>
      </c>
      <c r="D817">
        <v>2.1549999999999998</v>
      </c>
      <c r="E817">
        <v>2.2050000000000001</v>
      </c>
      <c r="F817">
        <v>6420439.7520000003</v>
      </c>
      <c r="G817">
        <v>0</v>
      </c>
      <c r="L817" t="s">
        <v>7</v>
      </c>
      <c r="M817" t="s">
        <v>7</v>
      </c>
      <c r="N817" t="s">
        <v>8</v>
      </c>
      <c r="P817">
        <f t="shared" si="1004"/>
        <v>-0.35064935064934871</v>
      </c>
      <c r="Q817">
        <f t="shared" si="1005"/>
        <v>-2251323.0299220658</v>
      </c>
      <c r="R817">
        <f t="shared" si="1006"/>
        <v>-1383090.8183692205</v>
      </c>
      <c r="S817">
        <f t="shared" si="1007"/>
        <v>-13.830908183692205</v>
      </c>
      <c r="T817">
        <f t="shared" si="1008"/>
        <v>-1.3830908183692205E-2</v>
      </c>
    </row>
    <row r="818" spans="1:20" x14ac:dyDescent="0.25">
      <c r="A818" s="5">
        <v>43775</v>
      </c>
      <c r="B818">
        <v>2.258</v>
      </c>
      <c r="C818">
        <v>2.35</v>
      </c>
      <c r="D818">
        <v>2.2320000000000002</v>
      </c>
      <c r="E818">
        <v>2.2829999999999999</v>
      </c>
      <c r="F818">
        <v>5520222.1730000004</v>
      </c>
      <c r="G818">
        <v>0</v>
      </c>
      <c r="L818" t="s">
        <v>8</v>
      </c>
      <c r="M818" t="s">
        <v>7</v>
      </c>
      <c r="N818" t="s">
        <v>8</v>
      </c>
      <c r="P818">
        <f t="shared" si="1004"/>
        <v>-0.13559322033898707</v>
      </c>
      <c r="Q818">
        <f t="shared" si="1005"/>
        <v>-748504.70142375107</v>
      </c>
      <c r="R818">
        <f t="shared" si="1006"/>
        <v>868232.21155284543</v>
      </c>
      <c r="S818">
        <f t="shared" si="1007"/>
        <v>8.6823221155284536</v>
      </c>
      <c r="T818">
        <f t="shared" si="1008"/>
        <v>8.6823221155284541E-3</v>
      </c>
    </row>
    <row r="819" spans="1:20" x14ac:dyDescent="0.25">
      <c r="A819" s="5">
        <v>43774</v>
      </c>
      <c r="B819">
        <v>2.2669999999999999</v>
      </c>
      <c r="C819">
        <v>2.2770000000000001</v>
      </c>
      <c r="D819">
        <v>2.1739999999999999</v>
      </c>
      <c r="E819">
        <v>2.258</v>
      </c>
      <c r="F819">
        <v>4433801.7750000004</v>
      </c>
      <c r="G819">
        <v>0</v>
      </c>
      <c r="L819" t="s">
        <v>8</v>
      </c>
      <c r="M819" t="s">
        <v>7</v>
      </c>
      <c r="N819" t="s">
        <v>8</v>
      </c>
      <c r="P819">
        <f t="shared" si="1004"/>
        <v>0.63106796116504682</v>
      </c>
      <c r="Q819">
        <f t="shared" si="1005"/>
        <v>2798030.246359216</v>
      </c>
      <c r="R819">
        <f t="shared" si="1006"/>
        <v>1616736.9129765965</v>
      </c>
      <c r="S819">
        <f t="shared" si="1007"/>
        <v>16.167369129765966</v>
      </c>
      <c r="T819">
        <f t="shared" si="1008"/>
        <v>1.6167369129765966E-2</v>
      </c>
    </row>
    <row r="820" spans="1:20" x14ac:dyDescent="0.25">
      <c r="A820" s="5">
        <v>43773</v>
      </c>
      <c r="B820">
        <v>2.1320000000000001</v>
      </c>
      <c r="C820">
        <v>2.3279999999999998</v>
      </c>
      <c r="D820">
        <v>2.0680000000000001</v>
      </c>
      <c r="E820">
        <v>2.2709999999999999</v>
      </c>
      <c r="F820">
        <v>1643892.193</v>
      </c>
      <c r="G820">
        <v>0</v>
      </c>
      <c r="L820" t="s">
        <v>8</v>
      </c>
      <c r="M820" t="s">
        <v>7</v>
      </c>
      <c r="N820" t="s">
        <v>8</v>
      </c>
      <c r="P820">
        <f t="shared" si="1004"/>
        <v>0.56153846153846165</v>
      </c>
      <c r="Q820">
        <f t="shared" si="1005"/>
        <v>923108.69299230783</v>
      </c>
      <c r="R820">
        <f t="shared" si="1006"/>
        <v>-1181293.3333826195</v>
      </c>
      <c r="S820">
        <f t="shared" si="1007"/>
        <v>-11.812933333826196</v>
      </c>
      <c r="T820">
        <f t="shared" si="1008"/>
        <v>-1.1812933333826197E-2</v>
      </c>
    </row>
    <row r="821" spans="1:20" x14ac:dyDescent="0.25">
      <c r="A821" s="5">
        <v>43772</v>
      </c>
      <c r="B821">
        <v>2.1829999999999998</v>
      </c>
      <c r="C821">
        <v>2.1890000000000001</v>
      </c>
      <c r="D821">
        <v>2.085</v>
      </c>
      <c r="E821">
        <v>2.1320000000000001</v>
      </c>
      <c r="F821">
        <v>391792.12599999999</v>
      </c>
      <c r="G821">
        <v>0</v>
      </c>
      <c r="L821" t="s">
        <v>8</v>
      </c>
      <c r="M821" t="s">
        <v>7</v>
      </c>
      <c r="N821" t="s">
        <v>8</v>
      </c>
      <c r="P821">
        <f t="shared" si="1004"/>
        <v>-9.6153846153844022E-2</v>
      </c>
      <c r="Q821">
        <f t="shared" si="1005"/>
        <v>-37672.31980769147</v>
      </c>
      <c r="R821">
        <f t="shared" si="1006"/>
        <v>-2104402.0263749273</v>
      </c>
      <c r="S821">
        <f t="shared" si="1007"/>
        <v>-21.044020263749271</v>
      </c>
      <c r="T821">
        <f t="shared" si="1008"/>
        <v>-2.1044020263749273E-2</v>
      </c>
    </row>
    <row r="822" spans="1:20" x14ac:dyDescent="0.25">
      <c r="A822" s="5">
        <v>43771</v>
      </c>
      <c r="B822">
        <v>2.161</v>
      </c>
      <c r="C822">
        <v>2.238</v>
      </c>
      <c r="D822">
        <v>2.1389999999999998</v>
      </c>
      <c r="E822">
        <v>2.1829999999999998</v>
      </c>
      <c r="F822">
        <v>601469.29299999995</v>
      </c>
      <c r="G822">
        <v>0</v>
      </c>
      <c r="L822" t="s">
        <v>8</v>
      </c>
      <c r="M822" t="s">
        <v>7</v>
      </c>
      <c r="N822" t="s">
        <v>8</v>
      </c>
      <c r="P822">
        <f t="shared" si="1004"/>
        <v>-0.1111111111111121</v>
      </c>
      <c r="Q822">
        <f t="shared" si="1005"/>
        <v>-66829.921444445034</v>
      </c>
      <c r="R822">
        <f t="shared" si="1006"/>
        <v>-2066729.7065672358</v>
      </c>
      <c r="S822">
        <f t="shared" si="1007"/>
        <v>-20.667297065672358</v>
      </c>
      <c r="T822">
        <f t="shared" si="1008"/>
        <v>-2.0667297065672358E-2</v>
      </c>
    </row>
    <row r="823" spans="1:20" x14ac:dyDescent="0.25">
      <c r="A823" s="5">
        <v>43770</v>
      </c>
      <c r="B823">
        <v>2.1419999999999999</v>
      </c>
      <c r="C823">
        <v>2.1739999999999999</v>
      </c>
      <c r="D823">
        <v>2.077</v>
      </c>
      <c r="E823">
        <v>2.1560000000000001</v>
      </c>
      <c r="F823">
        <v>491801.761</v>
      </c>
      <c r="G823">
        <v>0</v>
      </c>
      <c r="L823" t="s">
        <v>7</v>
      </c>
      <c r="M823" t="s">
        <v>7</v>
      </c>
      <c r="N823" t="s">
        <v>8</v>
      </c>
      <c r="P823">
        <f t="shared" si="1004"/>
        <v>0.6288659793814475</v>
      </c>
      <c r="Q823">
        <f t="shared" si="1005"/>
        <v>309277.39609278558</v>
      </c>
      <c r="R823">
        <f t="shared" si="1006"/>
        <v>-1999899.7851227908</v>
      </c>
      <c r="S823">
        <f t="shared" si="1007"/>
        <v>-19.998997851227909</v>
      </c>
      <c r="T823">
        <f t="shared" si="1008"/>
        <v>-1.9998997851227909E-2</v>
      </c>
    </row>
    <row r="824" spans="1:20" x14ac:dyDescent="0.25">
      <c r="A824" s="5">
        <v>43769</v>
      </c>
      <c r="B824">
        <v>2.1949999999999998</v>
      </c>
      <c r="C824">
        <v>2.25</v>
      </c>
      <c r="D824">
        <v>2.0640000000000001</v>
      </c>
      <c r="E824">
        <v>2.1440000000000001</v>
      </c>
      <c r="F824">
        <v>1178388.0649999999</v>
      </c>
      <c r="G824">
        <v>0</v>
      </c>
      <c r="L824" t="s">
        <v>7</v>
      </c>
      <c r="M824" t="s">
        <v>7</v>
      </c>
      <c r="N824" t="s">
        <v>8</v>
      </c>
      <c r="P824">
        <f t="shared" si="1004"/>
        <v>-0.1397849462365581</v>
      </c>
      <c r="Q824">
        <f t="shared" si="1005"/>
        <v>-164720.91231182672</v>
      </c>
      <c r="R824">
        <f t="shared" si="1006"/>
        <v>-2309177.1812155764</v>
      </c>
      <c r="S824">
        <f t="shared" si="1007"/>
        <v>-23.091771812155763</v>
      </c>
      <c r="T824">
        <f t="shared" si="1008"/>
        <v>-2.3091771812155763E-2</v>
      </c>
    </row>
    <row r="825" spans="1:20" x14ac:dyDescent="0.25">
      <c r="A825" s="5">
        <v>43768</v>
      </c>
      <c r="B825">
        <v>2.2999999999999998</v>
      </c>
      <c r="C825">
        <v>2.3479999999999999</v>
      </c>
      <c r="D825">
        <v>2.0960000000000001</v>
      </c>
      <c r="E825">
        <v>2.1920000000000002</v>
      </c>
      <c r="F825">
        <v>849275.05099999998</v>
      </c>
      <c r="G825">
        <v>0</v>
      </c>
      <c r="L825" t="s">
        <v>7</v>
      </c>
      <c r="M825" t="s">
        <v>7</v>
      </c>
      <c r="N825" t="s">
        <v>8</v>
      </c>
      <c r="P825">
        <f t="shared" si="1004"/>
        <v>-0.23809523809523675</v>
      </c>
      <c r="Q825">
        <f t="shared" si="1005"/>
        <v>-202208.34547618934</v>
      </c>
      <c r="R825">
        <f t="shared" si="1006"/>
        <v>-2144456.2689037495</v>
      </c>
      <c r="S825">
        <f t="shared" si="1007"/>
        <v>-21.444562689037497</v>
      </c>
      <c r="T825">
        <f t="shared" si="1008"/>
        <v>-2.1444562689037498E-2</v>
      </c>
    </row>
    <row r="826" spans="1:20" x14ac:dyDescent="0.25">
      <c r="A826" s="5">
        <v>43767</v>
      </c>
      <c r="B826">
        <v>2.302</v>
      </c>
      <c r="C826">
        <v>2.3969999999999998</v>
      </c>
      <c r="D826">
        <v>2.2330000000000001</v>
      </c>
      <c r="E826">
        <v>2.2989999999999999</v>
      </c>
      <c r="F826">
        <v>812225.40700000001</v>
      </c>
      <c r="G826">
        <v>0</v>
      </c>
      <c r="L826" t="s">
        <v>7</v>
      </c>
      <c r="M826" t="s">
        <v>7</v>
      </c>
      <c r="N826" t="s">
        <v>8</v>
      </c>
      <c r="P826">
        <f t="shared" si="1004"/>
        <v>-0.19512195121951273</v>
      </c>
      <c r="Q826">
        <f t="shared" si="1005"/>
        <v>-158483.00624390287</v>
      </c>
      <c r="R826">
        <f t="shared" si="1006"/>
        <v>-1942247.9234275604</v>
      </c>
      <c r="S826">
        <f t="shared" si="1007"/>
        <v>-19.422479234275603</v>
      </c>
      <c r="T826">
        <f t="shared" si="1008"/>
        <v>-1.9422479234275602E-2</v>
      </c>
    </row>
    <row r="827" spans="1:20" x14ac:dyDescent="0.25">
      <c r="A827" s="5">
        <v>43766</v>
      </c>
      <c r="B827">
        <v>2.3109999999999999</v>
      </c>
      <c r="C827">
        <v>2.78</v>
      </c>
      <c r="D827">
        <v>2.2200000000000002</v>
      </c>
      <c r="E827">
        <v>2.306</v>
      </c>
      <c r="F827">
        <v>2255748.517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-0.69285714285714317</v>
      </c>
      <c r="Q827">
        <f t="shared" si="1005"/>
        <v>-1562911.4724928578</v>
      </c>
      <c r="R827">
        <f t="shared" si="1006"/>
        <v>-1783764.9171836574</v>
      </c>
      <c r="S827">
        <f t="shared" si="1007"/>
        <v>-17.837649171836574</v>
      </c>
      <c r="T827">
        <f t="shared" si="1008"/>
        <v>-1.7837649171836573E-2</v>
      </c>
    </row>
    <row r="828" spans="1:20" x14ac:dyDescent="0.25">
      <c r="A828" s="5">
        <v>43765</v>
      </c>
      <c r="B828">
        <v>1.839</v>
      </c>
      <c r="C828">
        <v>2.4500000000000002</v>
      </c>
      <c r="D828">
        <v>1.7869999999999999</v>
      </c>
      <c r="E828">
        <v>2.3109999999999999</v>
      </c>
      <c r="F828">
        <v>2976535.8330000001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0.58069381598793313</v>
      </c>
      <c r="Q828">
        <f t="shared" si="1005"/>
        <v>1728455.9512895914</v>
      </c>
      <c r="R828">
        <f t="shared" si="1006"/>
        <v>-220853.44469079957</v>
      </c>
      <c r="S828">
        <f t="shared" si="1007"/>
        <v>-2.2085344469079957</v>
      </c>
      <c r="T828">
        <f t="shared" si="1008"/>
        <v>-2.2085344469079957E-3</v>
      </c>
    </row>
    <row r="829" spans="1:20" x14ac:dyDescent="0.25">
      <c r="A829" s="5">
        <v>43764</v>
      </c>
      <c r="B829">
        <v>1.778</v>
      </c>
      <c r="C829">
        <v>1.931</v>
      </c>
      <c r="D829">
        <v>1.7270000000000001</v>
      </c>
      <c r="E829">
        <v>1.837</v>
      </c>
      <c r="F829">
        <v>1101014.3810000001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7.8431372549018608E-2</v>
      </c>
      <c r="Q829">
        <f t="shared" si="1005"/>
        <v>86354.069098038119</v>
      </c>
      <c r="R829">
        <f t="shared" si="1006"/>
        <v>-1949309.395980391</v>
      </c>
      <c r="S829">
        <f t="shared" si="1007"/>
        <v>-19.493093959803911</v>
      </c>
      <c r="T829">
        <f t="shared" si="1008"/>
        <v>-1.9493093959803909E-2</v>
      </c>
    </row>
    <row r="830" spans="1:20" x14ac:dyDescent="0.25">
      <c r="A830" s="5">
        <v>43763</v>
      </c>
      <c r="B830">
        <v>1.585</v>
      </c>
      <c r="C830">
        <v>1.7989999999999999</v>
      </c>
      <c r="D830">
        <v>1.5669999999999999</v>
      </c>
      <c r="E830">
        <v>1.774</v>
      </c>
      <c r="F830">
        <v>663070.02099999995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0.78448275862069039</v>
      </c>
      <c r="Q830">
        <f t="shared" si="1005"/>
        <v>520166.99923275906</v>
      </c>
      <c r="R830">
        <f t="shared" si="1006"/>
        <v>-2035663.4650784291</v>
      </c>
      <c r="S830">
        <f t="shared" si="1007"/>
        <v>-20.35663465078429</v>
      </c>
      <c r="T830">
        <f t="shared" si="1008"/>
        <v>-2.0356634650784289E-2</v>
      </c>
    </row>
    <row r="831" spans="1:20" x14ac:dyDescent="0.25">
      <c r="A831" s="5">
        <v>43762</v>
      </c>
      <c r="B831">
        <v>1.556</v>
      </c>
      <c r="C831">
        <v>1.6259999999999999</v>
      </c>
      <c r="D831">
        <v>1.512</v>
      </c>
      <c r="E831">
        <v>1.585</v>
      </c>
      <c r="F831">
        <v>343484.47600000002</v>
      </c>
      <c r="G831">
        <v>0</v>
      </c>
      <c r="L831" t="s">
        <v>8</v>
      </c>
      <c r="M831" t="s">
        <v>7</v>
      </c>
      <c r="N831" t="s">
        <v>7</v>
      </c>
      <c r="P831">
        <f t="shared" ref="P831:P894" si="1009">IF(C831=D831,0,((E831-D831)-(C831-E831))/(C831-D831))</f>
        <v>0.28070175438596545</v>
      </c>
      <c r="Q831">
        <f t="shared" ref="Q831:Q894" si="1010">F831*P831</f>
        <v>96416.695017544058</v>
      </c>
      <c r="R831">
        <f t="shared" ref="R831:R894" si="1011">R832+Q831</f>
        <v>-2555830.4643111881</v>
      </c>
      <c r="S831">
        <f t="shared" ref="S831:S894" si="1012">R831/100000</f>
        <v>-25.558304643111882</v>
      </c>
      <c r="T831">
        <f t="shared" ref="T831:T894" si="1013">S831/1000</f>
        <v>-2.555830464311188E-2</v>
      </c>
    </row>
    <row r="832" spans="1:20" x14ac:dyDescent="0.25">
      <c r="A832" s="5">
        <v>43761</v>
      </c>
      <c r="B832">
        <v>1.67</v>
      </c>
      <c r="C832">
        <v>1.671</v>
      </c>
      <c r="D832">
        <v>1.5</v>
      </c>
      <c r="E832">
        <v>1.556</v>
      </c>
      <c r="F832">
        <v>546339.66099999996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-0.34502923976608146</v>
      </c>
      <c r="Q832">
        <f t="shared" si="1010"/>
        <v>-188503.15788888864</v>
      </c>
      <c r="R832">
        <f t="shared" si="1011"/>
        <v>-2652247.1593287322</v>
      </c>
      <c r="S832">
        <f t="shared" si="1012"/>
        <v>-26.522471593287321</v>
      </c>
      <c r="T832">
        <f t="shared" si="1013"/>
        <v>-2.6522471593287321E-2</v>
      </c>
    </row>
    <row r="833" spans="1:20" x14ac:dyDescent="0.25">
      <c r="A833" s="5">
        <v>43760</v>
      </c>
      <c r="B833">
        <v>1.7010000000000001</v>
      </c>
      <c r="C833">
        <v>1.7170000000000001</v>
      </c>
      <c r="D833">
        <v>1.6639999999999999</v>
      </c>
      <c r="E833">
        <v>1.67</v>
      </c>
      <c r="F833">
        <v>164853.06599999999</v>
      </c>
      <c r="G833">
        <v>0</v>
      </c>
      <c r="L833" t="s">
        <v>8</v>
      </c>
      <c r="M833" t="s">
        <v>7</v>
      </c>
      <c r="N833" t="s">
        <v>7</v>
      </c>
      <c r="P833">
        <f t="shared" si="1009"/>
        <v>-0.77358490566037785</v>
      </c>
      <c r="Q833">
        <f t="shared" si="1010"/>
        <v>-127527.84350943404</v>
      </c>
      <c r="R833">
        <f t="shared" si="1011"/>
        <v>-2463744.0014398433</v>
      </c>
      <c r="S833">
        <f t="shared" si="1012"/>
        <v>-24.637440014398432</v>
      </c>
      <c r="T833">
        <f t="shared" si="1013"/>
        <v>-2.4637440014398434E-2</v>
      </c>
    </row>
    <row r="834" spans="1:20" x14ac:dyDescent="0.25">
      <c r="A834" s="5">
        <v>43759</v>
      </c>
      <c r="B834">
        <v>1.7190000000000001</v>
      </c>
      <c r="C834">
        <v>1.726</v>
      </c>
      <c r="D834">
        <v>1.6839999999999999</v>
      </c>
      <c r="E834">
        <v>1.702</v>
      </c>
      <c r="F834">
        <v>224311.731</v>
      </c>
      <c r="G834">
        <v>0</v>
      </c>
      <c r="L834" t="s">
        <v>8</v>
      </c>
      <c r="M834" t="s">
        <v>7</v>
      </c>
      <c r="N834" t="s">
        <v>7</v>
      </c>
      <c r="P834">
        <f t="shared" si="1009"/>
        <v>-0.14285714285714285</v>
      </c>
      <c r="Q834">
        <f t="shared" si="1010"/>
        <v>-32044.532999999999</v>
      </c>
      <c r="R834">
        <f t="shared" si="1011"/>
        <v>-2336216.1579304091</v>
      </c>
      <c r="S834">
        <f t="shared" si="1012"/>
        <v>-23.36216157930409</v>
      </c>
      <c r="T834">
        <f t="shared" si="1013"/>
        <v>-2.336216157930409E-2</v>
      </c>
    </row>
    <row r="835" spans="1:20" x14ac:dyDescent="0.25">
      <c r="A835" s="5">
        <v>43758</v>
      </c>
      <c r="B835">
        <v>1.6830000000000001</v>
      </c>
      <c r="C835">
        <v>1.7310000000000001</v>
      </c>
      <c r="D835">
        <v>1.659</v>
      </c>
      <c r="E835">
        <v>1.7190000000000001</v>
      </c>
      <c r="F835">
        <v>188713.93700000001</v>
      </c>
      <c r="G835">
        <v>0</v>
      </c>
      <c r="L835" t="s">
        <v>8</v>
      </c>
      <c r="M835" t="s">
        <v>7</v>
      </c>
      <c r="N835" t="s">
        <v>7</v>
      </c>
      <c r="P835">
        <f t="shared" si="1009"/>
        <v>0.66666666666666663</v>
      </c>
      <c r="Q835">
        <f t="shared" si="1010"/>
        <v>125809.29133333333</v>
      </c>
      <c r="R835">
        <f t="shared" si="1011"/>
        <v>-2304171.6249304092</v>
      </c>
      <c r="S835">
        <f t="shared" si="1012"/>
        <v>-23.041716249304091</v>
      </c>
      <c r="T835">
        <f t="shared" si="1013"/>
        <v>-2.3041716249304092E-2</v>
      </c>
    </row>
    <row r="836" spans="1:20" x14ac:dyDescent="0.25">
      <c r="A836" s="5">
        <v>43757</v>
      </c>
      <c r="B836">
        <v>1.694</v>
      </c>
      <c r="C836">
        <v>1.7050000000000001</v>
      </c>
      <c r="D836">
        <v>1.6639999999999999</v>
      </c>
      <c r="E836">
        <v>1.6830000000000001</v>
      </c>
      <c r="F836">
        <v>190419.93100000001</v>
      </c>
      <c r="G836">
        <v>0</v>
      </c>
      <c r="L836" t="s">
        <v>8</v>
      </c>
      <c r="M836" t="s">
        <v>7</v>
      </c>
      <c r="N836" t="s">
        <v>7</v>
      </c>
      <c r="P836">
        <f t="shared" si="1009"/>
        <v>-7.3170731707314168E-2</v>
      </c>
      <c r="Q836">
        <f t="shared" si="1010"/>
        <v>-13933.165682926277</v>
      </c>
      <c r="R836">
        <f t="shared" si="1011"/>
        <v>-2429980.9162637424</v>
      </c>
      <c r="S836">
        <f t="shared" si="1012"/>
        <v>-24.299809162637423</v>
      </c>
      <c r="T836">
        <f t="shared" si="1013"/>
        <v>-2.4299809162637423E-2</v>
      </c>
    </row>
    <row r="837" spans="1:20" x14ac:dyDescent="0.25">
      <c r="A837" s="5">
        <v>43756</v>
      </c>
      <c r="B837">
        <v>1.742</v>
      </c>
      <c r="C837">
        <v>1.7509999999999999</v>
      </c>
      <c r="D837">
        <v>1.65</v>
      </c>
      <c r="E837">
        <v>1.6950000000000001</v>
      </c>
      <c r="F837">
        <v>240860.67600000001</v>
      </c>
      <c r="G837">
        <v>0</v>
      </c>
      <c r="L837" t="s">
        <v>8</v>
      </c>
      <c r="M837" t="s">
        <v>7</v>
      </c>
      <c r="N837" t="s">
        <v>7</v>
      </c>
      <c r="P837">
        <f t="shared" si="1009"/>
        <v>-0.10891089108910573</v>
      </c>
      <c r="Q837">
        <f t="shared" si="1010"/>
        <v>-26232.350851484385</v>
      </c>
      <c r="R837">
        <f t="shared" si="1011"/>
        <v>-2416047.7505808161</v>
      </c>
      <c r="S837">
        <f t="shared" si="1012"/>
        <v>-24.16047750580816</v>
      </c>
      <c r="T837">
        <f t="shared" si="1013"/>
        <v>-2.4160477505808159E-2</v>
      </c>
    </row>
    <row r="838" spans="1:20" x14ac:dyDescent="0.25">
      <c r="A838" s="5">
        <v>43755</v>
      </c>
      <c r="B838">
        <v>1.6719999999999999</v>
      </c>
      <c r="C838">
        <v>1.766</v>
      </c>
      <c r="D838">
        <v>1.649</v>
      </c>
      <c r="E838">
        <v>1.74</v>
      </c>
      <c r="F838">
        <v>309162.92499999999</v>
      </c>
      <c r="G838">
        <v>0</v>
      </c>
      <c r="L838" t="s">
        <v>8</v>
      </c>
      <c r="M838" t="s">
        <v>7</v>
      </c>
      <c r="N838" t="s">
        <v>7</v>
      </c>
      <c r="P838">
        <f t="shared" si="1009"/>
        <v>0.55555555555555514</v>
      </c>
      <c r="Q838">
        <f t="shared" si="1010"/>
        <v>171757.18055555542</v>
      </c>
      <c r="R838">
        <f t="shared" si="1011"/>
        <v>-2389815.3997293315</v>
      </c>
      <c r="S838">
        <f t="shared" si="1012"/>
        <v>-23.898153997293313</v>
      </c>
      <c r="T838">
        <f t="shared" si="1013"/>
        <v>-2.3898153997293312E-2</v>
      </c>
    </row>
    <row r="839" spans="1:20" x14ac:dyDescent="0.25">
      <c r="A839" s="5">
        <v>43754</v>
      </c>
      <c r="B839">
        <v>1.74</v>
      </c>
      <c r="C839">
        <v>1.7569999999999999</v>
      </c>
      <c r="D839">
        <v>1.6060000000000001</v>
      </c>
      <c r="E839">
        <v>1.6719999999999999</v>
      </c>
      <c r="F839">
        <v>373773.93900000001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-0.12582781456953743</v>
      </c>
      <c r="Q839">
        <f t="shared" si="1010"/>
        <v>-47031.157887417598</v>
      </c>
      <c r="R839">
        <f t="shared" si="1011"/>
        <v>-2561572.580284887</v>
      </c>
      <c r="S839">
        <f t="shared" si="1012"/>
        <v>-25.615725802848871</v>
      </c>
      <c r="T839">
        <f t="shared" si="1013"/>
        <v>-2.561572580284887E-2</v>
      </c>
    </row>
    <row r="840" spans="1:20" x14ac:dyDescent="0.25">
      <c r="A840" s="5">
        <v>43753</v>
      </c>
      <c r="B840">
        <v>1.8260000000000001</v>
      </c>
      <c r="C840">
        <v>1.837</v>
      </c>
      <c r="D840">
        <v>1.728</v>
      </c>
      <c r="E840">
        <v>1.7410000000000001</v>
      </c>
      <c r="F840">
        <v>476882.11</v>
      </c>
      <c r="G840">
        <v>0</v>
      </c>
      <c r="L840" t="s">
        <v>7</v>
      </c>
      <c r="M840" t="s">
        <v>8</v>
      </c>
      <c r="N840" t="s">
        <v>7</v>
      </c>
      <c r="P840">
        <f t="shared" si="1009"/>
        <v>-0.76146788990825465</v>
      </c>
      <c r="Q840">
        <f t="shared" si="1010"/>
        <v>-363130.41403669619</v>
      </c>
      <c r="R840">
        <f t="shared" si="1011"/>
        <v>-2514541.4223974692</v>
      </c>
      <c r="S840">
        <f t="shared" si="1012"/>
        <v>-25.14541422397469</v>
      </c>
      <c r="T840">
        <f t="shared" si="1013"/>
        <v>-2.5145414223974691E-2</v>
      </c>
    </row>
    <row r="841" spans="1:20" x14ac:dyDescent="0.25">
      <c r="A841" s="5">
        <v>43752</v>
      </c>
      <c r="B841">
        <v>1.792</v>
      </c>
      <c r="C841">
        <v>1.8280000000000001</v>
      </c>
      <c r="D841">
        <v>1.77</v>
      </c>
      <c r="E841">
        <v>1.8260000000000001</v>
      </c>
      <c r="F841">
        <v>264198.27799999999</v>
      </c>
      <c r="G841">
        <v>0</v>
      </c>
      <c r="L841" t="s">
        <v>7</v>
      </c>
      <c r="M841" t="s">
        <v>8</v>
      </c>
      <c r="N841" t="s">
        <v>7</v>
      </c>
      <c r="P841">
        <f t="shared" si="1009"/>
        <v>0.93103448275862066</v>
      </c>
      <c r="Q841">
        <f t="shared" si="1010"/>
        <v>245977.70710344825</v>
      </c>
      <c r="R841">
        <f t="shared" si="1011"/>
        <v>-2151411.0083607729</v>
      </c>
      <c r="S841">
        <f t="shared" si="1012"/>
        <v>-21.514110083607729</v>
      </c>
      <c r="T841">
        <f t="shared" si="1013"/>
        <v>-2.1514110083607728E-2</v>
      </c>
    </row>
    <row r="842" spans="1:20" x14ac:dyDescent="0.25">
      <c r="A842" s="5">
        <v>43751</v>
      </c>
      <c r="B842">
        <v>1.7749999999999999</v>
      </c>
      <c r="C842">
        <v>1.8160000000000001</v>
      </c>
      <c r="D842">
        <v>1.7589999999999999</v>
      </c>
      <c r="E842">
        <v>1.7909999999999999</v>
      </c>
      <c r="F842">
        <v>229774.946</v>
      </c>
      <c r="G842">
        <v>0</v>
      </c>
      <c r="L842" t="s">
        <v>7</v>
      </c>
      <c r="M842" t="s">
        <v>8</v>
      </c>
      <c r="N842" t="s">
        <v>7</v>
      </c>
      <c r="P842">
        <f t="shared" si="1009"/>
        <v>0.12280701754385746</v>
      </c>
      <c r="Q842">
        <f t="shared" si="1010"/>
        <v>28217.975824560901</v>
      </c>
      <c r="R842">
        <f t="shared" si="1011"/>
        <v>-2397388.7154642213</v>
      </c>
      <c r="S842">
        <f t="shared" si="1012"/>
        <v>-23.973887154642213</v>
      </c>
      <c r="T842">
        <f t="shared" si="1013"/>
        <v>-2.3973887154642212E-2</v>
      </c>
    </row>
    <row r="843" spans="1:20" x14ac:dyDescent="0.25">
      <c r="A843" s="5">
        <v>43750</v>
      </c>
      <c r="B843">
        <v>1.7809999999999999</v>
      </c>
      <c r="C843">
        <v>1.819</v>
      </c>
      <c r="D843">
        <v>1.7689999999999999</v>
      </c>
      <c r="E843">
        <v>1.772</v>
      </c>
      <c r="F843">
        <v>213091.37700000001</v>
      </c>
      <c r="G843">
        <v>0</v>
      </c>
      <c r="L843" t="s">
        <v>7</v>
      </c>
      <c r="M843" t="s">
        <v>8</v>
      </c>
      <c r="N843" t="s">
        <v>7</v>
      </c>
      <c r="P843">
        <f t="shared" si="1009"/>
        <v>-0.87999999999999556</v>
      </c>
      <c r="Q843">
        <f t="shared" si="1010"/>
        <v>-187520.41175999906</v>
      </c>
      <c r="R843">
        <f t="shared" si="1011"/>
        <v>-2425606.6912887823</v>
      </c>
      <c r="S843">
        <f t="shared" si="1012"/>
        <v>-24.256066912887825</v>
      </c>
      <c r="T843">
        <f t="shared" si="1013"/>
        <v>-2.4256066912887824E-2</v>
      </c>
    </row>
    <row r="844" spans="1:20" x14ac:dyDescent="0.25">
      <c r="A844" s="5">
        <v>43749</v>
      </c>
      <c r="B844">
        <v>1.804</v>
      </c>
      <c r="C844">
        <v>1.8420000000000001</v>
      </c>
      <c r="D844">
        <v>1.748</v>
      </c>
      <c r="E844">
        <v>1.782</v>
      </c>
      <c r="F844">
        <v>298487.59399999998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-0.27659574468085107</v>
      </c>
      <c r="Q844">
        <f t="shared" si="1010"/>
        <v>-82560.398340425527</v>
      </c>
      <c r="R844">
        <f t="shared" si="1011"/>
        <v>-2238086.2795287832</v>
      </c>
      <c r="S844">
        <f t="shared" si="1012"/>
        <v>-22.380862795287833</v>
      </c>
      <c r="T844">
        <f t="shared" si="1013"/>
        <v>-2.2380862795287833E-2</v>
      </c>
    </row>
    <row r="845" spans="1:20" x14ac:dyDescent="0.25">
      <c r="A845" s="5">
        <v>43748</v>
      </c>
      <c r="B845">
        <v>1.857</v>
      </c>
      <c r="C845">
        <v>1.8620000000000001</v>
      </c>
      <c r="D845">
        <v>1.7729999999999999</v>
      </c>
      <c r="E845">
        <v>1.802</v>
      </c>
      <c r="F845">
        <v>361807.79</v>
      </c>
      <c r="G845">
        <v>0</v>
      </c>
      <c r="L845" t="s">
        <v>7</v>
      </c>
      <c r="M845" t="s">
        <v>8</v>
      </c>
      <c r="N845" t="s">
        <v>7</v>
      </c>
      <c r="P845">
        <f t="shared" si="1009"/>
        <v>-0.34831460674157133</v>
      </c>
      <c r="Q845">
        <f t="shared" si="1010"/>
        <v>-126022.93808988701</v>
      </c>
      <c r="R845">
        <f t="shared" si="1011"/>
        <v>-2155525.8811883577</v>
      </c>
      <c r="S845">
        <f t="shared" si="1012"/>
        <v>-21.555258811883576</v>
      </c>
      <c r="T845">
        <f t="shared" si="1013"/>
        <v>-2.1555258811883575E-2</v>
      </c>
    </row>
    <row r="846" spans="1:20" x14ac:dyDescent="0.25">
      <c r="A846" s="5">
        <v>43747</v>
      </c>
      <c r="B846">
        <v>1.7989999999999999</v>
      </c>
      <c r="C846">
        <v>1.887</v>
      </c>
      <c r="D846">
        <v>1.794</v>
      </c>
      <c r="E846">
        <v>1.86</v>
      </c>
      <c r="F846">
        <v>541189.83400000003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0.4193548387096791</v>
      </c>
      <c r="Q846">
        <f t="shared" si="1010"/>
        <v>226950.57554838801</v>
      </c>
      <c r="R846">
        <f t="shared" si="1011"/>
        <v>-2029502.9430984706</v>
      </c>
      <c r="S846">
        <f t="shared" si="1012"/>
        <v>-20.295029430984705</v>
      </c>
      <c r="T846">
        <f t="shared" si="1013"/>
        <v>-2.0295029430984705E-2</v>
      </c>
    </row>
    <row r="847" spans="1:20" x14ac:dyDescent="0.25">
      <c r="A847" s="5">
        <v>43746</v>
      </c>
      <c r="B847">
        <v>1.786</v>
      </c>
      <c r="C847">
        <v>1.85</v>
      </c>
      <c r="D847">
        <v>1.758</v>
      </c>
      <c r="E847">
        <v>1.7989999999999999</v>
      </c>
      <c r="F847">
        <v>381216.505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-0.10869565217391546</v>
      </c>
      <c r="Q847">
        <f t="shared" si="1010"/>
        <v>-41436.576630435702</v>
      </c>
      <c r="R847">
        <f t="shared" si="1011"/>
        <v>-2256453.5186468586</v>
      </c>
      <c r="S847">
        <f t="shared" si="1012"/>
        <v>-22.564535186468586</v>
      </c>
      <c r="T847">
        <f t="shared" si="1013"/>
        <v>-2.2564535186468587E-2</v>
      </c>
    </row>
    <row r="848" spans="1:20" x14ac:dyDescent="0.25">
      <c r="A848" s="5">
        <v>43745</v>
      </c>
      <c r="B848">
        <v>1.6950000000000001</v>
      </c>
      <c r="C848">
        <v>1.8169999999999999</v>
      </c>
      <c r="D848">
        <v>1.677</v>
      </c>
      <c r="E848">
        <v>1.788</v>
      </c>
      <c r="F848">
        <v>437235.20600000001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0.58571428571428663</v>
      </c>
      <c r="Q848">
        <f t="shared" si="1010"/>
        <v>256094.90637142898</v>
      </c>
      <c r="R848">
        <f t="shared" si="1011"/>
        <v>-2215016.9420164227</v>
      </c>
      <c r="S848">
        <f t="shared" si="1012"/>
        <v>-22.150169420164229</v>
      </c>
      <c r="T848">
        <f t="shared" si="1013"/>
        <v>-2.2150169420164227E-2</v>
      </c>
    </row>
    <row r="849" spans="1:20" x14ac:dyDescent="0.25">
      <c r="A849" s="5">
        <v>43744</v>
      </c>
      <c r="B849">
        <v>1.722</v>
      </c>
      <c r="C849">
        <v>1.726</v>
      </c>
      <c r="D849">
        <v>1.665</v>
      </c>
      <c r="E849">
        <v>1.694</v>
      </c>
      <c r="F849">
        <v>186091.82</v>
      </c>
      <c r="G849">
        <v>0</v>
      </c>
      <c r="L849" t="s">
        <v>8</v>
      </c>
      <c r="M849" t="s">
        <v>8</v>
      </c>
      <c r="N849" t="s">
        <v>7</v>
      </c>
      <c r="P849">
        <f t="shared" si="1009"/>
        <v>-4.9180327868854366E-2</v>
      </c>
      <c r="Q849">
        <f t="shared" si="1010"/>
        <v>-9152.0567213118302</v>
      </c>
      <c r="R849">
        <f t="shared" si="1011"/>
        <v>-2471111.8483878518</v>
      </c>
      <c r="S849">
        <f t="shared" si="1012"/>
        <v>-24.711118483878519</v>
      </c>
      <c r="T849">
        <f t="shared" si="1013"/>
        <v>-2.4711118483878518E-2</v>
      </c>
    </row>
    <row r="850" spans="1:20" x14ac:dyDescent="0.25">
      <c r="A850" s="5">
        <v>43743</v>
      </c>
      <c r="B850">
        <v>1.694</v>
      </c>
      <c r="C850">
        <v>1.732</v>
      </c>
      <c r="D850">
        <v>1.6719999999999999</v>
      </c>
      <c r="E850">
        <v>1.718</v>
      </c>
      <c r="F850">
        <v>208739.59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0.53333333333333333</v>
      </c>
      <c r="Q850">
        <f t="shared" si="1010"/>
        <v>111327.78133333333</v>
      </c>
      <c r="R850">
        <f t="shared" si="1011"/>
        <v>-2461959.7916665399</v>
      </c>
      <c r="S850">
        <f t="shared" si="1012"/>
        <v>-24.619597916665398</v>
      </c>
      <c r="T850">
        <f t="shared" si="1013"/>
        <v>-2.46195979166654E-2</v>
      </c>
    </row>
    <row r="851" spans="1:20" x14ac:dyDescent="0.25">
      <c r="A851" s="5">
        <v>43742</v>
      </c>
      <c r="B851">
        <v>1.6859999999999999</v>
      </c>
      <c r="C851">
        <v>1.732</v>
      </c>
      <c r="D851">
        <v>1.645</v>
      </c>
      <c r="E851">
        <v>1.6919999999999999</v>
      </c>
      <c r="F851">
        <v>224819.364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8.0459770114941362E-2</v>
      </c>
      <c r="Q851">
        <f t="shared" si="1010"/>
        <v>18088.914344827324</v>
      </c>
      <c r="R851">
        <f t="shared" si="1011"/>
        <v>-2573287.5729998732</v>
      </c>
      <c r="S851">
        <f t="shared" si="1012"/>
        <v>-25.732875729998732</v>
      </c>
      <c r="T851">
        <f t="shared" si="1013"/>
        <v>-2.573287572999873E-2</v>
      </c>
    </row>
    <row r="852" spans="1:20" x14ac:dyDescent="0.25">
      <c r="A852" s="5">
        <v>43741</v>
      </c>
      <c r="B852">
        <v>1.7110000000000001</v>
      </c>
      <c r="C852">
        <v>1.714</v>
      </c>
      <c r="D852">
        <v>1.6419999999999999</v>
      </c>
      <c r="E852">
        <v>1.6830000000000001</v>
      </c>
      <c r="F852">
        <v>222735.04500000001</v>
      </c>
      <c r="G852">
        <v>0</v>
      </c>
      <c r="L852" t="s">
        <v>8</v>
      </c>
      <c r="M852" t="s">
        <v>8</v>
      </c>
      <c r="N852" t="s">
        <v>7</v>
      </c>
      <c r="P852">
        <f t="shared" si="1009"/>
        <v>0.13888888888889198</v>
      </c>
      <c r="Q852">
        <f t="shared" si="1010"/>
        <v>30935.422916667358</v>
      </c>
      <c r="R852">
        <f t="shared" si="1011"/>
        <v>-2591376.4873447004</v>
      </c>
      <c r="S852">
        <f t="shared" si="1012"/>
        <v>-25.913764873447004</v>
      </c>
      <c r="T852">
        <f t="shared" si="1013"/>
        <v>-2.5913764873447005E-2</v>
      </c>
    </row>
    <row r="853" spans="1:20" x14ac:dyDescent="0.25">
      <c r="A853" s="5">
        <v>43740</v>
      </c>
      <c r="B853">
        <v>1.6839999999999999</v>
      </c>
      <c r="C853">
        <v>1.7110000000000001</v>
      </c>
      <c r="D853">
        <v>1.643</v>
      </c>
      <c r="E853">
        <v>1.7110000000000001</v>
      </c>
      <c r="F853">
        <v>309453.92300000001</v>
      </c>
      <c r="G853">
        <v>0</v>
      </c>
      <c r="L853" t="s">
        <v>8</v>
      </c>
      <c r="M853" t="s">
        <v>8</v>
      </c>
      <c r="N853" t="s">
        <v>7</v>
      </c>
      <c r="P853">
        <f t="shared" si="1009"/>
        <v>1</v>
      </c>
      <c r="Q853">
        <f t="shared" si="1010"/>
        <v>309453.92300000001</v>
      </c>
      <c r="R853">
        <f t="shared" si="1011"/>
        <v>-2622311.9102613679</v>
      </c>
      <c r="S853">
        <f t="shared" si="1012"/>
        <v>-26.22311910261368</v>
      </c>
      <c r="T853">
        <f t="shared" si="1013"/>
        <v>-2.6223119102613681E-2</v>
      </c>
    </row>
    <row r="854" spans="1:20" x14ac:dyDescent="0.25">
      <c r="A854" s="5">
        <v>43739</v>
      </c>
      <c r="B854">
        <v>1.7090000000000001</v>
      </c>
      <c r="C854">
        <v>1.7589999999999999</v>
      </c>
      <c r="D854">
        <v>1.667</v>
      </c>
      <c r="E854">
        <v>1.6839999999999999</v>
      </c>
      <c r="F854">
        <v>520196.96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-0.63043478260869712</v>
      </c>
      <c r="Q854">
        <f t="shared" si="1010"/>
        <v>-327950.25739130512</v>
      </c>
      <c r="R854">
        <f t="shared" si="1011"/>
        <v>-2931765.8332613679</v>
      </c>
      <c r="S854">
        <f t="shared" si="1012"/>
        <v>-29.317658332613679</v>
      </c>
      <c r="T854">
        <f t="shared" si="1013"/>
        <v>-2.931765833261368E-2</v>
      </c>
    </row>
    <row r="855" spans="1:20" x14ac:dyDescent="0.25">
      <c r="A855" s="5">
        <v>43738</v>
      </c>
      <c r="B855">
        <v>1.629</v>
      </c>
      <c r="C855">
        <v>1.7250000000000001</v>
      </c>
      <c r="D855">
        <v>1.5680000000000001</v>
      </c>
      <c r="E855">
        <v>1.7090000000000001</v>
      </c>
      <c r="F855">
        <v>487332.50099999999</v>
      </c>
      <c r="G855">
        <v>0</v>
      </c>
      <c r="L855" t="s">
        <v>8</v>
      </c>
      <c r="M855" t="s">
        <v>8</v>
      </c>
      <c r="N855" t="s">
        <v>7</v>
      </c>
      <c r="P855">
        <f t="shared" si="1009"/>
        <v>0.79617834394904441</v>
      </c>
      <c r="Q855">
        <f t="shared" si="1010"/>
        <v>388003.58359872602</v>
      </c>
      <c r="R855">
        <f t="shared" si="1011"/>
        <v>-2603815.5758700627</v>
      </c>
      <c r="S855">
        <f t="shared" si="1012"/>
        <v>-26.038155758700626</v>
      </c>
      <c r="T855">
        <f t="shared" si="1013"/>
        <v>-2.6038155758700627E-2</v>
      </c>
    </row>
    <row r="856" spans="1:20" x14ac:dyDescent="0.25">
      <c r="A856" s="5">
        <v>43737</v>
      </c>
      <c r="B856">
        <v>1.6559999999999999</v>
      </c>
      <c r="C856">
        <v>1.66</v>
      </c>
      <c r="D856">
        <v>1.5620000000000001</v>
      </c>
      <c r="E856">
        <v>1.629</v>
      </c>
      <c r="F856">
        <v>290256.033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0.36734693877551106</v>
      </c>
      <c r="Q856">
        <f t="shared" si="1010"/>
        <v>106624.66518367371</v>
      </c>
      <c r="R856">
        <f t="shared" si="1011"/>
        <v>-2991819.1594687887</v>
      </c>
      <c r="S856">
        <f t="shared" si="1012"/>
        <v>-29.918191594687887</v>
      </c>
      <c r="T856">
        <f t="shared" si="1013"/>
        <v>-2.9918191594687886E-2</v>
      </c>
    </row>
    <row r="857" spans="1:20" x14ac:dyDescent="0.25">
      <c r="A857" s="5">
        <v>43736</v>
      </c>
      <c r="B857">
        <v>1.6259999999999999</v>
      </c>
      <c r="C857">
        <v>1.6850000000000001</v>
      </c>
      <c r="D857">
        <v>1.607</v>
      </c>
      <c r="E857">
        <v>1.6559999999999999</v>
      </c>
      <c r="F857">
        <v>362729.83199999999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0.25641025641025356</v>
      </c>
      <c r="Q857">
        <f t="shared" si="1010"/>
        <v>93007.649230768191</v>
      </c>
      <c r="R857">
        <f t="shared" si="1011"/>
        <v>-3098443.8246524623</v>
      </c>
      <c r="S857">
        <f t="shared" si="1012"/>
        <v>-30.984438246524622</v>
      </c>
      <c r="T857">
        <f t="shared" si="1013"/>
        <v>-3.0984438246524623E-2</v>
      </c>
    </row>
    <row r="858" spans="1:20" x14ac:dyDescent="0.25">
      <c r="A858" s="5">
        <v>43735</v>
      </c>
      <c r="B858">
        <v>1.6</v>
      </c>
      <c r="C858">
        <v>1.65</v>
      </c>
      <c r="D858">
        <v>1.5449999999999999</v>
      </c>
      <c r="E858">
        <v>1.625</v>
      </c>
      <c r="F858">
        <v>363616.49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0.52380952380952539</v>
      </c>
      <c r="Q858">
        <f t="shared" si="1010"/>
        <v>190465.78047619105</v>
      </c>
      <c r="R858">
        <f t="shared" si="1011"/>
        <v>-3191451.4738832302</v>
      </c>
      <c r="S858">
        <f t="shared" si="1012"/>
        <v>-31.914514738832302</v>
      </c>
      <c r="T858">
        <f t="shared" si="1013"/>
        <v>-3.1914514738832306E-2</v>
      </c>
    </row>
    <row r="859" spans="1:20" x14ac:dyDescent="0.25">
      <c r="A859" s="5">
        <v>43734</v>
      </c>
      <c r="B859">
        <v>1.6419999999999999</v>
      </c>
      <c r="C859">
        <v>1.6890000000000001</v>
      </c>
      <c r="D859">
        <v>1.5</v>
      </c>
      <c r="E859">
        <v>1.6</v>
      </c>
      <c r="F859">
        <v>503994.473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5.8201058201058822E-2</v>
      </c>
      <c r="Q859">
        <f t="shared" si="1010"/>
        <v>29333.011656084967</v>
      </c>
      <c r="R859">
        <f t="shared" si="1011"/>
        <v>-3381917.2543594213</v>
      </c>
      <c r="S859">
        <f t="shared" si="1012"/>
        <v>-33.819172543594213</v>
      </c>
      <c r="T859">
        <f t="shared" si="1013"/>
        <v>-3.3819172543594213E-2</v>
      </c>
    </row>
    <row r="860" spans="1:20" x14ac:dyDescent="0.25">
      <c r="A860" s="5">
        <v>43733</v>
      </c>
      <c r="B860">
        <v>1.5580000000000001</v>
      </c>
      <c r="C860">
        <v>1.6879999999999999</v>
      </c>
      <c r="D860">
        <v>1.5289999999999999</v>
      </c>
      <c r="E860">
        <v>1.6419999999999999</v>
      </c>
      <c r="F860">
        <v>692567.95499999996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0.42138364779874171</v>
      </c>
      <c r="Q860">
        <f t="shared" si="1010"/>
        <v>291836.81122641481</v>
      </c>
      <c r="R860">
        <f t="shared" si="1011"/>
        <v>-3411250.2660155063</v>
      </c>
      <c r="S860">
        <f t="shared" si="1012"/>
        <v>-34.112502660155066</v>
      </c>
      <c r="T860">
        <f t="shared" si="1013"/>
        <v>-3.4112502660155065E-2</v>
      </c>
    </row>
    <row r="861" spans="1:20" x14ac:dyDescent="0.25">
      <c r="A861" s="5">
        <v>43732</v>
      </c>
      <c r="B861">
        <v>1.9590000000000001</v>
      </c>
      <c r="C861">
        <v>2.0019999999999998</v>
      </c>
      <c r="D861">
        <v>1.4319999999999999</v>
      </c>
      <c r="E861">
        <v>1.5580000000000001</v>
      </c>
      <c r="F861">
        <v>972626.16899999999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-0.55789473684210478</v>
      </c>
      <c r="Q861">
        <f t="shared" si="1010"/>
        <v>-542623.02059999958</v>
      </c>
      <c r="R861">
        <f t="shared" si="1011"/>
        <v>-3703087.0772419213</v>
      </c>
      <c r="S861">
        <f t="shared" si="1012"/>
        <v>-37.030870772419213</v>
      </c>
      <c r="T861">
        <f t="shared" si="1013"/>
        <v>-3.7030870772419212E-2</v>
      </c>
    </row>
    <row r="862" spans="1:20" x14ac:dyDescent="0.25">
      <c r="A862" s="5">
        <v>43731</v>
      </c>
      <c r="B862">
        <v>2.097</v>
      </c>
      <c r="C862">
        <v>2.0990000000000002</v>
      </c>
      <c r="D862">
        <v>1.9510000000000001</v>
      </c>
      <c r="E862">
        <v>1.96</v>
      </c>
      <c r="F862">
        <v>457263.83899999998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-0.87837837837837984</v>
      </c>
      <c r="Q862">
        <f t="shared" si="1010"/>
        <v>-401650.66939189256</v>
      </c>
      <c r="R862">
        <f t="shared" si="1011"/>
        <v>-3160464.0566419219</v>
      </c>
      <c r="S862">
        <f t="shared" si="1012"/>
        <v>-31.604640566419217</v>
      </c>
      <c r="T862">
        <f t="shared" si="1013"/>
        <v>-3.160464056641922E-2</v>
      </c>
    </row>
    <row r="863" spans="1:20" x14ac:dyDescent="0.25">
      <c r="A863" s="5">
        <v>43730</v>
      </c>
      <c r="B863">
        <v>2.149</v>
      </c>
      <c r="C863">
        <v>2.149</v>
      </c>
      <c r="D863">
        <v>2.056</v>
      </c>
      <c r="E863">
        <v>2.0960000000000001</v>
      </c>
      <c r="F863">
        <v>174795.33600000001</v>
      </c>
      <c r="G863">
        <v>0</v>
      </c>
      <c r="L863" t="s">
        <v>7</v>
      </c>
      <c r="M863" t="s">
        <v>8</v>
      </c>
      <c r="N863" t="s">
        <v>7</v>
      </c>
      <c r="P863">
        <f t="shared" si="1009"/>
        <v>-0.1397849462365581</v>
      </c>
      <c r="Q863">
        <f t="shared" si="1010"/>
        <v>-24433.756645161109</v>
      </c>
      <c r="R863">
        <f t="shared" si="1011"/>
        <v>-2758813.3872500295</v>
      </c>
      <c r="S863">
        <f t="shared" si="1012"/>
        <v>-27.588133872500293</v>
      </c>
      <c r="T863">
        <f t="shared" si="1013"/>
        <v>-2.7588133872500295E-2</v>
      </c>
    </row>
    <row r="864" spans="1:20" x14ac:dyDescent="0.25">
      <c r="A864" s="5">
        <v>43729</v>
      </c>
      <c r="B864">
        <v>2.1930000000000001</v>
      </c>
      <c r="C864">
        <v>2.2000000000000002</v>
      </c>
      <c r="D864">
        <v>2.1320000000000001</v>
      </c>
      <c r="E864">
        <v>2.149</v>
      </c>
      <c r="F864">
        <v>190650.52600000001</v>
      </c>
      <c r="G864">
        <v>0</v>
      </c>
      <c r="L864" t="s">
        <v>8</v>
      </c>
      <c r="M864" t="s">
        <v>8</v>
      </c>
      <c r="N864" t="s">
        <v>7</v>
      </c>
      <c r="P864">
        <f t="shared" si="1009"/>
        <v>-0.50000000000000322</v>
      </c>
      <c r="Q864">
        <f t="shared" si="1010"/>
        <v>-95325.263000000617</v>
      </c>
      <c r="R864">
        <f t="shared" si="1011"/>
        <v>-2734379.6306048683</v>
      </c>
      <c r="S864">
        <f t="shared" si="1012"/>
        <v>-27.343796306048684</v>
      </c>
      <c r="T864">
        <f t="shared" si="1013"/>
        <v>-2.7343796306048683E-2</v>
      </c>
    </row>
    <row r="865" spans="1:20" x14ac:dyDescent="0.25">
      <c r="A865" s="5">
        <v>43728</v>
      </c>
      <c r="B865">
        <v>2.2109999999999999</v>
      </c>
      <c r="C865">
        <v>2.2250000000000001</v>
      </c>
      <c r="D865">
        <v>2.1480000000000001</v>
      </c>
      <c r="E865">
        <v>2.1960000000000002</v>
      </c>
      <c r="F865">
        <v>235149.03</v>
      </c>
      <c r="G865">
        <v>0</v>
      </c>
      <c r="L865" t="s">
        <v>8</v>
      </c>
      <c r="M865" t="s">
        <v>8</v>
      </c>
      <c r="N865" t="s">
        <v>7</v>
      </c>
      <c r="P865">
        <f t="shared" si="1009"/>
        <v>0.24675324675324856</v>
      </c>
      <c r="Q865">
        <f t="shared" si="1010"/>
        <v>58023.786623377047</v>
      </c>
      <c r="R865">
        <f t="shared" si="1011"/>
        <v>-2639054.3676048676</v>
      </c>
      <c r="S865">
        <f t="shared" si="1012"/>
        <v>-26.390543676048676</v>
      </c>
      <c r="T865">
        <f t="shared" si="1013"/>
        <v>-2.6390543676048674E-2</v>
      </c>
    </row>
    <row r="866" spans="1:20" x14ac:dyDescent="0.25">
      <c r="A866" s="5">
        <v>43727</v>
      </c>
      <c r="B866">
        <v>2.2669999999999999</v>
      </c>
      <c r="C866">
        <v>2.2669999999999999</v>
      </c>
      <c r="D866">
        <v>2.0640000000000001</v>
      </c>
      <c r="E866">
        <v>2.2130000000000001</v>
      </c>
      <c r="F866">
        <v>596059.25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0.46798029556650378</v>
      </c>
      <c r="Q866">
        <f t="shared" si="1010"/>
        <v>278943.98399014858</v>
      </c>
      <c r="R866">
        <f t="shared" si="1011"/>
        <v>-2697078.1542282444</v>
      </c>
      <c r="S866">
        <f t="shared" si="1012"/>
        <v>-26.970781542282445</v>
      </c>
      <c r="T866">
        <f t="shared" si="1013"/>
        <v>-2.6970781542282444E-2</v>
      </c>
    </row>
    <row r="867" spans="1:20" x14ac:dyDescent="0.25">
      <c r="A867" s="5">
        <v>43726</v>
      </c>
      <c r="B867">
        <v>2.1</v>
      </c>
      <c r="C867">
        <v>2.323</v>
      </c>
      <c r="D867">
        <v>2.0990000000000002</v>
      </c>
      <c r="E867">
        <v>2.2669999999999999</v>
      </c>
      <c r="F867">
        <v>711603.3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0.499999999999999</v>
      </c>
      <c r="Q867">
        <f t="shared" si="1010"/>
        <v>355801.64999999932</v>
      </c>
      <c r="R867">
        <f t="shared" si="1011"/>
        <v>-2976022.1382183931</v>
      </c>
      <c r="S867">
        <f t="shared" si="1012"/>
        <v>-29.760221382183932</v>
      </c>
      <c r="T867">
        <f t="shared" si="1013"/>
        <v>-2.9760221382183934E-2</v>
      </c>
    </row>
    <row r="868" spans="1:20" x14ac:dyDescent="0.25">
      <c r="A868" s="5">
        <v>43725</v>
      </c>
      <c r="B868">
        <v>2.0430000000000001</v>
      </c>
      <c r="C868">
        <v>2.1619999999999999</v>
      </c>
      <c r="D868">
        <v>2.0169999999999999</v>
      </c>
      <c r="E868">
        <v>2.1019999999999999</v>
      </c>
      <c r="F868">
        <v>424226.88799999998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0.17241379310344765</v>
      </c>
      <c r="Q868">
        <f t="shared" si="1010"/>
        <v>73142.566896551449</v>
      </c>
      <c r="R868">
        <f t="shared" si="1011"/>
        <v>-3331823.7882183925</v>
      </c>
      <c r="S868">
        <f t="shared" si="1012"/>
        <v>-33.318237882183922</v>
      </c>
      <c r="T868">
        <f t="shared" si="1013"/>
        <v>-3.3318237882183924E-2</v>
      </c>
    </row>
    <row r="869" spans="1:20" x14ac:dyDescent="0.25">
      <c r="A869" s="5">
        <v>43724</v>
      </c>
      <c r="B869">
        <v>2.069</v>
      </c>
      <c r="C869">
        <v>2.1030000000000002</v>
      </c>
      <c r="D869">
        <v>1.9830000000000001</v>
      </c>
      <c r="E869">
        <v>2.0449999999999999</v>
      </c>
      <c r="F869">
        <v>452615.82199999999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3.3333333333329634E-2</v>
      </c>
      <c r="Q869">
        <f t="shared" si="1010"/>
        <v>15087.194066664992</v>
      </c>
      <c r="R869">
        <f t="shared" si="1011"/>
        <v>-3404966.3551149438</v>
      </c>
      <c r="S869">
        <f t="shared" si="1012"/>
        <v>-34.049663551149436</v>
      </c>
      <c r="T869">
        <f t="shared" si="1013"/>
        <v>-3.4049663551149439E-2</v>
      </c>
    </row>
    <row r="870" spans="1:20" x14ac:dyDescent="0.25">
      <c r="A870" s="5">
        <v>43723</v>
      </c>
      <c r="B870">
        <v>2.0529999999999999</v>
      </c>
      <c r="C870">
        <v>2.0950000000000002</v>
      </c>
      <c r="D870">
        <v>2.036</v>
      </c>
      <c r="E870">
        <v>2.069</v>
      </c>
      <c r="F870">
        <v>210349.951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0.1186440677966043</v>
      </c>
      <c r="Q870">
        <f t="shared" si="1010"/>
        <v>24956.773847456392</v>
      </c>
      <c r="R870">
        <f t="shared" si="1011"/>
        <v>-3420053.5491816089</v>
      </c>
      <c r="S870">
        <f t="shared" si="1012"/>
        <v>-34.20053549181609</v>
      </c>
      <c r="T870">
        <f t="shared" si="1013"/>
        <v>-3.4200535491816092E-2</v>
      </c>
    </row>
    <row r="871" spans="1:20" x14ac:dyDescent="0.25">
      <c r="A871" s="5">
        <v>43722</v>
      </c>
      <c r="B871">
        <v>2.016</v>
      </c>
      <c r="C871">
        <v>2.0760000000000001</v>
      </c>
      <c r="D871">
        <v>1.9870000000000001</v>
      </c>
      <c r="E871">
        <v>2.056</v>
      </c>
      <c r="F871">
        <v>162343.33600000001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0.55056179775280845</v>
      </c>
      <c r="Q871">
        <f t="shared" si="1010"/>
        <v>89380.038921348227</v>
      </c>
      <c r="R871">
        <f t="shared" si="1011"/>
        <v>-3445010.3230290655</v>
      </c>
      <c r="S871">
        <f t="shared" si="1012"/>
        <v>-34.450103230290658</v>
      </c>
      <c r="T871">
        <f t="shared" si="1013"/>
        <v>-3.4450103230290657E-2</v>
      </c>
    </row>
    <row r="872" spans="1:20" x14ac:dyDescent="0.25">
      <c r="A872" s="5">
        <v>43721</v>
      </c>
      <c r="B872">
        <v>2.004</v>
      </c>
      <c r="C872">
        <v>2.0379999999999998</v>
      </c>
      <c r="D872">
        <v>1.9910000000000001</v>
      </c>
      <c r="E872">
        <v>2.0129999999999999</v>
      </c>
      <c r="F872">
        <v>142629.42000000001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-6.3829787234045365E-2</v>
      </c>
      <c r="Q872">
        <f t="shared" si="1010"/>
        <v>-9104.0055319152962</v>
      </c>
      <c r="R872">
        <f t="shared" si="1011"/>
        <v>-3534390.3619504138</v>
      </c>
      <c r="S872">
        <f t="shared" si="1012"/>
        <v>-35.34390361950414</v>
      </c>
      <c r="T872">
        <f t="shared" si="1013"/>
        <v>-3.5343903619504138E-2</v>
      </c>
    </row>
    <row r="873" spans="1:20" x14ac:dyDescent="0.25">
      <c r="A873" s="5">
        <v>43720</v>
      </c>
      <c r="B873">
        <v>2.0019999999999998</v>
      </c>
      <c r="C873">
        <v>2.012</v>
      </c>
      <c r="D873">
        <v>1.9590000000000001</v>
      </c>
      <c r="E873">
        <v>2.004</v>
      </c>
      <c r="F873">
        <v>167672.658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0.69811320754716921</v>
      </c>
      <c r="Q873">
        <f t="shared" si="1010"/>
        <v>117054.49709433952</v>
      </c>
      <c r="R873">
        <f t="shared" si="1011"/>
        <v>-3525286.3564184983</v>
      </c>
      <c r="S873">
        <f t="shared" si="1012"/>
        <v>-35.252863564184985</v>
      </c>
      <c r="T873">
        <f t="shared" si="1013"/>
        <v>-3.5252863564184986E-2</v>
      </c>
    </row>
    <row r="874" spans="1:20" x14ac:dyDescent="0.25">
      <c r="A874" s="5">
        <v>43719</v>
      </c>
      <c r="B874">
        <v>2.0259999999999998</v>
      </c>
      <c r="C874">
        <v>2.0579999999999998</v>
      </c>
      <c r="D874">
        <v>1.9570000000000001</v>
      </c>
      <c r="E874">
        <v>1.9970000000000001</v>
      </c>
      <c r="F874">
        <v>231361.80799999999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-0.2079207920792053</v>
      </c>
      <c r="Q874">
        <f t="shared" si="1010"/>
        <v>-48104.930376237018</v>
      </c>
      <c r="R874">
        <f t="shared" si="1011"/>
        <v>-3642340.853512838</v>
      </c>
      <c r="S874">
        <f t="shared" si="1012"/>
        <v>-36.423408535128381</v>
      </c>
      <c r="T874">
        <f t="shared" si="1013"/>
        <v>-3.6423408535128383E-2</v>
      </c>
    </row>
    <row r="875" spans="1:20" x14ac:dyDescent="0.25">
      <c r="A875" s="5">
        <v>43718</v>
      </c>
      <c r="B875">
        <v>2.0830000000000002</v>
      </c>
      <c r="C875">
        <v>2.1240000000000001</v>
      </c>
      <c r="D875">
        <v>2.0019999999999998</v>
      </c>
      <c r="E875">
        <v>2.0249999999999999</v>
      </c>
      <c r="F875">
        <v>264021.23300000001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-0.62295081967213006</v>
      </c>
      <c r="Q875">
        <f t="shared" si="1010"/>
        <v>-164472.24350819644</v>
      </c>
      <c r="R875">
        <f t="shared" si="1011"/>
        <v>-3594235.9231366012</v>
      </c>
      <c r="S875">
        <f t="shared" si="1012"/>
        <v>-35.942359231366012</v>
      </c>
      <c r="T875">
        <f t="shared" si="1013"/>
        <v>-3.594235923136601E-2</v>
      </c>
    </row>
    <row r="876" spans="1:20" x14ac:dyDescent="0.25">
      <c r="A876" s="5">
        <v>43717</v>
      </c>
      <c r="B876">
        <v>2.1190000000000002</v>
      </c>
      <c r="C876">
        <v>2.1269999999999998</v>
      </c>
      <c r="D876">
        <v>1.9930000000000001</v>
      </c>
      <c r="E876">
        <v>2.0830000000000002</v>
      </c>
      <c r="F876">
        <v>497557.65100000001</v>
      </c>
      <c r="G876">
        <v>0</v>
      </c>
      <c r="L876" t="s">
        <v>7</v>
      </c>
      <c r="M876" t="s">
        <v>7</v>
      </c>
      <c r="N876" t="s">
        <v>7</v>
      </c>
      <c r="P876">
        <f t="shared" si="1009"/>
        <v>0.34328358208955667</v>
      </c>
      <c r="Q876">
        <f t="shared" si="1010"/>
        <v>170803.3727313455</v>
      </c>
      <c r="R876">
        <f t="shared" si="1011"/>
        <v>-3429763.6796284048</v>
      </c>
      <c r="S876">
        <f t="shared" si="1012"/>
        <v>-34.297636796284046</v>
      </c>
      <c r="T876">
        <f t="shared" si="1013"/>
        <v>-3.4297636796284045E-2</v>
      </c>
    </row>
    <row r="877" spans="1:20" x14ac:dyDescent="0.25">
      <c r="A877" s="5">
        <v>43716</v>
      </c>
      <c r="B877">
        <v>2.0230000000000001</v>
      </c>
      <c r="C877">
        <v>2.1469999999999998</v>
      </c>
      <c r="D877">
        <v>2.02</v>
      </c>
      <c r="E877">
        <v>2.1219999999999999</v>
      </c>
      <c r="F877">
        <v>453771.234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0.6062992125984259</v>
      </c>
      <c r="Q877">
        <f t="shared" si="1010"/>
        <v>275121.14187401609</v>
      </c>
      <c r="R877">
        <f t="shared" si="1011"/>
        <v>-3600567.0523597505</v>
      </c>
      <c r="S877">
        <f t="shared" si="1012"/>
        <v>-36.005670523597502</v>
      </c>
      <c r="T877">
        <f t="shared" si="1013"/>
        <v>-3.6005670523597502E-2</v>
      </c>
    </row>
    <row r="878" spans="1:20" x14ac:dyDescent="0.25">
      <c r="A878" s="5">
        <v>43715</v>
      </c>
      <c r="B878">
        <v>1.9510000000000001</v>
      </c>
      <c r="C878">
        <v>2.044</v>
      </c>
      <c r="D878">
        <v>1.8580000000000001</v>
      </c>
      <c r="E878">
        <v>2.0230000000000001</v>
      </c>
      <c r="F878">
        <v>587495.48899999994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0.77419354838709775</v>
      </c>
      <c r="Q878">
        <f t="shared" si="1010"/>
        <v>454835.21729032311</v>
      </c>
      <c r="R878">
        <f t="shared" si="1011"/>
        <v>-3875688.1942337668</v>
      </c>
      <c r="S878">
        <f t="shared" si="1012"/>
        <v>-38.756881942337671</v>
      </c>
      <c r="T878">
        <f t="shared" si="1013"/>
        <v>-3.8756881942337673E-2</v>
      </c>
    </row>
    <row r="879" spans="1:20" x14ac:dyDescent="0.25">
      <c r="A879" s="5">
        <v>43714</v>
      </c>
      <c r="B879">
        <v>2.016</v>
      </c>
      <c r="C879">
        <v>2.0649999999999999</v>
      </c>
      <c r="D879">
        <v>1.931</v>
      </c>
      <c r="E879">
        <v>1.95</v>
      </c>
      <c r="F879">
        <v>344613.82699999999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-0.71641791044776237</v>
      </c>
      <c r="Q879">
        <f t="shared" si="1010"/>
        <v>-246887.51785074666</v>
      </c>
      <c r="R879">
        <f t="shared" si="1011"/>
        <v>-4330523.41152409</v>
      </c>
      <c r="S879">
        <f t="shared" si="1012"/>
        <v>-43.3052341152409</v>
      </c>
      <c r="T879">
        <f t="shared" si="1013"/>
        <v>-4.3305234115240898E-2</v>
      </c>
    </row>
    <row r="880" spans="1:20" x14ac:dyDescent="0.25">
      <c r="A880" s="5">
        <v>43713</v>
      </c>
      <c r="B880">
        <v>2.085</v>
      </c>
      <c r="C880">
        <v>2.09</v>
      </c>
      <c r="D880">
        <v>1.9850000000000001</v>
      </c>
      <c r="E880">
        <v>2.016</v>
      </c>
      <c r="F880">
        <v>295445.17200000002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-0.40952380952380979</v>
      </c>
      <c r="Q880">
        <f t="shared" si="1010"/>
        <v>-120991.83234285723</v>
      </c>
      <c r="R880">
        <f t="shared" si="1011"/>
        <v>-4083635.8936733436</v>
      </c>
      <c r="S880">
        <f t="shared" si="1012"/>
        <v>-40.836358936733433</v>
      </c>
      <c r="T880">
        <f t="shared" si="1013"/>
        <v>-4.083635893673343E-2</v>
      </c>
    </row>
    <row r="881" spans="1:20" x14ac:dyDescent="0.25">
      <c r="A881" s="5">
        <v>43712</v>
      </c>
      <c r="B881">
        <v>2.1509999999999998</v>
      </c>
      <c r="C881">
        <v>2.153</v>
      </c>
      <c r="D881">
        <v>2.0750000000000002</v>
      </c>
      <c r="E881">
        <v>2.0840000000000001</v>
      </c>
      <c r="F881">
        <v>221110.65700000001</v>
      </c>
      <c r="G881">
        <v>0</v>
      </c>
      <c r="L881" t="s">
        <v>8</v>
      </c>
      <c r="M881" t="s">
        <v>7</v>
      </c>
      <c r="N881" t="s">
        <v>7</v>
      </c>
      <c r="P881">
        <f t="shared" si="1009"/>
        <v>-0.76923076923077138</v>
      </c>
      <c r="Q881">
        <f t="shared" si="1010"/>
        <v>-170085.12076923126</v>
      </c>
      <c r="R881">
        <f t="shared" si="1011"/>
        <v>-3962644.0613304866</v>
      </c>
      <c r="S881">
        <f t="shared" si="1012"/>
        <v>-39.626440613304865</v>
      </c>
      <c r="T881">
        <f t="shared" si="1013"/>
        <v>-3.9626440613304864E-2</v>
      </c>
    </row>
    <row r="882" spans="1:20" x14ac:dyDescent="0.25">
      <c r="A882" s="5">
        <v>43711</v>
      </c>
      <c r="B882">
        <v>2.1459999999999999</v>
      </c>
      <c r="C882">
        <v>2.1989999999999998</v>
      </c>
      <c r="D882">
        <v>2.1080000000000001</v>
      </c>
      <c r="E882">
        <v>2.15</v>
      </c>
      <c r="F882">
        <v>240483.677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-7.6923076923078426E-2</v>
      </c>
      <c r="Q882">
        <f t="shared" si="1010"/>
        <v>-18498.744384615748</v>
      </c>
      <c r="R882">
        <f t="shared" si="1011"/>
        <v>-3792558.9405612554</v>
      </c>
      <c r="S882">
        <f t="shared" si="1012"/>
        <v>-37.925589405612556</v>
      </c>
      <c r="T882">
        <f t="shared" si="1013"/>
        <v>-3.7925589405612553E-2</v>
      </c>
    </row>
    <row r="883" spans="1:20" x14ac:dyDescent="0.25">
      <c r="A883" s="5">
        <v>43710</v>
      </c>
      <c r="B883">
        <v>2.0950000000000002</v>
      </c>
      <c r="C883">
        <v>2.1549999999999998</v>
      </c>
      <c r="D883">
        <v>2.0510000000000002</v>
      </c>
      <c r="E883">
        <v>2.1469999999999998</v>
      </c>
      <c r="F883">
        <v>311784.21799999999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0.84615384615384548</v>
      </c>
      <c r="Q883">
        <f t="shared" si="1010"/>
        <v>263817.41523076902</v>
      </c>
      <c r="R883">
        <f t="shared" si="1011"/>
        <v>-3774060.1961766398</v>
      </c>
      <c r="S883">
        <f t="shared" si="1012"/>
        <v>-37.740601961766394</v>
      </c>
      <c r="T883">
        <f t="shared" si="1013"/>
        <v>-3.7740601961766394E-2</v>
      </c>
    </row>
    <row r="884" spans="1:20" x14ac:dyDescent="0.25">
      <c r="A884" s="5">
        <v>43709</v>
      </c>
      <c r="B884">
        <v>2.0939999999999999</v>
      </c>
      <c r="C884">
        <v>2.125</v>
      </c>
      <c r="D884">
        <v>2.0550000000000002</v>
      </c>
      <c r="E884">
        <v>2.0950000000000002</v>
      </c>
      <c r="F884">
        <v>161220.508</v>
      </c>
      <c r="G884">
        <v>0</v>
      </c>
      <c r="L884" t="s">
        <v>8</v>
      </c>
      <c r="M884" t="s">
        <v>7</v>
      </c>
      <c r="N884" t="s">
        <v>7</v>
      </c>
      <c r="P884">
        <f t="shared" si="1009"/>
        <v>0.14285714285714649</v>
      </c>
      <c r="Q884">
        <f t="shared" si="1010"/>
        <v>23031.501142857727</v>
      </c>
      <c r="R884">
        <f t="shared" si="1011"/>
        <v>-4037877.611407409</v>
      </c>
      <c r="S884">
        <f t="shared" si="1012"/>
        <v>-40.378776114074093</v>
      </c>
      <c r="T884">
        <f t="shared" si="1013"/>
        <v>-4.0378776114074096E-2</v>
      </c>
    </row>
    <row r="885" spans="1:20" x14ac:dyDescent="0.25">
      <c r="A885" s="5">
        <v>43708</v>
      </c>
      <c r="B885">
        <v>2.113</v>
      </c>
      <c r="C885">
        <v>2.1419999999999999</v>
      </c>
      <c r="D885">
        <v>2.0409999999999999</v>
      </c>
      <c r="E885">
        <v>2.0960000000000001</v>
      </c>
      <c r="F885">
        <v>242785.46100000001</v>
      </c>
      <c r="G885">
        <v>0</v>
      </c>
      <c r="L885" t="s">
        <v>8</v>
      </c>
      <c r="M885" t="s">
        <v>7</v>
      </c>
      <c r="N885" t="s">
        <v>7</v>
      </c>
      <c r="P885">
        <f t="shared" si="1009"/>
        <v>8.9108910891092505E-2</v>
      </c>
      <c r="Q885">
        <f t="shared" si="1010"/>
        <v>21634.348009901816</v>
      </c>
      <c r="R885">
        <f t="shared" si="1011"/>
        <v>-4060909.1125502666</v>
      </c>
      <c r="S885">
        <f t="shared" si="1012"/>
        <v>-40.609091125502665</v>
      </c>
      <c r="T885">
        <f t="shared" si="1013"/>
        <v>-4.0609091125502664E-2</v>
      </c>
    </row>
    <row r="886" spans="1:20" x14ac:dyDescent="0.25">
      <c r="A886" s="5">
        <v>43707</v>
      </c>
      <c r="B886">
        <v>2.1030000000000002</v>
      </c>
      <c r="C886">
        <v>2.1840000000000002</v>
      </c>
      <c r="D886">
        <v>2.0640000000000001</v>
      </c>
      <c r="E886">
        <v>2.1190000000000002</v>
      </c>
      <c r="F886">
        <v>223527.05100000001</v>
      </c>
      <c r="G886">
        <v>0</v>
      </c>
      <c r="L886" t="s">
        <v>8</v>
      </c>
      <c r="M886" t="s">
        <v>7</v>
      </c>
      <c r="N886" t="s">
        <v>7</v>
      </c>
      <c r="P886">
        <f t="shared" si="1009"/>
        <v>-8.3333333333331483E-2</v>
      </c>
      <c r="Q886">
        <f t="shared" si="1010"/>
        <v>-18627.254249999587</v>
      </c>
      <c r="R886">
        <f t="shared" si="1011"/>
        <v>-4082543.4605601681</v>
      </c>
      <c r="S886">
        <f t="shared" si="1012"/>
        <v>-40.825434605601679</v>
      </c>
      <c r="T886">
        <f t="shared" si="1013"/>
        <v>-4.0825434605601681E-2</v>
      </c>
    </row>
    <row r="887" spans="1:20" x14ac:dyDescent="0.25">
      <c r="A887" s="5">
        <v>43706</v>
      </c>
      <c r="B887">
        <v>2.2210000000000001</v>
      </c>
      <c r="C887">
        <v>2.2250000000000001</v>
      </c>
      <c r="D887">
        <v>2.0099999999999998</v>
      </c>
      <c r="E887">
        <v>2.1059999999999999</v>
      </c>
      <c r="F887">
        <v>673281.51599999995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-0.10697674418604697</v>
      </c>
      <c r="Q887">
        <f t="shared" si="1010"/>
        <v>-72025.464502325878</v>
      </c>
      <c r="R887">
        <f t="shared" si="1011"/>
        <v>-4063916.2063101684</v>
      </c>
      <c r="S887">
        <f t="shared" si="1012"/>
        <v>-40.639162063101686</v>
      </c>
      <c r="T887">
        <f t="shared" si="1013"/>
        <v>-4.0639162063101683E-2</v>
      </c>
    </row>
    <row r="888" spans="1:20" x14ac:dyDescent="0.25">
      <c r="A888" s="5">
        <v>43705</v>
      </c>
      <c r="B888">
        <v>2.472</v>
      </c>
      <c r="C888">
        <v>2.4740000000000002</v>
      </c>
      <c r="D888">
        <v>2.1789999999999998</v>
      </c>
      <c r="E888">
        <v>2.2240000000000002</v>
      </c>
      <c r="F888">
        <v>740127.19799999997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-0.69491525423728595</v>
      </c>
      <c r="Q888">
        <f t="shared" si="1010"/>
        <v>-514325.67996610008</v>
      </c>
      <c r="R888">
        <f t="shared" si="1011"/>
        <v>-3991890.7418078426</v>
      </c>
      <c r="S888">
        <f t="shared" si="1012"/>
        <v>-39.918907418078426</v>
      </c>
      <c r="T888">
        <f t="shared" si="1013"/>
        <v>-3.9918907418078423E-2</v>
      </c>
    </row>
    <row r="889" spans="1:20" x14ac:dyDescent="0.25">
      <c r="A889" s="5">
        <v>43704</v>
      </c>
      <c r="B889">
        <v>2.5350000000000001</v>
      </c>
      <c r="C889">
        <v>2.54</v>
      </c>
      <c r="D889">
        <v>2.4340000000000002</v>
      </c>
      <c r="E889">
        <v>2.472</v>
      </c>
      <c r="F889">
        <v>139295.965</v>
      </c>
      <c r="G889">
        <v>0</v>
      </c>
      <c r="L889" t="s">
        <v>7</v>
      </c>
      <c r="M889" t="s">
        <v>8</v>
      </c>
      <c r="N889" t="s">
        <v>7</v>
      </c>
      <c r="P889">
        <f t="shared" si="1009"/>
        <v>-0.28301886792453101</v>
      </c>
      <c r="Q889">
        <f t="shared" si="1010"/>
        <v>-39423.386320755097</v>
      </c>
      <c r="R889">
        <f t="shared" si="1011"/>
        <v>-3477565.0618417426</v>
      </c>
      <c r="S889">
        <f t="shared" si="1012"/>
        <v>-34.775650618417423</v>
      </c>
      <c r="T889">
        <f t="shared" si="1013"/>
        <v>-3.477565061841742E-2</v>
      </c>
    </row>
    <row r="890" spans="1:20" x14ac:dyDescent="0.25">
      <c r="A890" s="5">
        <v>43703</v>
      </c>
      <c r="B890">
        <v>2.5350000000000001</v>
      </c>
      <c r="C890">
        <v>2.6150000000000002</v>
      </c>
      <c r="D890">
        <v>2.5139999999999998</v>
      </c>
      <c r="E890">
        <v>2.5339999999999998</v>
      </c>
      <c r="F890">
        <v>136023.41899999999</v>
      </c>
      <c r="G890">
        <v>0</v>
      </c>
      <c r="L890" t="s">
        <v>7</v>
      </c>
      <c r="M890" t="s">
        <v>8</v>
      </c>
      <c r="N890" t="s">
        <v>7</v>
      </c>
      <c r="P890">
        <f t="shared" si="1009"/>
        <v>-0.60396039603960527</v>
      </c>
      <c r="Q890">
        <f t="shared" si="1010"/>
        <v>-82152.758009901168</v>
      </c>
      <c r="R890">
        <f t="shared" si="1011"/>
        <v>-3438141.6755209877</v>
      </c>
      <c r="S890">
        <f t="shared" si="1012"/>
        <v>-34.381416755209877</v>
      </c>
      <c r="T890">
        <f t="shared" si="1013"/>
        <v>-3.4381416755209879E-2</v>
      </c>
    </row>
    <row r="891" spans="1:20" x14ac:dyDescent="0.25">
      <c r="A891" s="5">
        <v>43702</v>
      </c>
      <c r="B891">
        <v>2.5510000000000002</v>
      </c>
      <c r="C891">
        <v>2.601</v>
      </c>
      <c r="D891">
        <v>2.492</v>
      </c>
      <c r="E891">
        <v>2.536</v>
      </c>
      <c r="F891">
        <v>226850.823</v>
      </c>
      <c r="G891">
        <v>0</v>
      </c>
      <c r="L891" t="s">
        <v>7</v>
      </c>
      <c r="M891" t="s">
        <v>8</v>
      </c>
      <c r="N891" t="s">
        <v>7</v>
      </c>
      <c r="P891">
        <f t="shared" si="1009"/>
        <v>-0.19266055045871477</v>
      </c>
      <c r="Q891">
        <f t="shared" si="1010"/>
        <v>-43705.204431192476</v>
      </c>
      <c r="R891">
        <f t="shared" si="1011"/>
        <v>-3355988.9175110864</v>
      </c>
      <c r="S891">
        <f t="shared" si="1012"/>
        <v>-33.559889175110861</v>
      </c>
      <c r="T891">
        <f t="shared" si="1013"/>
        <v>-3.3559889175110859E-2</v>
      </c>
    </row>
    <row r="892" spans="1:20" x14ac:dyDescent="0.25">
      <c r="A892" s="5">
        <v>43701</v>
      </c>
      <c r="B892">
        <v>2.6030000000000002</v>
      </c>
      <c r="C892">
        <v>2.6520000000000001</v>
      </c>
      <c r="D892">
        <v>2.48</v>
      </c>
      <c r="E892">
        <v>2.5499999999999998</v>
      </c>
      <c r="F892">
        <v>297022.51400000002</v>
      </c>
      <c r="G892">
        <v>0</v>
      </c>
      <c r="L892" t="s">
        <v>7</v>
      </c>
      <c r="M892" t="s">
        <v>8</v>
      </c>
      <c r="N892" t="s">
        <v>7</v>
      </c>
      <c r="P892">
        <f t="shared" si="1009"/>
        <v>-0.18604651162790956</v>
      </c>
      <c r="Q892">
        <f t="shared" si="1010"/>
        <v>-55260.002604651934</v>
      </c>
      <c r="R892">
        <f t="shared" si="1011"/>
        <v>-3312283.713079894</v>
      </c>
      <c r="S892">
        <f t="shared" si="1012"/>
        <v>-33.122837130798942</v>
      </c>
      <c r="T892">
        <f t="shared" si="1013"/>
        <v>-3.3122837130798943E-2</v>
      </c>
    </row>
    <row r="893" spans="1:20" x14ac:dyDescent="0.25">
      <c r="A893" s="5">
        <v>43700</v>
      </c>
      <c r="B893">
        <v>2.5369999999999999</v>
      </c>
      <c r="C893">
        <v>2.64</v>
      </c>
      <c r="D893">
        <v>2.5009999999999999</v>
      </c>
      <c r="E893">
        <v>2.6030000000000002</v>
      </c>
      <c r="F893">
        <v>341762.413</v>
      </c>
      <c r="G893">
        <v>0</v>
      </c>
      <c r="L893" t="s">
        <v>8</v>
      </c>
      <c r="M893" t="s">
        <v>8</v>
      </c>
      <c r="N893" t="s">
        <v>7</v>
      </c>
      <c r="P893">
        <f t="shared" si="1009"/>
        <v>0.46762589928057757</v>
      </c>
      <c r="Q893">
        <f t="shared" si="1010"/>
        <v>159816.95571942517</v>
      </c>
      <c r="R893">
        <f t="shared" si="1011"/>
        <v>-3257023.7104752422</v>
      </c>
      <c r="S893">
        <f t="shared" si="1012"/>
        <v>-32.570237104752422</v>
      </c>
      <c r="T893">
        <f t="shared" si="1013"/>
        <v>-3.2570237104752424E-2</v>
      </c>
    </row>
    <row r="894" spans="1:20" x14ac:dyDescent="0.25">
      <c r="A894" s="5">
        <v>43699</v>
      </c>
      <c r="B894">
        <v>2.4900000000000002</v>
      </c>
      <c r="C894">
        <v>2.6120000000000001</v>
      </c>
      <c r="D894">
        <v>2.3919999999999999</v>
      </c>
      <c r="E894">
        <v>2.54</v>
      </c>
      <c r="F894">
        <v>413387.69799999997</v>
      </c>
      <c r="G894">
        <v>0</v>
      </c>
      <c r="L894" t="s">
        <v>8</v>
      </c>
      <c r="M894" t="s">
        <v>8</v>
      </c>
      <c r="N894" t="s">
        <v>7</v>
      </c>
      <c r="P894">
        <f t="shared" si="1009"/>
        <v>0.34545454545454546</v>
      </c>
      <c r="Q894">
        <f t="shared" si="1010"/>
        <v>142806.6593090909</v>
      </c>
      <c r="R894">
        <f t="shared" si="1011"/>
        <v>-3416840.6661946676</v>
      </c>
      <c r="S894">
        <f t="shared" si="1012"/>
        <v>-34.168406661946676</v>
      </c>
      <c r="T894">
        <f t="shared" si="1013"/>
        <v>-3.4168406661946676E-2</v>
      </c>
    </row>
    <row r="895" spans="1:20" x14ac:dyDescent="0.25">
      <c r="A895" s="5">
        <v>43698</v>
      </c>
      <c r="B895">
        <v>2.613</v>
      </c>
      <c r="C895">
        <v>2.6219999999999999</v>
      </c>
      <c r="D895">
        <v>2.3919999999999999</v>
      </c>
      <c r="E895">
        <v>2.4900000000000002</v>
      </c>
      <c r="F895">
        <v>381927.79599999997</v>
      </c>
      <c r="G895">
        <v>0</v>
      </c>
      <c r="L895" t="s">
        <v>7</v>
      </c>
      <c r="M895" t="s">
        <v>8</v>
      </c>
      <c r="N895" t="s">
        <v>7</v>
      </c>
      <c r="P895">
        <f t="shared" ref="P895:P958" si="1014">IF(C895=D895,0,((E895-D895)-(C895-E895))/(C895-D895))</f>
        <v>-0.147826086956519</v>
      </c>
      <c r="Q895">
        <f t="shared" ref="Q895:Q958" si="1015">F895*P895</f>
        <v>-56458.891582607648</v>
      </c>
      <c r="R895">
        <f t="shared" ref="R895:R958" si="1016">R896+Q895</f>
        <v>-3559647.3255037586</v>
      </c>
      <c r="S895">
        <f t="shared" ref="S895:S958" si="1017">R895/100000</f>
        <v>-35.596473255037587</v>
      </c>
      <c r="T895">
        <f t="shared" ref="T895:T958" si="1018">S895/1000</f>
        <v>-3.5596473255037585E-2</v>
      </c>
    </row>
    <row r="896" spans="1:20" x14ac:dyDescent="0.25">
      <c r="A896" s="5">
        <v>43697</v>
      </c>
      <c r="B896">
        <v>2.6920000000000002</v>
      </c>
      <c r="C896">
        <v>2.75</v>
      </c>
      <c r="D896">
        <v>2.5059999999999998</v>
      </c>
      <c r="E896">
        <v>2.613</v>
      </c>
      <c r="F896">
        <v>417116.65600000002</v>
      </c>
      <c r="G896">
        <v>0</v>
      </c>
      <c r="L896" t="s">
        <v>7</v>
      </c>
      <c r="M896" t="s">
        <v>8</v>
      </c>
      <c r="N896" t="s">
        <v>7</v>
      </c>
      <c r="P896">
        <f t="shared" si="1014"/>
        <v>-0.12295081967213024</v>
      </c>
      <c r="Q896">
        <f t="shared" si="1015"/>
        <v>-51284.834754097988</v>
      </c>
      <c r="R896">
        <f t="shared" si="1016"/>
        <v>-3503188.4339211509</v>
      </c>
      <c r="S896">
        <f t="shared" si="1017"/>
        <v>-35.031884339211508</v>
      </c>
      <c r="T896">
        <f t="shared" si="1018"/>
        <v>-3.5031884339211505E-2</v>
      </c>
    </row>
    <row r="897" spans="1:20" x14ac:dyDescent="0.25">
      <c r="A897" s="5">
        <v>43696</v>
      </c>
      <c r="B897">
        <v>2.5449999999999999</v>
      </c>
      <c r="C897">
        <v>2.754</v>
      </c>
      <c r="D897">
        <v>2.5249999999999999</v>
      </c>
      <c r="E897">
        <v>2.6890000000000001</v>
      </c>
      <c r="F897">
        <v>504758.641</v>
      </c>
      <c r="G897">
        <v>0</v>
      </c>
      <c r="L897" t="s">
        <v>8</v>
      </c>
      <c r="M897" t="s">
        <v>8</v>
      </c>
      <c r="N897" t="s">
        <v>7</v>
      </c>
      <c r="P897">
        <f t="shared" si="1014"/>
        <v>0.43231441048035002</v>
      </c>
      <c r="Q897">
        <f t="shared" si="1015"/>
        <v>218214.43431877764</v>
      </c>
      <c r="R897">
        <f t="shared" si="1016"/>
        <v>-3451903.5991670527</v>
      </c>
      <c r="S897">
        <f t="shared" si="1017"/>
        <v>-34.519035991670528</v>
      </c>
      <c r="T897">
        <f t="shared" si="1018"/>
        <v>-3.4519035991670527E-2</v>
      </c>
    </row>
    <row r="898" spans="1:20" x14ac:dyDescent="0.25">
      <c r="A898" s="5">
        <v>43695</v>
      </c>
      <c r="B898">
        <v>2.456</v>
      </c>
      <c r="C898">
        <v>2.7069999999999999</v>
      </c>
      <c r="D898">
        <v>2.4</v>
      </c>
      <c r="E898">
        <v>2.5449999999999999</v>
      </c>
      <c r="F898">
        <v>718663.353</v>
      </c>
      <c r="G898">
        <v>0</v>
      </c>
      <c r="L898" t="s">
        <v>8</v>
      </c>
      <c r="M898" t="s">
        <v>8</v>
      </c>
      <c r="N898" t="s">
        <v>7</v>
      </c>
      <c r="P898">
        <f t="shared" si="1014"/>
        <v>-5.537459283387592E-2</v>
      </c>
      <c r="Q898">
        <f t="shared" si="1015"/>
        <v>-39795.690557003043</v>
      </c>
      <c r="R898">
        <f t="shared" si="1016"/>
        <v>-3670118.0334858303</v>
      </c>
      <c r="S898">
        <f t="shared" si="1017"/>
        <v>-36.7011803348583</v>
      </c>
      <c r="T898">
        <f t="shared" si="1018"/>
        <v>-3.6701180334858301E-2</v>
      </c>
    </row>
    <row r="899" spans="1:20" x14ac:dyDescent="0.25">
      <c r="A899" s="5">
        <v>43694</v>
      </c>
      <c r="B899">
        <v>2.2909999999999999</v>
      </c>
      <c r="C899">
        <v>2.4660000000000002</v>
      </c>
      <c r="D899">
        <v>2.2749999999999999</v>
      </c>
      <c r="E899">
        <v>2.4550000000000001</v>
      </c>
      <c r="F899">
        <v>317117.18699999998</v>
      </c>
      <c r="G899">
        <v>0</v>
      </c>
      <c r="L899" t="s">
        <v>8</v>
      </c>
      <c r="M899" t="s">
        <v>7</v>
      </c>
      <c r="N899" t="s">
        <v>7</v>
      </c>
      <c r="P899">
        <f t="shared" si="1014"/>
        <v>0.88481675392670045</v>
      </c>
      <c r="Q899">
        <f t="shared" si="1015"/>
        <v>280590.60001570644</v>
      </c>
      <c r="R899">
        <f t="shared" si="1016"/>
        <v>-3630322.3429288273</v>
      </c>
      <c r="S899">
        <f t="shared" si="1017"/>
        <v>-36.303223429288273</v>
      </c>
      <c r="T899">
        <f t="shared" si="1018"/>
        <v>-3.6303223429288274E-2</v>
      </c>
    </row>
    <row r="900" spans="1:20" x14ac:dyDescent="0.25">
      <c r="A900" s="5">
        <v>43693</v>
      </c>
      <c r="B900">
        <v>2.3809999999999998</v>
      </c>
      <c r="C900">
        <v>2.395</v>
      </c>
      <c r="D900">
        <v>2.2189999999999999</v>
      </c>
      <c r="E900">
        <v>2.29</v>
      </c>
      <c r="F900">
        <v>316084.27100000001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-0.19318181818181693</v>
      </c>
      <c r="Q900">
        <f t="shared" si="1015"/>
        <v>-61061.734170454154</v>
      </c>
      <c r="R900">
        <f t="shared" si="1016"/>
        <v>-3910912.9429445337</v>
      </c>
      <c r="S900">
        <f t="shared" si="1017"/>
        <v>-39.109129429445339</v>
      </c>
      <c r="T900">
        <f t="shared" si="1018"/>
        <v>-3.910912942944534E-2</v>
      </c>
    </row>
    <row r="901" spans="1:20" x14ac:dyDescent="0.25">
      <c r="A901" s="5">
        <v>43692</v>
      </c>
      <c r="B901">
        <v>2.3479999999999999</v>
      </c>
      <c r="C901">
        <v>2.4180000000000001</v>
      </c>
      <c r="D901">
        <v>2.2599999999999998</v>
      </c>
      <c r="E901">
        <v>2.3759999999999999</v>
      </c>
      <c r="F901">
        <v>234206.89199999999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0.46835443037974478</v>
      </c>
      <c r="Q901">
        <f t="shared" si="1015"/>
        <v>109691.8354936704</v>
      </c>
      <c r="R901">
        <f t="shared" si="1016"/>
        <v>-3849851.2087740796</v>
      </c>
      <c r="S901">
        <f t="shared" si="1017"/>
        <v>-38.498512087740792</v>
      </c>
      <c r="T901">
        <f t="shared" si="1018"/>
        <v>-3.8498512087740792E-2</v>
      </c>
    </row>
    <row r="902" spans="1:20" x14ac:dyDescent="0.25">
      <c r="A902" s="5">
        <v>43691</v>
      </c>
      <c r="B902">
        <v>2.6440000000000001</v>
      </c>
      <c r="C902">
        <v>2.6579999999999999</v>
      </c>
      <c r="D902">
        <v>2.3330000000000002</v>
      </c>
      <c r="E902">
        <v>2.347</v>
      </c>
      <c r="F902">
        <v>393474.91899999999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-0.91384615384615508</v>
      </c>
      <c r="Q902">
        <f t="shared" si="1015"/>
        <v>-359575.54136307741</v>
      </c>
      <c r="R902">
        <f t="shared" si="1016"/>
        <v>-3959543.0442677499</v>
      </c>
      <c r="S902">
        <f t="shared" si="1017"/>
        <v>-39.595430442677497</v>
      </c>
      <c r="T902">
        <f t="shared" si="1018"/>
        <v>-3.95954304426775E-2</v>
      </c>
    </row>
    <row r="903" spans="1:20" x14ac:dyDescent="0.25">
      <c r="A903" s="5">
        <v>43690</v>
      </c>
      <c r="B903">
        <v>2.706</v>
      </c>
      <c r="C903">
        <v>2.71</v>
      </c>
      <c r="D903">
        <v>2.5750000000000002</v>
      </c>
      <c r="E903">
        <v>2.6419999999999999</v>
      </c>
      <c r="F903">
        <v>228129.78400000001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-7.4074074074098927E-3</v>
      </c>
      <c r="Q903">
        <f t="shared" si="1015"/>
        <v>-1689.850251852419</v>
      </c>
      <c r="R903">
        <f t="shared" si="1016"/>
        <v>-3599967.5029046726</v>
      </c>
      <c r="S903">
        <f t="shared" si="1017"/>
        <v>-35.999675029046728</v>
      </c>
      <c r="T903">
        <f t="shared" si="1018"/>
        <v>-3.5999675029046725E-2</v>
      </c>
    </row>
    <row r="904" spans="1:20" x14ac:dyDescent="0.25">
      <c r="A904" s="5">
        <v>43689</v>
      </c>
      <c r="B904">
        <v>2.7709999999999999</v>
      </c>
      <c r="C904">
        <v>2.778</v>
      </c>
      <c r="D904">
        <v>2.6720000000000002</v>
      </c>
      <c r="E904">
        <v>2.706</v>
      </c>
      <c r="F904">
        <v>170953.595</v>
      </c>
      <c r="G904">
        <v>0</v>
      </c>
      <c r="L904" t="s">
        <v>8</v>
      </c>
      <c r="M904" t="s">
        <v>7</v>
      </c>
      <c r="N904" t="s">
        <v>7</v>
      </c>
      <c r="P904">
        <f t="shared" si="1014"/>
        <v>-0.35849056603773871</v>
      </c>
      <c r="Q904">
        <f t="shared" si="1015"/>
        <v>-61285.251037736336</v>
      </c>
      <c r="R904">
        <f t="shared" si="1016"/>
        <v>-3598277.6526528201</v>
      </c>
      <c r="S904">
        <f t="shared" si="1017"/>
        <v>-35.982776526528198</v>
      </c>
      <c r="T904">
        <f t="shared" si="1018"/>
        <v>-3.5982776526528197E-2</v>
      </c>
    </row>
    <row r="905" spans="1:20" x14ac:dyDescent="0.25">
      <c r="A905" s="5">
        <v>43688</v>
      </c>
      <c r="B905">
        <v>2.65</v>
      </c>
      <c r="C905">
        <v>2.843</v>
      </c>
      <c r="D905">
        <v>2.6219999999999999</v>
      </c>
      <c r="E905">
        <v>2.7749999999999999</v>
      </c>
      <c r="F905">
        <v>269985.58199999999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0.3846153846153843</v>
      </c>
      <c r="Q905">
        <f t="shared" si="1015"/>
        <v>103840.60846153837</v>
      </c>
      <c r="R905">
        <f t="shared" si="1016"/>
        <v>-3536992.4016150837</v>
      </c>
      <c r="S905">
        <f t="shared" si="1017"/>
        <v>-35.36992401615084</v>
      </c>
      <c r="T905">
        <f t="shared" si="1018"/>
        <v>-3.5369924016150842E-2</v>
      </c>
    </row>
    <row r="906" spans="1:20" x14ac:dyDescent="0.25">
      <c r="A906" s="5">
        <v>43687</v>
      </c>
      <c r="B906">
        <v>2.6309999999999998</v>
      </c>
      <c r="C906">
        <v>2.7290000000000001</v>
      </c>
      <c r="D906">
        <v>2.5760000000000001</v>
      </c>
      <c r="E906">
        <v>2.657</v>
      </c>
      <c r="F906">
        <v>296373.223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5.8823529411764025E-2</v>
      </c>
      <c r="Q906">
        <f t="shared" si="1015"/>
        <v>17433.718999999797</v>
      </c>
      <c r="R906">
        <f t="shared" si="1016"/>
        <v>-3640833.010076622</v>
      </c>
      <c r="S906">
        <f t="shared" si="1017"/>
        <v>-36.408330100766221</v>
      </c>
      <c r="T906">
        <f t="shared" si="1018"/>
        <v>-3.6408330100766224E-2</v>
      </c>
    </row>
    <row r="907" spans="1:20" x14ac:dyDescent="0.25">
      <c r="A907" s="5">
        <v>43686</v>
      </c>
      <c r="B907">
        <v>2.8050000000000002</v>
      </c>
      <c r="C907">
        <v>2.82</v>
      </c>
      <c r="D907">
        <v>2.5760000000000001</v>
      </c>
      <c r="E907">
        <v>2.6309999999999998</v>
      </c>
      <c r="F907">
        <v>328794.52899999998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-0.5491803278688544</v>
      </c>
      <c r="Q907">
        <f t="shared" si="1015"/>
        <v>-180567.48723770556</v>
      </c>
      <c r="R907">
        <f t="shared" si="1016"/>
        <v>-3658266.7290766216</v>
      </c>
      <c r="S907">
        <f t="shared" si="1017"/>
        <v>-36.582667290766217</v>
      </c>
      <c r="T907">
        <f t="shared" si="1018"/>
        <v>-3.6582667290766216E-2</v>
      </c>
    </row>
    <row r="908" spans="1:20" x14ac:dyDescent="0.25">
      <c r="A908" s="5">
        <v>43685</v>
      </c>
      <c r="B908">
        <v>2.91</v>
      </c>
      <c r="C908">
        <v>2.919</v>
      </c>
      <c r="D908">
        <v>2.73</v>
      </c>
      <c r="E908">
        <v>2.8079999999999998</v>
      </c>
      <c r="F908">
        <v>315338.01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-0.17460317460317648</v>
      </c>
      <c r="Q908">
        <f t="shared" si="1015"/>
        <v>-55059.017619048216</v>
      </c>
      <c r="R908">
        <f t="shared" si="1016"/>
        <v>-3477699.2418389162</v>
      </c>
      <c r="S908">
        <f t="shared" si="1017"/>
        <v>-34.776992418389163</v>
      </c>
      <c r="T908">
        <f t="shared" si="1018"/>
        <v>-3.4776992418389163E-2</v>
      </c>
    </row>
    <row r="909" spans="1:20" x14ac:dyDescent="0.25">
      <c r="A909" s="5">
        <v>43684</v>
      </c>
      <c r="B909">
        <v>2.93</v>
      </c>
      <c r="C909">
        <v>2.9990000000000001</v>
      </c>
      <c r="D909">
        <v>2.883</v>
      </c>
      <c r="E909">
        <v>2.9140000000000001</v>
      </c>
      <c r="F909">
        <v>268411.75</v>
      </c>
      <c r="G909">
        <v>0</v>
      </c>
      <c r="L909" t="s">
        <v>7</v>
      </c>
      <c r="M909" t="s">
        <v>8</v>
      </c>
      <c r="N909" t="s">
        <v>7</v>
      </c>
      <c r="P909">
        <f t="shared" si="1014"/>
        <v>-0.46551724137930844</v>
      </c>
      <c r="Q909">
        <f t="shared" si="1015"/>
        <v>-124950.29741379259</v>
      </c>
      <c r="R909">
        <f t="shared" si="1016"/>
        <v>-3422640.224219868</v>
      </c>
      <c r="S909">
        <f t="shared" si="1017"/>
        <v>-34.226402242198681</v>
      </c>
      <c r="T909">
        <f t="shared" si="1018"/>
        <v>-3.4226402242198681E-2</v>
      </c>
    </row>
    <row r="910" spans="1:20" x14ac:dyDescent="0.25">
      <c r="A910" s="5">
        <v>43683</v>
      </c>
      <c r="B910">
        <v>3.093</v>
      </c>
      <c r="C910">
        <v>3.117</v>
      </c>
      <c r="D910">
        <v>2.9039999999999999</v>
      </c>
      <c r="E910">
        <v>2.9319999999999999</v>
      </c>
      <c r="F910">
        <v>370629.01400000002</v>
      </c>
      <c r="G910">
        <v>0</v>
      </c>
      <c r="L910" t="s">
        <v>7</v>
      </c>
      <c r="M910" t="s">
        <v>8</v>
      </c>
      <c r="N910" t="s">
        <v>7</v>
      </c>
      <c r="P910">
        <f t="shared" si="1014"/>
        <v>-0.73708920187793414</v>
      </c>
      <c r="Q910">
        <f t="shared" si="1015"/>
        <v>-273186.64412206569</v>
      </c>
      <c r="R910">
        <f t="shared" si="1016"/>
        <v>-3297689.9268060755</v>
      </c>
      <c r="S910">
        <f t="shared" si="1017"/>
        <v>-32.976899268060755</v>
      </c>
      <c r="T910">
        <f t="shared" si="1018"/>
        <v>-3.2976899268060758E-2</v>
      </c>
    </row>
    <row r="911" spans="1:20" x14ac:dyDescent="0.25">
      <c r="A911" s="5">
        <v>43682</v>
      </c>
      <c r="B911">
        <v>3.0179999999999998</v>
      </c>
      <c r="C911">
        <v>3.2</v>
      </c>
      <c r="D911">
        <v>3.012</v>
      </c>
      <c r="E911">
        <v>3.0939999999999999</v>
      </c>
      <c r="F911">
        <v>459115.08</v>
      </c>
      <c r="G911">
        <v>0</v>
      </c>
      <c r="L911" t="s">
        <v>8</v>
      </c>
      <c r="M911" t="s">
        <v>8</v>
      </c>
      <c r="N911" t="s">
        <v>7</v>
      </c>
      <c r="P911">
        <f t="shared" si="1014"/>
        <v>-0.12765957446808746</v>
      </c>
      <c r="Q911">
        <f t="shared" si="1015"/>
        <v>-58610.435744681934</v>
      </c>
      <c r="R911">
        <f t="shared" si="1016"/>
        <v>-3024503.28268401</v>
      </c>
      <c r="S911">
        <f t="shared" si="1017"/>
        <v>-30.245032826840099</v>
      </c>
      <c r="T911">
        <f t="shared" si="1018"/>
        <v>-3.0245032826840098E-2</v>
      </c>
    </row>
    <row r="912" spans="1:20" x14ac:dyDescent="0.25">
      <c r="A912" s="5">
        <v>43681</v>
      </c>
      <c r="B912">
        <v>3.0459999999999998</v>
      </c>
      <c r="C912">
        <v>3.0710000000000002</v>
      </c>
      <c r="D912">
        <v>2.9649999999999999</v>
      </c>
      <c r="E912">
        <v>3.0169999999999999</v>
      </c>
      <c r="F912">
        <v>242653.87400000001</v>
      </c>
      <c r="G912">
        <v>0</v>
      </c>
      <c r="L912" t="s">
        <v>7</v>
      </c>
      <c r="M912" t="s">
        <v>8</v>
      </c>
      <c r="N912" t="s">
        <v>7</v>
      </c>
      <c r="P912">
        <f t="shared" si="1014"/>
        <v>-1.8867924528303943E-2</v>
      </c>
      <c r="Q912">
        <f t="shared" si="1015"/>
        <v>-4578.3749811325752</v>
      </c>
      <c r="R912">
        <f t="shared" si="1016"/>
        <v>-2965892.8469393281</v>
      </c>
      <c r="S912">
        <f t="shared" si="1017"/>
        <v>-29.658928469393281</v>
      </c>
      <c r="T912">
        <f t="shared" si="1018"/>
        <v>-2.9658928469393282E-2</v>
      </c>
    </row>
    <row r="913" spans="1:20" x14ac:dyDescent="0.25">
      <c r="A913" s="5">
        <v>43680</v>
      </c>
      <c r="B913">
        <v>3.0019999999999998</v>
      </c>
      <c r="C913">
        <v>3.0979999999999999</v>
      </c>
      <c r="D913">
        <v>2.984</v>
      </c>
      <c r="E913">
        <v>3.0430000000000001</v>
      </c>
      <c r="F913">
        <v>238069.88099999999</v>
      </c>
      <c r="G913">
        <v>0</v>
      </c>
      <c r="L913" t="s">
        <v>7</v>
      </c>
      <c r="M913" t="s">
        <v>8</v>
      </c>
      <c r="N913" t="s">
        <v>7</v>
      </c>
      <c r="P913">
        <f t="shared" si="1014"/>
        <v>3.5087719298249581E-2</v>
      </c>
      <c r="Q913">
        <f t="shared" si="1015"/>
        <v>8353.3291578956814</v>
      </c>
      <c r="R913">
        <f t="shared" si="1016"/>
        <v>-2961314.4719581953</v>
      </c>
      <c r="S913">
        <f t="shared" si="1017"/>
        <v>-29.613144719581953</v>
      </c>
      <c r="T913">
        <f t="shared" si="1018"/>
        <v>-2.9613144719581954E-2</v>
      </c>
    </row>
    <row r="914" spans="1:20" x14ac:dyDescent="0.25">
      <c r="A914" s="5">
        <v>43679</v>
      </c>
      <c r="B914">
        <v>3.0259999999999998</v>
      </c>
      <c r="C914">
        <v>3.0910000000000002</v>
      </c>
      <c r="D914">
        <v>2.9609999999999999</v>
      </c>
      <c r="E914">
        <v>3.0009999999999999</v>
      </c>
      <c r="F914">
        <v>304235.03499999997</v>
      </c>
      <c r="G914">
        <v>0</v>
      </c>
      <c r="L914" t="s">
        <v>7</v>
      </c>
      <c r="M914" t="s">
        <v>8</v>
      </c>
      <c r="N914" t="s">
        <v>7</v>
      </c>
      <c r="P914">
        <f t="shared" si="1014"/>
        <v>-0.38461538461538569</v>
      </c>
      <c r="Q914">
        <f t="shared" si="1015"/>
        <v>-117013.47500000031</v>
      </c>
      <c r="R914">
        <f t="shared" si="1016"/>
        <v>-2969667.8011160912</v>
      </c>
      <c r="S914">
        <f t="shared" si="1017"/>
        <v>-29.696678011160913</v>
      </c>
      <c r="T914">
        <f t="shared" si="1018"/>
        <v>-2.9696678011160913E-2</v>
      </c>
    </row>
    <row r="915" spans="1:20" x14ac:dyDescent="0.25">
      <c r="A915" s="5">
        <v>43678</v>
      </c>
      <c r="B915">
        <v>3.056</v>
      </c>
      <c r="C915">
        <v>3.0670000000000002</v>
      </c>
      <c r="D915">
        <v>2.9159999999999999</v>
      </c>
      <c r="E915">
        <v>3.024</v>
      </c>
      <c r="F915">
        <v>324079.64500000002</v>
      </c>
      <c r="G915">
        <v>0</v>
      </c>
      <c r="L915" t="s">
        <v>7</v>
      </c>
      <c r="M915" t="s">
        <v>8</v>
      </c>
      <c r="N915" t="s">
        <v>7</v>
      </c>
      <c r="P915">
        <f t="shared" si="1014"/>
        <v>0.43046357615893932</v>
      </c>
      <c r="Q915">
        <f t="shared" si="1015"/>
        <v>139504.48294701954</v>
      </c>
      <c r="R915">
        <f t="shared" si="1016"/>
        <v>-2852654.3261160911</v>
      </c>
      <c r="S915">
        <f t="shared" si="1017"/>
        <v>-28.52654326116091</v>
      </c>
      <c r="T915">
        <f t="shared" si="1018"/>
        <v>-2.852654326116091E-2</v>
      </c>
    </row>
    <row r="916" spans="1:20" x14ac:dyDescent="0.25">
      <c r="A916" s="5">
        <v>43677</v>
      </c>
      <c r="B916">
        <v>2.89</v>
      </c>
      <c r="C916">
        <v>3.3</v>
      </c>
      <c r="D916">
        <v>2.883</v>
      </c>
      <c r="E916">
        <v>3.0569999999999999</v>
      </c>
      <c r="F916">
        <v>903575.00199999998</v>
      </c>
      <c r="G916">
        <v>0</v>
      </c>
      <c r="L916" t="s">
        <v>8</v>
      </c>
      <c r="M916" t="s">
        <v>8</v>
      </c>
      <c r="N916" t="s">
        <v>7</v>
      </c>
      <c r="P916">
        <f t="shared" si="1014"/>
        <v>-0.16546762589928052</v>
      </c>
      <c r="Q916">
        <f t="shared" si="1015"/>
        <v>-149512.41040287763</v>
      </c>
      <c r="R916">
        <f t="shared" si="1016"/>
        <v>-2992158.8090631105</v>
      </c>
      <c r="S916">
        <f t="shared" si="1017"/>
        <v>-29.921588090631104</v>
      </c>
      <c r="T916">
        <f t="shared" si="1018"/>
        <v>-2.9921588090631106E-2</v>
      </c>
    </row>
    <row r="917" spans="1:20" x14ac:dyDescent="0.25">
      <c r="A917" s="5">
        <v>43676</v>
      </c>
      <c r="B917">
        <v>2.887</v>
      </c>
      <c r="C917">
        <v>2.9279999999999999</v>
      </c>
      <c r="D917">
        <v>2.8260000000000001</v>
      </c>
      <c r="E917">
        <v>2.883</v>
      </c>
      <c r="F917">
        <v>150725.24</v>
      </c>
      <c r="G917">
        <v>0</v>
      </c>
      <c r="L917" t="s">
        <v>7</v>
      </c>
      <c r="M917" t="s">
        <v>7</v>
      </c>
      <c r="N917" t="s">
        <v>7</v>
      </c>
      <c r="P917">
        <f t="shared" si="1014"/>
        <v>0.11764705882352967</v>
      </c>
      <c r="Q917">
        <f t="shared" si="1015"/>
        <v>17732.381176470626</v>
      </c>
      <c r="R917">
        <f t="shared" si="1016"/>
        <v>-2842646.3986602328</v>
      </c>
      <c r="S917">
        <f t="shared" si="1017"/>
        <v>-28.426463986602329</v>
      </c>
      <c r="T917">
        <f t="shared" si="1018"/>
        <v>-2.842646398660233E-2</v>
      </c>
    </row>
    <row r="918" spans="1:20" x14ac:dyDescent="0.25">
      <c r="A918" s="5">
        <v>43675</v>
      </c>
      <c r="B918">
        <v>2.9060000000000001</v>
      </c>
      <c r="C918">
        <v>2.9609999999999999</v>
      </c>
      <c r="D918">
        <v>2.8210000000000002</v>
      </c>
      <c r="E918">
        <v>2.8919999999999999</v>
      </c>
      <c r="F918">
        <v>245667.56400000001</v>
      </c>
      <c r="G918">
        <v>0</v>
      </c>
      <c r="L918" t="s">
        <v>7</v>
      </c>
      <c r="M918" t="s">
        <v>7</v>
      </c>
      <c r="N918" t="s">
        <v>7</v>
      </c>
      <c r="P918">
        <f t="shared" si="1014"/>
        <v>1.4285714285712745E-2</v>
      </c>
      <c r="Q918">
        <f t="shared" si="1015"/>
        <v>3509.5366285710502</v>
      </c>
      <c r="R918">
        <f t="shared" si="1016"/>
        <v>-2860378.7798367036</v>
      </c>
      <c r="S918">
        <f t="shared" si="1017"/>
        <v>-28.603787798367037</v>
      </c>
      <c r="T918">
        <f t="shared" si="1018"/>
        <v>-2.8603787798367038E-2</v>
      </c>
    </row>
    <row r="919" spans="1:20" x14ac:dyDescent="0.25">
      <c r="A919" s="5">
        <v>43674</v>
      </c>
      <c r="B919">
        <v>2.891</v>
      </c>
      <c r="C919">
        <v>2.9380000000000002</v>
      </c>
      <c r="D919">
        <v>2.762</v>
      </c>
      <c r="E919">
        <v>2.907</v>
      </c>
      <c r="F919">
        <v>236711.30600000001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0.64772727272727149</v>
      </c>
      <c r="Q919">
        <f t="shared" si="1015"/>
        <v>153324.36865909063</v>
      </c>
      <c r="R919">
        <f t="shared" si="1016"/>
        <v>-2863888.3164652744</v>
      </c>
      <c r="S919">
        <f t="shared" si="1017"/>
        <v>-28.638883164652743</v>
      </c>
      <c r="T919">
        <f t="shared" si="1018"/>
        <v>-2.8638883164652743E-2</v>
      </c>
    </row>
    <row r="920" spans="1:20" x14ac:dyDescent="0.25">
      <c r="A920" s="5">
        <v>43673</v>
      </c>
      <c r="B920">
        <v>3.1</v>
      </c>
      <c r="C920">
        <v>3.17</v>
      </c>
      <c r="D920">
        <v>2.827</v>
      </c>
      <c r="E920">
        <v>2.895</v>
      </c>
      <c r="F920">
        <v>460832.174</v>
      </c>
      <c r="G920">
        <v>0</v>
      </c>
      <c r="L920" t="s">
        <v>7</v>
      </c>
      <c r="M920" t="s">
        <v>7</v>
      </c>
      <c r="N920" t="s">
        <v>7</v>
      </c>
      <c r="P920">
        <f t="shared" si="1014"/>
        <v>-0.60349854227405209</v>
      </c>
      <c r="Q920">
        <f t="shared" si="1015"/>
        <v>-278111.54524198233</v>
      </c>
      <c r="R920">
        <f t="shared" si="1016"/>
        <v>-3017212.6851243651</v>
      </c>
      <c r="S920">
        <f t="shared" si="1017"/>
        <v>-30.17212685124365</v>
      </c>
      <c r="T920">
        <f t="shared" si="1018"/>
        <v>-3.0172126851243649E-2</v>
      </c>
    </row>
    <row r="921" spans="1:20" x14ac:dyDescent="0.25">
      <c r="A921" s="5">
        <v>43672</v>
      </c>
      <c r="B921">
        <v>3.07</v>
      </c>
      <c r="C921">
        <v>3.11</v>
      </c>
      <c r="D921">
        <v>2.9550000000000001</v>
      </c>
      <c r="E921">
        <v>3.1019999999999999</v>
      </c>
      <c r="F921">
        <v>242776.23699999999</v>
      </c>
      <c r="G921">
        <v>0</v>
      </c>
      <c r="L921" t="s">
        <v>7</v>
      </c>
      <c r="M921" t="s">
        <v>7</v>
      </c>
      <c r="N921" t="s">
        <v>7</v>
      </c>
      <c r="P921">
        <f t="shared" si="1014"/>
        <v>0.89677419354838683</v>
      </c>
      <c r="Q921">
        <f t="shared" si="1015"/>
        <v>217715.46414838702</v>
      </c>
      <c r="R921">
        <f t="shared" si="1016"/>
        <v>-2739101.1398823829</v>
      </c>
      <c r="S921">
        <f t="shared" si="1017"/>
        <v>-27.391011398823828</v>
      </c>
      <c r="T921">
        <f t="shared" si="1018"/>
        <v>-2.7391011398823828E-2</v>
      </c>
    </row>
    <row r="922" spans="1:20" x14ac:dyDescent="0.25">
      <c r="A922" s="5">
        <v>43671</v>
      </c>
      <c r="B922">
        <v>2.9470000000000001</v>
      </c>
      <c r="C922">
        <v>3.1549999999999998</v>
      </c>
      <c r="D922">
        <v>2.9380000000000002</v>
      </c>
      <c r="E922">
        <v>3.0720000000000001</v>
      </c>
      <c r="F922">
        <v>400560.33899999998</v>
      </c>
      <c r="G922">
        <v>0</v>
      </c>
      <c r="L922" t="s">
        <v>8</v>
      </c>
      <c r="M922" t="s">
        <v>7</v>
      </c>
      <c r="N922" t="s">
        <v>7</v>
      </c>
      <c r="P922">
        <f t="shared" si="1014"/>
        <v>0.2350230414746555</v>
      </c>
      <c r="Q922">
        <f t="shared" si="1015"/>
        <v>94140.909165899066</v>
      </c>
      <c r="R922">
        <f t="shared" si="1016"/>
        <v>-2956816.6040307698</v>
      </c>
      <c r="S922">
        <f t="shared" si="1017"/>
        <v>-29.568166040307698</v>
      </c>
      <c r="T922">
        <f t="shared" si="1018"/>
        <v>-2.9568166040307698E-2</v>
      </c>
    </row>
    <row r="923" spans="1:20" x14ac:dyDescent="0.25">
      <c r="A923" s="5">
        <v>43670</v>
      </c>
      <c r="B923">
        <v>2.8450000000000002</v>
      </c>
      <c r="C923">
        <v>3.0230000000000001</v>
      </c>
      <c r="D923">
        <v>2.702</v>
      </c>
      <c r="E923">
        <v>2.948</v>
      </c>
      <c r="F923">
        <v>587487.43400000001</v>
      </c>
      <c r="G923">
        <v>0</v>
      </c>
      <c r="L923" t="s">
        <v>7</v>
      </c>
      <c r="M923" t="s">
        <v>7</v>
      </c>
      <c r="N923" t="s">
        <v>7</v>
      </c>
      <c r="P923">
        <f t="shared" si="1014"/>
        <v>0.53271028037383095</v>
      </c>
      <c r="Q923">
        <f t="shared" si="1015"/>
        <v>312960.59568224254</v>
      </c>
      <c r="R923">
        <f t="shared" si="1016"/>
        <v>-3050957.5131966691</v>
      </c>
      <c r="S923">
        <f t="shared" si="1017"/>
        <v>-30.509575131966692</v>
      </c>
      <c r="T923">
        <f t="shared" si="1018"/>
        <v>-3.0509575131966692E-2</v>
      </c>
    </row>
    <row r="924" spans="1:20" x14ac:dyDescent="0.25">
      <c r="A924" s="5">
        <v>43669</v>
      </c>
      <c r="B924">
        <v>3.044</v>
      </c>
      <c r="C924">
        <v>3.0539999999999998</v>
      </c>
      <c r="D924">
        <v>2.84</v>
      </c>
      <c r="E924">
        <v>2.8490000000000002</v>
      </c>
      <c r="F924">
        <v>638854.22400000005</v>
      </c>
      <c r="G924">
        <v>0</v>
      </c>
      <c r="L924" t="s">
        <v>7</v>
      </c>
      <c r="M924" t="s">
        <v>7</v>
      </c>
      <c r="N924" t="s">
        <v>7</v>
      </c>
      <c r="P924">
        <f t="shared" si="1014"/>
        <v>-0.91588785046728649</v>
      </c>
      <c r="Q924">
        <f t="shared" si="1015"/>
        <v>-585118.82198130642</v>
      </c>
      <c r="R924">
        <f t="shared" si="1016"/>
        <v>-3363918.1088789115</v>
      </c>
      <c r="S924">
        <f t="shared" si="1017"/>
        <v>-33.639181088789115</v>
      </c>
      <c r="T924">
        <f t="shared" si="1018"/>
        <v>-3.3639181088789112E-2</v>
      </c>
    </row>
    <row r="925" spans="1:20" x14ac:dyDescent="0.25">
      <c r="A925" s="5">
        <v>43668</v>
      </c>
      <c r="B925">
        <v>3.2349999999999999</v>
      </c>
      <c r="C925">
        <v>3.2850000000000001</v>
      </c>
      <c r="D925">
        <v>2.9849999999999999</v>
      </c>
      <c r="E925">
        <v>3.0430000000000001</v>
      </c>
      <c r="F925">
        <v>442105.18300000002</v>
      </c>
      <c r="G925">
        <v>0</v>
      </c>
      <c r="L925" t="s">
        <v>7</v>
      </c>
      <c r="M925" t="s">
        <v>8</v>
      </c>
      <c r="N925" t="s">
        <v>7</v>
      </c>
      <c r="P925">
        <f t="shared" si="1014"/>
        <v>-0.61333333333333184</v>
      </c>
      <c r="Q925">
        <f t="shared" si="1015"/>
        <v>-271157.84557333268</v>
      </c>
      <c r="R925">
        <f t="shared" si="1016"/>
        <v>-2778799.2868976053</v>
      </c>
      <c r="S925">
        <f t="shared" si="1017"/>
        <v>-27.787992868976051</v>
      </c>
      <c r="T925">
        <f t="shared" si="1018"/>
        <v>-2.7787992868976052E-2</v>
      </c>
    </row>
    <row r="926" spans="1:20" x14ac:dyDescent="0.25">
      <c r="A926" s="5">
        <v>43667</v>
      </c>
      <c r="B926">
        <v>3.28</v>
      </c>
      <c r="C926">
        <v>3.37</v>
      </c>
      <c r="D926">
        <v>3.11</v>
      </c>
      <c r="E926">
        <v>3.2320000000000002</v>
      </c>
      <c r="F926">
        <v>308158.79399999999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-6.1538461538459828E-2</v>
      </c>
      <c r="Q926">
        <f t="shared" si="1015"/>
        <v>-18963.618092307166</v>
      </c>
      <c r="R926">
        <f t="shared" si="1016"/>
        <v>-2507641.4413242727</v>
      </c>
      <c r="S926">
        <f t="shared" si="1017"/>
        <v>-25.076414413242727</v>
      </c>
      <c r="T926">
        <f t="shared" si="1018"/>
        <v>-2.5076414413242726E-2</v>
      </c>
    </row>
    <row r="927" spans="1:20" x14ac:dyDescent="0.25">
      <c r="A927" s="5">
        <v>43666</v>
      </c>
      <c r="B927">
        <v>3.1680000000000001</v>
      </c>
      <c r="C927">
        <v>3.3969999999999998</v>
      </c>
      <c r="D927">
        <v>3.0680000000000001</v>
      </c>
      <c r="E927">
        <v>3.2789999999999999</v>
      </c>
      <c r="F927">
        <v>643312.44999999995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0.28267477203647429</v>
      </c>
      <c r="Q927">
        <f t="shared" si="1015"/>
        <v>181848.20015197576</v>
      </c>
      <c r="R927">
        <f t="shared" si="1016"/>
        <v>-2488677.8232319653</v>
      </c>
      <c r="S927">
        <f t="shared" si="1017"/>
        <v>-24.886778232319653</v>
      </c>
      <c r="T927">
        <f t="shared" si="1018"/>
        <v>-2.4886778232319651E-2</v>
      </c>
    </row>
    <row r="928" spans="1:20" x14ac:dyDescent="0.25">
      <c r="A928" s="5">
        <v>43665</v>
      </c>
      <c r="B928">
        <v>3.081</v>
      </c>
      <c r="C928">
        <v>3.198</v>
      </c>
      <c r="D928">
        <v>2.9209999999999998</v>
      </c>
      <c r="E928">
        <v>3.169</v>
      </c>
      <c r="F928">
        <v>501316.24200000003</v>
      </c>
      <c r="G928">
        <v>0</v>
      </c>
      <c r="L928" t="s">
        <v>7</v>
      </c>
      <c r="M928" t="s">
        <v>8</v>
      </c>
      <c r="N928" t="s">
        <v>7</v>
      </c>
      <c r="P928">
        <f t="shared" si="1014"/>
        <v>0.79061371841155303</v>
      </c>
      <c r="Q928">
        <f t="shared" si="1015"/>
        <v>396347.49818772601</v>
      </c>
      <c r="R928">
        <f t="shared" si="1016"/>
        <v>-2670526.023383941</v>
      </c>
      <c r="S928">
        <f t="shared" si="1017"/>
        <v>-26.705260233839411</v>
      </c>
      <c r="T928">
        <f t="shared" si="1018"/>
        <v>-2.6705260233839411E-2</v>
      </c>
    </row>
    <row r="929" spans="1:20" x14ac:dyDescent="0.25">
      <c r="A929" s="5">
        <v>43664</v>
      </c>
      <c r="B929">
        <v>2.7850000000000001</v>
      </c>
      <c r="C929">
        <v>3.1579999999999999</v>
      </c>
      <c r="D929">
        <v>2.7189999999999999</v>
      </c>
      <c r="E929">
        <v>3.0859999999999999</v>
      </c>
      <c r="F929">
        <v>829927.06900000002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0.67198177676537563</v>
      </c>
      <c r="Q929">
        <f t="shared" si="1015"/>
        <v>557695.8664123005</v>
      </c>
      <c r="R929">
        <f t="shared" si="1016"/>
        <v>-3066873.5215716669</v>
      </c>
      <c r="S929">
        <f t="shared" si="1017"/>
        <v>-30.668735215716669</v>
      </c>
      <c r="T929">
        <f t="shared" si="1018"/>
        <v>-3.0668735215716669E-2</v>
      </c>
    </row>
    <row r="930" spans="1:20" x14ac:dyDescent="0.25">
      <c r="A930" s="5">
        <v>43663</v>
      </c>
      <c r="B930">
        <v>2.681</v>
      </c>
      <c r="C930">
        <v>2.9209999999999998</v>
      </c>
      <c r="D930">
        <v>2.536</v>
      </c>
      <c r="E930">
        <v>2.7909999999999999</v>
      </c>
      <c r="F930">
        <v>853922.84400000004</v>
      </c>
      <c r="G930">
        <v>0</v>
      </c>
      <c r="L930" t="s">
        <v>7</v>
      </c>
      <c r="M930" t="s">
        <v>7</v>
      </c>
      <c r="N930" t="s">
        <v>7</v>
      </c>
      <c r="P930">
        <f t="shared" si="1014"/>
        <v>0.32467532467532484</v>
      </c>
      <c r="Q930">
        <f t="shared" si="1015"/>
        <v>277247.67662337678</v>
      </c>
      <c r="R930">
        <f t="shared" si="1016"/>
        <v>-3624569.3879839676</v>
      </c>
      <c r="S930">
        <f t="shared" si="1017"/>
        <v>-36.245693879839678</v>
      </c>
      <c r="T930">
        <f t="shared" si="1018"/>
        <v>-3.6245693879839676E-2</v>
      </c>
    </row>
    <row r="931" spans="1:20" x14ac:dyDescent="0.25">
      <c r="A931" s="5">
        <v>43662</v>
      </c>
      <c r="B931">
        <v>3.1579999999999999</v>
      </c>
      <c r="C931">
        <v>3.2250000000000001</v>
      </c>
      <c r="D931">
        <v>2.633</v>
      </c>
      <c r="E931">
        <v>2.6789999999999998</v>
      </c>
      <c r="F931">
        <v>758874.28500000003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-0.84459459459459518</v>
      </c>
      <c r="Q931">
        <f t="shared" si="1015"/>
        <v>-640941.11908783833</v>
      </c>
      <c r="R931">
        <f t="shared" si="1016"/>
        <v>-3901817.0646073446</v>
      </c>
      <c r="S931">
        <f t="shared" si="1017"/>
        <v>-39.018170646073443</v>
      </c>
      <c r="T931">
        <f t="shared" si="1018"/>
        <v>-3.9018170646073443E-2</v>
      </c>
    </row>
    <row r="932" spans="1:20" x14ac:dyDescent="0.25">
      <c r="A932" s="5">
        <v>43661</v>
      </c>
      <c r="B932">
        <v>3.0619999999999998</v>
      </c>
      <c r="C932">
        <v>3.339</v>
      </c>
      <c r="D932">
        <v>2.8</v>
      </c>
      <c r="E932">
        <v>3.1629999999999998</v>
      </c>
      <c r="F932">
        <v>996704.23199999996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0.34693877551020369</v>
      </c>
      <c r="Q932">
        <f t="shared" si="1015"/>
        <v>345795.34579591797</v>
      </c>
      <c r="R932">
        <f t="shared" si="1016"/>
        <v>-3260875.9455195065</v>
      </c>
      <c r="S932">
        <f t="shared" si="1017"/>
        <v>-32.608759455195063</v>
      </c>
      <c r="T932">
        <f t="shared" si="1018"/>
        <v>-3.2608759455195063E-2</v>
      </c>
    </row>
    <row r="933" spans="1:20" x14ac:dyDescent="0.25">
      <c r="A933" s="5">
        <v>43660</v>
      </c>
      <c r="B933">
        <v>3.5830000000000002</v>
      </c>
      <c r="C933">
        <v>3.6360000000000001</v>
      </c>
      <c r="D933">
        <v>3.0249999999999999</v>
      </c>
      <c r="E933">
        <v>3.0649999999999999</v>
      </c>
      <c r="F933">
        <v>712250.44400000002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-0.86906710310965618</v>
      </c>
      <c r="Q933">
        <f t="shared" si="1015"/>
        <v>-618993.43005564646</v>
      </c>
      <c r="R933">
        <f t="shared" si="1016"/>
        <v>-3606671.2913154243</v>
      </c>
      <c r="S933">
        <f t="shared" si="1017"/>
        <v>-36.066712913154241</v>
      </c>
      <c r="T933">
        <f t="shared" si="1018"/>
        <v>-3.606671291315424E-2</v>
      </c>
    </row>
    <row r="934" spans="1:20" x14ac:dyDescent="0.25">
      <c r="A934" s="5">
        <v>43659</v>
      </c>
      <c r="B934">
        <v>3.8210000000000002</v>
      </c>
      <c r="C934">
        <v>3.84</v>
      </c>
      <c r="D934">
        <v>3.41</v>
      </c>
      <c r="E934">
        <v>3.581</v>
      </c>
      <c r="F934">
        <v>598474.36199999996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-0.204651162790698</v>
      </c>
      <c r="Q934">
        <f t="shared" si="1015"/>
        <v>-122478.47408372111</v>
      </c>
      <c r="R934">
        <f t="shared" si="1016"/>
        <v>-2987677.861259778</v>
      </c>
      <c r="S934">
        <f t="shared" si="1017"/>
        <v>-29.876778612597779</v>
      </c>
      <c r="T934">
        <f t="shared" si="1018"/>
        <v>-2.9876778612597778E-2</v>
      </c>
    </row>
    <row r="935" spans="1:20" x14ac:dyDescent="0.25">
      <c r="A935" s="5">
        <v>43658</v>
      </c>
      <c r="B935">
        <v>3.5779999999999998</v>
      </c>
      <c r="C935">
        <v>3.8919999999999999</v>
      </c>
      <c r="D935">
        <v>3.472</v>
      </c>
      <c r="E935">
        <v>3.8260000000000001</v>
      </c>
      <c r="F935">
        <v>964014.48400000005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0.68571428571428639</v>
      </c>
      <c r="Q935">
        <f t="shared" si="1015"/>
        <v>661038.50331428635</v>
      </c>
      <c r="R935">
        <f t="shared" si="1016"/>
        <v>-2865199.3871760569</v>
      </c>
      <c r="S935">
        <f t="shared" si="1017"/>
        <v>-28.651993871760567</v>
      </c>
      <c r="T935">
        <f t="shared" si="1018"/>
        <v>-2.8651993871760567E-2</v>
      </c>
    </row>
    <row r="936" spans="1:20" x14ac:dyDescent="0.25">
      <c r="A936" s="5">
        <v>43657</v>
      </c>
      <c r="B936">
        <v>4.2350000000000003</v>
      </c>
      <c r="C936">
        <v>4.2350000000000003</v>
      </c>
      <c r="D936">
        <v>3.419</v>
      </c>
      <c r="E936">
        <v>3.573</v>
      </c>
      <c r="F936">
        <v>1481319.888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-0.62254901960784348</v>
      </c>
      <c r="Q936">
        <f t="shared" si="1015"/>
        <v>-922194.24400000053</v>
      </c>
      <c r="R936">
        <f t="shared" si="1016"/>
        <v>-3526237.8904903433</v>
      </c>
      <c r="S936">
        <f t="shared" si="1017"/>
        <v>-35.262378904903436</v>
      </c>
      <c r="T936">
        <f t="shared" si="1018"/>
        <v>-3.5262378904903434E-2</v>
      </c>
    </row>
    <row r="937" spans="1:20" x14ac:dyDescent="0.25">
      <c r="A937" s="5">
        <v>43656</v>
      </c>
      <c r="B937">
        <v>4.8</v>
      </c>
      <c r="C937">
        <v>4.8419999999999996</v>
      </c>
      <c r="D937">
        <v>3.9969999999999999</v>
      </c>
      <c r="E937">
        <v>4.2329999999999997</v>
      </c>
      <c r="F937">
        <v>847586.10699999996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-0.44142011834319567</v>
      </c>
      <c r="Q937">
        <f t="shared" si="1015"/>
        <v>-374141.55965798849</v>
      </c>
      <c r="R937">
        <f t="shared" si="1016"/>
        <v>-2604043.6464903429</v>
      </c>
      <c r="S937">
        <f t="shared" si="1017"/>
        <v>-26.040436464903429</v>
      </c>
      <c r="T937">
        <f t="shared" si="1018"/>
        <v>-2.6040436464903428E-2</v>
      </c>
    </row>
    <row r="938" spans="1:20" x14ac:dyDescent="0.25">
      <c r="A938" s="5">
        <v>43655</v>
      </c>
      <c r="B938">
        <v>4.9939999999999998</v>
      </c>
      <c r="C938">
        <v>5</v>
      </c>
      <c r="D938">
        <v>4.7130000000000001</v>
      </c>
      <c r="E938">
        <v>4.8010000000000002</v>
      </c>
      <c r="F938">
        <v>464071.20899999997</v>
      </c>
      <c r="G938">
        <v>0</v>
      </c>
      <c r="L938" t="s">
        <v>7</v>
      </c>
      <c r="M938" t="s">
        <v>8</v>
      </c>
      <c r="N938" t="s">
        <v>8</v>
      </c>
      <c r="P938">
        <f t="shared" si="1014"/>
        <v>-0.38675958188153237</v>
      </c>
      <c r="Q938">
        <f t="shared" si="1015"/>
        <v>-179483.98675609721</v>
      </c>
      <c r="R938">
        <f t="shared" si="1016"/>
        <v>-2229902.0868323543</v>
      </c>
      <c r="S938">
        <f t="shared" si="1017"/>
        <v>-22.299020868323542</v>
      </c>
      <c r="T938">
        <f t="shared" si="1018"/>
        <v>-2.2299020868323541E-2</v>
      </c>
    </row>
    <row r="939" spans="1:20" x14ac:dyDescent="0.25">
      <c r="A939" s="5">
        <v>43654</v>
      </c>
      <c r="B939">
        <v>4.8440000000000003</v>
      </c>
      <c r="C939">
        <v>5.0540000000000003</v>
      </c>
      <c r="D939">
        <v>4.7919999999999998</v>
      </c>
      <c r="E939">
        <v>4.9980000000000002</v>
      </c>
      <c r="F939">
        <v>419974.81800000003</v>
      </c>
      <c r="G939">
        <v>0</v>
      </c>
      <c r="L939" t="s">
        <v>7</v>
      </c>
      <c r="M939" t="s">
        <v>8</v>
      </c>
      <c r="N939" t="s">
        <v>8</v>
      </c>
      <c r="P939">
        <f t="shared" si="1014"/>
        <v>0.57251908396946605</v>
      </c>
      <c r="Q939">
        <f t="shared" si="1015"/>
        <v>240443.59809160323</v>
      </c>
      <c r="R939">
        <f t="shared" si="1016"/>
        <v>-2050418.1000762573</v>
      </c>
      <c r="S939">
        <f t="shared" si="1017"/>
        <v>-20.504181000762571</v>
      </c>
      <c r="T939">
        <f t="shared" si="1018"/>
        <v>-2.050418100076257E-2</v>
      </c>
    </row>
    <row r="940" spans="1:20" x14ac:dyDescent="0.25">
      <c r="A940" s="5">
        <v>43653</v>
      </c>
      <c r="B940">
        <v>4.7750000000000004</v>
      </c>
      <c r="C940">
        <v>4.8470000000000004</v>
      </c>
      <c r="D940">
        <v>4.6890000000000001</v>
      </c>
      <c r="E940">
        <v>4.8419999999999996</v>
      </c>
      <c r="F940">
        <v>257490.41899999999</v>
      </c>
      <c r="G940">
        <v>0</v>
      </c>
      <c r="L940" t="s">
        <v>7</v>
      </c>
      <c r="M940" t="s">
        <v>8</v>
      </c>
      <c r="N940" t="s">
        <v>8</v>
      </c>
      <c r="P940">
        <f t="shared" si="1014"/>
        <v>0.9367088607594839</v>
      </c>
      <c r="Q940">
        <f t="shared" si="1015"/>
        <v>241193.55703797218</v>
      </c>
      <c r="R940">
        <f t="shared" si="1016"/>
        <v>-2290861.6981678605</v>
      </c>
      <c r="S940">
        <f t="shared" si="1017"/>
        <v>-22.908616981678605</v>
      </c>
      <c r="T940">
        <f t="shared" si="1018"/>
        <v>-2.2908616981678606E-2</v>
      </c>
    </row>
    <row r="941" spans="1:20" x14ac:dyDescent="0.25">
      <c r="A941" s="5">
        <v>43652</v>
      </c>
      <c r="B941">
        <v>4.742</v>
      </c>
      <c r="C941">
        <v>4.9400000000000004</v>
      </c>
      <c r="D941">
        <v>4.7240000000000002</v>
      </c>
      <c r="E941">
        <v>4.782</v>
      </c>
      <c r="F941">
        <v>347789.77</v>
      </c>
      <c r="G941">
        <v>0</v>
      </c>
      <c r="L941" t="s">
        <v>7</v>
      </c>
      <c r="M941" t="s">
        <v>8</v>
      </c>
      <c r="N941" t="s">
        <v>8</v>
      </c>
      <c r="P941">
        <f t="shared" si="1014"/>
        <v>-0.46296296296296502</v>
      </c>
      <c r="Q941">
        <f t="shared" si="1015"/>
        <v>-161013.78240740814</v>
      </c>
      <c r="R941">
        <f t="shared" si="1016"/>
        <v>-2532055.2552058329</v>
      </c>
      <c r="S941">
        <f t="shared" si="1017"/>
        <v>-25.320552552058327</v>
      </c>
      <c r="T941">
        <f t="shared" si="1018"/>
        <v>-2.5320552552058326E-2</v>
      </c>
    </row>
    <row r="942" spans="1:20" x14ac:dyDescent="0.25">
      <c r="A942" s="5">
        <v>43651</v>
      </c>
      <c r="B942">
        <v>4.8339999999999996</v>
      </c>
      <c r="C942">
        <v>4.93</v>
      </c>
      <c r="D942">
        <v>4.6890000000000001</v>
      </c>
      <c r="E942">
        <v>4.7409999999999997</v>
      </c>
      <c r="F942">
        <v>540389.91700000002</v>
      </c>
      <c r="G942">
        <v>0</v>
      </c>
      <c r="L942" t="s">
        <v>7</v>
      </c>
      <c r="M942" t="s">
        <v>8</v>
      </c>
      <c r="N942" t="s">
        <v>8</v>
      </c>
      <c r="P942">
        <f t="shared" si="1014"/>
        <v>-0.56846473029045907</v>
      </c>
      <c r="Q942">
        <f t="shared" si="1015"/>
        <v>-307192.60841908859</v>
      </c>
      <c r="R942">
        <f t="shared" si="1016"/>
        <v>-2371041.4727984248</v>
      </c>
      <c r="S942">
        <f t="shared" si="1017"/>
        <v>-23.710414727984247</v>
      </c>
      <c r="T942">
        <f t="shared" si="1018"/>
        <v>-2.3710414727984248E-2</v>
      </c>
    </row>
    <row r="943" spans="1:20" x14ac:dyDescent="0.25">
      <c r="A943" s="5">
        <v>43650</v>
      </c>
      <c r="B943">
        <v>5.1749999999999998</v>
      </c>
      <c r="C943">
        <v>5.1879999999999997</v>
      </c>
      <c r="D943">
        <v>4.766</v>
      </c>
      <c r="E943">
        <v>4.84</v>
      </c>
      <c r="F943">
        <v>620457.36199999996</v>
      </c>
      <c r="G943">
        <v>0</v>
      </c>
      <c r="L943" t="s">
        <v>7</v>
      </c>
      <c r="M943" t="s">
        <v>8</v>
      </c>
      <c r="N943" t="s">
        <v>8</v>
      </c>
      <c r="P943">
        <f t="shared" si="1014"/>
        <v>-0.64928909952606684</v>
      </c>
      <c r="Q943">
        <f t="shared" si="1015"/>
        <v>-402856.20186729886</v>
      </c>
      <c r="R943">
        <f t="shared" si="1016"/>
        <v>-2063848.8643793364</v>
      </c>
      <c r="S943">
        <f t="shared" si="1017"/>
        <v>-20.638488643793362</v>
      </c>
      <c r="T943">
        <f t="shared" si="1018"/>
        <v>-2.0638488643793362E-2</v>
      </c>
    </row>
    <row r="944" spans="1:20" x14ac:dyDescent="0.25">
      <c r="A944" s="5">
        <v>43649</v>
      </c>
      <c r="B944">
        <v>5.2549999999999999</v>
      </c>
      <c r="C944">
        <v>5.3380000000000001</v>
      </c>
      <c r="D944">
        <v>4.8869999999999996</v>
      </c>
      <c r="E944">
        <v>5.181</v>
      </c>
      <c r="F944">
        <v>790247.37199999997</v>
      </c>
      <c r="G944">
        <v>0</v>
      </c>
      <c r="L944" t="s">
        <v>8</v>
      </c>
      <c r="M944" t="s">
        <v>8</v>
      </c>
      <c r="N944" t="s">
        <v>8</v>
      </c>
      <c r="P944">
        <f t="shared" si="1014"/>
        <v>0.30376940133037761</v>
      </c>
      <c r="Q944">
        <f t="shared" si="1015"/>
        <v>240052.9710953442</v>
      </c>
      <c r="R944">
        <f t="shared" si="1016"/>
        <v>-1660992.6625120374</v>
      </c>
      <c r="S944">
        <f t="shared" si="1017"/>
        <v>-16.609926625120373</v>
      </c>
      <c r="T944">
        <f t="shared" si="1018"/>
        <v>-1.6609926625120373E-2</v>
      </c>
    </row>
    <row r="945" spans="1:20" x14ac:dyDescent="0.25">
      <c r="A945" s="5">
        <v>43648</v>
      </c>
      <c r="B945">
        <v>4.9279999999999999</v>
      </c>
      <c r="C945">
        <v>5.3520000000000003</v>
      </c>
      <c r="D945">
        <v>4.3689999999999998</v>
      </c>
      <c r="E945">
        <v>5.258</v>
      </c>
      <c r="F945">
        <v>1715189.328</v>
      </c>
      <c r="G945">
        <v>0</v>
      </c>
      <c r="L945" t="s">
        <v>7</v>
      </c>
      <c r="M945" t="s">
        <v>8</v>
      </c>
      <c r="N945" t="s">
        <v>8</v>
      </c>
      <c r="P945">
        <f t="shared" si="1014"/>
        <v>0.808748728382502</v>
      </c>
      <c r="Q945">
        <f t="shared" si="1015"/>
        <v>1387157.1879552382</v>
      </c>
      <c r="R945">
        <f t="shared" si="1016"/>
        <v>-1901045.6336073817</v>
      </c>
      <c r="S945">
        <f t="shared" si="1017"/>
        <v>-19.010456336073815</v>
      </c>
      <c r="T945">
        <f t="shared" si="1018"/>
        <v>-1.9010456336073817E-2</v>
      </c>
    </row>
    <row r="946" spans="1:20" x14ac:dyDescent="0.25">
      <c r="A946" s="5">
        <v>43647</v>
      </c>
      <c r="B946">
        <v>4.9349999999999996</v>
      </c>
      <c r="C946">
        <v>5.13</v>
      </c>
      <c r="D946">
        <v>4.4800000000000004</v>
      </c>
      <c r="E946">
        <v>4.9290000000000003</v>
      </c>
      <c r="F946">
        <v>1635023.0449999999</v>
      </c>
      <c r="G946">
        <v>0</v>
      </c>
      <c r="L946" t="s">
        <v>7</v>
      </c>
      <c r="M946" t="s">
        <v>7</v>
      </c>
      <c r="N946" t="s">
        <v>8</v>
      </c>
      <c r="P946">
        <f t="shared" si="1014"/>
        <v>0.38153846153846221</v>
      </c>
      <c r="Q946">
        <f t="shared" si="1015"/>
        <v>623824.17716923181</v>
      </c>
      <c r="R946">
        <f t="shared" si="1016"/>
        <v>-3288202.8215626199</v>
      </c>
      <c r="S946">
        <f t="shared" si="1017"/>
        <v>-32.8820282156262</v>
      </c>
      <c r="T946">
        <f t="shared" si="1018"/>
        <v>-3.2882028215626198E-2</v>
      </c>
    </row>
    <row r="947" spans="1:20" x14ac:dyDescent="0.25">
      <c r="A947" s="5">
        <v>43646</v>
      </c>
      <c r="B947">
        <v>5.5720000000000001</v>
      </c>
      <c r="C947">
        <v>5.6180000000000003</v>
      </c>
      <c r="D947">
        <v>4.8879999999999999</v>
      </c>
      <c r="E947">
        <v>4.9340000000000002</v>
      </c>
      <c r="F947">
        <v>1075044.2080000001</v>
      </c>
      <c r="G947">
        <v>0</v>
      </c>
      <c r="L947" t="s">
        <v>7</v>
      </c>
      <c r="M947" t="s">
        <v>7</v>
      </c>
      <c r="N947" t="s">
        <v>8</v>
      </c>
      <c r="P947">
        <f t="shared" si="1014"/>
        <v>-0.87397260273972543</v>
      </c>
      <c r="Q947">
        <f t="shared" si="1015"/>
        <v>-939559.18452602683</v>
      </c>
      <c r="R947">
        <f t="shared" si="1016"/>
        <v>-3912026.9987318516</v>
      </c>
      <c r="S947">
        <f t="shared" si="1017"/>
        <v>-39.120269987318515</v>
      </c>
      <c r="T947">
        <f t="shared" si="1018"/>
        <v>-3.9120269987318518E-2</v>
      </c>
    </row>
    <row r="948" spans="1:20" x14ac:dyDescent="0.25">
      <c r="A948" s="5">
        <v>43645</v>
      </c>
      <c r="B948">
        <v>5.2889999999999997</v>
      </c>
      <c r="C948">
        <v>5.8550000000000004</v>
      </c>
      <c r="D948">
        <v>5.0880000000000001</v>
      </c>
      <c r="E948">
        <v>5.5720000000000001</v>
      </c>
      <c r="F948">
        <v>2485779.5559999999</v>
      </c>
      <c r="G948">
        <v>0</v>
      </c>
      <c r="L948" t="s">
        <v>8</v>
      </c>
      <c r="M948" t="s">
        <v>8</v>
      </c>
      <c r="N948" t="s">
        <v>8</v>
      </c>
      <c r="P948">
        <f t="shared" si="1014"/>
        <v>0.26205997392438007</v>
      </c>
      <c r="Q948">
        <f t="shared" si="1015"/>
        <v>651423.32562711707</v>
      </c>
      <c r="R948">
        <f t="shared" si="1016"/>
        <v>-2972467.8142058249</v>
      </c>
      <c r="S948">
        <f t="shared" si="1017"/>
        <v>-29.724678142058249</v>
      </c>
      <c r="T948">
        <f t="shared" si="1018"/>
        <v>-2.9724678142058248E-2</v>
      </c>
    </row>
    <row r="949" spans="1:20" x14ac:dyDescent="0.25">
      <c r="A949" s="5">
        <v>43644</v>
      </c>
      <c r="B949">
        <v>4.375</v>
      </c>
      <c r="C949">
        <v>5.3150000000000004</v>
      </c>
      <c r="D949">
        <v>4.3330000000000002</v>
      </c>
      <c r="E949">
        <v>5.3070000000000004</v>
      </c>
      <c r="F949">
        <v>1506106.0689999999</v>
      </c>
      <c r="G949">
        <v>0</v>
      </c>
      <c r="L949" t="s">
        <v>8</v>
      </c>
      <c r="M949" t="s">
        <v>8</v>
      </c>
      <c r="N949" t="s">
        <v>7</v>
      </c>
      <c r="P949">
        <f t="shared" si="1014"/>
        <v>0.9837067209775967</v>
      </c>
      <c r="Q949">
        <f t="shared" si="1015"/>
        <v>1481566.662580448</v>
      </c>
      <c r="R949">
        <f t="shared" si="1016"/>
        <v>-3623891.1398329418</v>
      </c>
      <c r="S949">
        <f t="shared" si="1017"/>
        <v>-36.238911398329421</v>
      </c>
      <c r="T949">
        <f t="shared" si="1018"/>
        <v>-3.6238911398329424E-2</v>
      </c>
    </row>
    <row r="950" spans="1:20" x14ac:dyDescent="0.25">
      <c r="A950" s="5">
        <v>43643</v>
      </c>
      <c r="B950">
        <v>5.2469999999999999</v>
      </c>
      <c r="C950">
        <v>5.8</v>
      </c>
      <c r="D950">
        <v>4.1210000000000004</v>
      </c>
      <c r="E950">
        <v>4.375</v>
      </c>
      <c r="F950">
        <v>1988802.7250000001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-0.69743895175699866</v>
      </c>
      <c r="Q950">
        <f t="shared" si="1015"/>
        <v>-1387068.4877754624</v>
      </c>
      <c r="R950">
        <f t="shared" si="1016"/>
        <v>-5105457.80241339</v>
      </c>
      <c r="S950">
        <f t="shared" si="1017"/>
        <v>-51.054578024133903</v>
      </c>
      <c r="T950">
        <f t="shared" si="1018"/>
        <v>-5.1054578024133906E-2</v>
      </c>
    </row>
    <row r="951" spans="1:20" x14ac:dyDescent="0.25">
      <c r="A951" s="5">
        <v>43642</v>
      </c>
      <c r="B951">
        <v>5.2759999999999998</v>
      </c>
      <c r="C951">
        <v>5.9749999999999996</v>
      </c>
      <c r="D951">
        <v>4.7789999999999999</v>
      </c>
      <c r="E951">
        <v>5.2320000000000002</v>
      </c>
      <c r="F951">
        <v>2964508.8080000002</v>
      </c>
      <c r="G951">
        <v>0</v>
      </c>
      <c r="L951" t="s">
        <v>8</v>
      </c>
      <c r="M951" t="s">
        <v>8</v>
      </c>
      <c r="N951" t="s">
        <v>8</v>
      </c>
      <c r="P951">
        <f t="shared" si="1014"/>
        <v>-0.24247491638795921</v>
      </c>
      <c r="Q951">
        <f t="shared" si="1015"/>
        <v>-718819.0253511687</v>
      </c>
      <c r="R951">
        <f t="shared" si="1016"/>
        <v>-3718389.3146379273</v>
      </c>
      <c r="S951">
        <f t="shared" si="1017"/>
        <v>-37.183893146379276</v>
      </c>
      <c r="T951">
        <f t="shared" si="1018"/>
        <v>-3.7183893146379279E-2</v>
      </c>
    </row>
    <row r="952" spans="1:20" x14ac:dyDescent="0.25">
      <c r="A952" s="5">
        <v>43641</v>
      </c>
      <c r="B952">
        <v>4.1900000000000004</v>
      </c>
      <c r="C952">
        <v>5.45</v>
      </c>
      <c r="D952">
        <v>4.17</v>
      </c>
      <c r="E952">
        <v>5.282</v>
      </c>
      <c r="F952">
        <v>2642612.1579999998</v>
      </c>
      <c r="G952">
        <v>0</v>
      </c>
      <c r="L952" t="s">
        <v>8</v>
      </c>
      <c r="M952" t="s">
        <v>8</v>
      </c>
      <c r="N952" t="s">
        <v>8</v>
      </c>
      <c r="P952">
        <f t="shared" si="1014"/>
        <v>0.73749999999999982</v>
      </c>
      <c r="Q952">
        <f t="shared" si="1015"/>
        <v>1948926.4665249994</v>
      </c>
      <c r="R952">
        <f t="shared" si="1016"/>
        <v>-2999570.2892867588</v>
      </c>
      <c r="S952">
        <f t="shared" si="1017"/>
        <v>-29.995702892867588</v>
      </c>
      <c r="T952">
        <f t="shared" si="1018"/>
        <v>-2.9995702892867588E-2</v>
      </c>
    </row>
    <row r="953" spans="1:20" x14ac:dyDescent="0.25">
      <c r="A953" s="5">
        <v>43640</v>
      </c>
      <c r="B953">
        <v>3.8719999999999999</v>
      </c>
      <c r="C953">
        <v>4.3099999999999996</v>
      </c>
      <c r="D953">
        <v>3.746</v>
      </c>
      <c r="E953">
        <v>4.1879999999999997</v>
      </c>
      <c r="F953">
        <v>842748.27800000005</v>
      </c>
      <c r="G953">
        <v>0</v>
      </c>
      <c r="L953" t="s">
        <v>8</v>
      </c>
      <c r="M953" t="s">
        <v>8</v>
      </c>
      <c r="N953" t="s">
        <v>8</v>
      </c>
      <c r="P953">
        <f t="shared" si="1014"/>
        <v>0.56737588652482285</v>
      </c>
      <c r="Q953">
        <f t="shared" si="1015"/>
        <v>478155.05134751787</v>
      </c>
      <c r="R953">
        <f t="shared" si="1016"/>
        <v>-4948496.7558117583</v>
      </c>
      <c r="S953">
        <f t="shared" si="1017"/>
        <v>-49.484967558117582</v>
      </c>
      <c r="T953">
        <f t="shared" si="1018"/>
        <v>-4.9484967558117585E-2</v>
      </c>
    </row>
    <row r="954" spans="1:20" x14ac:dyDescent="0.25">
      <c r="A954" s="5">
        <v>43639</v>
      </c>
      <c r="B954">
        <v>3.9260000000000002</v>
      </c>
      <c r="C954">
        <v>4.1420000000000003</v>
      </c>
      <c r="D954">
        <v>3.8450000000000002</v>
      </c>
      <c r="E954">
        <v>3.8889999999999998</v>
      </c>
      <c r="F954">
        <v>694134.97400000005</v>
      </c>
      <c r="G954">
        <v>0</v>
      </c>
      <c r="L954" t="s">
        <v>8</v>
      </c>
      <c r="M954" t="s">
        <v>8</v>
      </c>
      <c r="N954" t="s">
        <v>8</v>
      </c>
      <c r="P954">
        <f t="shared" si="1014"/>
        <v>-0.70370370370370661</v>
      </c>
      <c r="Q954">
        <f t="shared" si="1015"/>
        <v>-488465.35207407613</v>
      </c>
      <c r="R954">
        <f t="shared" si="1016"/>
        <v>-5426651.8071592757</v>
      </c>
      <c r="S954">
        <f t="shared" si="1017"/>
        <v>-54.266518071592756</v>
      </c>
      <c r="T954">
        <f t="shared" si="1018"/>
        <v>-5.4266518071592759E-2</v>
      </c>
    </row>
    <row r="955" spans="1:20" x14ac:dyDescent="0.25">
      <c r="A955" s="5">
        <v>43638</v>
      </c>
      <c r="B955">
        <v>3.5739999999999998</v>
      </c>
      <c r="C955">
        <v>4.1609999999999996</v>
      </c>
      <c r="D955">
        <v>3.5339999999999998</v>
      </c>
      <c r="E955">
        <v>3.927</v>
      </c>
      <c r="F955">
        <v>1231046.463</v>
      </c>
      <c r="G955">
        <v>0</v>
      </c>
      <c r="L955" t="s">
        <v>8</v>
      </c>
      <c r="M955" t="s">
        <v>8</v>
      </c>
      <c r="N955" t="s">
        <v>8</v>
      </c>
      <c r="P955">
        <f t="shared" si="1014"/>
        <v>0.2535885167464127</v>
      </c>
      <c r="Q955">
        <f t="shared" si="1015"/>
        <v>312179.2465980876</v>
      </c>
      <c r="R955">
        <f t="shared" si="1016"/>
        <v>-4938186.4550851993</v>
      </c>
      <c r="S955">
        <f t="shared" si="1017"/>
        <v>-49.381864550851994</v>
      </c>
      <c r="T955">
        <f t="shared" si="1018"/>
        <v>-4.9381864550851994E-2</v>
      </c>
    </row>
    <row r="956" spans="1:20" x14ac:dyDescent="0.25">
      <c r="A956" s="5">
        <v>43637</v>
      </c>
      <c r="B956">
        <v>3.51</v>
      </c>
      <c r="C956">
        <v>3.6</v>
      </c>
      <c r="D956">
        <v>3.4809999999999999</v>
      </c>
      <c r="E956">
        <v>3.5779999999999998</v>
      </c>
      <c r="F956">
        <v>277268.61800000002</v>
      </c>
      <c r="G956">
        <v>0</v>
      </c>
      <c r="L956" t="s">
        <v>7</v>
      </c>
      <c r="M956" t="s">
        <v>8</v>
      </c>
      <c r="N956" t="s">
        <v>7</v>
      </c>
      <c r="P956">
        <f t="shared" si="1014"/>
        <v>0.63025210084033279</v>
      </c>
      <c r="Q956">
        <f t="shared" si="1015"/>
        <v>174749.12899159573</v>
      </c>
      <c r="R956">
        <f t="shared" si="1016"/>
        <v>-5250365.7016832866</v>
      </c>
      <c r="S956">
        <f t="shared" si="1017"/>
        <v>-52.503657016832868</v>
      </c>
      <c r="T956">
        <f t="shared" si="1018"/>
        <v>-5.2503657016832871E-2</v>
      </c>
    </row>
    <row r="957" spans="1:20" x14ac:dyDescent="0.25">
      <c r="A957" s="5">
        <v>43636</v>
      </c>
      <c r="B957">
        <v>3.57</v>
      </c>
      <c r="C957">
        <v>3.5859999999999999</v>
      </c>
      <c r="D957">
        <v>3.41</v>
      </c>
      <c r="E957">
        <v>3.5019999999999998</v>
      </c>
      <c r="F957">
        <v>356552.40399999998</v>
      </c>
      <c r="G957">
        <v>0</v>
      </c>
      <c r="L957" t="s">
        <v>7</v>
      </c>
      <c r="M957" t="s">
        <v>8</v>
      </c>
      <c r="N957" t="s">
        <v>7</v>
      </c>
      <c r="P957">
        <f t="shared" si="1014"/>
        <v>4.5454545454543048E-2</v>
      </c>
      <c r="Q957">
        <f t="shared" si="1015"/>
        <v>16206.927454544595</v>
      </c>
      <c r="R957">
        <f t="shared" si="1016"/>
        <v>-5425114.830674882</v>
      </c>
      <c r="S957">
        <f t="shared" si="1017"/>
        <v>-54.251148306748817</v>
      </c>
      <c r="T957">
        <f t="shared" si="1018"/>
        <v>-5.425114830674882E-2</v>
      </c>
    </row>
    <row r="958" spans="1:20" x14ac:dyDescent="0.25">
      <c r="A958" s="5">
        <v>43635</v>
      </c>
      <c r="B958">
        <v>3.5609999999999999</v>
      </c>
      <c r="C958">
        <v>3.7</v>
      </c>
      <c r="D958">
        <v>3.52</v>
      </c>
      <c r="E958">
        <v>3.58</v>
      </c>
      <c r="F958">
        <v>394816.53700000001</v>
      </c>
      <c r="G958">
        <v>0</v>
      </c>
      <c r="L958" t="s">
        <v>7</v>
      </c>
      <c r="M958" t="s">
        <v>8</v>
      </c>
      <c r="N958" t="s">
        <v>7</v>
      </c>
      <c r="P958">
        <f t="shared" si="1014"/>
        <v>-0.33333333333333331</v>
      </c>
      <c r="Q958">
        <f t="shared" si="1015"/>
        <v>-131605.51233333332</v>
      </c>
      <c r="R958">
        <f t="shared" si="1016"/>
        <v>-5441321.7581294263</v>
      </c>
      <c r="S958">
        <f t="shared" si="1017"/>
        <v>-54.413217581294262</v>
      </c>
      <c r="T958">
        <f t="shared" si="1018"/>
        <v>-5.4413217581294263E-2</v>
      </c>
    </row>
    <row r="959" spans="1:20" x14ac:dyDescent="0.25">
      <c r="A959" s="5">
        <v>43634</v>
      </c>
      <c r="B959">
        <v>3.6469999999999998</v>
      </c>
      <c r="C959">
        <v>3.649</v>
      </c>
      <c r="D959">
        <v>3.5209999999999999</v>
      </c>
      <c r="E959">
        <v>3.5579999999999998</v>
      </c>
      <c r="F959">
        <v>411116.35200000001</v>
      </c>
      <c r="G959">
        <v>0</v>
      </c>
      <c r="L959" t="s">
        <v>7</v>
      </c>
      <c r="M959" t="s">
        <v>8</v>
      </c>
      <c r="N959" t="s">
        <v>7</v>
      </c>
      <c r="P959">
        <f t="shared" ref="P959:P1022" si="1019">IF(C959=D959,0,((E959-D959)-(C959-E959))/(C959-D959))</f>
        <v>-0.42187500000000172</v>
      </c>
      <c r="Q959">
        <f t="shared" ref="Q959:Q1022" si="1020">F959*P959</f>
        <v>-173439.71100000071</v>
      </c>
      <c r="R959">
        <f t="shared" ref="R959:R1022" si="1021">R960+Q959</f>
        <v>-5309716.2457960928</v>
      </c>
      <c r="S959">
        <f t="shared" ref="S959:S1022" si="1022">R959/100000</f>
        <v>-53.097162457960927</v>
      </c>
      <c r="T959">
        <f t="shared" ref="T959:T1022" si="1023">S959/1000</f>
        <v>-5.3097162457960929E-2</v>
      </c>
    </row>
    <row r="960" spans="1:20" x14ac:dyDescent="0.25">
      <c r="A960" s="5">
        <v>43633</v>
      </c>
      <c r="B960">
        <v>3.6509999999999998</v>
      </c>
      <c r="C960">
        <v>3.7719999999999998</v>
      </c>
      <c r="D960">
        <v>3.5350000000000001</v>
      </c>
      <c r="E960">
        <v>3.6480000000000001</v>
      </c>
      <c r="F960">
        <v>611299.25899999996</v>
      </c>
      <c r="G960">
        <v>0</v>
      </c>
      <c r="L960" t="s">
        <v>8</v>
      </c>
      <c r="M960" t="s">
        <v>8</v>
      </c>
      <c r="N960" t="s">
        <v>7</v>
      </c>
      <c r="P960">
        <f t="shared" si="1019"/>
        <v>-4.6413502109703346E-2</v>
      </c>
      <c r="Q960">
        <f t="shared" si="1020"/>
        <v>-28372.539447256589</v>
      </c>
      <c r="R960">
        <f t="shared" si="1021"/>
        <v>-5136276.5347960917</v>
      </c>
      <c r="S960">
        <f t="shared" si="1022"/>
        <v>-51.362765347960917</v>
      </c>
      <c r="T960">
        <f t="shared" si="1023"/>
        <v>-5.1362765347960915E-2</v>
      </c>
    </row>
    <row r="961" spans="1:20" x14ac:dyDescent="0.25">
      <c r="A961" s="5">
        <v>43632</v>
      </c>
      <c r="B961">
        <v>3.5139999999999998</v>
      </c>
      <c r="C961">
        <v>3.7349999999999999</v>
      </c>
      <c r="D961">
        <v>3.4550000000000001</v>
      </c>
      <c r="E961">
        <v>3.6509999999999998</v>
      </c>
      <c r="F961">
        <v>641953.08200000005</v>
      </c>
      <c r="G961">
        <v>0</v>
      </c>
      <c r="L961" t="s">
        <v>8</v>
      </c>
      <c r="M961" t="s">
        <v>8</v>
      </c>
      <c r="N961" t="s">
        <v>7</v>
      </c>
      <c r="P961">
        <f t="shared" si="1019"/>
        <v>0.39999999999999902</v>
      </c>
      <c r="Q961">
        <f t="shared" si="1020"/>
        <v>256781.23279999939</v>
      </c>
      <c r="R961">
        <f t="shared" si="1021"/>
        <v>-5107903.9953488354</v>
      </c>
      <c r="S961">
        <f t="shared" si="1022"/>
        <v>-51.079039953488355</v>
      </c>
      <c r="T961">
        <f t="shared" si="1023"/>
        <v>-5.1079039953488357E-2</v>
      </c>
    </row>
    <row r="962" spans="1:20" x14ac:dyDescent="0.25">
      <c r="A962" s="5">
        <v>43631</v>
      </c>
      <c r="B962">
        <v>3.3980000000000001</v>
      </c>
      <c r="C962">
        <v>3.61</v>
      </c>
      <c r="D962">
        <v>3.3959999999999999</v>
      </c>
      <c r="E962">
        <v>3.5110000000000001</v>
      </c>
      <c r="F962">
        <v>630915.505</v>
      </c>
      <c r="G962">
        <v>0</v>
      </c>
      <c r="L962" t="s">
        <v>8</v>
      </c>
      <c r="M962" t="s">
        <v>8</v>
      </c>
      <c r="N962" t="s">
        <v>7</v>
      </c>
      <c r="P962">
        <f t="shared" si="1019"/>
        <v>7.4766355140189075E-2</v>
      </c>
      <c r="Q962">
        <f t="shared" si="1020"/>
        <v>47171.252710281733</v>
      </c>
      <c r="R962">
        <f t="shared" si="1021"/>
        <v>-5364685.2281488348</v>
      </c>
      <c r="S962">
        <f t="shared" si="1022"/>
        <v>-53.64685228148835</v>
      </c>
      <c r="T962">
        <f t="shared" si="1023"/>
        <v>-5.3646852281488348E-2</v>
      </c>
    </row>
    <row r="963" spans="1:20" x14ac:dyDescent="0.25">
      <c r="A963" s="5">
        <v>43630</v>
      </c>
      <c r="B963">
        <v>3.3159999999999998</v>
      </c>
      <c r="C963">
        <v>3.4689999999999999</v>
      </c>
      <c r="D963">
        <v>3.2480000000000002</v>
      </c>
      <c r="E963">
        <v>3.403</v>
      </c>
      <c r="F963">
        <v>698625.99899999995</v>
      </c>
      <c r="G963">
        <v>0</v>
      </c>
      <c r="L963" t="s">
        <v>7</v>
      </c>
      <c r="M963" t="s">
        <v>8</v>
      </c>
      <c r="N963" t="s">
        <v>7</v>
      </c>
      <c r="P963">
        <f t="shared" si="1019"/>
        <v>0.40271493212669734</v>
      </c>
      <c r="Q963">
        <f t="shared" si="1020"/>
        <v>281347.1217692311</v>
      </c>
      <c r="R963">
        <f t="shared" si="1021"/>
        <v>-5411856.4808591167</v>
      </c>
      <c r="S963">
        <f t="shared" si="1022"/>
        <v>-54.118564808591167</v>
      </c>
      <c r="T963">
        <f t="shared" si="1023"/>
        <v>-5.4118564808591167E-2</v>
      </c>
    </row>
    <row r="964" spans="1:20" x14ac:dyDescent="0.25">
      <c r="A964" s="5">
        <v>43629</v>
      </c>
      <c r="B964">
        <v>3.2050000000000001</v>
      </c>
      <c r="C964">
        <v>3.496</v>
      </c>
      <c r="D964">
        <v>3.11</v>
      </c>
      <c r="E964">
        <v>3.3069999999999999</v>
      </c>
      <c r="F964">
        <v>833705.78799999994</v>
      </c>
      <c r="G964">
        <v>0</v>
      </c>
      <c r="L964" t="s">
        <v>8</v>
      </c>
      <c r="M964" t="s">
        <v>8</v>
      </c>
      <c r="N964" t="s">
        <v>7</v>
      </c>
      <c r="P964">
        <f t="shared" si="1019"/>
        <v>2.0725388601036281E-2</v>
      </c>
      <c r="Q964">
        <f t="shared" si="1020"/>
        <v>17278.876435233167</v>
      </c>
      <c r="R964">
        <f t="shared" si="1021"/>
        <v>-5693203.6026283475</v>
      </c>
      <c r="S964">
        <f t="shared" si="1022"/>
        <v>-56.932036026283477</v>
      </c>
      <c r="T964">
        <f t="shared" si="1023"/>
        <v>-5.6932036026283474E-2</v>
      </c>
    </row>
    <row r="965" spans="1:20" x14ac:dyDescent="0.25">
      <c r="A965" s="5">
        <v>43628</v>
      </c>
      <c r="B965">
        <v>3.1389999999999998</v>
      </c>
      <c r="C965">
        <v>3.2509999999999999</v>
      </c>
      <c r="D965">
        <v>3.0990000000000002</v>
      </c>
      <c r="E965">
        <v>3.21</v>
      </c>
      <c r="F965">
        <v>412738.19300000003</v>
      </c>
      <c r="G965">
        <v>0</v>
      </c>
      <c r="L965" t="s">
        <v>8</v>
      </c>
      <c r="M965" t="s">
        <v>8</v>
      </c>
      <c r="N965" t="s">
        <v>7</v>
      </c>
      <c r="P965">
        <f t="shared" si="1019"/>
        <v>0.46052631578947356</v>
      </c>
      <c r="Q965">
        <f t="shared" si="1020"/>
        <v>190076.79940789469</v>
      </c>
      <c r="R965">
        <f t="shared" si="1021"/>
        <v>-5710482.4790635807</v>
      </c>
      <c r="S965">
        <f t="shared" si="1022"/>
        <v>-57.10482479063581</v>
      </c>
      <c r="T965">
        <f t="shared" si="1023"/>
        <v>-5.7104824790635812E-2</v>
      </c>
    </row>
    <row r="966" spans="1:20" x14ac:dyDescent="0.25">
      <c r="A966" s="5">
        <v>43627</v>
      </c>
      <c r="B966">
        <v>3.2050000000000001</v>
      </c>
      <c r="C966">
        <v>3.2679999999999998</v>
      </c>
      <c r="D966">
        <v>3.0310000000000001</v>
      </c>
      <c r="E966">
        <v>3.1320000000000001</v>
      </c>
      <c r="F966">
        <v>507958.54700000002</v>
      </c>
      <c r="G966">
        <v>0</v>
      </c>
      <c r="L966" t="s">
        <v>7</v>
      </c>
      <c r="M966" t="s">
        <v>8</v>
      </c>
      <c r="N966" t="s">
        <v>7</v>
      </c>
      <c r="P966">
        <f t="shared" si="1019"/>
        <v>-0.14767932489451371</v>
      </c>
      <c r="Q966">
        <f t="shared" si="1020"/>
        <v>-75014.975295358119</v>
      </c>
      <c r="R966">
        <f t="shared" si="1021"/>
        <v>-5900559.2784714755</v>
      </c>
      <c r="S966">
        <f t="shared" si="1022"/>
        <v>-59.005592784714757</v>
      </c>
      <c r="T966">
        <f t="shared" si="1023"/>
        <v>-5.9005592784714754E-2</v>
      </c>
    </row>
    <row r="967" spans="1:20" x14ac:dyDescent="0.25">
      <c r="A967" s="5">
        <v>43626</v>
      </c>
      <c r="B967">
        <v>2.911</v>
      </c>
      <c r="C967">
        <v>3.4009999999999998</v>
      </c>
      <c r="D967">
        <v>2.8759999999999999</v>
      </c>
      <c r="E967">
        <v>3.2050000000000001</v>
      </c>
      <c r="F967">
        <v>1453890.6370000001</v>
      </c>
      <c r="G967">
        <v>0</v>
      </c>
      <c r="L967" t="s">
        <v>8</v>
      </c>
      <c r="M967" t="s">
        <v>8</v>
      </c>
      <c r="N967" t="s">
        <v>7</v>
      </c>
      <c r="P967">
        <f t="shared" si="1019"/>
        <v>0.25333333333333424</v>
      </c>
      <c r="Q967">
        <f t="shared" si="1020"/>
        <v>368318.96137333469</v>
      </c>
      <c r="R967">
        <f t="shared" si="1021"/>
        <v>-5825544.3031761171</v>
      </c>
      <c r="S967">
        <f t="shared" si="1022"/>
        <v>-58.255443031761175</v>
      </c>
      <c r="T967">
        <f t="shared" si="1023"/>
        <v>-5.8255443031761174E-2</v>
      </c>
    </row>
    <row r="968" spans="1:20" x14ac:dyDescent="0.25">
      <c r="A968" s="5">
        <v>43625</v>
      </c>
      <c r="B968">
        <v>2.9929999999999999</v>
      </c>
      <c r="C968">
        <v>3.056</v>
      </c>
      <c r="D968">
        <v>2.8050000000000002</v>
      </c>
      <c r="E968">
        <v>2.9159999999999999</v>
      </c>
      <c r="F968">
        <v>326701.08399999997</v>
      </c>
      <c r="G968">
        <v>0</v>
      </c>
      <c r="L968" t="s">
        <v>7</v>
      </c>
      <c r="M968" t="s">
        <v>7</v>
      </c>
      <c r="N968" t="s">
        <v>7</v>
      </c>
      <c r="P968">
        <f t="shared" si="1019"/>
        <v>-0.11553784860557917</v>
      </c>
      <c r="Q968">
        <f t="shared" si="1020"/>
        <v>-37746.340382470597</v>
      </c>
      <c r="R968">
        <f t="shared" si="1021"/>
        <v>-6193863.2645494519</v>
      </c>
      <c r="S968">
        <f t="shared" si="1022"/>
        <v>-61.938632645494522</v>
      </c>
      <c r="T968">
        <f t="shared" si="1023"/>
        <v>-6.1938632645494519E-2</v>
      </c>
    </row>
    <row r="969" spans="1:20" x14ac:dyDescent="0.25">
      <c r="A969" s="5">
        <v>43624</v>
      </c>
      <c r="B969">
        <v>3.129</v>
      </c>
      <c r="C969">
        <v>3.206</v>
      </c>
      <c r="D969">
        <v>2.9729999999999999</v>
      </c>
      <c r="E969">
        <v>2.996</v>
      </c>
      <c r="F969">
        <v>408406.97899999999</v>
      </c>
      <c r="G969">
        <v>0</v>
      </c>
      <c r="L969" t="s">
        <v>7</v>
      </c>
      <c r="M969" t="s">
        <v>7</v>
      </c>
      <c r="N969" t="s">
        <v>8</v>
      </c>
      <c r="P969">
        <f t="shared" si="1019"/>
        <v>-0.80257510729613635</v>
      </c>
      <c r="Q969">
        <f t="shared" si="1020"/>
        <v>-327777.27499141591</v>
      </c>
      <c r="R969">
        <f t="shared" si="1021"/>
        <v>-6156116.9241669811</v>
      </c>
      <c r="S969">
        <f t="shared" si="1022"/>
        <v>-61.561169241669809</v>
      </c>
      <c r="T969">
        <f t="shared" si="1023"/>
        <v>-6.1561169241669808E-2</v>
      </c>
    </row>
    <row r="970" spans="1:20" x14ac:dyDescent="0.25">
      <c r="A970" s="5">
        <v>43623</v>
      </c>
      <c r="B970">
        <v>3</v>
      </c>
      <c r="C970">
        <v>3.2290000000000001</v>
      </c>
      <c r="D970">
        <v>2.9689999999999999</v>
      </c>
      <c r="E970">
        <v>3.13</v>
      </c>
      <c r="F970">
        <v>349100.53200000001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0.23846153846153761</v>
      </c>
      <c r="Q970">
        <f t="shared" si="1020"/>
        <v>83247.049938461249</v>
      </c>
      <c r="R970">
        <f t="shared" si="1021"/>
        <v>-5828339.6491755648</v>
      </c>
      <c r="S970">
        <f t="shared" si="1022"/>
        <v>-58.283396491755646</v>
      </c>
      <c r="T970">
        <f t="shared" si="1023"/>
        <v>-5.8283396491755644E-2</v>
      </c>
    </row>
    <row r="971" spans="1:20" x14ac:dyDescent="0.25">
      <c r="A971" s="5">
        <v>43622</v>
      </c>
      <c r="B971">
        <v>3.0110000000000001</v>
      </c>
      <c r="C971">
        <v>3.0430000000000001</v>
      </c>
      <c r="D971">
        <v>2.8610000000000002</v>
      </c>
      <c r="E971">
        <v>3.004</v>
      </c>
      <c r="F971">
        <v>273513.50300000003</v>
      </c>
      <c r="G971">
        <v>0</v>
      </c>
      <c r="L971" t="s">
        <v>7</v>
      </c>
      <c r="M971" t="s">
        <v>7</v>
      </c>
      <c r="N971" t="s">
        <v>8</v>
      </c>
      <c r="P971">
        <f t="shared" si="1019"/>
        <v>0.57142857142856973</v>
      </c>
      <c r="Q971">
        <f t="shared" si="1020"/>
        <v>156293.43028571384</v>
      </c>
      <c r="R971">
        <f t="shared" si="1021"/>
        <v>-5911586.6991140256</v>
      </c>
      <c r="S971">
        <f t="shared" si="1022"/>
        <v>-59.115866991140258</v>
      </c>
      <c r="T971">
        <f t="shared" si="1023"/>
        <v>-5.9115866991140256E-2</v>
      </c>
    </row>
    <row r="972" spans="1:20" x14ac:dyDescent="0.25">
      <c r="A972" s="5">
        <v>43621</v>
      </c>
      <c r="B972">
        <v>2.9689999999999999</v>
      </c>
      <c r="C972">
        <v>3.0649999999999999</v>
      </c>
      <c r="D972">
        <v>2.9119999999999999</v>
      </c>
      <c r="E972">
        <v>3.016</v>
      </c>
      <c r="F972">
        <v>380370.07299999997</v>
      </c>
      <c r="G972">
        <v>0</v>
      </c>
      <c r="L972" t="s">
        <v>7</v>
      </c>
      <c r="M972" t="s">
        <v>7</v>
      </c>
      <c r="N972" t="s">
        <v>8</v>
      </c>
      <c r="P972">
        <f t="shared" si="1019"/>
        <v>0.35947712418300753</v>
      </c>
      <c r="Q972">
        <f t="shared" si="1020"/>
        <v>136734.33996732064</v>
      </c>
      <c r="R972">
        <f t="shared" si="1021"/>
        <v>-6067880.1293997392</v>
      </c>
      <c r="S972">
        <f t="shared" si="1022"/>
        <v>-60.678801293997395</v>
      </c>
      <c r="T972">
        <f t="shared" si="1023"/>
        <v>-6.0678801293997393E-2</v>
      </c>
    </row>
    <row r="973" spans="1:20" x14ac:dyDescent="0.25">
      <c r="A973" s="5">
        <v>43620</v>
      </c>
      <c r="B973">
        <v>3.1469999999999998</v>
      </c>
      <c r="C973">
        <v>3.1739999999999999</v>
      </c>
      <c r="D973">
        <v>2.89</v>
      </c>
      <c r="E973">
        <v>2.9649999999999999</v>
      </c>
      <c r="F973">
        <v>712014.50699999998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-0.47183098591549449</v>
      </c>
      <c r="Q973">
        <f t="shared" si="1020"/>
        <v>-335950.50682394474</v>
      </c>
      <c r="R973">
        <f t="shared" si="1021"/>
        <v>-6204614.4693670599</v>
      </c>
      <c r="S973">
        <f t="shared" si="1022"/>
        <v>-62.046144693670598</v>
      </c>
      <c r="T973">
        <f t="shared" si="1023"/>
        <v>-6.2046144693670598E-2</v>
      </c>
    </row>
    <row r="974" spans="1:20" x14ac:dyDescent="0.25">
      <c r="A974" s="5">
        <v>43619</v>
      </c>
      <c r="B974">
        <v>3.6150000000000002</v>
      </c>
      <c r="C974">
        <v>3.6160000000000001</v>
      </c>
      <c r="D974">
        <v>3.0950000000000002</v>
      </c>
      <c r="E974">
        <v>3.15</v>
      </c>
      <c r="F974">
        <v>764218.99300000002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-0.78886756238003941</v>
      </c>
      <c r="Q974">
        <f t="shared" si="1020"/>
        <v>-602867.5741324384</v>
      </c>
      <c r="R974">
        <f t="shared" si="1021"/>
        <v>-5868663.962543115</v>
      </c>
      <c r="S974">
        <f t="shared" si="1022"/>
        <v>-58.686639625431148</v>
      </c>
      <c r="T974">
        <f t="shared" si="1023"/>
        <v>-5.868663962543115E-2</v>
      </c>
    </row>
    <row r="975" spans="1:20" x14ac:dyDescent="0.25">
      <c r="A975" s="5">
        <v>43618</v>
      </c>
      <c r="B975">
        <v>3.508</v>
      </c>
      <c r="C975">
        <v>3.6680000000000001</v>
      </c>
      <c r="D975">
        <v>3.4580000000000002</v>
      </c>
      <c r="E975">
        <v>3.6080000000000001</v>
      </c>
      <c r="F975">
        <v>485730.08</v>
      </c>
      <c r="G975">
        <v>0</v>
      </c>
      <c r="L975" t="s">
        <v>7</v>
      </c>
      <c r="M975" t="s">
        <v>8</v>
      </c>
      <c r="N975" t="s">
        <v>8</v>
      </c>
      <c r="P975">
        <f t="shared" si="1019"/>
        <v>0.42857142857142799</v>
      </c>
      <c r="Q975">
        <f t="shared" si="1020"/>
        <v>208170.03428571401</v>
      </c>
      <c r="R975">
        <f t="shared" si="1021"/>
        <v>-5265796.3884106763</v>
      </c>
      <c r="S975">
        <f t="shared" si="1022"/>
        <v>-52.657963884106763</v>
      </c>
      <c r="T975">
        <f t="shared" si="1023"/>
        <v>-5.2657963884106762E-2</v>
      </c>
    </row>
    <row r="976" spans="1:20" x14ac:dyDescent="0.25">
      <c r="A976" s="5">
        <v>43617</v>
      </c>
      <c r="B976">
        <v>3.306</v>
      </c>
      <c r="C976">
        <v>3.8</v>
      </c>
      <c r="D976">
        <v>3.274</v>
      </c>
      <c r="E976">
        <v>3.508</v>
      </c>
      <c r="F976">
        <v>1396828.969</v>
      </c>
      <c r="G976">
        <v>0</v>
      </c>
      <c r="L976" t="s">
        <v>8</v>
      </c>
      <c r="M976" t="s">
        <v>8</v>
      </c>
      <c r="N976" t="s">
        <v>8</v>
      </c>
      <c r="P976">
        <f t="shared" si="1019"/>
        <v>-0.11026615969581721</v>
      </c>
      <c r="Q976">
        <f t="shared" si="1020"/>
        <v>-154022.96616349771</v>
      </c>
      <c r="R976">
        <f t="shared" si="1021"/>
        <v>-5473966.4226963902</v>
      </c>
      <c r="S976">
        <f t="shared" si="1022"/>
        <v>-54.739664226963903</v>
      </c>
      <c r="T976">
        <f t="shared" si="1023"/>
        <v>-5.4739664226963906E-2</v>
      </c>
    </row>
    <row r="977" spans="1:20" x14ac:dyDescent="0.25">
      <c r="A977" s="5">
        <v>43616</v>
      </c>
      <c r="B977">
        <v>3.1190000000000002</v>
      </c>
      <c r="C977">
        <v>3.335</v>
      </c>
      <c r="D977">
        <v>3.016</v>
      </c>
      <c r="E977">
        <v>3.298</v>
      </c>
      <c r="F977">
        <v>442188.65299999999</v>
      </c>
      <c r="G977">
        <v>0</v>
      </c>
      <c r="L977" t="s">
        <v>7</v>
      </c>
      <c r="M977" t="s">
        <v>7</v>
      </c>
      <c r="N977" t="s">
        <v>8</v>
      </c>
      <c r="P977">
        <f t="shared" si="1019"/>
        <v>0.76802507836990641</v>
      </c>
      <c r="Q977">
        <f t="shared" si="1020"/>
        <v>339611.97487460834</v>
      </c>
      <c r="R977">
        <f t="shared" si="1021"/>
        <v>-5319943.4565328928</v>
      </c>
      <c r="S977">
        <f t="shared" si="1022"/>
        <v>-53.199434565328929</v>
      </c>
      <c r="T977">
        <f t="shared" si="1023"/>
        <v>-5.3199434565328926E-2</v>
      </c>
    </row>
    <row r="978" spans="1:20" x14ac:dyDescent="0.25">
      <c r="A978" s="5">
        <v>43615</v>
      </c>
      <c r="B978">
        <v>3.2890000000000001</v>
      </c>
      <c r="C978">
        <v>3.5680000000000001</v>
      </c>
      <c r="D978">
        <v>3.016</v>
      </c>
      <c r="E978">
        <v>3.1139999999999999</v>
      </c>
      <c r="F978">
        <v>977469.18500000006</v>
      </c>
      <c r="G978">
        <v>0</v>
      </c>
      <c r="L978" t="s">
        <v>8</v>
      </c>
      <c r="M978" t="s">
        <v>8</v>
      </c>
      <c r="N978" t="s">
        <v>8</v>
      </c>
      <c r="P978">
        <f t="shared" si="1019"/>
        <v>-0.64492753623188459</v>
      </c>
      <c r="Q978">
        <f t="shared" si="1020"/>
        <v>-630396.79322463821</v>
      </c>
      <c r="R978">
        <f t="shared" si="1021"/>
        <v>-5659555.431407501</v>
      </c>
      <c r="S978">
        <f t="shared" si="1022"/>
        <v>-56.595554314075009</v>
      </c>
      <c r="T978">
        <f t="shared" si="1023"/>
        <v>-5.6595554314075008E-2</v>
      </c>
    </row>
    <row r="979" spans="1:20" x14ac:dyDescent="0.25">
      <c r="A979" s="5">
        <v>43614</v>
      </c>
      <c r="B979">
        <v>3.2210000000000001</v>
      </c>
      <c r="C979">
        <v>3.43</v>
      </c>
      <c r="D979">
        <v>3.004</v>
      </c>
      <c r="E979">
        <v>3.298</v>
      </c>
      <c r="F979">
        <v>633755.34499999997</v>
      </c>
      <c r="G979">
        <v>0</v>
      </c>
      <c r="L979" t="s">
        <v>8</v>
      </c>
      <c r="M979" t="s">
        <v>8</v>
      </c>
      <c r="N979" t="s">
        <v>8</v>
      </c>
      <c r="P979">
        <f t="shared" si="1019"/>
        <v>0.38028169014084473</v>
      </c>
      <c r="Q979">
        <f t="shared" si="1020"/>
        <v>241005.55373239415</v>
      </c>
      <c r="R979">
        <f t="shared" si="1021"/>
        <v>-5029158.6381828627</v>
      </c>
      <c r="S979">
        <f t="shared" si="1022"/>
        <v>-50.29158638182863</v>
      </c>
      <c r="T979">
        <f t="shared" si="1023"/>
        <v>-5.029158638182863E-2</v>
      </c>
    </row>
    <row r="980" spans="1:20" x14ac:dyDescent="0.25">
      <c r="A980" s="5">
        <v>43613</v>
      </c>
      <c r="B980">
        <v>3.194</v>
      </c>
      <c r="C980">
        <v>3.302</v>
      </c>
      <c r="D980">
        <v>3.0750000000000002</v>
      </c>
      <c r="E980">
        <v>3.2240000000000002</v>
      </c>
      <c r="F980">
        <v>522848.37599999999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0.3127753303964767</v>
      </c>
      <c r="Q980">
        <f t="shared" si="1020"/>
        <v>163534.07355066127</v>
      </c>
      <c r="R980">
        <f t="shared" si="1021"/>
        <v>-5270164.1919152569</v>
      </c>
      <c r="S980">
        <f t="shared" si="1022"/>
        <v>-52.701641919152571</v>
      </c>
      <c r="T980">
        <f t="shared" si="1023"/>
        <v>-5.2701641919152574E-2</v>
      </c>
    </row>
    <row r="981" spans="1:20" x14ac:dyDescent="0.25">
      <c r="A981" s="5">
        <v>43612</v>
      </c>
      <c r="B981">
        <v>3.0550000000000002</v>
      </c>
      <c r="C981">
        <v>3.2709999999999999</v>
      </c>
      <c r="D981">
        <v>3.0230000000000001</v>
      </c>
      <c r="E981">
        <v>3.1920000000000002</v>
      </c>
      <c r="F981">
        <v>471956.33199999999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0.36290322580645318</v>
      </c>
      <c r="Q981">
        <f t="shared" si="1020"/>
        <v>171274.47532258139</v>
      </c>
      <c r="R981">
        <f t="shared" si="1021"/>
        <v>-5433698.265465918</v>
      </c>
      <c r="S981">
        <f t="shared" si="1022"/>
        <v>-54.336982654659181</v>
      </c>
      <c r="T981">
        <f t="shared" si="1023"/>
        <v>-5.433698265465918E-2</v>
      </c>
    </row>
    <row r="982" spans="1:20" x14ac:dyDescent="0.25">
      <c r="A982" s="5">
        <v>43611</v>
      </c>
      <c r="B982">
        <v>2.8980000000000001</v>
      </c>
      <c r="C982">
        <v>3.0710000000000002</v>
      </c>
      <c r="D982">
        <v>2.81</v>
      </c>
      <c r="E982">
        <v>3.0619999999999998</v>
      </c>
      <c r="F982">
        <v>377504.03600000002</v>
      </c>
      <c r="G982">
        <v>0</v>
      </c>
      <c r="L982" t="s">
        <v>7</v>
      </c>
      <c r="M982" t="s">
        <v>7</v>
      </c>
      <c r="N982" t="s">
        <v>8</v>
      </c>
      <c r="P982">
        <f t="shared" si="1019"/>
        <v>0.93103448275861811</v>
      </c>
      <c r="Q982">
        <f t="shared" si="1020"/>
        <v>351469.27489655075</v>
      </c>
      <c r="R982">
        <f t="shared" si="1021"/>
        <v>-5604972.7407884998</v>
      </c>
      <c r="S982">
        <f t="shared" si="1022"/>
        <v>-56.049727407885001</v>
      </c>
      <c r="T982">
        <f t="shared" si="1023"/>
        <v>-5.6049727407885004E-2</v>
      </c>
    </row>
    <row r="983" spans="1:20" x14ac:dyDescent="0.25">
      <c r="A983" s="5">
        <v>43610</v>
      </c>
      <c r="B983">
        <v>2.923</v>
      </c>
      <c r="C983">
        <v>2.9460000000000002</v>
      </c>
      <c r="D983">
        <v>2.859</v>
      </c>
      <c r="E983">
        <v>2.899</v>
      </c>
      <c r="F983">
        <v>197562.23499999999</v>
      </c>
      <c r="G983">
        <v>0</v>
      </c>
      <c r="L983" t="s">
        <v>8</v>
      </c>
      <c r="M983" t="s">
        <v>7</v>
      </c>
      <c r="N983" t="s">
        <v>8</v>
      </c>
      <c r="P983">
        <f t="shared" si="1019"/>
        <v>-8.0459770114943707E-2</v>
      </c>
      <c r="Q983">
        <f t="shared" si="1020"/>
        <v>-15895.812011494485</v>
      </c>
      <c r="R983">
        <f t="shared" si="1021"/>
        <v>-5956442.0156850507</v>
      </c>
      <c r="S983">
        <f t="shared" si="1022"/>
        <v>-59.56442015685051</v>
      </c>
      <c r="T983">
        <f t="shared" si="1023"/>
        <v>-5.9564420156850512E-2</v>
      </c>
    </row>
    <row r="984" spans="1:20" x14ac:dyDescent="0.25">
      <c r="A984" s="5">
        <v>43609</v>
      </c>
      <c r="B984">
        <v>2.879</v>
      </c>
      <c r="C984">
        <v>3.04</v>
      </c>
      <c r="D984">
        <v>2.8410000000000002</v>
      </c>
      <c r="E984">
        <v>2.9159999999999999</v>
      </c>
      <c r="F984">
        <v>418961.38299999997</v>
      </c>
      <c r="G984">
        <v>0</v>
      </c>
      <c r="L984" t="s">
        <v>8</v>
      </c>
      <c r="M984" t="s">
        <v>7</v>
      </c>
      <c r="N984" t="s">
        <v>8</v>
      </c>
      <c r="P984">
        <f t="shared" si="1019"/>
        <v>-0.24623115577889657</v>
      </c>
      <c r="Q984">
        <f t="shared" si="1020"/>
        <v>-103161.34556281494</v>
      </c>
      <c r="R984">
        <f t="shared" si="1021"/>
        <v>-5940546.2036735564</v>
      </c>
      <c r="S984">
        <f t="shared" si="1022"/>
        <v>-59.405462036735564</v>
      </c>
      <c r="T984">
        <f t="shared" si="1023"/>
        <v>-5.9405462036735565E-2</v>
      </c>
    </row>
    <row r="985" spans="1:20" x14ac:dyDescent="0.25">
      <c r="A985" s="5">
        <v>43608</v>
      </c>
      <c r="B985">
        <v>2.8530000000000002</v>
      </c>
      <c r="C985">
        <v>2.9020000000000001</v>
      </c>
      <c r="D985">
        <v>2.7229999999999999</v>
      </c>
      <c r="E985">
        <v>2.8719999999999999</v>
      </c>
      <c r="F985">
        <v>587451.60400000005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0.66480446927374071</v>
      </c>
      <c r="Q985">
        <f t="shared" si="1020"/>
        <v>390540.45182122773</v>
      </c>
      <c r="R985">
        <f t="shared" si="1021"/>
        <v>-5837384.8581107417</v>
      </c>
      <c r="S985">
        <f t="shared" si="1022"/>
        <v>-58.373848581107417</v>
      </c>
      <c r="T985">
        <f t="shared" si="1023"/>
        <v>-5.8373848581107418E-2</v>
      </c>
    </row>
    <row r="986" spans="1:20" x14ac:dyDescent="0.25">
      <c r="A986" s="5">
        <v>43607</v>
      </c>
      <c r="B986">
        <v>3.1480000000000001</v>
      </c>
      <c r="C986">
        <v>3.1760000000000002</v>
      </c>
      <c r="D986">
        <v>2.8149999999999999</v>
      </c>
      <c r="E986">
        <v>2.8530000000000002</v>
      </c>
      <c r="F986">
        <v>548238.81200000003</v>
      </c>
      <c r="G986">
        <v>0</v>
      </c>
      <c r="L986" t="s">
        <v>7</v>
      </c>
      <c r="M986" t="s">
        <v>8</v>
      </c>
      <c r="N986" t="s">
        <v>8</v>
      </c>
      <c r="P986">
        <f t="shared" si="1019"/>
        <v>-0.789473684210525</v>
      </c>
      <c r="Q986">
        <f t="shared" si="1020"/>
        <v>-432820.11473684141</v>
      </c>
      <c r="R986">
        <f t="shared" si="1021"/>
        <v>-6227925.3099319693</v>
      </c>
      <c r="S986">
        <f t="shared" si="1022"/>
        <v>-62.279253099319696</v>
      </c>
      <c r="T986">
        <f t="shared" si="1023"/>
        <v>-6.2279253099319698E-2</v>
      </c>
    </row>
    <row r="987" spans="1:20" x14ac:dyDescent="0.25">
      <c r="A987" s="5">
        <v>43606</v>
      </c>
      <c r="B987">
        <v>3.09</v>
      </c>
      <c r="C987">
        <v>3.2549999999999999</v>
      </c>
      <c r="D987">
        <v>3.0209999999999999</v>
      </c>
      <c r="E987">
        <v>3.153</v>
      </c>
      <c r="F987">
        <v>500595.78899999999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0.12820512820512928</v>
      </c>
      <c r="Q987">
        <f t="shared" si="1020"/>
        <v>64178.947307692841</v>
      </c>
      <c r="R987">
        <f t="shared" si="1021"/>
        <v>-5795105.1951951282</v>
      </c>
      <c r="S987">
        <f t="shared" si="1022"/>
        <v>-57.951051951951285</v>
      </c>
      <c r="T987">
        <f t="shared" si="1023"/>
        <v>-5.7951051951951285E-2</v>
      </c>
    </row>
    <row r="988" spans="1:20" x14ac:dyDescent="0.25">
      <c r="A988" s="5">
        <v>43605</v>
      </c>
      <c r="B988">
        <v>3.1320000000000001</v>
      </c>
      <c r="C988">
        <v>3.1989999999999998</v>
      </c>
      <c r="D988">
        <v>2.8</v>
      </c>
      <c r="E988">
        <v>3.09</v>
      </c>
      <c r="F988">
        <v>1102925.8470000001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0.45363408521303267</v>
      </c>
      <c r="Q988">
        <f t="shared" si="1020"/>
        <v>500324.75766165426</v>
      </c>
      <c r="R988">
        <f t="shared" si="1021"/>
        <v>-5859284.1425028211</v>
      </c>
      <c r="S988">
        <f t="shared" si="1022"/>
        <v>-58.592841425028212</v>
      </c>
      <c r="T988">
        <f t="shared" si="1023"/>
        <v>-5.8592841425028214E-2</v>
      </c>
    </row>
    <row r="989" spans="1:20" x14ac:dyDescent="0.25">
      <c r="A989" s="5">
        <v>43604</v>
      </c>
      <c r="B989">
        <v>2.82</v>
      </c>
      <c r="C989">
        <v>3.2080000000000002</v>
      </c>
      <c r="D989">
        <v>2.819</v>
      </c>
      <c r="E989">
        <v>3.14</v>
      </c>
      <c r="F989">
        <v>763988.68099999998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0.65038560411311042</v>
      </c>
      <c r="Q989">
        <f t="shared" si="1020"/>
        <v>496887.23982776341</v>
      </c>
      <c r="R989">
        <f t="shared" si="1021"/>
        <v>-6359608.9001644757</v>
      </c>
      <c r="S989">
        <f t="shared" si="1022"/>
        <v>-63.596089001644756</v>
      </c>
      <c r="T989">
        <f t="shared" si="1023"/>
        <v>-6.3596089001644762E-2</v>
      </c>
    </row>
    <row r="990" spans="1:20" x14ac:dyDescent="0.25">
      <c r="A990" s="5">
        <v>43603</v>
      </c>
      <c r="B990">
        <v>2.8940000000000001</v>
      </c>
      <c r="C990">
        <v>2.9390000000000001</v>
      </c>
      <c r="D990">
        <v>2.7360000000000002</v>
      </c>
      <c r="E990">
        <v>2.8260000000000001</v>
      </c>
      <c r="F990">
        <v>429639.38500000001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-0.11330049261083817</v>
      </c>
      <c r="Q990">
        <f t="shared" si="1020"/>
        <v>-48678.353965517555</v>
      </c>
      <c r="R990">
        <f t="shared" si="1021"/>
        <v>-6856496.139992239</v>
      </c>
      <c r="S990">
        <f t="shared" si="1022"/>
        <v>-68.564961399922396</v>
      </c>
      <c r="T990">
        <f t="shared" si="1023"/>
        <v>-6.8564961399922394E-2</v>
      </c>
    </row>
    <row r="991" spans="1:20" x14ac:dyDescent="0.25">
      <c r="A991" s="5">
        <v>43602</v>
      </c>
      <c r="B991">
        <v>3.1349999999999998</v>
      </c>
      <c r="C991">
        <v>3.161</v>
      </c>
      <c r="D991">
        <v>2.6989999999999998</v>
      </c>
      <c r="E991">
        <v>2.887</v>
      </c>
      <c r="F991">
        <v>799974.70499999996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-0.18614718614718576</v>
      </c>
      <c r="Q991">
        <f t="shared" si="1020"/>
        <v>-148913.04032467501</v>
      </c>
      <c r="R991">
        <f t="shared" si="1021"/>
        <v>-6807817.7860267218</v>
      </c>
      <c r="S991">
        <f t="shared" si="1022"/>
        <v>-68.078177860267218</v>
      </c>
      <c r="T991">
        <f t="shared" si="1023"/>
        <v>-6.8078177860267222E-2</v>
      </c>
    </row>
    <row r="992" spans="1:20" x14ac:dyDescent="0.25">
      <c r="A992" s="5">
        <v>43601</v>
      </c>
      <c r="B992">
        <v>3.26</v>
      </c>
      <c r="C992">
        <v>3.53</v>
      </c>
      <c r="D992">
        <v>2.9649999999999999</v>
      </c>
      <c r="E992">
        <v>3.1349999999999998</v>
      </c>
      <c r="F992">
        <v>1717296.287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-0.3982300884955754</v>
      </c>
      <c r="Q992">
        <f t="shared" si="1020"/>
        <v>-683879.05234513304</v>
      </c>
      <c r="R992">
        <f t="shared" si="1021"/>
        <v>-6658904.7457020469</v>
      </c>
      <c r="S992">
        <f t="shared" si="1022"/>
        <v>-66.58904745702047</v>
      </c>
      <c r="T992">
        <f t="shared" si="1023"/>
        <v>-6.6589047457020475E-2</v>
      </c>
    </row>
    <row r="993" spans="1:20" x14ac:dyDescent="0.25">
      <c r="A993" s="5">
        <v>43600</v>
      </c>
      <c r="B993">
        <v>2.7629999999999999</v>
      </c>
      <c r="C993">
        <v>3.2810000000000001</v>
      </c>
      <c r="D993">
        <v>2.762</v>
      </c>
      <c r="E993">
        <v>3.2509999999999999</v>
      </c>
      <c r="F993">
        <v>565551.86199999996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0.88439306358381409</v>
      </c>
      <c r="Q993">
        <f t="shared" si="1020"/>
        <v>500170.14384971041</v>
      </c>
      <c r="R993">
        <f t="shared" si="1021"/>
        <v>-5975025.6933569135</v>
      </c>
      <c r="S993">
        <f t="shared" si="1022"/>
        <v>-59.750256933569133</v>
      </c>
      <c r="T993">
        <f t="shared" si="1023"/>
        <v>-5.9750256933569133E-2</v>
      </c>
    </row>
    <row r="994" spans="1:20" x14ac:dyDescent="0.25">
      <c r="A994" s="5">
        <v>43599</v>
      </c>
      <c r="B994">
        <v>2.4889999999999999</v>
      </c>
      <c r="C994">
        <v>2.8420000000000001</v>
      </c>
      <c r="D994">
        <v>2.4750000000000001</v>
      </c>
      <c r="E994">
        <v>2.7719999999999998</v>
      </c>
      <c r="F994">
        <v>835916.91700000002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0.61852861035422191</v>
      </c>
      <c r="Q994">
        <f t="shared" si="1020"/>
        <v>517038.52904359548</v>
      </c>
      <c r="R994">
        <f t="shared" si="1021"/>
        <v>-6475195.8372066235</v>
      </c>
      <c r="S994">
        <f t="shared" si="1022"/>
        <v>-64.751958372066241</v>
      </c>
      <c r="T994">
        <f t="shared" si="1023"/>
        <v>-6.4751958372066237E-2</v>
      </c>
    </row>
    <row r="995" spans="1:20" x14ac:dyDescent="0.25">
      <c r="A995" s="5">
        <v>43598</v>
      </c>
      <c r="B995">
        <v>2.403</v>
      </c>
      <c r="C995">
        <v>2.5790000000000002</v>
      </c>
      <c r="D995">
        <v>2.383</v>
      </c>
      <c r="E995">
        <v>2.4900000000000002</v>
      </c>
      <c r="F995">
        <v>510018.94099999999</v>
      </c>
      <c r="G995">
        <v>0</v>
      </c>
      <c r="L995" t="s">
        <v>8</v>
      </c>
      <c r="M995" t="s">
        <v>7</v>
      </c>
      <c r="N995" t="s">
        <v>7</v>
      </c>
      <c r="P995">
        <f t="shared" si="1019"/>
        <v>9.183673469387868E-2</v>
      </c>
      <c r="Q995">
        <f t="shared" si="1020"/>
        <v>46838.474173469964</v>
      </c>
      <c r="R995">
        <f t="shared" si="1021"/>
        <v>-6992234.3662502188</v>
      </c>
      <c r="S995">
        <f t="shared" si="1022"/>
        <v>-69.922343662502186</v>
      </c>
      <c r="T995">
        <f t="shared" si="1023"/>
        <v>-6.992234366250219E-2</v>
      </c>
    </row>
    <row r="996" spans="1:20" x14ac:dyDescent="0.25">
      <c r="A996" s="5">
        <v>43597</v>
      </c>
      <c r="B996">
        <v>2.5169999999999999</v>
      </c>
      <c r="C996">
        <v>2.6030000000000002</v>
      </c>
      <c r="D996">
        <v>2.3450000000000002</v>
      </c>
      <c r="E996">
        <v>2.4209999999999998</v>
      </c>
      <c r="F996">
        <v>419400.73100000003</v>
      </c>
      <c r="G996">
        <v>0</v>
      </c>
      <c r="L996" t="s">
        <v>7</v>
      </c>
      <c r="M996" t="s">
        <v>7</v>
      </c>
      <c r="N996" t="s">
        <v>7</v>
      </c>
      <c r="P996">
        <f t="shared" si="1019"/>
        <v>-0.41085271317829752</v>
      </c>
      <c r="Q996">
        <f t="shared" si="1020"/>
        <v>-172311.92824031133</v>
      </c>
      <c r="R996">
        <f t="shared" si="1021"/>
        <v>-7039072.8404236892</v>
      </c>
      <c r="S996">
        <f t="shared" si="1022"/>
        <v>-70.390728404236896</v>
      </c>
      <c r="T996">
        <f t="shared" si="1023"/>
        <v>-7.0390728404236894E-2</v>
      </c>
    </row>
    <row r="997" spans="1:20" x14ac:dyDescent="0.25">
      <c r="A997" s="5">
        <v>43596</v>
      </c>
      <c r="B997">
        <v>2.355</v>
      </c>
      <c r="C997">
        <v>2.64</v>
      </c>
      <c r="D997">
        <v>2.3380000000000001</v>
      </c>
      <c r="E997">
        <v>2.5049999999999999</v>
      </c>
      <c r="F997">
        <v>605643.73100000003</v>
      </c>
      <c r="G997">
        <v>0</v>
      </c>
      <c r="L997" t="s">
        <v>8</v>
      </c>
      <c r="M997" t="s">
        <v>7</v>
      </c>
      <c r="N997" t="s">
        <v>7</v>
      </c>
      <c r="P997">
        <f t="shared" si="1019"/>
        <v>0.10596026490066086</v>
      </c>
      <c r="Q997">
        <f t="shared" si="1020"/>
        <v>64174.170172184597</v>
      </c>
      <c r="R997">
        <f t="shared" si="1021"/>
        <v>-6866760.9121833779</v>
      </c>
      <c r="S997">
        <f t="shared" si="1022"/>
        <v>-68.667609121833777</v>
      </c>
      <c r="T997">
        <f t="shared" si="1023"/>
        <v>-6.8667609121833784E-2</v>
      </c>
    </row>
    <row r="998" spans="1:20" x14ac:dyDescent="0.25">
      <c r="A998" s="5">
        <v>43595</v>
      </c>
      <c r="B998">
        <v>2.343</v>
      </c>
      <c r="C998">
        <v>2.38</v>
      </c>
      <c r="D998">
        <v>2.2999999999999998</v>
      </c>
      <c r="E998">
        <v>2.355</v>
      </c>
      <c r="F998">
        <v>338755.44500000001</v>
      </c>
      <c r="G998">
        <v>0</v>
      </c>
      <c r="L998" t="s">
        <v>7</v>
      </c>
      <c r="M998" t="s">
        <v>7</v>
      </c>
      <c r="N998" t="s">
        <v>7</v>
      </c>
      <c r="P998">
        <f t="shared" si="1019"/>
        <v>0.37500000000000278</v>
      </c>
      <c r="Q998">
        <f t="shared" si="1020"/>
        <v>127033.29187500094</v>
      </c>
      <c r="R998">
        <f t="shared" si="1021"/>
        <v>-6930935.0823555626</v>
      </c>
      <c r="S998">
        <f t="shared" si="1022"/>
        <v>-69.309350823555633</v>
      </c>
      <c r="T998">
        <f t="shared" si="1023"/>
        <v>-6.9309350823555632E-2</v>
      </c>
    </row>
    <row r="999" spans="1:20" x14ac:dyDescent="0.25">
      <c r="A999" s="5">
        <v>43594</v>
      </c>
      <c r="B999">
        <v>2.4209999999999998</v>
      </c>
      <c r="C999">
        <v>2.4870000000000001</v>
      </c>
      <c r="D999">
        <v>2.2909999999999999</v>
      </c>
      <c r="E999">
        <v>2.3420000000000001</v>
      </c>
      <c r="F999">
        <v>260243.62100000001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-0.47959183673469274</v>
      </c>
      <c r="Q999">
        <f t="shared" si="1020"/>
        <v>-124810.71619387726</v>
      </c>
      <c r="R999">
        <f t="shared" si="1021"/>
        <v>-7057968.3742305636</v>
      </c>
      <c r="S999">
        <f t="shared" si="1022"/>
        <v>-70.579683742305633</v>
      </c>
      <c r="T999">
        <f t="shared" si="1023"/>
        <v>-7.0579683742305638E-2</v>
      </c>
    </row>
    <row r="1000" spans="1:20" x14ac:dyDescent="0.25">
      <c r="A1000" s="5">
        <v>43593</v>
      </c>
      <c r="B1000">
        <v>2.3860000000000001</v>
      </c>
      <c r="C1000">
        <v>2.4670000000000001</v>
      </c>
      <c r="D1000">
        <v>2.3450000000000002</v>
      </c>
      <c r="E1000">
        <v>2.42</v>
      </c>
      <c r="F1000">
        <v>154011.21799999999</v>
      </c>
      <c r="G1000">
        <v>0</v>
      </c>
      <c r="L1000" t="s">
        <v>8</v>
      </c>
      <c r="M1000" t="s">
        <v>7</v>
      </c>
      <c r="N1000" t="s">
        <v>7</v>
      </c>
      <c r="P1000">
        <f t="shared" si="1019"/>
        <v>0.22950819672130826</v>
      </c>
      <c r="Q1000">
        <f t="shared" si="1020"/>
        <v>35346.836918032292</v>
      </c>
      <c r="R1000">
        <f t="shared" si="1021"/>
        <v>-6933157.6580366865</v>
      </c>
      <c r="S1000">
        <f t="shared" si="1022"/>
        <v>-69.331576580366871</v>
      </c>
      <c r="T1000">
        <f t="shared" si="1023"/>
        <v>-6.9331576580366872E-2</v>
      </c>
    </row>
    <row r="1001" spans="1:20" x14ac:dyDescent="0.25">
      <c r="A1001" s="5">
        <v>43592</v>
      </c>
      <c r="B1001">
        <v>2.4249999999999998</v>
      </c>
      <c r="C1001">
        <v>2.508</v>
      </c>
      <c r="D1001">
        <v>2.37</v>
      </c>
      <c r="E1001">
        <v>2.3940000000000001</v>
      </c>
      <c r="F1001">
        <v>312914.027</v>
      </c>
      <c r="G1001">
        <v>0</v>
      </c>
      <c r="L1001" t="s">
        <v>8</v>
      </c>
      <c r="M1001" t="s">
        <v>7</v>
      </c>
      <c r="N1001" t="s">
        <v>7</v>
      </c>
      <c r="P1001">
        <f t="shared" si="1019"/>
        <v>-0.65217391304347772</v>
      </c>
      <c r="Q1001">
        <f t="shared" si="1020"/>
        <v>-204074.36543478243</v>
      </c>
      <c r="R1001">
        <f t="shared" si="1021"/>
        <v>-6968504.4949547192</v>
      </c>
      <c r="S1001">
        <f t="shared" si="1022"/>
        <v>-69.685044949547191</v>
      </c>
      <c r="T1001">
        <f t="shared" si="1023"/>
        <v>-6.9685044949547192E-2</v>
      </c>
    </row>
    <row r="1002" spans="1:20" x14ac:dyDescent="0.25">
      <c r="A1002" s="5">
        <v>43591</v>
      </c>
      <c r="B1002">
        <v>2.4500000000000002</v>
      </c>
      <c r="C1002">
        <v>2.4609999999999999</v>
      </c>
      <c r="D1002">
        <v>2.3170000000000002</v>
      </c>
      <c r="E1002">
        <v>2.419</v>
      </c>
      <c r="F1002">
        <v>352217.61</v>
      </c>
      <c r="G1002">
        <v>0</v>
      </c>
      <c r="L1002" t="s">
        <v>7</v>
      </c>
      <c r="M1002" t="s">
        <v>7</v>
      </c>
      <c r="N1002" t="s">
        <v>7</v>
      </c>
      <c r="P1002">
        <f t="shared" si="1019"/>
        <v>0.41666666666666796</v>
      </c>
      <c r="Q1002">
        <f t="shared" si="1020"/>
        <v>146757.33750000046</v>
      </c>
      <c r="R1002">
        <f t="shared" si="1021"/>
        <v>-6764430.1295199366</v>
      </c>
      <c r="S1002">
        <f t="shared" si="1022"/>
        <v>-67.644301295199369</v>
      </c>
      <c r="T1002">
        <f t="shared" si="1023"/>
        <v>-6.7644301295199369E-2</v>
      </c>
    </row>
    <row r="1003" spans="1:20" x14ac:dyDescent="0.25">
      <c r="A1003" s="5">
        <v>43590</v>
      </c>
      <c r="B1003">
        <v>2.4820000000000002</v>
      </c>
      <c r="C1003">
        <v>2.536</v>
      </c>
      <c r="D1003">
        <v>2.4129999999999998</v>
      </c>
      <c r="E1003">
        <v>2.452</v>
      </c>
      <c r="F1003">
        <v>249656.23</v>
      </c>
      <c r="G1003">
        <v>0</v>
      </c>
      <c r="L1003" t="s">
        <v>7</v>
      </c>
      <c r="M1003" t="s">
        <v>7</v>
      </c>
      <c r="N1003" t="s">
        <v>7</v>
      </c>
      <c r="P1003">
        <f t="shared" si="1019"/>
        <v>-0.36585365853658414</v>
      </c>
      <c r="Q1003">
        <f t="shared" si="1020"/>
        <v>-91337.645121950918</v>
      </c>
      <c r="R1003">
        <f t="shared" si="1021"/>
        <v>-6911187.467019937</v>
      </c>
      <c r="S1003">
        <f t="shared" si="1022"/>
        <v>-69.11187467019937</v>
      </c>
      <c r="T1003">
        <f t="shared" si="1023"/>
        <v>-6.9111874670199372E-2</v>
      </c>
    </row>
    <row r="1004" spans="1:20" x14ac:dyDescent="0.25">
      <c r="A1004" s="5">
        <v>43589</v>
      </c>
      <c r="B1004">
        <v>2.6160000000000001</v>
      </c>
      <c r="C1004">
        <v>2.7</v>
      </c>
      <c r="D1004">
        <v>2.3679999999999999</v>
      </c>
      <c r="E1004">
        <v>2.4830000000000001</v>
      </c>
      <c r="F1004">
        <v>512764.69</v>
      </c>
      <c r="G1004">
        <v>0</v>
      </c>
      <c r="L1004" t="s">
        <v>7</v>
      </c>
      <c r="M1004" t="s">
        <v>7</v>
      </c>
      <c r="N1004" t="s">
        <v>7</v>
      </c>
      <c r="P1004">
        <f t="shared" si="1019"/>
        <v>-0.30722891566264993</v>
      </c>
      <c r="Q1004">
        <f t="shared" si="1020"/>
        <v>-157536.13969879484</v>
      </c>
      <c r="R1004">
        <f t="shared" si="1021"/>
        <v>-6819849.8218979863</v>
      </c>
      <c r="S1004">
        <f t="shared" si="1022"/>
        <v>-68.198498218979864</v>
      </c>
      <c r="T1004">
        <f t="shared" si="1023"/>
        <v>-6.8198498218979858E-2</v>
      </c>
    </row>
    <row r="1005" spans="1:20" x14ac:dyDescent="0.25">
      <c r="A1005" s="5">
        <v>43588</v>
      </c>
      <c r="B1005">
        <v>2.6019999999999999</v>
      </c>
      <c r="C1005">
        <v>2.6909999999999998</v>
      </c>
      <c r="D1005">
        <v>2.5270000000000001</v>
      </c>
      <c r="E1005">
        <v>2.6160000000000001</v>
      </c>
      <c r="F1005">
        <v>588101.50699999998</v>
      </c>
      <c r="G1005">
        <v>0</v>
      </c>
      <c r="L1005" t="s">
        <v>7</v>
      </c>
      <c r="M1005" t="s">
        <v>8</v>
      </c>
      <c r="N1005" t="s">
        <v>7</v>
      </c>
      <c r="P1005">
        <f t="shared" si="1019"/>
        <v>8.5365853658538174E-2</v>
      </c>
      <c r="Q1005">
        <f t="shared" si="1020"/>
        <v>50203.787182927765</v>
      </c>
      <c r="R1005">
        <f t="shared" si="1021"/>
        <v>-6662313.6821991913</v>
      </c>
      <c r="S1005">
        <f t="shared" si="1022"/>
        <v>-66.623136821991906</v>
      </c>
      <c r="T1005">
        <f t="shared" si="1023"/>
        <v>-6.6623136821991905E-2</v>
      </c>
    </row>
    <row r="1006" spans="1:20" x14ac:dyDescent="0.25">
      <c r="A1006" s="5">
        <v>43587</v>
      </c>
      <c r="B1006">
        <v>2.4460000000000002</v>
      </c>
      <c r="C1006">
        <v>2.8260000000000001</v>
      </c>
      <c r="D1006">
        <v>2.4089999999999998</v>
      </c>
      <c r="E1006">
        <v>2.6019999999999999</v>
      </c>
      <c r="F1006">
        <v>1290403.496</v>
      </c>
      <c r="G1006">
        <v>0</v>
      </c>
      <c r="L1006" t="s">
        <v>8</v>
      </c>
      <c r="M1006" t="s">
        <v>8</v>
      </c>
      <c r="N1006" t="s">
        <v>7</v>
      </c>
      <c r="P1006">
        <f t="shared" si="1019"/>
        <v>-7.4340527577937937E-2</v>
      </c>
      <c r="Q1006">
        <f t="shared" si="1020"/>
        <v>-95929.276681055533</v>
      </c>
      <c r="R1006">
        <f t="shared" si="1021"/>
        <v>-6712517.4693821194</v>
      </c>
      <c r="S1006">
        <f t="shared" si="1022"/>
        <v>-67.125174693821194</v>
      </c>
      <c r="T1006">
        <f t="shared" si="1023"/>
        <v>-6.7125174693821191E-2</v>
      </c>
    </row>
    <row r="1007" spans="1:20" x14ac:dyDescent="0.25">
      <c r="A1007" s="5">
        <v>43586</v>
      </c>
      <c r="B1007">
        <v>2.431</v>
      </c>
      <c r="C1007">
        <v>2.5270000000000001</v>
      </c>
      <c r="D1007">
        <v>2.3620000000000001</v>
      </c>
      <c r="E1007">
        <v>2.4460000000000002</v>
      </c>
      <c r="F1007">
        <v>397495.73499999999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1.8181818181818868E-2</v>
      </c>
      <c r="Q1007">
        <f t="shared" si="1020"/>
        <v>7227.1951818184543</v>
      </c>
      <c r="R1007">
        <f t="shared" si="1021"/>
        <v>-6616588.1927010641</v>
      </c>
      <c r="S1007">
        <f t="shared" si="1022"/>
        <v>-66.165881927010645</v>
      </c>
      <c r="T1007">
        <f t="shared" si="1023"/>
        <v>-6.6165881927010645E-2</v>
      </c>
    </row>
    <row r="1008" spans="1:20" x14ac:dyDescent="0.25">
      <c r="A1008" s="5">
        <v>43585</v>
      </c>
      <c r="B1008">
        <v>2.3130000000000002</v>
      </c>
      <c r="C1008">
        <v>2.4380000000000002</v>
      </c>
      <c r="D1008">
        <v>2.2650000000000001</v>
      </c>
      <c r="E1008">
        <v>2.431</v>
      </c>
      <c r="F1008">
        <v>218014.11600000001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0.91907514450866923</v>
      </c>
      <c r="Q1008">
        <f t="shared" si="1020"/>
        <v>200371.35516762978</v>
      </c>
      <c r="R1008">
        <f t="shared" si="1021"/>
        <v>-6623815.3878828827</v>
      </c>
      <c r="S1008">
        <f t="shared" si="1022"/>
        <v>-66.238153878828825</v>
      </c>
      <c r="T1008">
        <f t="shared" si="1023"/>
        <v>-6.6238153878828823E-2</v>
      </c>
    </row>
    <row r="1009" spans="1:20" x14ac:dyDescent="0.25">
      <c r="A1009" s="5">
        <v>43584</v>
      </c>
      <c r="B1009">
        <v>2.3769999999999998</v>
      </c>
      <c r="C1009">
        <v>2.4239999999999999</v>
      </c>
      <c r="D1009">
        <v>2.2440000000000002</v>
      </c>
      <c r="E1009">
        <v>2.3050000000000002</v>
      </c>
      <c r="F1009">
        <v>414483.75799999997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-0.3222222222222218</v>
      </c>
      <c r="Q1009">
        <f t="shared" si="1020"/>
        <v>-133555.8775777776</v>
      </c>
      <c r="R1009">
        <f t="shared" si="1021"/>
        <v>-6824186.7430505129</v>
      </c>
      <c r="S1009">
        <f t="shared" si="1022"/>
        <v>-68.241867430505124</v>
      </c>
      <c r="T1009">
        <f t="shared" si="1023"/>
        <v>-6.8241867430505129E-2</v>
      </c>
    </row>
    <row r="1010" spans="1:20" x14ac:dyDescent="0.25">
      <c r="A1010" s="5">
        <v>43583</v>
      </c>
      <c r="B1010">
        <v>2.4009999999999998</v>
      </c>
      <c r="C1010">
        <v>2.4119999999999999</v>
      </c>
      <c r="D1010">
        <v>2.3450000000000002</v>
      </c>
      <c r="E1010">
        <v>2.3769999999999998</v>
      </c>
      <c r="F1010">
        <v>144883.37299999999</v>
      </c>
      <c r="G1010">
        <v>0</v>
      </c>
      <c r="L1010" t="s">
        <v>8</v>
      </c>
      <c r="M1010" t="s">
        <v>7</v>
      </c>
      <c r="N1010" t="s">
        <v>7</v>
      </c>
      <c r="P1010">
        <f t="shared" si="1019"/>
        <v>-4.4776119402993579E-2</v>
      </c>
      <c r="Q1010">
        <f t="shared" si="1020"/>
        <v>-6487.3152089564555</v>
      </c>
      <c r="R1010">
        <f t="shared" si="1021"/>
        <v>-6690630.8654727349</v>
      </c>
      <c r="S1010">
        <f t="shared" si="1022"/>
        <v>-66.906308654727354</v>
      </c>
      <c r="T1010">
        <f t="shared" si="1023"/>
        <v>-6.6906308654727353E-2</v>
      </c>
    </row>
    <row r="1011" spans="1:20" x14ac:dyDescent="0.25">
      <c r="A1011" s="5">
        <v>43582</v>
      </c>
      <c r="B1011">
        <v>2.3839999999999999</v>
      </c>
      <c r="C1011">
        <v>2.4300000000000002</v>
      </c>
      <c r="D1011">
        <v>2.339</v>
      </c>
      <c r="E1011">
        <v>2.4009999999999998</v>
      </c>
      <c r="F1011">
        <v>233231.783</v>
      </c>
      <c r="G1011">
        <v>0</v>
      </c>
      <c r="L1011" t="s">
        <v>8</v>
      </c>
      <c r="M1011" t="s">
        <v>7</v>
      </c>
      <c r="N1011" t="s">
        <v>7</v>
      </c>
      <c r="P1011">
        <f t="shared" si="1019"/>
        <v>0.36263736263735608</v>
      </c>
      <c r="Q1011">
        <f t="shared" si="1020"/>
        <v>84578.558670328144</v>
      </c>
      <c r="R1011">
        <f t="shared" si="1021"/>
        <v>-6684143.5502637783</v>
      </c>
      <c r="S1011">
        <f t="shared" si="1022"/>
        <v>-66.841435502637779</v>
      </c>
      <c r="T1011">
        <f t="shared" si="1023"/>
        <v>-6.6841435502637783E-2</v>
      </c>
    </row>
    <row r="1012" spans="1:20" x14ac:dyDescent="0.25">
      <c r="A1012" s="5">
        <v>43581</v>
      </c>
      <c r="B1012">
        <v>2.3450000000000002</v>
      </c>
      <c r="C1012">
        <v>2.4409999999999998</v>
      </c>
      <c r="D1012">
        <v>2.2789999999999999</v>
      </c>
      <c r="E1012">
        <v>2.3839999999999999</v>
      </c>
      <c r="F1012">
        <v>353870.91</v>
      </c>
      <c r="G1012">
        <v>0</v>
      </c>
      <c r="L1012" t="s">
        <v>8</v>
      </c>
      <c r="M1012" t="s">
        <v>7</v>
      </c>
      <c r="N1012" t="s">
        <v>7</v>
      </c>
      <c r="P1012">
        <f t="shared" si="1019"/>
        <v>0.29629629629629672</v>
      </c>
      <c r="Q1012">
        <f t="shared" si="1020"/>
        <v>104850.64000000014</v>
      </c>
      <c r="R1012">
        <f t="shared" si="1021"/>
        <v>-6768722.1089341063</v>
      </c>
      <c r="S1012">
        <f t="shared" si="1022"/>
        <v>-67.687221089341065</v>
      </c>
      <c r="T1012">
        <f t="shared" si="1023"/>
        <v>-6.7687221089341068E-2</v>
      </c>
    </row>
    <row r="1013" spans="1:20" x14ac:dyDescent="0.25">
      <c r="A1013" s="5">
        <v>43580</v>
      </c>
      <c r="B1013">
        <v>2.4889999999999999</v>
      </c>
      <c r="C1013">
        <v>2.5329999999999999</v>
      </c>
      <c r="D1013">
        <v>2.2789999999999999</v>
      </c>
      <c r="E1013">
        <v>2.3439999999999999</v>
      </c>
      <c r="F1013">
        <v>423622.47100000002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-0.48818897637795317</v>
      </c>
      <c r="Q1013">
        <f t="shared" si="1020"/>
        <v>-206807.82048818917</v>
      </c>
      <c r="R1013">
        <f t="shared" si="1021"/>
        <v>-6873572.7489341069</v>
      </c>
      <c r="S1013">
        <f t="shared" si="1022"/>
        <v>-68.735727489341073</v>
      </c>
      <c r="T1013">
        <f t="shared" si="1023"/>
        <v>-6.8735727489341078E-2</v>
      </c>
    </row>
    <row r="1014" spans="1:20" x14ac:dyDescent="0.25">
      <c r="A1014" s="5">
        <v>43579</v>
      </c>
      <c r="B1014">
        <v>2.6339999999999999</v>
      </c>
      <c r="C1014">
        <v>2.665</v>
      </c>
      <c r="D1014">
        <v>2.3919999999999999</v>
      </c>
      <c r="E1014">
        <v>2.496</v>
      </c>
      <c r="F1014">
        <v>744986.64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-0.23809523809523778</v>
      </c>
      <c r="Q1014">
        <f t="shared" si="1020"/>
        <v>-177377.7714285712</v>
      </c>
      <c r="R1014">
        <f t="shared" si="1021"/>
        <v>-6666764.9284459176</v>
      </c>
      <c r="S1014">
        <f t="shared" si="1022"/>
        <v>-66.667649284459173</v>
      </c>
      <c r="T1014">
        <f t="shared" si="1023"/>
        <v>-6.6667649284459174E-2</v>
      </c>
    </row>
    <row r="1015" spans="1:20" x14ac:dyDescent="0.25">
      <c r="A1015" s="5">
        <v>43578</v>
      </c>
      <c r="B1015">
        <v>2.7450000000000001</v>
      </c>
      <c r="C1015">
        <v>2.82</v>
      </c>
      <c r="D1015">
        <v>2.637</v>
      </c>
      <c r="E1015">
        <v>2.64</v>
      </c>
      <c r="F1015">
        <v>1698642.6</v>
      </c>
      <c r="G1015">
        <v>0</v>
      </c>
      <c r="L1015" t="s">
        <v>8</v>
      </c>
      <c r="M1015" t="s">
        <v>7</v>
      </c>
      <c r="N1015" t="s">
        <v>8</v>
      </c>
      <c r="P1015">
        <f t="shared" si="1019"/>
        <v>-0.9672131147540971</v>
      </c>
      <c r="Q1015">
        <f t="shared" si="1020"/>
        <v>-1642949.399999998</v>
      </c>
      <c r="R1015">
        <f t="shared" si="1021"/>
        <v>-6489387.1570173465</v>
      </c>
      <c r="S1015">
        <f t="shared" si="1022"/>
        <v>-64.893871570173459</v>
      </c>
      <c r="T1015">
        <f t="shared" si="1023"/>
        <v>-6.4893871570173456E-2</v>
      </c>
    </row>
    <row r="1016" spans="1:20" x14ac:dyDescent="0.25">
      <c r="A1016" s="5">
        <v>43577</v>
      </c>
      <c r="B1016">
        <v>2.7010000000000001</v>
      </c>
      <c r="C1016">
        <v>2.7730000000000001</v>
      </c>
      <c r="D1016">
        <v>2.6509999999999998</v>
      </c>
      <c r="E1016">
        <v>2.7469999999999999</v>
      </c>
      <c r="F1016">
        <v>309991.772</v>
      </c>
      <c r="G1016">
        <v>0</v>
      </c>
      <c r="L1016" t="s">
        <v>7</v>
      </c>
      <c r="M1016" t="s">
        <v>7</v>
      </c>
      <c r="N1016" t="s">
        <v>8</v>
      </c>
      <c r="P1016">
        <f t="shared" si="1019"/>
        <v>0.57377049180327577</v>
      </c>
      <c r="Q1016">
        <f t="shared" si="1020"/>
        <v>177864.13147540894</v>
      </c>
      <c r="R1016">
        <f t="shared" si="1021"/>
        <v>-4846437.7570173489</v>
      </c>
      <c r="S1016">
        <f t="shared" si="1022"/>
        <v>-48.46437757017349</v>
      </c>
      <c r="T1016">
        <f t="shared" si="1023"/>
        <v>-4.8464377570173488E-2</v>
      </c>
    </row>
    <row r="1017" spans="1:20" x14ac:dyDescent="0.25">
      <c r="A1017" s="5">
        <v>43576</v>
      </c>
      <c r="B1017">
        <v>2.8479999999999999</v>
      </c>
      <c r="C1017">
        <v>2.871</v>
      </c>
      <c r="D1017">
        <v>2.5939999999999999</v>
      </c>
      <c r="E1017">
        <v>2.7029999999999998</v>
      </c>
      <c r="F1017">
        <v>455925.48800000001</v>
      </c>
      <c r="G1017">
        <v>0</v>
      </c>
      <c r="L1017" t="s">
        <v>7</v>
      </c>
      <c r="M1017" t="s">
        <v>7</v>
      </c>
      <c r="N1017" t="s">
        <v>8</v>
      </c>
      <c r="P1017">
        <f t="shared" si="1019"/>
        <v>-0.21299638989169722</v>
      </c>
      <c r="Q1017">
        <f t="shared" si="1020"/>
        <v>-97110.483003610323</v>
      </c>
      <c r="R1017">
        <f t="shared" si="1021"/>
        <v>-5024301.8884927575</v>
      </c>
      <c r="S1017">
        <f t="shared" si="1022"/>
        <v>-50.243018884927572</v>
      </c>
      <c r="T1017">
        <f t="shared" si="1023"/>
        <v>-5.0243018884927569E-2</v>
      </c>
    </row>
    <row r="1018" spans="1:20" x14ac:dyDescent="0.25">
      <c r="A1018" s="5">
        <v>43575</v>
      </c>
      <c r="B1018">
        <v>2.8849999999999998</v>
      </c>
      <c r="C1018">
        <v>2.9420000000000002</v>
      </c>
      <c r="D1018">
        <v>2.81</v>
      </c>
      <c r="E1018">
        <v>2.85</v>
      </c>
      <c r="F1018">
        <v>275107.14399999997</v>
      </c>
      <c r="G1018">
        <v>0</v>
      </c>
      <c r="L1018" t="s">
        <v>8</v>
      </c>
      <c r="M1018" t="s">
        <v>7</v>
      </c>
      <c r="N1018" t="s">
        <v>8</v>
      </c>
      <c r="P1018">
        <f t="shared" si="1019"/>
        <v>-0.39393939393939392</v>
      </c>
      <c r="Q1018">
        <f t="shared" si="1020"/>
        <v>-108375.54157575755</v>
      </c>
      <c r="R1018">
        <f t="shared" si="1021"/>
        <v>-4927191.4054891467</v>
      </c>
      <c r="S1018">
        <f t="shared" si="1022"/>
        <v>-49.271914054891468</v>
      </c>
      <c r="T1018">
        <f t="shared" si="1023"/>
        <v>-4.9271914054891466E-2</v>
      </c>
    </row>
    <row r="1019" spans="1:20" x14ac:dyDescent="0.25">
      <c r="A1019" s="5">
        <v>43574</v>
      </c>
      <c r="B1019">
        <v>2.9279999999999999</v>
      </c>
      <c r="C1019">
        <v>2.931</v>
      </c>
      <c r="D1019">
        <v>2.8370000000000002</v>
      </c>
      <c r="E1019">
        <v>2.89</v>
      </c>
      <c r="F1019">
        <v>289523.33199999999</v>
      </c>
      <c r="G1019">
        <v>0</v>
      </c>
      <c r="L1019" t="s">
        <v>8</v>
      </c>
      <c r="M1019" t="s">
        <v>7</v>
      </c>
      <c r="N1019" t="s">
        <v>8</v>
      </c>
      <c r="P1019">
        <f t="shared" si="1019"/>
        <v>0.1276595744680854</v>
      </c>
      <c r="Q1019">
        <f t="shared" si="1020"/>
        <v>36960.425361702211</v>
      </c>
      <c r="R1019">
        <f t="shared" si="1021"/>
        <v>-4818815.8639133889</v>
      </c>
      <c r="S1019">
        <f t="shared" si="1022"/>
        <v>-48.188158639133889</v>
      </c>
      <c r="T1019">
        <f t="shared" si="1023"/>
        <v>-4.8188158639133886E-2</v>
      </c>
    </row>
    <row r="1020" spans="1:20" x14ac:dyDescent="0.25">
      <c r="A1020" s="5">
        <v>43573</v>
      </c>
      <c r="B1020">
        <v>2.8279999999999998</v>
      </c>
      <c r="C1020">
        <v>2.9990000000000001</v>
      </c>
      <c r="D1020">
        <v>2.8279999999999998</v>
      </c>
      <c r="E1020">
        <v>2.9329999999999998</v>
      </c>
      <c r="F1020">
        <v>562961.97499999998</v>
      </c>
      <c r="G1020">
        <v>0</v>
      </c>
      <c r="L1020" t="s">
        <v>8</v>
      </c>
      <c r="M1020" t="s">
        <v>7</v>
      </c>
      <c r="N1020" t="s">
        <v>8</v>
      </c>
      <c r="P1020">
        <f t="shared" si="1019"/>
        <v>0.2280701754385944</v>
      </c>
      <c r="Q1020">
        <f t="shared" si="1020"/>
        <v>128394.83640350759</v>
      </c>
      <c r="R1020">
        <f t="shared" si="1021"/>
        <v>-4855776.2892750911</v>
      </c>
      <c r="S1020">
        <f t="shared" si="1022"/>
        <v>-48.557762892750908</v>
      </c>
      <c r="T1020">
        <f t="shared" si="1023"/>
        <v>-4.8557762892750905E-2</v>
      </c>
    </row>
    <row r="1021" spans="1:20" x14ac:dyDescent="0.25">
      <c r="A1021" s="5">
        <v>43572</v>
      </c>
      <c r="B1021">
        <v>2.867</v>
      </c>
      <c r="C1021">
        <v>2.895</v>
      </c>
      <c r="D1021">
        <v>2.7839999999999998</v>
      </c>
      <c r="E1021">
        <v>2.8250000000000002</v>
      </c>
      <c r="F1021">
        <v>242690.32399999999</v>
      </c>
      <c r="G1021">
        <v>0</v>
      </c>
      <c r="L1021" t="s">
        <v>7</v>
      </c>
      <c r="M1021" t="s">
        <v>7</v>
      </c>
      <c r="N1021" t="s">
        <v>8</v>
      </c>
      <c r="P1021">
        <f t="shared" si="1019"/>
        <v>-0.26126126126125598</v>
      </c>
      <c r="Q1021">
        <f t="shared" si="1020"/>
        <v>-63405.580144142863</v>
      </c>
      <c r="R1021">
        <f t="shared" si="1021"/>
        <v>-4984171.1256785989</v>
      </c>
      <c r="S1021">
        <f t="shared" si="1022"/>
        <v>-49.841711256785992</v>
      </c>
      <c r="T1021">
        <f t="shared" si="1023"/>
        <v>-4.9841711256785992E-2</v>
      </c>
    </row>
    <row r="1022" spans="1:20" x14ac:dyDescent="0.25">
      <c r="A1022" s="5">
        <v>43571</v>
      </c>
      <c r="B1022">
        <v>2.786</v>
      </c>
      <c r="C1022">
        <v>2.88</v>
      </c>
      <c r="D1022">
        <v>2.754</v>
      </c>
      <c r="E1022">
        <v>2.8650000000000002</v>
      </c>
      <c r="F1022">
        <v>307766.06099999999</v>
      </c>
      <c r="G1022">
        <v>0</v>
      </c>
      <c r="L1022" t="s">
        <v>7</v>
      </c>
      <c r="M1022" t="s">
        <v>7</v>
      </c>
      <c r="N1022" t="s">
        <v>8</v>
      </c>
      <c r="P1022">
        <f t="shared" si="1019"/>
        <v>0.76190476190476675</v>
      </c>
      <c r="Q1022">
        <f t="shared" si="1020"/>
        <v>234488.4274285729</v>
      </c>
      <c r="R1022">
        <f t="shared" si="1021"/>
        <v>-4920765.5455344561</v>
      </c>
      <c r="S1022">
        <f t="shared" si="1022"/>
        <v>-49.207655455344565</v>
      </c>
      <c r="T1022">
        <f t="shared" si="1023"/>
        <v>-4.9207655455344564E-2</v>
      </c>
    </row>
    <row r="1023" spans="1:20" x14ac:dyDescent="0.25">
      <c r="A1023" s="5">
        <v>43570</v>
      </c>
      <c r="B1023">
        <v>2.931</v>
      </c>
      <c r="C1023">
        <v>2.9830000000000001</v>
      </c>
      <c r="D1023">
        <v>2.7629999999999999</v>
      </c>
      <c r="E1023">
        <v>2.7879999999999998</v>
      </c>
      <c r="F1023">
        <v>532030.19900000002</v>
      </c>
      <c r="G1023">
        <v>0</v>
      </c>
      <c r="L1023" t="s">
        <v>7</v>
      </c>
      <c r="M1023" t="s">
        <v>7</v>
      </c>
      <c r="N1023" t="s">
        <v>8</v>
      </c>
      <c r="P1023">
        <f t="shared" ref="P1023:P1086" si="1024">IF(C1023=D1023,0,((E1023-D1023)-(C1023-E1023))/(C1023-D1023))</f>
        <v>-0.77272727272727371</v>
      </c>
      <c r="Q1023">
        <f t="shared" ref="Q1023:Q1086" si="1025">F1023*P1023</f>
        <v>-411114.2446818187</v>
      </c>
      <c r="R1023">
        <f t="shared" ref="R1023:R1086" si="1026">R1024+Q1023</f>
        <v>-5155253.9729630295</v>
      </c>
      <c r="S1023">
        <f t="shared" ref="S1023:S1086" si="1027">R1023/100000</f>
        <v>-51.552539729630297</v>
      </c>
      <c r="T1023">
        <f t="shared" ref="T1023:T1086" si="1028">S1023/1000</f>
        <v>-5.1552539729630295E-2</v>
      </c>
    </row>
    <row r="1024" spans="1:20" x14ac:dyDescent="0.25">
      <c r="A1024" s="5">
        <v>43569</v>
      </c>
      <c r="B1024">
        <v>2.8650000000000002</v>
      </c>
      <c r="C1024">
        <v>2.9409999999999998</v>
      </c>
      <c r="D1024">
        <v>2.81</v>
      </c>
      <c r="E1024">
        <v>2.93</v>
      </c>
      <c r="F1024">
        <v>337465.71799999999</v>
      </c>
      <c r="G1024">
        <v>0</v>
      </c>
      <c r="L1024" t="s">
        <v>8</v>
      </c>
      <c r="M1024" t="s">
        <v>7</v>
      </c>
      <c r="N1024" t="s">
        <v>8</v>
      </c>
      <c r="P1024">
        <f t="shared" si="1024"/>
        <v>0.83206106870229468</v>
      </c>
      <c r="Q1024">
        <f t="shared" si="1025"/>
        <v>280792.08596946718</v>
      </c>
      <c r="R1024">
        <f t="shared" si="1026"/>
        <v>-4744139.7282812111</v>
      </c>
      <c r="S1024">
        <f t="shared" si="1027"/>
        <v>-47.441397282812112</v>
      </c>
      <c r="T1024">
        <f t="shared" si="1028"/>
        <v>-4.744139728281211E-2</v>
      </c>
    </row>
    <row r="1025" spans="1:20" x14ac:dyDescent="0.25">
      <c r="A1025" s="5">
        <v>43568</v>
      </c>
      <c r="B1025">
        <v>2.9409999999999998</v>
      </c>
      <c r="C1025">
        <v>2.9729999999999999</v>
      </c>
      <c r="D1025">
        <v>2.8410000000000002</v>
      </c>
      <c r="E1025">
        <v>2.867</v>
      </c>
      <c r="F1025">
        <v>396771.41499999998</v>
      </c>
      <c r="G1025">
        <v>0</v>
      </c>
      <c r="L1025" t="s">
        <v>8</v>
      </c>
      <c r="M1025" t="s">
        <v>7</v>
      </c>
      <c r="N1025" t="s">
        <v>8</v>
      </c>
      <c r="P1025">
        <f t="shared" si="1024"/>
        <v>-0.60606060606060808</v>
      </c>
      <c r="Q1025">
        <f t="shared" si="1025"/>
        <v>-240467.52424242502</v>
      </c>
      <c r="R1025">
        <f t="shared" si="1026"/>
        <v>-5024931.8142506788</v>
      </c>
      <c r="S1025">
        <f t="shared" si="1027"/>
        <v>-50.249318142506787</v>
      </c>
      <c r="T1025">
        <f t="shared" si="1028"/>
        <v>-5.0249318142506785E-2</v>
      </c>
    </row>
    <row r="1026" spans="1:20" x14ac:dyDescent="0.25">
      <c r="A1026" s="5">
        <v>43567</v>
      </c>
      <c r="B1026">
        <v>2.9119999999999999</v>
      </c>
      <c r="C1026">
        <v>2.9950000000000001</v>
      </c>
      <c r="D1026">
        <v>2.7650000000000001</v>
      </c>
      <c r="E1026">
        <v>2.9420000000000002</v>
      </c>
      <c r="F1026">
        <v>671758.06099999999</v>
      </c>
      <c r="G1026">
        <v>0</v>
      </c>
      <c r="L1026" t="s">
        <v>8</v>
      </c>
      <c r="M1026" t="s">
        <v>7</v>
      </c>
      <c r="N1026" t="s">
        <v>8</v>
      </c>
      <c r="P1026">
        <f t="shared" si="1024"/>
        <v>0.53913043478260925</v>
      </c>
      <c r="Q1026">
        <f t="shared" si="1025"/>
        <v>362165.21549565252</v>
      </c>
      <c r="R1026">
        <f t="shared" si="1026"/>
        <v>-4784464.2900082534</v>
      </c>
      <c r="S1026">
        <f t="shared" si="1027"/>
        <v>-47.844642900082533</v>
      </c>
      <c r="T1026">
        <f t="shared" si="1028"/>
        <v>-4.7844642900082536E-2</v>
      </c>
    </row>
    <row r="1027" spans="1:20" x14ac:dyDescent="0.25">
      <c r="A1027" s="5">
        <v>43566</v>
      </c>
      <c r="B1027">
        <v>3.2850000000000001</v>
      </c>
      <c r="C1027">
        <v>3.2930000000000001</v>
      </c>
      <c r="D1027">
        <v>2.8</v>
      </c>
      <c r="E1027">
        <v>2.911</v>
      </c>
      <c r="F1027">
        <v>894065.03300000005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-0.54969574036511104</v>
      </c>
      <c r="Q1027">
        <f t="shared" si="1025"/>
        <v>-491463.74024949246</v>
      </c>
      <c r="R1027">
        <f t="shared" si="1026"/>
        <v>-5146629.5055039059</v>
      </c>
      <c r="S1027">
        <f t="shared" si="1027"/>
        <v>-51.466295055039062</v>
      </c>
      <c r="T1027">
        <f t="shared" si="1028"/>
        <v>-5.1466295055039059E-2</v>
      </c>
    </row>
    <row r="1028" spans="1:20" x14ac:dyDescent="0.25">
      <c r="A1028" s="5">
        <v>43565</v>
      </c>
      <c r="B1028">
        <v>3.2879999999999998</v>
      </c>
      <c r="C1028">
        <v>3.4409999999999998</v>
      </c>
      <c r="D1028">
        <v>3.25</v>
      </c>
      <c r="E1028">
        <v>3.2829999999999999</v>
      </c>
      <c r="F1028">
        <v>383199.92300000001</v>
      </c>
      <c r="G1028">
        <v>0</v>
      </c>
      <c r="L1028" t="s">
        <v>7</v>
      </c>
      <c r="M1028" t="s">
        <v>8</v>
      </c>
      <c r="N1028" t="s">
        <v>8</v>
      </c>
      <c r="P1028">
        <f t="shared" si="1024"/>
        <v>-0.65445026178010524</v>
      </c>
      <c r="Q1028">
        <f t="shared" si="1025"/>
        <v>-250785.28992146617</v>
      </c>
      <c r="R1028">
        <f t="shared" si="1026"/>
        <v>-4655165.7652544137</v>
      </c>
      <c r="S1028">
        <f t="shared" si="1027"/>
        <v>-46.551657652544137</v>
      </c>
      <c r="T1028">
        <f t="shared" si="1028"/>
        <v>-4.655165765254414E-2</v>
      </c>
    </row>
    <row r="1029" spans="1:20" x14ac:dyDescent="0.25">
      <c r="A1029" s="5">
        <v>43564</v>
      </c>
      <c r="B1029">
        <v>3.4489999999999998</v>
      </c>
      <c r="C1029">
        <v>3.456</v>
      </c>
      <c r="D1029">
        <v>3.222</v>
      </c>
      <c r="E1029">
        <v>3.2810000000000001</v>
      </c>
      <c r="F1029">
        <v>358595.13099999999</v>
      </c>
      <c r="G1029">
        <v>0</v>
      </c>
      <c r="L1029" t="s">
        <v>7</v>
      </c>
      <c r="M1029" t="s">
        <v>8</v>
      </c>
      <c r="N1029" t="s">
        <v>8</v>
      </c>
      <c r="P1029">
        <f t="shared" si="1024"/>
        <v>-0.4957264957264943</v>
      </c>
      <c r="Q1029">
        <f t="shared" si="1025"/>
        <v>-177765.10767521316</v>
      </c>
      <c r="R1029">
        <f t="shared" si="1026"/>
        <v>-4404380.4753329474</v>
      </c>
      <c r="S1029">
        <f t="shared" si="1027"/>
        <v>-44.043804753329475</v>
      </c>
      <c r="T1029">
        <f t="shared" si="1028"/>
        <v>-4.4043804753329474E-2</v>
      </c>
    </row>
    <row r="1030" spans="1:20" x14ac:dyDescent="0.25">
      <c r="A1030" s="5">
        <v>43563</v>
      </c>
      <c r="B1030">
        <v>3.613</v>
      </c>
      <c r="C1030">
        <v>3.673</v>
      </c>
      <c r="D1030">
        <v>3.2370000000000001</v>
      </c>
      <c r="E1030">
        <v>3.4470000000000001</v>
      </c>
      <c r="F1030">
        <v>831405.571</v>
      </c>
      <c r="G1030">
        <v>0</v>
      </c>
      <c r="L1030" t="s">
        <v>7</v>
      </c>
      <c r="M1030" t="s">
        <v>8</v>
      </c>
      <c r="N1030" t="s">
        <v>8</v>
      </c>
      <c r="P1030">
        <f t="shared" si="1024"/>
        <v>-3.6697247706422055E-2</v>
      </c>
      <c r="Q1030">
        <f t="shared" si="1025"/>
        <v>-30510.296183486269</v>
      </c>
      <c r="R1030">
        <f t="shared" si="1026"/>
        <v>-4226615.3676577341</v>
      </c>
      <c r="S1030">
        <f t="shared" si="1027"/>
        <v>-42.266153676577339</v>
      </c>
      <c r="T1030">
        <f t="shared" si="1028"/>
        <v>-4.2266153676577337E-2</v>
      </c>
    </row>
    <row r="1031" spans="1:20" x14ac:dyDescent="0.25">
      <c r="A1031" s="5">
        <v>43562</v>
      </c>
      <c r="B1031">
        <v>3.2759999999999998</v>
      </c>
      <c r="C1031">
        <v>3.69</v>
      </c>
      <c r="D1031">
        <v>3.27</v>
      </c>
      <c r="E1031">
        <v>3.613</v>
      </c>
      <c r="F1031">
        <v>1159383.0249999999</v>
      </c>
      <c r="G1031">
        <v>0</v>
      </c>
      <c r="L1031" t="s">
        <v>8</v>
      </c>
      <c r="M1031" t="s">
        <v>8</v>
      </c>
      <c r="N1031" t="s">
        <v>8</v>
      </c>
      <c r="P1031">
        <f t="shared" si="1024"/>
        <v>0.63333333333333353</v>
      </c>
      <c r="Q1031">
        <f t="shared" si="1025"/>
        <v>734275.91583333351</v>
      </c>
      <c r="R1031">
        <f t="shared" si="1026"/>
        <v>-4196105.0714742476</v>
      </c>
      <c r="S1031">
        <f t="shared" si="1027"/>
        <v>-41.961050714742477</v>
      </c>
      <c r="T1031">
        <f t="shared" si="1028"/>
        <v>-4.196105071474248E-2</v>
      </c>
    </row>
    <row r="1032" spans="1:20" x14ac:dyDescent="0.25">
      <c r="A1032" s="5">
        <v>43561</v>
      </c>
      <c r="B1032">
        <v>3.363</v>
      </c>
      <c r="C1032">
        <v>3.3719999999999999</v>
      </c>
      <c r="D1032">
        <v>3.2290000000000001</v>
      </c>
      <c r="E1032">
        <v>3.2759999999999998</v>
      </c>
      <c r="F1032">
        <v>502272.685</v>
      </c>
      <c r="G1032">
        <v>0</v>
      </c>
      <c r="L1032" t="s">
        <v>8</v>
      </c>
      <c r="M1032" t="s">
        <v>7</v>
      </c>
      <c r="N1032" t="s">
        <v>8</v>
      </c>
      <c r="P1032">
        <f t="shared" si="1024"/>
        <v>-0.34265734265734576</v>
      </c>
      <c r="Q1032">
        <f t="shared" si="1025"/>
        <v>-172107.42353147009</v>
      </c>
      <c r="R1032">
        <f t="shared" si="1026"/>
        <v>-4930380.9873075811</v>
      </c>
      <c r="S1032">
        <f t="shared" si="1027"/>
        <v>-49.303809873075814</v>
      </c>
      <c r="T1032">
        <f t="shared" si="1028"/>
        <v>-4.9303809873075817E-2</v>
      </c>
    </row>
    <row r="1033" spans="1:20" x14ac:dyDescent="0.25">
      <c r="A1033" s="5">
        <v>43560</v>
      </c>
      <c r="B1033">
        <v>3.181</v>
      </c>
      <c r="C1033">
        <v>3.4359999999999999</v>
      </c>
      <c r="D1033">
        <v>3.1629999999999998</v>
      </c>
      <c r="E1033">
        <v>3.3570000000000002</v>
      </c>
      <c r="F1033">
        <v>957713.95400000003</v>
      </c>
      <c r="G1033">
        <v>0</v>
      </c>
      <c r="L1033" t="s">
        <v>8</v>
      </c>
      <c r="M1033" t="s">
        <v>7</v>
      </c>
      <c r="N1033" t="s">
        <v>8</v>
      </c>
      <c r="P1033">
        <f t="shared" si="1024"/>
        <v>0.42124542124542347</v>
      </c>
      <c r="Q1033">
        <f t="shared" si="1025"/>
        <v>403432.61798535014</v>
      </c>
      <c r="R1033">
        <f t="shared" si="1026"/>
        <v>-4758273.5637761112</v>
      </c>
      <c r="S1033">
        <f t="shared" si="1027"/>
        <v>-47.582735637761111</v>
      </c>
      <c r="T1033">
        <f t="shared" si="1028"/>
        <v>-4.7582735637761109E-2</v>
      </c>
    </row>
    <row r="1034" spans="1:20" x14ac:dyDescent="0.25">
      <c r="A1034" s="5">
        <v>43559</v>
      </c>
      <c r="B1034">
        <v>3.1960000000000002</v>
      </c>
      <c r="C1034">
        <v>3.4049999999999998</v>
      </c>
      <c r="D1034">
        <v>3.0419999999999998</v>
      </c>
      <c r="E1034">
        <v>3.181</v>
      </c>
      <c r="F1034">
        <v>817496.37</v>
      </c>
      <c r="G1034">
        <v>0</v>
      </c>
      <c r="L1034" t="s">
        <v>7</v>
      </c>
      <c r="M1034" t="s">
        <v>7</v>
      </c>
      <c r="N1034" t="s">
        <v>8</v>
      </c>
      <c r="P1034">
        <f t="shared" si="1024"/>
        <v>-0.23415977961432374</v>
      </c>
      <c r="Q1034">
        <f t="shared" si="1025"/>
        <v>-191424.76983470964</v>
      </c>
      <c r="R1034">
        <f t="shared" si="1026"/>
        <v>-5161706.1817614613</v>
      </c>
      <c r="S1034">
        <f t="shared" si="1027"/>
        <v>-51.617061817614612</v>
      </c>
      <c r="T1034">
        <f t="shared" si="1028"/>
        <v>-5.1617061817614614E-2</v>
      </c>
    </row>
    <row r="1035" spans="1:20" x14ac:dyDescent="0.25">
      <c r="A1035" s="5">
        <v>43558</v>
      </c>
      <c r="B1035">
        <v>3.2650000000000001</v>
      </c>
      <c r="C1035">
        <v>3.58</v>
      </c>
      <c r="D1035">
        <v>3.0230000000000001</v>
      </c>
      <c r="E1035">
        <v>3.1960000000000002</v>
      </c>
      <c r="F1035">
        <v>3895606.4589999998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-0.37881508078994591</v>
      </c>
      <c r="Q1035">
        <f t="shared" si="1025"/>
        <v>-1475714.47549192</v>
      </c>
      <c r="R1035">
        <f t="shared" si="1026"/>
        <v>-4970281.411926752</v>
      </c>
      <c r="S1035">
        <f t="shared" si="1027"/>
        <v>-49.702814119267522</v>
      </c>
      <c r="T1035">
        <f t="shared" si="1028"/>
        <v>-4.9702814119267524E-2</v>
      </c>
    </row>
    <row r="1036" spans="1:20" x14ac:dyDescent="0.25">
      <c r="A1036" s="5">
        <v>43557</v>
      </c>
      <c r="B1036">
        <v>2.9649999999999999</v>
      </c>
      <c r="C1036">
        <v>3.2919999999999998</v>
      </c>
      <c r="D1036">
        <v>2.87</v>
      </c>
      <c r="E1036">
        <v>3.27</v>
      </c>
      <c r="F1036">
        <v>1054012.3829999999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0.89573459715639903</v>
      </c>
      <c r="Q1036">
        <f t="shared" si="1025"/>
        <v>944115.35728436103</v>
      </c>
      <c r="R1036">
        <f t="shared" si="1026"/>
        <v>-3494566.9364348319</v>
      </c>
      <c r="S1036">
        <f t="shared" si="1027"/>
        <v>-34.945669364348319</v>
      </c>
      <c r="T1036">
        <f t="shared" si="1028"/>
        <v>-3.4945669364348321E-2</v>
      </c>
    </row>
    <row r="1037" spans="1:20" x14ac:dyDescent="0.25">
      <c r="A1037" s="5">
        <v>43556</v>
      </c>
      <c r="B1037">
        <v>2.9289999999999998</v>
      </c>
      <c r="C1037">
        <v>3.07</v>
      </c>
      <c r="D1037">
        <v>2.88</v>
      </c>
      <c r="E1037">
        <v>2.9649999999999999</v>
      </c>
      <c r="F1037">
        <v>506774.29300000001</v>
      </c>
      <c r="G1037">
        <v>0</v>
      </c>
      <c r="L1037" t="s">
        <v>7</v>
      </c>
      <c r="M1037" t="s">
        <v>8</v>
      </c>
      <c r="N1037" t="s">
        <v>7</v>
      </c>
      <c r="P1037">
        <f t="shared" si="1024"/>
        <v>-0.10526315789473696</v>
      </c>
      <c r="Q1037">
        <f t="shared" si="1025"/>
        <v>-53344.662421052693</v>
      </c>
      <c r="R1037">
        <f t="shared" si="1026"/>
        <v>-4438682.293719193</v>
      </c>
      <c r="S1037">
        <f t="shared" si="1027"/>
        <v>-44.38682293719193</v>
      </c>
      <c r="T1037">
        <f t="shared" si="1028"/>
        <v>-4.4386822937191928E-2</v>
      </c>
    </row>
    <row r="1038" spans="1:20" x14ac:dyDescent="0.25">
      <c r="A1038" s="5">
        <v>43555</v>
      </c>
      <c r="B1038">
        <v>2.7890000000000001</v>
      </c>
      <c r="C1038">
        <v>3.1150000000000002</v>
      </c>
      <c r="D1038">
        <v>2.7519999999999998</v>
      </c>
      <c r="E1038">
        <v>2.9279999999999999</v>
      </c>
      <c r="F1038">
        <v>947167.38100000005</v>
      </c>
      <c r="G1038">
        <v>0</v>
      </c>
      <c r="L1038" t="s">
        <v>8</v>
      </c>
      <c r="M1038" t="s">
        <v>8</v>
      </c>
      <c r="N1038" t="s">
        <v>7</v>
      </c>
      <c r="P1038">
        <f t="shared" si="1024"/>
        <v>-3.0303030303030599E-2</v>
      </c>
      <c r="Q1038">
        <f t="shared" si="1025"/>
        <v>-28702.041848485129</v>
      </c>
      <c r="R1038">
        <f t="shared" si="1026"/>
        <v>-4385337.6312981406</v>
      </c>
      <c r="S1038">
        <f t="shared" si="1027"/>
        <v>-43.853376312981403</v>
      </c>
      <c r="T1038">
        <f t="shared" si="1028"/>
        <v>-4.3853376312981404E-2</v>
      </c>
    </row>
    <row r="1039" spans="1:20" x14ac:dyDescent="0.25">
      <c r="A1039" s="5">
        <v>43554</v>
      </c>
      <c r="B1039">
        <v>2.7210000000000001</v>
      </c>
      <c r="C1039">
        <v>2.8580000000000001</v>
      </c>
      <c r="D1039">
        <v>2.6320000000000001</v>
      </c>
      <c r="E1039">
        <v>2.786</v>
      </c>
      <c r="F1039">
        <v>480727.853</v>
      </c>
      <c r="G1039">
        <v>0</v>
      </c>
      <c r="L1039" t="s">
        <v>8</v>
      </c>
      <c r="M1039" t="s">
        <v>8</v>
      </c>
      <c r="N1039" t="s">
        <v>7</v>
      </c>
      <c r="P1039">
        <f t="shared" si="1024"/>
        <v>0.36283185840707904</v>
      </c>
      <c r="Q1039">
        <f t="shared" si="1025"/>
        <v>174423.38029203512</v>
      </c>
      <c r="R1039">
        <f t="shared" si="1026"/>
        <v>-4356635.5894496553</v>
      </c>
      <c r="S1039">
        <f t="shared" si="1027"/>
        <v>-43.566355894496553</v>
      </c>
      <c r="T1039">
        <f t="shared" si="1028"/>
        <v>-4.3566355894496554E-2</v>
      </c>
    </row>
    <row r="1040" spans="1:20" x14ac:dyDescent="0.25">
      <c r="A1040" s="5">
        <v>43553</v>
      </c>
      <c r="B1040">
        <v>2.649</v>
      </c>
      <c r="C1040">
        <v>2.726</v>
      </c>
      <c r="D1040">
        <v>2.633</v>
      </c>
      <c r="E1040">
        <v>2.7189999999999999</v>
      </c>
      <c r="F1040">
        <v>366461.52299999999</v>
      </c>
      <c r="G1040">
        <v>0</v>
      </c>
      <c r="L1040" t="s">
        <v>7</v>
      </c>
      <c r="M1040" t="s">
        <v>8</v>
      </c>
      <c r="N1040" t="s">
        <v>7</v>
      </c>
      <c r="P1040">
        <f t="shared" si="1024"/>
        <v>0.84946236559139532</v>
      </c>
      <c r="Q1040">
        <f t="shared" si="1025"/>
        <v>311295.2722258055</v>
      </c>
      <c r="R1040">
        <f t="shared" si="1026"/>
        <v>-4531058.96974169</v>
      </c>
      <c r="S1040">
        <f t="shared" si="1027"/>
        <v>-45.310589697416901</v>
      </c>
      <c r="T1040">
        <f t="shared" si="1028"/>
        <v>-4.53105896974169E-2</v>
      </c>
    </row>
    <row r="1041" spans="1:20" x14ac:dyDescent="0.25">
      <c r="A1041" s="5">
        <v>43552</v>
      </c>
      <c r="B1041">
        <v>2.589</v>
      </c>
      <c r="C1041">
        <v>3</v>
      </c>
      <c r="D1041">
        <v>2.5270000000000001</v>
      </c>
      <c r="E1041">
        <v>2.649</v>
      </c>
      <c r="F1041">
        <v>2324256.9079999998</v>
      </c>
      <c r="G1041">
        <v>0</v>
      </c>
      <c r="L1041" t="s">
        <v>8</v>
      </c>
      <c r="M1041" t="s">
        <v>8</v>
      </c>
      <c r="N1041" t="s">
        <v>7</v>
      </c>
      <c r="P1041">
        <f t="shared" si="1024"/>
        <v>-0.48414376321353098</v>
      </c>
      <c r="Q1041">
        <f t="shared" si="1025"/>
        <v>-1125274.4861141655</v>
      </c>
      <c r="R1041">
        <f t="shared" si="1026"/>
        <v>-4842354.2419674955</v>
      </c>
      <c r="S1041">
        <f t="shared" si="1027"/>
        <v>-48.423542419674952</v>
      </c>
      <c r="T1041">
        <f t="shared" si="1028"/>
        <v>-4.8423542419674954E-2</v>
      </c>
    </row>
    <row r="1042" spans="1:20" x14ac:dyDescent="0.25">
      <c r="A1042" s="5">
        <v>43551</v>
      </c>
      <c r="B1042">
        <v>2.4710000000000001</v>
      </c>
      <c r="C1042">
        <v>2.609</v>
      </c>
      <c r="D1042">
        <v>2.4649999999999999</v>
      </c>
      <c r="E1042">
        <v>2.5880000000000001</v>
      </c>
      <c r="F1042">
        <v>338519.16899999999</v>
      </c>
      <c r="G1042">
        <v>0</v>
      </c>
      <c r="L1042" t="s">
        <v>8</v>
      </c>
      <c r="M1042" t="s">
        <v>7</v>
      </c>
      <c r="N1042" t="s">
        <v>7</v>
      </c>
      <c r="P1042">
        <f t="shared" si="1024"/>
        <v>0.70833333333333492</v>
      </c>
      <c r="Q1042">
        <f t="shared" si="1025"/>
        <v>239784.41137500055</v>
      </c>
      <c r="R1042">
        <f t="shared" si="1026"/>
        <v>-3717079.7558533303</v>
      </c>
      <c r="S1042">
        <f t="shared" si="1027"/>
        <v>-37.170797558533302</v>
      </c>
      <c r="T1042">
        <f t="shared" si="1028"/>
        <v>-3.7170797558533301E-2</v>
      </c>
    </row>
    <row r="1043" spans="1:20" x14ac:dyDescent="0.25">
      <c r="A1043" s="5">
        <v>43550</v>
      </c>
      <c r="B1043">
        <v>2.4790000000000001</v>
      </c>
      <c r="C1043">
        <v>2.4990000000000001</v>
      </c>
      <c r="D1043">
        <v>2.371</v>
      </c>
      <c r="E1043">
        <v>2.4710000000000001</v>
      </c>
      <c r="F1043">
        <v>567451.61699999997</v>
      </c>
      <c r="G1043">
        <v>0</v>
      </c>
      <c r="L1043" t="s">
        <v>7</v>
      </c>
      <c r="M1043" t="s">
        <v>7</v>
      </c>
      <c r="N1043" t="s">
        <v>7</v>
      </c>
      <c r="P1043">
        <f t="shared" si="1024"/>
        <v>0.5625</v>
      </c>
      <c r="Q1043">
        <f t="shared" si="1025"/>
        <v>319191.53456249996</v>
      </c>
      <c r="R1043">
        <f t="shared" si="1026"/>
        <v>-3956864.1672283309</v>
      </c>
      <c r="S1043">
        <f t="shared" si="1027"/>
        <v>-39.568641672283306</v>
      </c>
      <c r="T1043">
        <f t="shared" si="1028"/>
        <v>-3.9568641672283307E-2</v>
      </c>
    </row>
    <row r="1044" spans="1:20" x14ac:dyDescent="0.25">
      <c r="A1044" s="5">
        <v>43549</v>
      </c>
      <c r="B1044">
        <v>2.5950000000000002</v>
      </c>
      <c r="C1044">
        <v>2.5960000000000001</v>
      </c>
      <c r="D1044">
        <v>2.4180000000000001</v>
      </c>
      <c r="E1044">
        <v>2.4769999999999999</v>
      </c>
      <c r="F1044">
        <v>576040.446</v>
      </c>
      <c r="G1044">
        <v>0</v>
      </c>
      <c r="L1044" t="s">
        <v>7</v>
      </c>
      <c r="M1044" t="s">
        <v>7</v>
      </c>
      <c r="N1044" t="s">
        <v>7</v>
      </c>
      <c r="P1044">
        <f t="shared" si="1024"/>
        <v>-0.33707865168539619</v>
      </c>
      <c r="Q1044">
        <f t="shared" si="1025"/>
        <v>-194170.93685393428</v>
      </c>
      <c r="R1044">
        <f t="shared" si="1026"/>
        <v>-4276055.7017908311</v>
      </c>
      <c r="S1044">
        <f t="shared" si="1027"/>
        <v>-42.760557017908312</v>
      </c>
      <c r="T1044">
        <f t="shared" si="1028"/>
        <v>-4.2760557017908311E-2</v>
      </c>
    </row>
    <row r="1045" spans="1:20" x14ac:dyDescent="0.25">
      <c r="A1045" s="5">
        <v>43548</v>
      </c>
      <c r="B1045">
        <v>2.6720000000000002</v>
      </c>
      <c r="C1045">
        <v>2.673</v>
      </c>
      <c r="D1045">
        <v>2.5459999999999998</v>
      </c>
      <c r="E1045">
        <v>2.5950000000000002</v>
      </c>
      <c r="F1045">
        <v>313296.19199999998</v>
      </c>
      <c r="G1045">
        <v>0</v>
      </c>
      <c r="L1045" t="s">
        <v>8</v>
      </c>
      <c r="M1045" t="s">
        <v>7</v>
      </c>
      <c r="N1045" t="s">
        <v>7</v>
      </c>
      <c r="P1045">
        <f t="shared" si="1024"/>
        <v>-0.22834645669290882</v>
      </c>
      <c r="Q1045">
        <f t="shared" si="1025"/>
        <v>-71540.075338581242</v>
      </c>
      <c r="R1045">
        <f t="shared" si="1026"/>
        <v>-4081884.7649368965</v>
      </c>
      <c r="S1045">
        <f t="shared" si="1027"/>
        <v>-40.818847649368962</v>
      </c>
      <c r="T1045">
        <f t="shared" si="1028"/>
        <v>-4.081884764936896E-2</v>
      </c>
    </row>
    <row r="1046" spans="1:20" x14ac:dyDescent="0.25">
      <c r="A1046" s="5">
        <v>43547</v>
      </c>
      <c r="B1046">
        <v>2.5270000000000001</v>
      </c>
      <c r="C1046">
        <v>2.7240000000000002</v>
      </c>
      <c r="D1046">
        <v>2.5169999999999999</v>
      </c>
      <c r="E1046">
        <v>2.6720000000000002</v>
      </c>
      <c r="F1046">
        <v>654674.37100000004</v>
      </c>
      <c r="G1046">
        <v>0</v>
      </c>
      <c r="L1046" t="s">
        <v>8</v>
      </c>
      <c r="M1046" t="s">
        <v>7</v>
      </c>
      <c r="N1046" t="s">
        <v>7</v>
      </c>
      <c r="P1046">
        <f t="shared" si="1024"/>
        <v>0.4975845410628022</v>
      </c>
      <c r="Q1046">
        <f t="shared" si="1025"/>
        <v>325755.84643961373</v>
      </c>
      <c r="R1046">
        <f t="shared" si="1026"/>
        <v>-4010344.6895983154</v>
      </c>
      <c r="S1046">
        <f t="shared" si="1027"/>
        <v>-40.103446895983154</v>
      </c>
      <c r="T1046">
        <f t="shared" si="1028"/>
        <v>-4.0103446895983157E-2</v>
      </c>
    </row>
    <row r="1047" spans="1:20" x14ac:dyDescent="0.25">
      <c r="A1047" s="5">
        <v>43546</v>
      </c>
      <c r="B1047">
        <v>2.4689999999999999</v>
      </c>
      <c r="C1047">
        <v>2.5590000000000002</v>
      </c>
      <c r="D1047">
        <v>2.4420000000000002</v>
      </c>
      <c r="E1047">
        <v>2.5289999999999999</v>
      </c>
      <c r="F1047">
        <v>336303.53700000001</v>
      </c>
      <c r="G1047">
        <v>0</v>
      </c>
      <c r="L1047" t="s">
        <v>8</v>
      </c>
      <c r="M1047" t="s">
        <v>7</v>
      </c>
      <c r="N1047" t="s">
        <v>7</v>
      </c>
      <c r="P1047">
        <f t="shared" si="1024"/>
        <v>0.4871794871794829</v>
      </c>
      <c r="Q1047">
        <f t="shared" si="1025"/>
        <v>163840.18469230627</v>
      </c>
      <c r="R1047">
        <f t="shared" si="1026"/>
        <v>-4336100.5360379294</v>
      </c>
      <c r="S1047">
        <f t="shared" si="1027"/>
        <v>-43.361005360379295</v>
      </c>
      <c r="T1047">
        <f t="shared" si="1028"/>
        <v>-4.3361005360379297E-2</v>
      </c>
    </row>
    <row r="1048" spans="1:20" x14ac:dyDescent="0.25">
      <c r="A1048" s="5">
        <v>43545</v>
      </c>
      <c r="B1048">
        <v>2.5129999999999999</v>
      </c>
      <c r="C1048">
        <v>2.61</v>
      </c>
      <c r="D1048">
        <v>2.3439999999999999</v>
      </c>
      <c r="E1048">
        <v>2.4689999999999999</v>
      </c>
      <c r="F1048">
        <v>1097225.254</v>
      </c>
      <c r="G1048">
        <v>0</v>
      </c>
      <c r="L1048" t="s">
        <v>7</v>
      </c>
      <c r="M1048" t="s">
        <v>7</v>
      </c>
      <c r="N1048" t="s">
        <v>7</v>
      </c>
      <c r="P1048">
        <f t="shared" si="1024"/>
        <v>-6.0150375939849676E-2</v>
      </c>
      <c r="Q1048">
        <f t="shared" si="1025"/>
        <v>-65998.511518797051</v>
      </c>
      <c r="R1048">
        <f t="shared" si="1026"/>
        <v>-4499940.7207302358</v>
      </c>
      <c r="S1048">
        <f t="shared" si="1027"/>
        <v>-44.999407207302355</v>
      </c>
      <c r="T1048">
        <f t="shared" si="1028"/>
        <v>-4.4999407207302354E-2</v>
      </c>
    </row>
    <row r="1049" spans="1:20" x14ac:dyDescent="0.25">
      <c r="A1049" s="5">
        <v>43544</v>
      </c>
      <c r="B1049">
        <v>2.4900000000000002</v>
      </c>
      <c r="C1049">
        <v>2.63</v>
      </c>
      <c r="D1049">
        <v>2.4180000000000001</v>
      </c>
      <c r="E1049">
        <v>2.5110000000000001</v>
      </c>
      <c r="F1049">
        <v>1810779.699</v>
      </c>
      <c r="G1049">
        <v>0</v>
      </c>
      <c r="L1049" t="s">
        <v>7</v>
      </c>
      <c r="M1049" t="s">
        <v>7</v>
      </c>
      <c r="N1049" t="s">
        <v>8</v>
      </c>
      <c r="P1049">
        <f t="shared" si="1024"/>
        <v>-0.12264150943396147</v>
      </c>
      <c r="Q1049">
        <f t="shared" si="1025"/>
        <v>-222076.75553773443</v>
      </c>
      <c r="R1049">
        <f t="shared" si="1026"/>
        <v>-4433942.2092114389</v>
      </c>
      <c r="S1049">
        <f t="shared" si="1027"/>
        <v>-44.33942209211439</v>
      </c>
      <c r="T1049">
        <f t="shared" si="1028"/>
        <v>-4.4339422092114389E-2</v>
      </c>
    </row>
    <row r="1050" spans="1:20" x14ac:dyDescent="0.25">
      <c r="A1050" s="5">
        <v>43543</v>
      </c>
      <c r="B1050">
        <v>2.4630000000000001</v>
      </c>
      <c r="C1050">
        <v>2.5379999999999998</v>
      </c>
      <c r="D1050">
        <v>2.4500000000000002</v>
      </c>
      <c r="E1050">
        <v>2.4900000000000002</v>
      </c>
      <c r="F1050">
        <v>313219.95199999999</v>
      </c>
      <c r="G1050">
        <v>0</v>
      </c>
      <c r="L1050" t="s">
        <v>7</v>
      </c>
      <c r="M1050" t="s">
        <v>7</v>
      </c>
      <c r="N1050" t="s">
        <v>8</v>
      </c>
      <c r="P1050">
        <f t="shared" si="1024"/>
        <v>-9.0909090909086318E-2</v>
      </c>
      <c r="Q1050">
        <f t="shared" si="1025"/>
        <v>-28474.541090907653</v>
      </c>
      <c r="R1050">
        <f t="shared" si="1026"/>
        <v>-4211865.4536737045</v>
      </c>
      <c r="S1050">
        <f t="shared" si="1027"/>
        <v>-42.118654536737047</v>
      </c>
      <c r="T1050">
        <f t="shared" si="1028"/>
        <v>-4.2118654536737049E-2</v>
      </c>
    </row>
    <row r="1051" spans="1:20" x14ac:dyDescent="0.25">
      <c r="A1051" s="5">
        <v>43542</v>
      </c>
      <c r="B1051">
        <v>2.5019999999999998</v>
      </c>
      <c r="C1051">
        <v>2.57</v>
      </c>
      <c r="D1051">
        <v>2.4550000000000001</v>
      </c>
      <c r="E1051">
        <v>2.4590000000000001</v>
      </c>
      <c r="F1051">
        <v>404880.69300000003</v>
      </c>
      <c r="G1051">
        <v>0</v>
      </c>
      <c r="L1051" t="s">
        <v>7</v>
      </c>
      <c r="M1051" t="s">
        <v>7</v>
      </c>
      <c r="N1051" t="s">
        <v>8</v>
      </c>
      <c r="P1051">
        <f t="shared" si="1024"/>
        <v>-0.9304347826086955</v>
      </c>
      <c r="Q1051">
        <f t="shared" si="1025"/>
        <v>-376715.07957391301</v>
      </c>
      <c r="R1051">
        <f t="shared" si="1026"/>
        <v>-4183390.912582797</v>
      </c>
      <c r="S1051">
        <f t="shared" si="1027"/>
        <v>-41.833909125827972</v>
      </c>
      <c r="T1051">
        <f t="shared" si="1028"/>
        <v>-4.1833909125827975E-2</v>
      </c>
    </row>
    <row r="1052" spans="1:20" x14ac:dyDescent="0.25">
      <c r="A1052" s="5">
        <v>43541</v>
      </c>
      <c r="B1052">
        <v>2.4940000000000002</v>
      </c>
      <c r="C1052">
        <v>2.69</v>
      </c>
      <c r="D1052">
        <v>2.3969999999999998</v>
      </c>
      <c r="E1052">
        <v>2.5019999999999998</v>
      </c>
      <c r="F1052">
        <v>771703.26199999999</v>
      </c>
      <c r="G1052">
        <v>0</v>
      </c>
      <c r="L1052" t="s">
        <v>8</v>
      </c>
      <c r="M1052" t="s">
        <v>7</v>
      </c>
      <c r="N1052" t="s">
        <v>8</v>
      </c>
      <c r="P1052">
        <f t="shared" si="1024"/>
        <v>-0.28327645051194589</v>
      </c>
      <c r="Q1052">
        <f t="shared" si="1025"/>
        <v>-218605.3609078502</v>
      </c>
      <c r="R1052">
        <f t="shared" si="1026"/>
        <v>-3806675.833008884</v>
      </c>
      <c r="S1052">
        <f t="shared" si="1027"/>
        <v>-38.066758330088838</v>
      </c>
      <c r="T1052">
        <f t="shared" si="1028"/>
        <v>-3.8066758330088837E-2</v>
      </c>
    </row>
    <row r="1053" spans="1:20" x14ac:dyDescent="0.25">
      <c r="A1053" s="5">
        <v>43540</v>
      </c>
      <c r="B1053">
        <v>2.5390000000000001</v>
      </c>
      <c r="C1053">
        <v>2.5499999999999998</v>
      </c>
      <c r="D1053">
        <v>2.407</v>
      </c>
      <c r="E1053">
        <v>2.4940000000000002</v>
      </c>
      <c r="F1053">
        <v>614199.12100000004</v>
      </c>
      <c r="G1053">
        <v>0</v>
      </c>
      <c r="L1053" t="s">
        <v>7</v>
      </c>
      <c r="M1053" t="s">
        <v>7</v>
      </c>
      <c r="N1053" t="s">
        <v>8</v>
      </c>
      <c r="P1053">
        <f t="shared" si="1024"/>
        <v>0.21678321678322118</v>
      </c>
      <c r="Q1053">
        <f t="shared" si="1025"/>
        <v>133148.06119580692</v>
      </c>
      <c r="R1053">
        <f t="shared" si="1026"/>
        <v>-3588070.4721010337</v>
      </c>
      <c r="S1053">
        <f t="shared" si="1027"/>
        <v>-35.880704721010339</v>
      </c>
      <c r="T1053">
        <f t="shared" si="1028"/>
        <v>-3.5880704721010341E-2</v>
      </c>
    </row>
    <row r="1054" spans="1:20" x14ac:dyDescent="0.25">
      <c r="A1054" s="5">
        <v>43539</v>
      </c>
      <c r="B1054">
        <v>2.66</v>
      </c>
      <c r="C1054">
        <v>2.7280000000000002</v>
      </c>
      <c r="D1054">
        <v>2.448</v>
      </c>
      <c r="E1054">
        <v>2.5390000000000001</v>
      </c>
      <c r="F1054">
        <v>1446445.149</v>
      </c>
      <c r="G1054">
        <v>0</v>
      </c>
      <c r="L1054" t="s">
        <v>7</v>
      </c>
      <c r="M1054" t="s">
        <v>7</v>
      </c>
      <c r="N1054" t="s">
        <v>8</v>
      </c>
      <c r="P1054">
        <f t="shared" si="1024"/>
        <v>-0.3499999999999992</v>
      </c>
      <c r="Q1054">
        <f t="shared" si="1025"/>
        <v>-506255.80214999884</v>
      </c>
      <c r="R1054">
        <f t="shared" si="1026"/>
        <v>-3721218.5332968407</v>
      </c>
      <c r="S1054">
        <f t="shared" si="1027"/>
        <v>-37.21218533296841</v>
      </c>
      <c r="T1054">
        <f t="shared" si="1028"/>
        <v>-3.7212185332968412E-2</v>
      </c>
    </row>
    <row r="1055" spans="1:20" x14ac:dyDescent="0.25">
      <c r="A1055" s="5">
        <v>43538</v>
      </c>
      <c r="B1055">
        <v>2.121</v>
      </c>
      <c r="C1055">
        <v>3.3</v>
      </c>
      <c r="D1055">
        <v>2.0649999999999999</v>
      </c>
      <c r="E1055">
        <v>2.6589999999999998</v>
      </c>
      <c r="F1055">
        <v>4603917.0159999998</v>
      </c>
      <c r="G1055">
        <v>0</v>
      </c>
      <c r="L1055" t="s">
        <v>8</v>
      </c>
      <c r="M1055" t="s">
        <v>8</v>
      </c>
      <c r="N1055" t="s">
        <v>8</v>
      </c>
      <c r="P1055">
        <f t="shared" si="1024"/>
        <v>-3.8056680161943447E-2</v>
      </c>
      <c r="Q1055">
        <f t="shared" si="1025"/>
        <v>-175209.79737004108</v>
      </c>
      <c r="R1055">
        <f t="shared" si="1026"/>
        <v>-3214962.7311468418</v>
      </c>
      <c r="S1055">
        <f t="shared" si="1027"/>
        <v>-32.149627311468414</v>
      </c>
      <c r="T1055">
        <f t="shared" si="1028"/>
        <v>-3.2149627311468414E-2</v>
      </c>
    </row>
    <row r="1056" spans="1:20" x14ac:dyDescent="0.25">
      <c r="A1056" s="5">
        <v>43537</v>
      </c>
      <c r="B1056">
        <v>2.1459999999999999</v>
      </c>
      <c r="C1056">
        <v>2.2010000000000001</v>
      </c>
      <c r="D1056">
        <v>2.0699999999999998</v>
      </c>
      <c r="E1056">
        <v>2.121</v>
      </c>
      <c r="F1056">
        <v>361105.51400000002</v>
      </c>
      <c r="G1056">
        <v>0</v>
      </c>
      <c r="L1056" t="s">
        <v>7</v>
      </c>
      <c r="M1056" t="s">
        <v>7</v>
      </c>
      <c r="N1056" t="s">
        <v>8</v>
      </c>
      <c r="P1056">
        <f t="shared" si="1024"/>
        <v>-0.22137404580152567</v>
      </c>
      <c r="Q1056">
        <f t="shared" si="1025"/>
        <v>-79939.38859541947</v>
      </c>
      <c r="R1056">
        <f t="shared" si="1026"/>
        <v>-3039752.9337768005</v>
      </c>
      <c r="S1056">
        <f t="shared" si="1027"/>
        <v>-30.397529337768006</v>
      </c>
      <c r="T1056">
        <f t="shared" si="1028"/>
        <v>-3.0397529337768008E-2</v>
      </c>
    </row>
    <row r="1057" spans="1:20" x14ac:dyDescent="0.25">
      <c r="A1057" s="5">
        <v>43536</v>
      </c>
      <c r="B1057">
        <v>2.0619999999999998</v>
      </c>
      <c r="C1057">
        <v>2.2789999999999999</v>
      </c>
      <c r="D1057">
        <v>2.0289999999999999</v>
      </c>
      <c r="E1057">
        <v>2.1459999999999999</v>
      </c>
      <c r="F1057">
        <v>313644.90700000001</v>
      </c>
      <c r="G1057">
        <v>0</v>
      </c>
      <c r="L1057" t="s">
        <v>8</v>
      </c>
      <c r="M1057" t="s">
        <v>7</v>
      </c>
      <c r="N1057" t="s">
        <v>8</v>
      </c>
      <c r="P1057">
        <f t="shared" si="1024"/>
        <v>-6.4000000000000057E-2</v>
      </c>
      <c r="Q1057">
        <f t="shared" si="1025"/>
        <v>-20073.274048000018</v>
      </c>
      <c r="R1057">
        <f t="shared" si="1026"/>
        <v>-2959813.5451813811</v>
      </c>
      <c r="S1057">
        <f t="shared" si="1027"/>
        <v>-29.59813545181381</v>
      </c>
      <c r="T1057">
        <f t="shared" si="1028"/>
        <v>-2.959813545181381E-2</v>
      </c>
    </row>
    <row r="1058" spans="1:20" x14ac:dyDescent="0.25">
      <c r="A1058" s="5">
        <v>43535</v>
      </c>
      <c r="B1058">
        <v>2.1309999999999998</v>
      </c>
      <c r="C1058">
        <v>2.1869999999999998</v>
      </c>
      <c r="D1058">
        <v>2.0270000000000001</v>
      </c>
      <c r="E1058">
        <v>2.0670000000000002</v>
      </c>
      <c r="F1058">
        <v>353380.288</v>
      </c>
      <c r="G1058">
        <v>0</v>
      </c>
      <c r="L1058" t="s">
        <v>7</v>
      </c>
      <c r="M1058" t="s">
        <v>7</v>
      </c>
      <c r="N1058" t="s">
        <v>8</v>
      </c>
      <c r="P1058">
        <f t="shared" si="1024"/>
        <v>-0.49999999999999861</v>
      </c>
      <c r="Q1058">
        <f t="shared" si="1025"/>
        <v>-176690.14399999951</v>
      </c>
      <c r="R1058">
        <f t="shared" si="1026"/>
        <v>-2939740.2711333809</v>
      </c>
      <c r="S1058">
        <f t="shared" si="1027"/>
        <v>-29.397402711333811</v>
      </c>
      <c r="T1058">
        <f t="shared" si="1028"/>
        <v>-2.9397402711333811E-2</v>
      </c>
    </row>
    <row r="1059" spans="1:20" x14ac:dyDescent="0.25">
      <c r="A1059" s="5">
        <v>43534</v>
      </c>
      <c r="B1059">
        <v>2.2000000000000002</v>
      </c>
      <c r="C1059">
        <v>2.2000000000000002</v>
      </c>
      <c r="D1059">
        <v>2.1019999999999999</v>
      </c>
      <c r="E1059">
        <v>2.129</v>
      </c>
      <c r="F1059">
        <v>226179.712</v>
      </c>
      <c r="G1059">
        <v>0</v>
      </c>
      <c r="L1059" t="s">
        <v>8</v>
      </c>
      <c r="M1059" t="s">
        <v>7</v>
      </c>
      <c r="N1059" t="s">
        <v>8</v>
      </c>
      <c r="P1059">
        <f t="shared" si="1024"/>
        <v>-0.44897959183673369</v>
      </c>
      <c r="Q1059">
        <f t="shared" si="1025"/>
        <v>-101550.07477550997</v>
      </c>
      <c r="R1059">
        <f t="shared" si="1026"/>
        <v>-2763050.1271333816</v>
      </c>
      <c r="S1059">
        <f t="shared" si="1027"/>
        <v>-27.630501271333817</v>
      </c>
      <c r="T1059">
        <f t="shared" si="1028"/>
        <v>-2.7630501271333815E-2</v>
      </c>
    </row>
    <row r="1060" spans="1:20" x14ac:dyDescent="0.25">
      <c r="A1060" s="5">
        <v>43533</v>
      </c>
      <c r="B1060">
        <v>2.097</v>
      </c>
      <c r="C1060">
        <v>2.2210000000000001</v>
      </c>
      <c r="D1060">
        <v>2.0790000000000002</v>
      </c>
      <c r="E1060">
        <v>2.198</v>
      </c>
      <c r="F1060">
        <v>496439.913</v>
      </c>
      <c r="G1060">
        <v>0</v>
      </c>
      <c r="L1060" t="s">
        <v>8</v>
      </c>
      <c r="M1060" t="s">
        <v>7</v>
      </c>
      <c r="N1060" t="s">
        <v>8</v>
      </c>
      <c r="P1060">
        <f t="shared" si="1024"/>
        <v>0.67605633802816689</v>
      </c>
      <c r="Q1060">
        <f t="shared" si="1025"/>
        <v>335621.34963380179</v>
      </c>
      <c r="R1060">
        <f t="shared" si="1026"/>
        <v>-2661500.0523578716</v>
      </c>
      <c r="S1060">
        <f t="shared" si="1027"/>
        <v>-26.615000523578715</v>
      </c>
      <c r="T1060">
        <f t="shared" si="1028"/>
        <v>-2.6615000523578715E-2</v>
      </c>
    </row>
    <row r="1061" spans="1:20" x14ac:dyDescent="0.25">
      <c r="A1061" s="5">
        <v>43532</v>
      </c>
      <c r="B1061">
        <v>2.0649999999999999</v>
      </c>
      <c r="C1061">
        <v>2.1709999999999998</v>
      </c>
      <c r="D1061">
        <v>2.048</v>
      </c>
      <c r="E1061">
        <v>2.097</v>
      </c>
      <c r="F1061">
        <v>371843.87900000002</v>
      </c>
      <c r="G1061">
        <v>0</v>
      </c>
      <c r="L1061" t="s">
        <v>8</v>
      </c>
      <c r="M1061" t="s">
        <v>7</v>
      </c>
      <c r="N1061" t="s">
        <v>8</v>
      </c>
      <c r="P1061">
        <f t="shared" si="1024"/>
        <v>-0.20325203252032484</v>
      </c>
      <c r="Q1061">
        <f t="shared" si="1025"/>
        <v>-75578.024186991737</v>
      </c>
      <c r="R1061">
        <f t="shared" si="1026"/>
        <v>-2997121.4019916733</v>
      </c>
      <c r="S1061">
        <f t="shared" si="1027"/>
        <v>-29.971214019916733</v>
      </c>
      <c r="T1061">
        <f t="shared" si="1028"/>
        <v>-2.9971214019916734E-2</v>
      </c>
    </row>
    <row r="1062" spans="1:20" x14ac:dyDescent="0.25">
      <c r="A1062" s="5">
        <v>43531</v>
      </c>
      <c r="B1062">
        <v>2.0510000000000002</v>
      </c>
      <c r="C1062">
        <v>2.14</v>
      </c>
      <c r="D1062">
        <v>2.0379999999999998</v>
      </c>
      <c r="E1062">
        <v>2.0649999999999999</v>
      </c>
      <c r="F1062">
        <v>261050.72700000001</v>
      </c>
      <c r="G1062">
        <v>0</v>
      </c>
      <c r="L1062" t="s">
        <v>8</v>
      </c>
      <c r="M1062" t="s">
        <v>7</v>
      </c>
      <c r="N1062" t="s">
        <v>8</v>
      </c>
      <c r="P1062">
        <f t="shared" si="1024"/>
        <v>-0.47058823529411664</v>
      </c>
      <c r="Q1062">
        <f t="shared" si="1025"/>
        <v>-122847.40094117621</v>
      </c>
      <c r="R1062">
        <f t="shared" si="1026"/>
        <v>-2921543.3778046817</v>
      </c>
      <c r="S1062">
        <f t="shared" si="1027"/>
        <v>-29.215433778046815</v>
      </c>
      <c r="T1062">
        <f t="shared" si="1028"/>
        <v>-2.9215433778046817E-2</v>
      </c>
    </row>
    <row r="1063" spans="1:20" x14ac:dyDescent="0.25">
      <c r="A1063" s="5">
        <v>43530</v>
      </c>
      <c r="B1063">
        <v>2.0619999999999998</v>
      </c>
      <c r="C1063">
        <v>2.08</v>
      </c>
      <c r="D1063">
        <v>2.0150000000000001</v>
      </c>
      <c r="E1063">
        <v>2.0499999999999998</v>
      </c>
      <c r="F1063">
        <v>170540.054</v>
      </c>
      <c r="G1063">
        <v>0</v>
      </c>
      <c r="L1063" t="s">
        <v>8</v>
      </c>
      <c r="M1063" t="s">
        <v>7</v>
      </c>
      <c r="N1063" t="s">
        <v>8</v>
      </c>
      <c r="P1063">
        <f t="shared" si="1024"/>
        <v>7.6923076923068517E-2</v>
      </c>
      <c r="Q1063">
        <f t="shared" si="1025"/>
        <v>13118.465692306259</v>
      </c>
      <c r="R1063">
        <f t="shared" si="1026"/>
        <v>-2798695.9768635053</v>
      </c>
      <c r="S1063">
        <f t="shared" si="1027"/>
        <v>-27.986959768635053</v>
      </c>
      <c r="T1063">
        <f t="shared" si="1028"/>
        <v>-2.7986959768635054E-2</v>
      </c>
    </row>
    <row r="1064" spans="1:20" x14ac:dyDescent="0.25">
      <c r="A1064" s="5">
        <v>43529</v>
      </c>
      <c r="B1064">
        <v>1.9470000000000001</v>
      </c>
      <c r="C1064">
        <v>2.085</v>
      </c>
      <c r="D1064">
        <v>1.9359999999999999</v>
      </c>
      <c r="E1064">
        <v>2.0609999999999999</v>
      </c>
      <c r="F1064">
        <v>221412.06899999999</v>
      </c>
      <c r="G1064">
        <v>0</v>
      </c>
      <c r="L1064" t="s">
        <v>8</v>
      </c>
      <c r="M1064" t="s">
        <v>7</v>
      </c>
      <c r="N1064" t="s">
        <v>8</v>
      </c>
      <c r="P1064">
        <f t="shared" si="1024"/>
        <v>0.67785234899328839</v>
      </c>
      <c r="Q1064">
        <f t="shared" si="1025"/>
        <v>150084.69106711404</v>
      </c>
      <c r="R1064">
        <f t="shared" si="1026"/>
        <v>-2811814.4425558117</v>
      </c>
      <c r="S1064">
        <f t="shared" si="1027"/>
        <v>-28.118144425558118</v>
      </c>
      <c r="T1064">
        <f t="shared" si="1028"/>
        <v>-2.8118144425558118E-2</v>
      </c>
    </row>
    <row r="1065" spans="1:20" x14ac:dyDescent="0.25">
      <c r="A1065" s="5">
        <v>43528</v>
      </c>
      <c r="B1065">
        <v>2.04</v>
      </c>
      <c r="C1065">
        <v>2.0569999999999999</v>
      </c>
      <c r="D1065">
        <v>1.903</v>
      </c>
      <c r="E1065">
        <v>1.946</v>
      </c>
      <c r="F1065">
        <v>222453.25200000001</v>
      </c>
      <c r="G1065">
        <v>0</v>
      </c>
      <c r="L1065" t="s">
        <v>7</v>
      </c>
      <c r="M1065" t="s">
        <v>7</v>
      </c>
      <c r="N1065" t="s">
        <v>8</v>
      </c>
      <c r="P1065">
        <f t="shared" si="1024"/>
        <v>-0.44155844155844221</v>
      </c>
      <c r="Q1065">
        <f t="shared" si="1025"/>
        <v>-98226.111272727416</v>
      </c>
      <c r="R1065">
        <f t="shared" si="1026"/>
        <v>-2961899.1336229257</v>
      </c>
      <c r="S1065">
        <f t="shared" si="1027"/>
        <v>-29.618991336229257</v>
      </c>
      <c r="T1065">
        <f t="shared" si="1028"/>
        <v>-2.9618991336229257E-2</v>
      </c>
    </row>
    <row r="1066" spans="1:20" x14ac:dyDescent="0.25">
      <c r="A1066" s="5">
        <v>43527</v>
      </c>
      <c r="B1066">
        <v>2.0579999999999998</v>
      </c>
      <c r="C1066">
        <v>2.08</v>
      </c>
      <c r="D1066">
        <v>2.0310000000000001</v>
      </c>
      <c r="E1066">
        <v>2.044</v>
      </c>
      <c r="F1066">
        <v>127908.902</v>
      </c>
      <c r="G1066">
        <v>0</v>
      </c>
      <c r="L1066" t="s">
        <v>7</v>
      </c>
      <c r="M1066" t="s">
        <v>7</v>
      </c>
      <c r="N1066" t="s">
        <v>8</v>
      </c>
      <c r="P1066">
        <f t="shared" si="1024"/>
        <v>-0.46938775510204417</v>
      </c>
      <c r="Q1066">
        <f t="shared" si="1025"/>
        <v>-60038.872367347365</v>
      </c>
      <c r="R1066">
        <f t="shared" si="1026"/>
        <v>-2863673.0223501981</v>
      </c>
      <c r="S1066">
        <f t="shared" si="1027"/>
        <v>-28.636730223501981</v>
      </c>
      <c r="T1066">
        <f t="shared" si="1028"/>
        <v>-2.863673022350198E-2</v>
      </c>
    </row>
    <row r="1067" spans="1:20" x14ac:dyDescent="0.25">
      <c r="A1067" s="5">
        <v>43526</v>
      </c>
      <c r="B1067">
        <v>2.1120000000000001</v>
      </c>
      <c r="C1067">
        <v>2.1309999999999998</v>
      </c>
      <c r="D1067">
        <v>2.04</v>
      </c>
      <c r="E1067">
        <v>2.0619999999999998</v>
      </c>
      <c r="F1067">
        <v>166330.13800000001</v>
      </c>
      <c r="G1067">
        <v>0</v>
      </c>
      <c r="L1067" t="s">
        <v>8</v>
      </c>
      <c r="M1067" t="s">
        <v>7</v>
      </c>
      <c r="N1067" t="s">
        <v>8</v>
      </c>
      <c r="P1067">
        <f t="shared" si="1024"/>
        <v>-0.51648351648351964</v>
      </c>
      <c r="Q1067">
        <f t="shared" si="1025"/>
        <v>-85906.774571429094</v>
      </c>
      <c r="R1067">
        <f t="shared" si="1026"/>
        <v>-2803634.1499828505</v>
      </c>
      <c r="S1067">
        <f t="shared" si="1027"/>
        <v>-28.036341499828506</v>
      </c>
      <c r="T1067">
        <f t="shared" si="1028"/>
        <v>-2.8036341499828504E-2</v>
      </c>
    </row>
    <row r="1068" spans="1:20" x14ac:dyDescent="0.25">
      <c r="A1068" s="5">
        <v>43525</v>
      </c>
      <c r="B1068">
        <v>2.0750000000000002</v>
      </c>
      <c r="C1068">
        <v>2.19</v>
      </c>
      <c r="D1068">
        <v>2.0750000000000002</v>
      </c>
      <c r="E1068">
        <v>2.1120000000000001</v>
      </c>
      <c r="F1068">
        <v>343385.94300000003</v>
      </c>
      <c r="G1068">
        <v>0</v>
      </c>
      <c r="L1068" t="s">
        <v>8</v>
      </c>
      <c r="M1068" t="s">
        <v>7</v>
      </c>
      <c r="N1068" t="s">
        <v>8</v>
      </c>
      <c r="P1068">
        <f t="shared" si="1024"/>
        <v>-0.35652173913043483</v>
      </c>
      <c r="Q1068">
        <f t="shared" si="1025"/>
        <v>-122424.55359130437</v>
      </c>
      <c r="R1068">
        <f t="shared" si="1026"/>
        <v>-2717727.3754114215</v>
      </c>
      <c r="S1068">
        <f t="shared" si="1027"/>
        <v>-27.177273754114214</v>
      </c>
      <c r="T1068">
        <f t="shared" si="1028"/>
        <v>-2.7177273754114214E-2</v>
      </c>
    </row>
    <row r="1069" spans="1:20" x14ac:dyDescent="0.25">
      <c r="A1069" s="5">
        <v>43524</v>
      </c>
      <c r="B1069">
        <v>2.0710000000000002</v>
      </c>
      <c r="C1069">
        <v>2.1019999999999999</v>
      </c>
      <c r="D1069">
        <v>2.024</v>
      </c>
      <c r="E1069">
        <v>2.0750000000000002</v>
      </c>
      <c r="F1069">
        <v>159451.13099999999</v>
      </c>
      <c r="G1069">
        <v>0</v>
      </c>
      <c r="L1069" t="s">
        <v>7</v>
      </c>
      <c r="M1069" t="s">
        <v>7</v>
      </c>
      <c r="N1069" t="s">
        <v>8</v>
      </c>
      <c r="P1069">
        <f t="shared" si="1024"/>
        <v>0.30769230769231426</v>
      </c>
      <c r="Q1069">
        <f t="shared" si="1025"/>
        <v>49061.886461539507</v>
      </c>
      <c r="R1069">
        <f t="shared" si="1026"/>
        <v>-2595302.8218201171</v>
      </c>
      <c r="S1069">
        <f t="shared" si="1027"/>
        <v>-25.953028218201172</v>
      </c>
      <c r="T1069">
        <f t="shared" si="1028"/>
        <v>-2.5953028218201172E-2</v>
      </c>
    </row>
    <row r="1070" spans="1:20" x14ac:dyDescent="0.25">
      <c r="A1070" s="5">
        <v>43523</v>
      </c>
      <c r="B1070">
        <v>2.0489999999999999</v>
      </c>
      <c r="C1070">
        <v>2.1</v>
      </c>
      <c r="D1070">
        <v>2.0049999999999999</v>
      </c>
      <c r="E1070">
        <v>2.069</v>
      </c>
      <c r="F1070">
        <v>279729.75699999998</v>
      </c>
      <c r="G1070">
        <v>0</v>
      </c>
      <c r="L1070" t="s">
        <v>7</v>
      </c>
      <c r="M1070" t="s">
        <v>7</v>
      </c>
      <c r="N1070" t="s">
        <v>8</v>
      </c>
      <c r="P1070">
        <f t="shared" si="1024"/>
        <v>0.34736842105262999</v>
      </c>
      <c r="Q1070">
        <f t="shared" si="1025"/>
        <v>97169.284010525866</v>
      </c>
      <c r="R1070">
        <f t="shared" si="1026"/>
        <v>-2644364.7082816567</v>
      </c>
      <c r="S1070">
        <f t="shared" si="1027"/>
        <v>-26.443647082816568</v>
      </c>
      <c r="T1070">
        <f t="shared" si="1028"/>
        <v>-2.6443647082816567E-2</v>
      </c>
    </row>
    <row r="1071" spans="1:20" x14ac:dyDescent="0.25">
      <c r="A1071" s="5">
        <v>43522</v>
      </c>
      <c r="B1071">
        <v>2.0859999999999999</v>
      </c>
      <c r="C1071">
        <v>2.0990000000000002</v>
      </c>
      <c r="D1071">
        <v>2.036</v>
      </c>
      <c r="E1071">
        <v>2.0510000000000002</v>
      </c>
      <c r="F1071">
        <v>254877.27299999999</v>
      </c>
      <c r="G1071">
        <v>0</v>
      </c>
      <c r="L1071" t="s">
        <v>7</v>
      </c>
      <c r="M1071" t="s">
        <v>7</v>
      </c>
      <c r="N1071" t="s">
        <v>8</v>
      </c>
      <c r="P1071">
        <f t="shared" si="1024"/>
        <v>-0.52380952380952117</v>
      </c>
      <c r="Q1071">
        <f t="shared" si="1025"/>
        <v>-133507.14299999931</v>
      </c>
      <c r="R1071">
        <f t="shared" si="1026"/>
        <v>-2741533.9922921825</v>
      </c>
      <c r="S1071">
        <f t="shared" si="1027"/>
        <v>-27.415339922921824</v>
      </c>
      <c r="T1071">
        <f t="shared" si="1028"/>
        <v>-2.7415339922921823E-2</v>
      </c>
    </row>
    <row r="1072" spans="1:20" x14ac:dyDescent="0.25">
      <c r="A1072" s="5">
        <v>43521</v>
      </c>
      <c r="B1072">
        <v>2.0009999999999999</v>
      </c>
      <c r="C1072">
        <v>2.1280000000000001</v>
      </c>
      <c r="D1072">
        <v>1.996</v>
      </c>
      <c r="E1072">
        <v>2.0790000000000002</v>
      </c>
      <c r="F1072">
        <v>278129.20199999999</v>
      </c>
      <c r="G1072">
        <v>0</v>
      </c>
      <c r="L1072" t="s">
        <v>7</v>
      </c>
      <c r="M1072" t="s">
        <v>7</v>
      </c>
      <c r="N1072" t="s">
        <v>8</v>
      </c>
      <c r="P1072">
        <f t="shared" si="1024"/>
        <v>0.25757575757575923</v>
      </c>
      <c r="Q1072">
        <f t="shared" si="1025"/>
        <v>71639.339909091374</v>
      </c>
      <c r="R1072">
        <f t="shared" si="1026"/>
        <v>-2608026.8492921833</v>
      </c>
      <c r="S1072">
        <f t="shared" si="1027"/>
        <v>-26.080268492921832</v>
      </c>
      <c r="T1072">
        <f t="shared" si="1028"/>
        <v>-2.6080268492921832E-2</v>
      </c>
    </row>
    <row r="1073" spans="1:20" x14ac:dyDescent="0.25">
      <c r="A1073" s="5">
        <v>43520</v>
      </c>
      <c r="B1073">
        <v>2.37</v>
      </c>
      <c r="C1073">
        <v>2.448</v>
      </c>
      <c r="D1073">
        <v>1.986</v>
      </c>
      <c r="E1073">
        <v>2.0019999999999998</v>
      </c>
      <c r="F1073">
        <v>819812.96299999999</v>
      </c>
      <c r="G1073">
        <v>0</v>
      </c>
      <c r="L1073" t="s">
        <v>8</v>
      </c>
      <c r="M1073" t="s">
        <v>7</v>
      </c>
      <c r="N1073" t="s">
        <v>8</v>
      </c>
      <c r="P1073">
        <f t="shared" si="1024"/>
        <v>-0.93073593073593164</v>
      </c>
      <c r="Q1073">
        <f t="shared" si="1025"/>
        <v>-763029.38114718685</v>
      </c>
      <c r="R1073">
        <f t="shared" si="1026"/>
        <v>-2679666.1892012749</v>
      </c>
      <c r="S1073">
        <f t="shared" si="1027"/>
        <v>-26.79666189201275</v>
      </c>
      <c r="T1073">
        <f t="shared" si="1028"/>
        <v>-2.6796661892012751E-2</v>
      </c>
    </row>
    <row r="1074" spans="1:20" x14ac:dyDescent="0.25">
      <c r="A1074" s="5">
        <v>43519</v>
      </c>
      <c r="B1074">
        <v>2.1219999999999999</v>
      </c>
      <c r="C1074">
        <v>2.41</v>
      </c>
      <c r="D1074">
        <v>2.1080000000000001</v>
      </c>
      <c r="E1074">
        <v>2.37</v>
      </c>
      <c r="F1074">
        <v>966361.75600000005</v>
      </c>
      <c r="G1074">
        <v>0</v>
      </c>
      <c r="L1074" t="s">
        <v>8</v>
      </c>
      <c r="M1074" t="s">
        <v>8</v>
      </c>
      <c r="N1074" t="s">
        <v>8</v>
      </c>
      <c r="P1074">
        <f t="shared" si="1024"/>
        <v>0.73509933774834413</v>
      </c>
      <c r="Q1074">
        <f t="shared" si="1025"/>
        <v>710371.88686092698</v>
      </c>
      <c r="R1074">
        <f t="shared" si="1026"/>
        <v>-1916636.8080540881</v>
      </c>
      <c r="S1074">
        <f t="shared" si="1027"/>
        <v>-19.166368080540881</v>
      </c>
      <c r="T1074">
        <f t="shared" si="1028"/>
        <v>-1.9166368080540883E-2</v>
      </c>
    </row>
    <row r="1075" spans="1:20" x14ac:dyDescent="0.25">
      <c r="A1075" s="5">
        <v>43518</v>
      </c>
      <c r="B1075">
        <v>2.0779999999999998</v>
      </c>
      <c r="C1075">
        <v>2.1309999999999998</v>
      </c>
      <c r="D1075">
        <v>2.06</v>
      </c>
      <c r="E1075">
        <v>2.125</v>
      </c>
      <c r="F1075">
        <v>169958.128</v>
      </c>
      <c r="G1075">
        <v>0</v>
      </c>
      <c r="L1075" t="s">
        <v>8</v>
      </c>
      <c r="M1075" t="s">
        <v>8</v>
      </c>
      <c r="N1075" t="s">
        <v>7</v>
      </c>
      <c r="P1075">
        <f t="shared" si="1024"/>
        <v>0.83098591549296319</v>
      </c>
      <c r="Q1075">
        <f t="shared" si="1025"/>
        <v>141232.81059155022</v>
      </c>
      <c r="R1075">
        <f t="shared" si="1026"/>
        <v>-2627008.6949150153</v>
      </c>
      <c r="S1075">
        <f t="shared" si="1027"/>
        <v>-26.270086949150151</v>
      </c>
      <c r="T1075">
        <f t="shared" si="1028"/>
        <v>-2.6270086949150152E-2</v>
      </c>
    </row>
    <row r="1076" spans="1:20" x14ac:dyDescent="0.25">
      <c r="A1076" s="5">
        <v>43517</v>
      </c>
      <c r="B1076">
        <v>2.1640000000000001</v>
      </c>
      <c r="C1076">
        <v>2.1760000000000002</v>
      </c>
      <c r="D1076">
        <v>2.0489999999999999</v>
      </c>
      <c r="E1076">
        <v>2.0779999999999998</v>
      </c>
      <c r="F1076">
        <v>194132.57199999999</v>
      </c>
      <c r="G1076">
        <v>0</v>
      </c>
      <c r="L1076" t="s">
        <v>8</v>
      </c>
      <c r="M1076" t="s">
        <v>8</v>
      </c>
      <c r="N1076" t="s">
        <v>7</v>
      </c>
      <c r="P1076">
        <f t="shared" si="1024"/>
        <v>-0.54330708661417537</v>
      </c>
      <c r="Q1076">
        <f t="shared" si="1025"/>
        <v>-105473.60211023664</v>
      </c>
      <c r="R1076">
        <f t="shared" si="1026"/>
        <v>-2768241.5055065653</v>
      </c>
      <c r="S1076">
        <f t="shared" si="1027"/>
        <v>-27.682415055065654</v>
      </c>
      <c r="T1076">
        <f t="shared" si="1028"/>
        <v>-2.7682415055065655E-2</v>
      </c>
    </row>
    <row r="1077" spans="1:20" x14ac:dyDescent="0.25">
      <c r="A1077" s="5">
        <v>43516</v>
      </c>
      <c r="B1077">
        <v>2.1120000000000001</v>
      </c>
      <c r="C1077">
        <v>2.177</v>
      </c>
      <c r="D1077">
        <v>2.0470000000000002</v>
      </c>
      <c r="E1077">
        <v>2.1680000000000001</v>
      </c>
      <c r="F1077">
        <v>241612.198</v>
      </c>
      <c r="G1077">
        <v>0</v>
      </c>
      <c r="L1077" t="s">
        <v>8</v>
      </c>
      <c r="M1077" t="s">
        <v>8</v>
      </c>
      <c r="N1077" t="s">
        <v>7</v>
      </c>
      <c r="P1077">
        <f t="shared" si="1024"/>
        <v>0.86153846153846303</v>
      </c>
      <c r="Q1077">
        <f t="shared" si="1025"/>
        <v>208158.20135384653</v>
      </c>
      <c r="R1077">
        <f t="shared" si="1026"/>
        <v>-2662767.9033963289</v>
      </c>
      <c r="S1077">
        <f t="shared" si="1027"/>
        <v>-26.62767903396329</v>
      </c>
      <c r="T1077">
        <f t="shared" si="1028"/>
        <v>-2.6627679033963288E-2</v>
      </c>
    </row>
    <row r="1078" spans="1:20" x14ac:dyDescent="0.25">
      <c r="A1078" s="5">
        <v>43515</v>
      </c>
      <c r="B1078">
        <v>2.1219999999999999</v>
      </c>
      <c r="C1078">
        <v>2.2050000000000001</v>
      </c>
      <c r="D1078">
        <v>2.08</v>
      </c>
      <c r="E1078">
        <v>2.1139999999999999</v>
      </c>
      <c r="F1078">
        <v>435048.70500000002</v>
      </c>
      <c r="G1078">
        <v>0</v>
      </c>
      <c r="L1078" t="s">
        <v>8</v>
      </c>
      <c r="M1078" t="s">
        <v>8</v>
      </c>
      <c r="N1078" t="s">
        <v>7</v>
      </c>
      <c r="P1078">
        <f t="shared" si="1024"/>
        <v>-0.45600000000000307</v>
      </c>
      <c r="Q1078">
        <f t="shared" si="1025"/>
        <v>-198382.20948000133</v>
      </c>
      <c r="R1078">
        <f t="shared" si="1026"/>
        <v>-2870926.1047501755</v>
      </c>
      <c r="S1078">
        <f t="shared" si="1027"/>
        <v>-28.709261047501755</v>
      </c>
      <c r="T1078">
        <f t="shared" si="1028"/>
        <v>-2.8709261047501756E-2</v>
      </c>
    </row>
    <row r="1079" spans="1:20" x14ac:dyDescent="0.25">
      <c r="A1079" s="5">
        <v>43514</v>
      </c>
      <c r="B1079">
        <v>1.9710000000000001</v>
      </c>
      <c r="C1079">
        <v>2.19</v>
      </c>
      <c r="D1079">
        <v>1.958</v>
      </c>
      <c r="E1079">
        <v>2.1280000000000001</v>
      </c>
      <c r="F1079">
        <v>389148.152</v>
      </c>
      <c r="G1079">
        <v>0</v>
      </c>
      <c r="L1079" t="s">
        <v>8</v>
      </c>
      <c r="M1079" t="s">
        <v>8</v>
      </c>
      <c r="N1079" t="s">
        <v>7</v>
      </c>
      <c r="P1079">
        <f t="shared" si="1024"/>
        <v>0.46551724137931177</v>
      </c>
      <c r="Q1079">
        <f t="shared" si="1025"/>
        <v>181155.17420689712</v>
      </c>
      <c r="R1079">
        <f t="shared" si="1026"/>
        <v>-2672543.8952701744</v>
      </c>
      <c r="S1079">
        <f t="shared" si="1027"/>
        <v>-26.725438952701744</v>
      </c>
      <c r="T1079">
        <f t="shared" si="1028"/>
        <v>-2.6725438952701745E-2</v>
      </c>
    </row>
    <row r="1080" spans="1:20" x14ac:dyDescent="0.25">
      <c r="A1080" s="5">
        <v>43513</v>
      </c>
      <c r="B1080">
        <v>1.9410000000000001</v>
      </c>
      <c r="C1080">
        <v>2</v>
      </c>
      <c r="D1080">
        <v>1.9159999999999999</v>
      </c>
      <c r="E1080">
        <v>1.966</v>
      </c>
      <c r="F1080">
        <v>199574.576</v>
      </c>
      <c r="G1080">
        <v>0</v>
      </c>
      <c r="L1080" t="s">
        <v>8</v>
      </c>
      <c r="M1080" t="s">
        <v>8</v>
      </c>
      <c r="N1080" t="s">
        <v>7</v>
      </c>
      <c r="P1080">
        <f t="shared" si="1024"/>
        <v>0.19047619047619047</v>
      </c>
      <c r="Q1080">
        <f t="shared" si="1025"/>
        <v>38014.204952380947</v>
      </c>
      <c r="R1080">
        <f t="shared" si="1026"/>
        <v>-2853699.0694770715</v>
      </c>
      <c r="S1080">
        <f t="shared" si="1027"/>
        <v>-28.536990694770715</v>
      </c>
      <c r="T1080">
        <f t="shared" si="1028"/>
        <v>-2.8536990694770715E-2</v>
      </c>
    </row>
    <row r="1081" spans="1:20" x14ac:dyDescent="0.25">
      <c r="A1081" s="5">
        <v>43512</v>
      </c>
      <c r="B1081">
        <v>1.9079999999999999</v>
      </c>
      <c r="C1081">
        <v>1.9790000000000001</v>
      </c>
      <c r="D1081">
        <v>1.9079999999999999</v>
      </c>
      <c r="E1081">
        <v>1.9430000000000001</v>
      </c>
      <c r="F1081">
        <v>187837.57800000001</v>
      </c>
      <c r="G1081">
        <v>0</v>
      </c>
      <c r="L1081" t="s">
        <v>8</v>
      </c>
      <c r="M1081" t="s">
        <v>8</v>
      </c>
      <c r="N1081" t="s">
        <v>7</v>
      </c>
      <c r="P1081">
        <f t="shared" si="1024"/>
        <v>-1.4084507042251936E-2</v>
      </c>
      <c r="Q1081">
        <f t="shared" si="1025"/>
        <v>-2645.5996901405474</v>
      </c>
      <c r="R1081">
        <f t="shared" si="1026"/>
        <v>-2891713.2744294526</v>
      </c>
      <c r="S1081">
        <f t="shared" si="1027"/>
        <v>-28.917132744294527</v>
      </c>
      <c r="T1081">
        <f t="shared" si="1028"/>
        <v>-2.8917132744294527E-2</v>
      </c>
    </row>
    <row r="1082" spans="1:20" x14ac:dyDescent="0.25">
      <c r="A1082" s="5">
        <v>43511</v>
      </c>
      <c r="B1082">
        <v>1.883</v>
      </c>
      <c r="C1082">
        <v>1.962</v>
      </c>
      <c r="D1082">
        <v>1.8759999999999999</v>
      </c>
      <c r="E1082">
        <v>1.9079999999999999</v>
      </c>
      <c r="F1082">
        <v>228949.36600000001</v>
      </c>
      <c r="G1082">
        <v>0</v>
      </c>
      <c r="L1082" t="s">
        <v>8</v>
      </c>
      <c r="M1082" t="s">
        <v>8</v>
      </c>
      <c r="N1082" t="s">
        <v>7</v>
      </c>
      <c r="P1082">
        <f t="shared" si="1024"/>
        <v>-0.2558139534883721</v>
      </c>
      <c r="Q1082">
        <f t="shared" si="1025"/>
        <v>-58568.442465116284</v>
      </c>
      <c r="R1082">
        <f t="shared" si="1026"/>
        <v>-2889067.6747393119</v>
      </c>
      <c r="S1082">
        <f t="shared" si="1027"/>
        <v>-28.890676747393119</v>
      </c>
      <c r="T1082">
        <f t="shared" si="1028"/>
        <v>-2.889067674739312E-2</v>
      </c>
    </row>
    <row r="1083" spans="1:20" x14ac:dyDescent="0.25">
      <c r="A1083" s="5">
        <v>43510</v>
      </c>
      <c r="B1083">
        <v>1.915</v>
      </c>
      <c r="C1083">
        <v>1.9330000000000001</v>
      </c>
      <c r="D1083">
        <v>1.8680000000000001</v>
      </c>
      <c r="E1083">
        <v>1.8859999999999999</v>
      </c>
      <c r="F1083">
        <v>81669.073999999993</v>
      </c>
      <c r="G1083">
        <v>0</v>
      </c>
      <c r="L1083" t="s">
        <v>8</v>
      </c>
      <c r="M1083" t="s">
        <v>8</v>
      </c>
      <c r="N1083" t="s">
        <v>7</v>
      </c>
      <c r="P1083">
        <f t="shared" si="1024"/>
        <v>-0.44615384615385206</v>
      </c>
      <c r="Q1083">
        <f t="shared" si="1025"/>
        <v>-36436.971476923558</v>
      </c>
      <c r="R1083">
        <f t="shared" si="1026"/>
        <v>-2830499.2322741956</v>
      </c>
      <c r="S1083">
        <f t="shared" si="1027"/>
        <v>-28.304992322741956</v>
      </c>
      <c r="T1083">
        <f t="shared" si="1028"/>
        <v>-2.8304992322741956E-2</v>
      </c>
    </row>
    <row r="1084" spans="1:20" x14ac:dyDescent="0.25">
      <c r="A1084" s="5">
        <v>43509</v>
      </c>
      <c r="B1084">
        <v>1.954</v>
      </c>
      <c r="C1084">
        <v>1.9770000000000001</v>
      </c>
      <c r="D1084">
        <v>1.899</v>
      </c>
      <c r="E1084">
        <v>1.9139999999999999</v>
      </c>
      <c r="F1084">
        <v>145251.43</v>
      </c>
      <c r="G1084">
        <v>0</v>
      </c>
      <c r="L1084" t="s">
        <v>8</v>
      </c>
      <c r="M1084" t="s">
        <v>8</v>
      </c>
      <c r="N1084" t="s">
        <v>7</v>
      </c>
      <c r="P1084">
        <f t="shared" si="1024"/>
        <v>-0.61538461538461819</v>
      </c>
      <c r="Q1084">
        <f t="shared" si="1025"/>
        <v>-89385.495384615788</v>
      </c>
      <c r="R1084">
        <f t="shared" si="1026"/>
        <v>-2794062.260797272</v>
      </c>
      <c r="S1084">
        <f t="shared" si="1027"/>
        <v>-27.94062260797272</v>
      </c>
      <c r="T1084">
        <f t="shared" si="1028"/>
        <v>-2.7940622607972719E-2</v>
      </c>
    </row>
    <row r="1085" spans="1:20" x14ac:dyDescent="0.25">
      <c r="A1085" s="5">
        <v>43508</v>
      </c>
      <c r="B1085">
        <v>1.9019999999999999</v>
      </c>
      <c r="C1085">
        <v>1.9690000000000001</v>
      </c>
      <c r="D1085">
        <v>1.885</v>
      </c>
      <c r="E1085">
        <v>1.952</v>
      </c>
      <c r="F1085">
        <v>198645.908</v>
      </c>
      <c r="G1085">
        <v>0</v>
      </c>
      <c r="L1085" t="s">
        <v>8</v>
      </c>
      <c r="M1085" t="s">
        <v>8</v>
      </c>
      <c r="N1085" t="s">
        <v>7</v>
      </c>
      <c r="P1085">
        <f t="shared" si="1024"/>
        <v>0.59523809523809257</v>
      </c>
      <c r="Q1085">
        <f t="shared" si="1025"/>
        <v>118241.61190476138</v>
      </c>
      <c r="R1085">
        <f t="shared" si="1026"/>
        <v>-2704676.7654126561</v>
      </c>
      <c r="S1085">
        <f t="shared" si="1027"/>
        <v>-27.046767654126562</v>
      </c>
      <c r="T1085">
        <f t="shared" si="1028"/>
        <v>-2.7046767654126561E-2</v>
      </c>
    </row>
    <row r="1086" spans="1:20" x14ac:dyDescent="0.25">
      <c r="A1086" s="5">
        <v>43507</v>
      </c>
      <c r="B1086">
        <v>1.956</v>
      </c>
      <c r="C1086">
        <v>1.9650000000000001</v>
      </c>
      <c r="D1086">
        <v>1.8919999999999999</v>
      </c>
      <c r="E1086">
        <v>1.9079999999999999</v>
      </c>
      <c r="F1086">
        <v>80904.986000000004</v>
      </c>
      <c r="G1086">
        <v>0</v>
      </c>
      <c r="L1086" t="s">
        <v>8</v>
      </c>
      <c r="M1086" t="s">
        <v>8</v>
      </c>
      <c r="N1086" t="s">
        <v>7</v>
      </c>
      <c r="P1086">
        <f t="shared" si="1024"/>
        <v>-0.56164383561643905</v>
      </c>
      <c r="Q1086">
        <f t="shared" si="1025"/>
        <v>-45439.786657534307</v>
      </c>
      <c r="R1086">
        <f t="shared" si="1026"/>
        <v>-2822918.3773174174</v>
      </c>
      <c r="S1086">
        <f t="shared" si="1027"/>
        <v>-28.229183773174174</v>
      </c>
      <c r="T1086">
        <f t="shared" si="1028"/>
        <v>-2.8229183773174175E-2</v>
      </c>
    </row>
    <row r="1087" spans="1:20" x14ac:dyDescent="0.25">
      <c r="A1087" s="5">
        <v>43506</v>
      </c>
      <c r="B1087">
        <v>1.9450000000000001</v>
      </c>
      <c r="C1087">
        <v>1.9690000000000001</v>
      </c>
      <c r="D1087">
        <v>1.8580000000000001</v>
      </c>
      <c r="E1087">
        <v>1.956</v>
      </c>
      <c r="F1087">
        <v>156072.95699999999</v>
      </c>
      <c r="G1087">
        <v>0</v>
      </c>
      <c r="L1087" t="s">
        <v>8</v>
      </c>
      <c r="M1087" t="s">
        <v>8</v>
      </c>
      <c r="N1087" t="s">
        <v>7</v>
      </c>
      <c r="P1087">
        <f t="shared" ref="P1087:P1150" si="1029">IF(C1087=D1087,0,((E1087-D1087)-(C1087-E1087))/(C1087-D1087))</f>
        <v>0.7657657657657635</v>
      </c>
      <c r="Q1087">
        <f t="shared" ref="Q1087:Q1150" si="1030">F1087*P1087</f>
        <v>119515.32743243208</v>
      </c>
      <c r="R1087">
        <f t="shared" ref="R1087:R1150" si="1031">R1088+Q1087</f>
        <v>-2777478.5906598829</v>
      </c>
      <c r="S1087">
        <f t="shared" ref="S1087:S1150" si="1032">R1087/100000</f>
        <v>-27.774785906598829</v>
      </c>
      <c r="T1087">
        <f t="shared" ref="T1087:T1150" si="1033">S1087/1000</f>
        <v>-2.777478590659883E-2</v>
      </c>
    </row>
    <row r="1088" spans="1:20" x14ac:dyDescent="0.25">
      <c r="A1088" s="5">
        <v>43505</v>
      </c>
      <c r="B1088">
        <v>1.944</v>
      </c>
      <c r="C1088">
        <v>1.9690000000000001</v>
      </c>
      <c r="D1088">
        <v>1.919</v>
      </c>
      <c r="E1088">
        <v>1.94</v>
      </c>
      <c r="F1088">
        <v>121356.307</v>
      </c>
      <c r="G1088">
        <v>0</v>
      </c>
      <c r="L1088" t="s">
        <v>8</v>
      </c>
      <c r="M1088" t="s">
        <v>8</v>
      </c>
      <c r="N1088" t="s">
        <v>7</v>
      </c>
      <c r="P1088">
        <f t="shared" si="1029"/>
        <v>-0.16000000000000444</v>
      </c>
      <c r="Q1088">
        <f t="shared" si="1030"/>
        <v>-19417.009120000541</v>
      </c>
      <c r="R1088">
        <f t="shared" si="1031"/>
        <v>-2896993.9180923151</v>
      </c>
      <c r="S1088">
        <f t="shared" si="1032"/>
        <v>-28.969939180923152</v>
      </c>
      <c r="T1088">
        <f t="shared" si="1033"/>
        <v>-2.8969939180923152E-2</v>
      </c>
    </row>
    <row r="1089" spans="1:20" x14ac:dyDescent="0.25">
      <c r="A1089" s="5">
        <v>43504</v>
      </c>
      <c r="B1089">
        <v>1.764</v>
      </c>
      <c r="C1089">
        <v>1.98</v>
      </c>
      <c r="D1089">
        <v>1.732</v>
      </c>
      <c r="E1089">
        <v>1.9419999999999999</v>
      </c>
      <c r="F1089">
        <v>302273.26500000001</v>
      </c>
      <c r="G1089">
        <v>0</v>
      </c>
      <c r="L1089" t="s">
        <v>8</v>
      </c>
      <c r="M1089" t="s">
        <v>8</v>
      </c>
      <c r="N1089" t="s">
        <v>7</v>
      </c>
      <c r="P1089">
        <f t="shared" si="1029"/>
        <v>0.69354838709677391</v>
      </c>
      <c r="Q1089">
        <f t="shared" si="1030"/>
        <v>209641.13540322572</v>
      </c>
      <c r="R1089">
        <f t="shared" si="1031"/>
        <v>-2877576.9089723146</v>
      </c>
      <c r="S1089">
        <f t="shared" si="1032"/>
        <v>-28.775769089723145</v>
      </c>
      <c r="T1089">
        <f t="shared" si="1033"/>
        <v>-2.8775769089723145E-2</v>
      </c>
    </row>
    <row r="1090" spans="1:20" x14ac:dyDescent="0.25">
      <c r="A1090" s="5">
        <v>43503</v>
      </c>
      <c r="B1090">
        <v>1.746</v>
      </c>
      <c r="C1090">
        <v>1.7949999999999999</v>
      </c>
      <c r="D1090">
        <v>1.732</v>
      </c>
      <c r="E1090">
        <v>1.762</v>
      </c>
      <c r="F1090">
        <v>103476.829</v>
      </c>
      <c r="G1090">
        <v>0</v>
      </c>
      <c r="L1090" t="s">
        <v>7</v>
      </c>
      <c r="M1090" t="s">
        <v>7</v>
      </c>
      <c r="N1090" t="s">
        <v>7</v>
      </c>
      <c r="P1090">
        <f t="shared" si="1029"/>
        <v>-4.7619047619045944E-2</v>
      </c>
      <c r="Q1090">
        <f t="shared" si="1030"/>
        <v>-4927.4680476188742</v>
      </c>
      <c r="R1090">
        <f t="shared" si="1031"/>
        <v>-3087218.0443755402</v>
      </c>
      <c r="S1090">
        <f t="shared" si="1032"/>
        <v>-30.872180443755401</v>
      </c>
      <c r="T1090">
        <f t="shared" si="1033"/>
        <v>-3.08721804437554E-2</v>
      </c>
    </row>
    <row r="1091" spans="1:20" x14ac:dyDescent="0.25">
      <c r="A1091" s="5">
        <v>43502</v>
      </c>
      <c r="B1091">
        <v>1.8089999999999999</v>
      </c>
      <c r="C1091">
        <v>1.8220000000000001</v>
      </c>
      <c r="D1091">
        <v>1.704</v>
      </c>
      <c r="E1091">
        <v>1.7450000000000001</v>
      </c>
      <c r="F1091">
        <v>216661.889</v>
      </c>
      <c r="G1091">
        <v>0</v>
      </c>
      <c r="L1091" t="s">
        <v>7</v>
      </c>
      <c r="M1091" t="s">
        <v>7</v>
      </c>
      <c r="N1091" t="s">
        <v>7</v>
      </c>
      <c r="P1091">
        <f t="shared" si="1029"/>
        <v>-0.30508474576271</v>
      </c>
      <c r="Q1091">
        <f t="shared" si="1030"/>
        <v>-66100.237322033499</v>
      </c>
      <c r="R1091">
        <f t="shared" si="1031"/>
        <v>-3082290.5763279214</v>
      </c>
      <c r="S1091">
        <f t="shared" si="1032"/>
        <v>-30.822905763279213</v>
      </c>
      <c r="T1091">
        <f t="shared" si="1033"/>
        <v>-3.0822905763279212E-2</v>
      </c>
    </row>
    <row r="1092" spans="1:20" x14ac:dyDescent="0.25">
      <c r="A1092" s="5">
        <v>43501</v>
      </c>
      <c r="B1092">
        <v>1.82</v>
      </c>
      <c r="C1092">
        <v>1.8240000000000001</v>
      </c>
      <c r="D1092">
        <v>1.7909999999999999</v>
      </c>
      <c r="E1092">
        <v>1.8069999999999999</v>
      </c>
      <c r="F1092">
        <v>55040.237999999998</v>
      </c>
      <c r="G1092">
        <v>0</v>
      </c>
      <c r="L1092" t="s">
        <v>8</v>
      </c>
      <c r="M1092" t="s">
        <v>7</v>
      </c>
      <c r="N1092" t="s">
        <v>7</v>
      </c>
      <c r="P1092">
        <f t="shared" si="1029"/>
        <v>-3.0303030303033565E-2</v>
      </c>
      <c r="Q1092">
        <f t="shared" si="1030"/>
        <v>-1667.8860000001794</v>
      </c>
      <c r="R1092">
        <f t="shared" si="1031"/>
        <v>-3016190.339005888</v>
      </c>
      <c r="S1092">
        <f t="shared" si="1032"/>
        <v>-30.161903390058878</v>
      </c>
      <c r="T1092">
        <f t="shared" si="1033"/>
        <v>-3.0161903390058878E-2</v>
      </c>
    </row>
    <row r="1093" spans="1:20" x14ac:dyDescent="0.25">
      <c r="A1093" s="5">
        <v>43500</v>
      </c>
      <c r="B1093">
        <v>1.8260000000000001</v>
      </c>
      <c r="C1093">
        <v>1.839</v>
      </c>
      <c r="D1093">
        <v>1.8029999999999999</v>
      </c>
      <c r="E1093">
        <v>1.82</v>
      </c>
      <c r="F1093">
        <v>88638.163</v>
      </c>
      <c r="G1093">
        <v>0</v>
      </c>
      <c r="L1093" t="s">
        <v>8</v>
      </c>
      <c r="M1093" t="s">
        <v>7</v>
      </c>
      <c r="N1093" t="s">
        <v>7</v>
      </c>
      <c r="P1093">
        <f t="shared" si="1029"/>
        <v>-5.5555555555549391E-2</v>
      </c>
      <c r="Q1093">
        <f t="shared" si="1030"/>
        <v>-4924.3423888883426</v>
      </c>
      <c r="R1093">
        <f t="shared" si="1031"/>
        <v>-3014522.4530058876</v>
      </c>
      <c r="S1093">
        <f t="shared" si="1032"/>
        <v>-30.145224530058876</v>
      </c>
      <c r="T1093">
        <f t="shared" si="1033"/>
        <v>-3.0145224530058877E-2</v>
      </c>
    </row>
    <row r="1094" spans="1:20" x14ac:dyDescent="0.25">
      <c r="A1094" s="5">
        <v>43499</v>
      </c>
      <c r="B1094">
        <v>1.871</v>
      </c>
      <c r="C1094">
        <v>1.8839999999999999</v>
      </c>
      <c r="D1094">
        <v>1.81</v>
      </c>
      <c r="E1094">
        <v>1.821</v>
      </c>
      <c r="F1094">
        <v>85300.077000000005</v>
      </c>
      <c r="G1094">
        <v>0</v>
      </c>
      <c r="L1094" t="s">
        <v>8</v>
      </c>
      <c r="M1094" t="s">
        <v>7</v>
      </c>
      <c r="N1094" t="s">
        <v>7</v>
      </c>
      <c r="P1094">
        <f t="shared" si="1029"/>
        <v>-0.70270270270270485</v>
      </c>
      <c r="Q1094">
        <f t="shared" si="1030"/>
        <v>-59940.594648648832</v>
      </c>
      <c r="R1094">
        <f t="shared" si="1031"/>
        <v>-3009598.1106169992</v>
      </c>
      <c r="S1094">
        <f t="shared" si="1032"/>
        <v>-30.095981106169994</v>
      </c>
      <c r="T1094">
        <f t="shared" si="1033"/>
        <v>-3.0095981106169994E-2</v>
      </c>
    </row>
    <row r="1095" spans="1:20" x14ac:dyDescent="0.25">
      <c r="A1095" s="5">
        <v>43498</v>
      </c>
      <c r="B1095">
        <v>1.835</v>
      </c>
      <c r="C1095">
        <v>1.88</v>
      </c>
      <c r="D1095">
        <v>1.7989999999999999</v>
      </c>
      <c r="E1095">
        <v>1.867</v>
      </c>
      <c r="F1095">
        <v>89479.192999999999</v>
      </c>
      <c r="G1095">
        <v>0</v>
      </c>
      <c r="L1095" t="s">
        <v>8</v>
      </c>
      <c r="M1095" t="s">
        <v>7</v>
      </c>
      <c r="N1095" t="s">
        <v>7</v>
      </c>
      <c r="P1095">
        <f t="shared" si="1029"/>
        <v>0.67901234567901469</v>
      </c>
      <c r="Q1095">
        <f t="shared" si="1030"/>
        <v>60757.476728395268</v>
      </c>
      <c r="R1095">
        <f t="shared" si="1031"/>
        <v>-2949657.5159683502</v>
      </c>
      <c r="S1095">
        <f t="shared" si="1032"/>
        <v>-29.496575159683502</v>
      </c>
      <c r="T1095">
        <f t="shared" si="1033"/>
        <v>-2.9496575159683503E-2</v>
      </c>
    </row>
    <row r="1096" spans="1:20" x14ac:dyDescent="0.25">
      <c r="A1096" s="5">
        <v>43497</v>
      </c>
      <c r="B1096">
        <v>1.839</v>
      </c>
      <c r="C1096">
        <v>1.865</v>
      </c>
      <c r="D1096">
        <v>1.7829999999999999</v>
      </c>
      <c r="E1096">
        <v>1.8360000000000001</v>
      </c>
      <c r="F1096">
        <v>122526.874</v>
      </c>
      <c r="G1096">
        <v>0</v>
      </c>
      <c r="L1096" t="s">
        <v>8</v>
      </c>
      <c r="M1096" t="s">
        <v>7</v>
      </c>
      <c r="N1096" t="s">
        <v>7</v>
      </c>
      <c r="P1096">
        <f t="shared" si="1029"/>
        <v>0.292682926829271</v>
      </c>
      <c r="Q1096">
        <f t="shared" si="1030"/>
        <v>35861.524097561305</v>
      </c>
      <c r="R1096">
        <f t="shared" si="1031"/>
        <v>-3010414.9926967453</v>
      </c>
      <c r="S1096">
        <f t="shared" si="1032"/>
        <v>-30.104149926967452</v>
      </c>
      <c r="T1096">
        <f t="shared" si="1033"/>
        <v>-3.0104149926967451E-2</v>
      </c>
    </row>
    <row r="1097" spans="1:20" x14ac:dyDescent="0.25">
      <c r="A1097" s="5">
        <v>43496</v>
      </c>
      <c r="B1097">
        <v>1.881</v>
      </c>
      <c r="C1097">
        <v>1.917</v>
      </c>
      <c r="D1097">
        <v>1.8089999999999999</v>
      </c>
      <c r="E1097">
        <v>1.835</v>
      </c>
      <c r="F1097">
        <v>99038.396999999997</v>
      </c>
      <c r="G1097">
        <v>0</v>
      </c>
      <c r="L1097" t="s">
        <v>8</v>
      </c>
      <c r="M1097" t="s">
        <v>7</v>
      </c>
      <c r="N1097" t="s">
        <v>7</v>
      </c>
      <c r="P1097">
        <f t="shared" si="1029"/>
        <v>-0.51851851851851849</v>
      </c>
      <c r="Q1097">
        <f t="shared" si="1030"/>
        <v>-51353.242888888883</v>
      </c>
      <c r="R1097">
        <f t="shared" si="1031"/>
        <v>-3046276.5167943067</v>
      </c>
      <c r="S1097">
        <f t="shared" si="1032"/>
        <v>-30.462765167943068</v>
      </c>
      <c r="T1097">
        <f t="shared" si="1033"/>
        <v>-3.0462765167943068E-2</v>
      </c>
    </row>
    <row r="1098" spans="1:20" x14ac:dyDescent="0.25">
      <c r="A1098" s="5">
        <v>43495</v>
      </c>
      <c r="B1098">
        <v>1.839</v>
      </c>
      <c r="C1098">
        <v>1.9039999999999999</v>
      </c>
      <c r="D1098">
        <v>1.7969999999999999</v>
      </c>
      <c r="E1098">
        <v>1.8839999999999999</v>
      </c>
      <c r="F1098">
        <v>125304.283</v>
      </c>
      <c r="G1098">
        <v>0</v>
      </c>
      <c r="L1098" t="s">
        <v>8</v>
      </c>
      <c r="M1098" t="s">
        <v>7</v>
      </c>
      <c r="N1098" t="s">
        <v>7</v>
      </c>
      <c r="P1098">
        <f t="shared" si="1029"/>
        <v>0.62616822429906505</v>
      </c>
      <c r="Q1098">
        <f t="shared" si="1030"/>
        <v>78461.560383177522</v>
      </c>
      <c r="R1098">
        <f t="shared" si="1031"/>
        <v>-2994923.2739054179</v>
      </c>
      <c r="S1098">
        <f t="shared" si="1032"/>
        <v>-29.949232739054178</v>
      </c>
      <c r="T1098">
        <f t="shared" si="1033"/>
        <v>-2.9949232739054178E-2</v>
      </c>
    </row>
    <row r="1099" spans="1:20" x14ac:dyDescent="0.25">
      <c r="A1099" s="5">
        <v>43494</v>
      </c>
      <c r="B1099">
        <v>1.851</v>
      </c>
      <c r="C1099">
        <v>1.879</v>
      </c>
      <c r="D1099">
        <v>1.778</v>
      </c>
      <c r="E1099">
        <v>1.839</v>
      </c>
      <c r="F1099">
        <v>130258.05899999999</v>
      </c>
      <c r="G1099">
        <v>0</v>
      </c>
      <c r="L1099" t="s">
        <v>7</v>
      </c>
      <c r="M1099" t="s">
        <v>7</v>
      </c>
      <c r="N1099" t="s">
        <v>7</v>
      </c>
      <c r="P1099">
        <f t="shared" si="1029"/>
        <v>0.20792079207920705</v>
      </c>
      <c r="Q1099">
        <f t="shared" si="1030"/>
        <v>27083.358801980085</v>
      </c>
      <c r="R1099">
        <f t="shared" si="1031"/>
        <v>-3073384.8342885952</v>
      </c>
      <c r="S1099">
        <f t="shared" si="1032"/>
        <v>-30.733848342885953</v>
      </c>
      <c r="T1099">
        <f t="shared" si="1033"/>
        <v>-3.0733848342885953E-2</v>
      </c>
    </row>
    <row r="1100" spans="1:20" x14ac:dyDescent="0.25">
      <c r="A1100" s="5">
        <v>43493</v>
      </c>
      <c r="B1100">
        <v>1.988</v>
      </c>
      <c r="C1100">
        <v>2</v>
      </c>
      <c r="D1100">
        <v>1.774</v>
      </c>
      <c r="E1100">
        <v>1.853</v>
      </c>
      <c r="F1100">
        <v>370454.73100000003</v>
      </c>
      <c r="G1100">
        <v>0</v>
      </c>
      <c r="L1100" t="s">
        <v>7</v>
      </c>
      <c r="M1100" t="s">
        <v>7</v>
      </c>
      <c r="N1100" t="s">
        <v>7</v>
      </c>
      <c r="P1100">
        <f t="shared" si="1029"/>
        <v>-0.30088495575221269</v>
      </c>
      <c r="Q1100">
        <f t="shared" si="1030"/>
        <v>-111464.25534513286</v>
      </c>
      <c r="R1100">
        <f t="shared" si="1031"/>
        <v>-3100468.1930905753</v>
      </c>
      <c r="S1100">
        <f t="shared" si="1032"/>
        <v>-31.004681930905754</v>
      </c>
      <c r="T1100">
        <f t="shared" si="1033"/>
        <v>-3.1004681930905754E-2</v>
      </c>
    </row>
    <row r="1101" spans="1:20" x14ac:dyDescent="0.25">
      <c r="A1101" s="5">
        <v>43492</v>
      </c>
      <c r="B1101">
        <v>2.0510000000000002</v>
      </c>
      <c r="C1101">
        <v>2.0659999999999998</v>
      </c>
      <c r="D1101">
        <v>1.966</v>
      </c>
      <c r="E1101">
        <v>1.992</v>
      </c>
      <c r="F1101">
        <v>173749.75</v>
      </c>
      <c r="G1101">
        <v>0</v>
      </c>
      <c r="L1101" t="s">
        <v>8</v>
      </c>
      <c r="M1101" t="s">
        <v>7</v>
      </c>
      <c r="N1101" t="s">
        <v>7</v>
      </c>
      <c r="P1101">
        <f t="shared" si="1029"/>
        <v>-0.47999999999999887</v>
      </c>
      <c r="Q1101">
        <f t="shared" si="1030"/>
        <v>-83399.879999999801</v>
      </c>
      <c r="R1101">
        <f t="shared" si="1031"/>
        <v>-2989003.9377454426</v>
      </c>
      <c r="S1101">
        <f t="shared" si="1032"/>
        <v>-29.890039377454425</v>
      </c>
      <c r="T1101">
        <f t="shared" si="1033"/>
        <v>-2.9890039377454426E-2</v>
      </c>
    </row>
    <row r="1102" spans="1:20" x14ac:dyDescent="0.25">
      <c r="A1102" s="5">
        <v>43491</v>
      </c>
      <c r="B1102">
        <v>2.0579999999999998</v>
      </c>
      <c r="C1102">
        <v>2.0880000000000001</v>
      </c>
      <c r="D1102">
        <v>2.0419999999999998</v>
      </c>
      <c r="E1102">
        <v>2.0539999999999998</v>
      </c>
      <c r="F1102">
        <v>99039.178</v>
      </c>
      <c r="G1102">
        <v>0</v>
      </c>
      <c r="L1102" t="s">
        <v>8</v>
      </c>
      <c r="M1102" t="s">
        <v>7</v>
      </c>
      <c r="N1102" t="s">
        <v>7</v>
      </c>
      <c r="P1102">
        <f t="shared" si="1029"/>
        <v>-0.4782608695652199</v>
      </c>
      <c r="Q1102">
        <f t="shared" si="1030"/>
        <v>-47366.563391304597</v>
      </c>
      <c r="R1102">
        <f t="shared" si="1031"/>
        <v>-2905604.0577454427</v>
      </c>
      <c r="S1102">
        <f t="shared" si="1032"/>
        <v>-29.056040577454429</v>
      </c>
      <c r="T1102">
        <f t="shared" si="1033"/>
        <v>-2.905604057745443E-2</v>
      </c>
    </row>
    <row r="1103" spans="1:20" x14ac:dyDescent="0.25">
      <c r="A1103" s="5">
        <v>43490</v>
      </c>
      <c r="B1103">
        <v>2.048</v>
      </c>
      <c r="C1103">
        <v>2.0680000000000001</v>
      </c>
      <c r="D1103">
        <v>2.028</v>
      </c>
      <c r="E1103">
        <v>2.0569999999999999</v>
      </c>
      <c r="F1103">
        <v>138231.14499999999</v>
      </c>
      <c r="G1103">
        <v>0</v>
      </c>
      <c r="L1103" t="s">
        <v>8</v>
      </c>
      <c r="M1103" t="s">
        <v>7</v>
      </c>
      <c r="N1103" t="s">
        <v>7</v>
      </c>
      <c r="P1103">
        <f t="shared" si="1029"/>
        <v>0.44999999999999446</v>
      </c>
      <c r="Q1103">
        <f t="shared" si="1030"/>
        <v>62204.015249999233</v>
      </c>
      <c r="R1103">
        <f t="shared" si="1031"/>
        <v>-2858237.4943541382</v>
      </c>
      <c r="S1103">
        <f t="shared" si="1032"/>
        <v>-28.582374943541382</v>
      </c>
      <c r="T1103">
        <f t="shared" si="1033"/>
        <v>-2.8582374943541381E-2</v>
      </c>
    </row>
    <row r="1104" spans="1:20" x14ac:dyDescent="0.25">
      <c r="A1104" s="5">
        <v>43489</v>
      </c>
      <c r="B1104">
        <v>2.032</v>
      </c>
      <c r="C1104">
        <v>2.0649999999999999</v>
      </c>
      <c r="D1104">
        <v>2.0139999999999998</v>
      </c>
      <c r="E1104">
        <v>2.048</v>
      </c>
      <c r="F1104">
        <v>128327.5</v>
      </c>
      <c r="G1104">
        <v>0</v>
      </c>
      <c r="L1104" t="s">
        <v>8</v>
      </c>
      <c r="M1104" t="s">
        <v>7</v>
      </c>
      <c r="N1104" t="s">
        <v>7</v>
      </c>
      <c r="P1104">
        <f t="shared" si="1029"/>
        <v>0.33333333333333914</v>
      </c>
      <c r="Q1104">
        <f t="shared" si="1030"/>
        <v>42775.833333334078</v>
      </c>
      <c r="R1104">
        <f t="shared" si="1031"/>
        <v>-2920441.5096041374</v>
      </c>
      <c r="S1104">
        <f t="shared" si="1032"/>
        <v>-29.204415096041373</v>
      </c>
      <c r="T1104">
        <f t="shared" si="1033"/>
        <v>-2.9204415096041374E-2</v>
      </c>
    </row>
    <row r="1105" spans="1:20" x14ac:dyDescent="0.25">
      <c r="A1105" s="5">
        <v>43488</v>
      </c>
      <c r="B1105">
        <v>2.0590000000000002</v>
      </c>
      <c r="C1105">
        <v>2.109</v>
      </c>
      <c r="D1105">
        <v>2.0030000000000001</v>
      </c>
      <c r="E1105">
        <v>2.0350000000000001</v>
      </c>
      <c r="F1105">
        <v>151283.60399999999</v>
      </c>
      <c r="G1105">
        <v>0</v>
      </c>
      <c r="L1105" t="s">
        <v>8</v>
      </c>
      <c r="M1105" t="s">
        <v>7</v>
      </c>
      <c r="N1105" t="s">
        <v>7</v>
      </c>
      <c r="P1105">
        <f t="shared" si="1029"/>
        <v>-0.39622641509433837</v>
      </c>
      <c r="Q1105">
        <f t="shared" si="1030"/>
        <v>-59942.560075471505</v>
      </c>
      <c r="R1105">
        <f t="shared" si="1031"/>
        <v>-2963217.3429374713</v>
      </c>
      <c r="S1105">
        <f t="shared" si="1032"/>
        <v>-29.632173429374713</v>
      </c>
      <c r="T1105">
        <f t="shared" si="1033"/>
        <v>-2.9632173429374714E-2</v>
      </c>
    </row>
    <row r="1106" spans="1:20" x14ac:dyDescent="0.25">
      <c r="A1106" s="5">
        <v>43487</v>
      </c>
      <c r="B1106">
        <v>2.0190000000000001</v>
      </c>
      <c r="C1106">
        <v>2.09</v>
      </c>
      <c r="D1106">
        <v>1.952</v>
      </c>
      <c r="E1106">
        <v>2.0590000000000002</v>
      </c>
      <c r="F1106">
        <v>207860.07500000001</v>
      </c>
      <c r="G1106">
        <v>0</v>
      </c>
      <c r="L1106" t="s">
        <v>7</v>
      </c>
      <c r="M1106" t="s">
        <v>7</v>
      </c>
      <c r="N1106" t="s">
        <v>7</v>
      </c>
      <c r="P1106">
        <f t="shared" si="1029"/>
        <v>0.55072463768116353</v>
      </c>
      <c r="Q1106">
        <f t="shared" si="1030"/>
        <v>114473.66449275448</v>
      </c>
      <c r="R1106">
        <f t="shared" si="1031"/>
        <v>-2903274.7828619997</v>
      </c>
      <c r="S1106">
        <f t="shared" si="1032"/>
        <v>-29.032747828619996</v>
      </c>
      <c r="T1106">
        <f t="shared" si="1033"/>
        <v>-2.9032747828619997E-2</v>
      </c>
    </row>
    <row r="1107" spans="1:20" x14ac:dyDescent="0.25">
      <c r="A1107" s="5">
        <v>43486</v>
      </c>
      <c r="B1107">
        <v>2.0310000000000001</v>
      </c>
      <c r="C1107">
        <v>2.0710000000000002</v>
      </c>
      <c r="D1107">
        <v>1.9950000000000001</v>
      </c>
      <c r="E1107">
        <v>2.0190000000000001</v>
      </c>
      <c r="F1107">
        <v>226068.60200000001</v>
      </c>
      <c r="G1107">
        <v>0</v>
      </c>
      <c r="L1107" t="s">
        <v>7</v>
      </c>
      <c r="M1107" t="s">
        <v>7</v>
      </c>
      <c r="N1107" t="s">
        <v>7</v>
      </c>
      <c r="P1107">
        <f t="shared" si="1029"/>
        <v>-0.36842105263157893</v>
      </c>
      <c r="Q1107">
        <f t="shared" si="1030"/>
        <v>-83288.432315789469</v>
      </c>
      <c r="R1107">
        <f t="shared" si="1031"/>
        <v>-3017748.447354754</v>
      </c>
      <c r="S1107">
        <f t="shared" si="1032"/>
        <v>-30.17748447354754</v>
      </c>
      <c r="T1107">
        <f t="shared" si="1033"/>
        <v>-3.0177484473547539E-2</v>
      </c>
    </row>
    <row r="1108" spans="1:20" x14ac:dyDescent="0.25">
      <c r="A1108" s="5">
        <v>43485</v>
      </c>
      <c r="B1108">
        <v>2.125</v>
      </c>
      <c r="C1108">
        <v>2.14</v>
      </c>
      <c r="D1108">
        <v>1.9670000000000001</v>
      </c>
      <c r="E1108">
        <v>2.0249999999999999</v>
      </c>
      <c r="F1108">
        <v>309815.43400000001</v>
      </c>
      <c r="G1108">
        <v>0</v>
      </c>
      <c r="L1108" t="s">
        <v>7</v>
      </c>
      <c r="M1108" t="s">
        <v>7</v>
      </c>
      <c r="N1108" t="s">
        <v>7</v>
      </c>
      <c r="P1108">
        <f t="shared" si="1029"/>
        <v>-0.32947976878612928</v>
      </c>
      <c r="Q1108">
        <f t="shared" si="1030"/>
        <v>-102077.9175606943</v>
      </c>
      <c r="R1108">
        <f t="shared" si="1031"/>
        <v>-2934460.0150389643</v>
      </c>
      <c r="S1108">
        <f t="shared" si="1032"/>
        <v>-29.344600150389642</v>
      </c>
      <c r="T1108">
        <f t="shared" si="1033"/>
        <v>-2.934460015038964E-2</v>
      </c>
    </row>
    <row r="1109" spans="1:20" x14ac:dyDescent="0.25">
      <c r="A1109" s="5">
        <v>43484</v>
      </c>
      <c r="B1109">
        <v>2.0720000000000001</v>
      </c>
      <c r="C1109">
        <v>2.15</v>
      </c>
      <c r="D1109">
        <v>2.069</v>
      </c>
      <c r="E1109">
        <v>2.125</v>
      </c>
      <c r="F1109">
        <v>184781.761</v>
      </c>
      <c r="G1109">
        <v>0</v>
      </c>
      <c r="L1109" t="s">
        <v>7</v>
      </c>
      <c r="M1109" t="s">
        <v>7</v>
      </c>
      <c r="N1109" t="s">
        <v>7</v>
      </c>
      <c r="P1109">
        <f t="shared" si="1029"/>
        <v>0.38271604938271797</v>
      </c>
      <c r="Q1109">
        <f t="shared" si="1030"/>
        <v>70718.945567901595</v>
      </c>
      <c r="R1109">
        <f t="shared" si="1031"/>
        <v>-2832382.0974782701</v>
      </c>
      <c r="S1109">
        <f t="shared" si="1032"/>
        <v>-28.323820974782702</v>
      </c>
      <c r="T1109">
        <f t="shared" si="1033"/>
        <v>-2.8323820974782702E-2</v>
      </c>
    </row>
    <row r="1110" spans="1:20" x14ac:dyDescent="0.25">
      <c r="A1110" s="5">
        <v>43483</v>
      </c>
      <c r="B1110">
        <v>2.105</v>
      </c>
      <c r="C1110">
        <v>2.1120000000000001</v>
      </c>
      <c r="D1110">
        <v>2.052</v>
      </c>
      <c r="E1110">
        <v>2.069</v>
      </c>
      <c r="F1110">
        <v>103836.245</v>
      </c>
      <c r="G1110">
        <v>0</v>
      </c>
      <c r="L1110" t="s">
        <v>7</v>
      </c>
      <c r="M1110" t="s">
        <v>7</v>
      </c>
      <c r="N1110" t="s">
        <v>7</v>
      </c>
      <c r="P1110">
        <f t="shared" si="1029"/>
        <v>-0.43333333333333701</v>
      </c>
      <c r="Q1110">
        <f t="shared" si="1030"/>
        <v>-44995.706166667049</v>
      </c>
      <c r="R1110">
        <f t="shared" si="1031"/>
        <v>-2903101.0430461718</v>
      </c>
      <c r="S1110">
        <f t="shared" si="1032"/>
        <v>-29.031010430461716</v>
      </c>
      <c r="T1110">
        <f t="shared" si="1033"/>
        <v>-2.9031010430461718E-2</v>
      </c>
    </row>
    <row r="1111" spans="1:20" x14ac:dyDescent="0.25">
      <c r="A1111" s="5">
        <v>43482</v>
      </c>
      <c r="B1111">
        <v>2.0880000000000001</v>
      </c>
      <c r="C1111">
        <v>2.1160000000000001</v>
      </c>
      <c r="D1111">
        <v>2.0550000000000002</v>
      </c>
      <c r="E1111">
        <v>2.109</v>
      </c>
      <c r="F1111">
        <v>244917.902</v>
      </c>
      <c r="G1111">
        <v>0</v>
      </c>
      <c r="L1111" t="s">
        <v>7</v>
      </c>
      <c r="M1111" t="s">
        <v>7</v>
      </c>
      <c r="N1111" t="s">
        <v>7</v>
      </c>
      <c r="P1111">
        <f t="shared" si="1029"/>
        <v>0.7704918032786845</v>
      </c>
      <c r="Q1111">
        <f t="shared" si="1030"/>
        <v>188707.23596721212</v>
      </c>
      <c r="R1111">
        <f t="shared" si="1031"/>
        <v>-2858105.3368795048</v>
      </c>
      <c r="S1111">
        <f t="shared" si="1032"/>
        <v>-28.581053368795047</v>
      </c>
      <c r="T1111">
        <f t="shared" si="1033"/>
        <v>-2.8581053368795045E-2</v>
      </c>
    </row>
    <row r="1112" spans="1:20" x14ac:dyDescent="0.25">
      <c r="A1112" s="5">
        <v>43481</v>
      </c>
      <c r="B1112">
        <v>2.056</v>
      </c>
      <c r="C1112">
        <v>2.133</v>
      </c>
      <c r="D1112">
        <v>2.044</v>
      </c>
      <c r="E1112">
        <v>2.0870000000000002</v>
      </c>
      <c r="F1112">
        <v>180306.959</v>
      </c>
      <c r="G1112">
        <v>0</v>
      </c>
      <c r="L1112" t="s">
        <v>7</v>
      </c>
      <c r="M1112" t="s">
        <v>7</v>
      </c>
      <c r="N1112" t="s">
        <v>7</v>
      </c>
      <c r="P1112">
        <f t="shared" si="1029"/>
        <v>-3.3707865168535626E-2</v>
      </c>
      <c r="Q1112">
        <f t="shared" si="1030"/>
        <v>-6077.7626629206816</v>
      </c>
      <c r="R1112">
        <f t="shared" si="1031"/>
        <v>-3046812.5728467167</v>
      </c>
      <c r="S1112">
        <f t="shared" si="1032"/>
        <v>-30.468125728467168</v>
      </c>
      <c r="T1112">
        <f t="shared" si="1033"/>
        <v>-3.0468125728467167E-2</v>
      </c>
    </row>
    <row r="1113" spans="1:20" x14ac:dyDescent="0.25">
      <c r="A1113" s="5">
        <v>43480</v>
      </c>
      <c r="B1113">
        <v>2.1539999999999999</v>
      </c>
      <c r="C1113">
        <v>2.1739999999999999</v>
      </c>
      <c r="D1113">
        <v>2.012</v>
      </c>
      <c r="E1113">
        <v>2.056</v>
      </c>
      <c r="F1113">
        <v>319329.55599999998</v>
      </c>
      <c r="G1113">
        <v>0</v>
      </c>
      <c r="L1113" t="s">
        <v>7</v>
      </c>
      <c r="M1113" t="s">
        <v>7</v>
      </c>
      <c r="N1113" t="s">
        <v>7</v>
      </c>
      <c r="P1113">
        <f t="shared" si="1029"/>
        <v>-0.45679012345678938</v>
      </c>
      <c r="Q1113">
        <f t="shared" si="1030"/>
        <v>-145866.58730864173</v>
      </c>
      <c r="R1113">
        <f t="shared" si="1031"/>
        <v>-3040734.8101837961</v>
      </c>
      <c r="S1113">
        <f t="shared" si="1032"/>
        <v>-30.407348101837961</v>
      </c>
      <c r="T1113">
        <f t="shared" si="1033"/>
        <v>-3.0407348101837962E-2</v>
      </c>
    </row>
    <row r="1114" spans="1:20" x14ac:dyDescent="0.25">
      <c r="A1114" s="5">
        <v>43479</v>
      </c>
      <c r="B1114">
        <v>2.0129999999999999</v>
      </c>
      <c r="C1114">
        <v>2.1859999999999999</v>
      </c>
      <c r="D1114">
        <v>2.0129999999999999</v>
      </c>
      <c r="E1114">
        <v>2.1549999999999998</v>
      </c>
      <c r="F1114">
        <v>339802.77500000002</v>
      </c>
      <c r="G1114">
        <v>0</v>
      </c>
      <c r="L1114" t="s">
        <v>8</v>
      </c>
      <c r="M1114" t="s">
        <v>7</v>
      </c>
      <c r="N1114" t="s">
        <v>7</v>
      </c>
      <c r="P1114">
        <f t="shared" si="1029"/>
        <v>0.6416184971098251</v>
      </c>
      <c r="Q1114">
        <f t="shared" si="1030"/>
        <v>218023.74580924807</v>
      </c>
      <c r="R1114">
        <f t="shared" si="1031"/>
        <v>-2894868.2228751546</v>
      </c>
      <c r="S1114">
        <f t="shared" si="1032"/>
        <v>-28.948682228751547</v>
      </c>
      <c r="T1114">
        <f t="shared" si="1033"/>
        <v>-2.8948682228751549E-2</v>
      </c>
    </row>
    <row r="1115" spans="1:20" x14ac:dyDescent="0.25">
      <c r="A1115" s="5">
        <v>43478</v>
      </c>
      <c r="B1115">
        <v>2.202</v>
      </c>
      <c r="C1115">
        <v>2.2999999999999998</v>
      </c>
      <c r="D1115">
        <v>2.0009999999999999</v>
      </c>
      <c r="E1115">
        <v>2.008</v>
      </c>
      <c r="F1115">
        <v>523268.848</v>
      </c>
      <c r="G1115">
        <v>0</v>
      </c>
      <c r="L1115" t="s">
        <v>7</v>
      </c>
      <c r="M1115" t="s">
        <v>7</v>
      </c>
      <c r="N1115" t="s">
        <v>7</v>
      </c>
      <c r="P1115">
        <f t="shared" si="1029"/>
        <v>-0.95317725752508287</v>
      </c>
      <c r="Q1115">
        <f t="shared" si="1030"/>
        <v>-498767.96548494947</v>
      </c>
      <c r="R1115">
        <f t="shared" si="1031"/>
        <v>-3112891.9686844028</v>
      </c>
      <c r="S1115">
        <f t="shared" si="1032"/>
        <v>-31.128919686844029</v>
      </c>
      <c r="T1115">
        <f t="shared" si="1033"/>
        <v>-3.1128919686844028E-2</v>
      </c>
    </row>
    <row r="1116" spans="1:20" x14ac:dyDescent="0.25">
      <c r="A1116" s="5">
        <v>43477</v>
      </c>
      <c r="B1116">
        <v>2.0990000000000002</v>
      </c>
      <c r="C1116">
        <v>2.3929999999999998</v>
      </c>
      <c r="D1116">
        <v>2.0249999999999999</v>
      </c>
      <c r="E1116">
        <v>2.202</v>
      </c>
      <c r="F1116">
        <v>517752.701</v>
      </c>
      <c r="G1116">
        <v>0</v>
      </c>
      <c r="L1116" t="s">
        <v>8</v>
      </c>
      <c r="M1116" t="s">
        <v>7</v>
      </c>
      <c r="N1116" t="s">
        <v>7</v>
      </c>
      <c r="P1116">
        <f t="shared" si="1029"/>
        <v>-3.8043478260869006E-2</v>
      </c>
      <c r="Q1116">
        <f t="shared" si="1030"/>
        <v>-19697.113624999711</v>
      </c>
      <c r="R1116">
        <f t="shared" si="1031"/>
        <v>-2614124.0031994535</v>
      </c>
      <c r="S1116">
        <f t="shared" si="1032"/>
        <v>-26.141240031994535</v>
      </c>
      <c r="T1116">
        <f t="shared" si="1033"/>
        <v>-2.6141240031994535E-2</v>
      </c>
    </row>
    <row r="1117" spans="1:20" x14ac:dyDescent="0.25">
      <c r="A1117" s="5">
        <v>43476</v>
      </c>
      <c r="B1117">
        <v>2.08</v>
      </c>
      <c r="C1117">
        <v>2.1230000000000002</v>
      </c>
      <c r="D1117">
        <v>1.9950000000000001</v>
      </c>
      <c r="E1117">
        <v>2.1</v>
      </c>
      <c r="F1117">
        <v>237178.22099999999</v>
      </c>
      <c r="G1117">
        <v>0</v>
      </c>
      <c r="L1117" t="s">
        <v>7</v>
      </c>
      <c r="M1117" t="s">
        <v>7</v>
      </c>
      <c r="N1117" t="s">
        <v>7</v>
      </c>
      <c r="P1117">
        <f t="shared" si="1029"/>
        <v>0.64062499999999822</v>
      </c>
      <c r="Q1117">
        <f t="shared" si="1030"/>
        <v>151942.29782812457</v>
      </c>
      <c r="R1117">
        <f t="shared" si="1031"/>
        <v>-2594426.8895744537</v>
      </c>
      <c r="S1117">
        <f t="shared" si="1032"/>
        <v>-25.944268895744536</v>
      </c>
      <c r="T1117">
        <f t="shared" si="1033"/>
        <v>-2.5944268895744537E-2</v>
      </c>
    </row>
    <row r="1118" spans="1:20" x14ac:dyDescent="0.25">
      <c r="A1118" s="5">
        <v>43475</v>
      </c>
      <c r="B1118">
        <v>2.4220000000000002</v>
      </c>
      <c r="C1118">
        <v>2.5819999999999999</v>
      </c>
      <c r="D1118">
        <v>2.02</v>
      </c>
      <c r="E1118">
        <v>2.0790000000000002</v>
      </c>
      <c r="F1118">
        <v>894531.33799999999</v>
      </c>
      <c r="G1118">
        <v>0</v>
      </c>
      <c r="L1118" t="s">
        <v>8</v>
      </c>
      <c r="M1118" t="s">
        <v>8</v>
      </c>
      <c r="N1118" t="s">
        <v>7</v>
      </c>
      <c r="P1118">
        <f t="shared" si="1029"/>
        <v>-0.79003558718861144</v>
      </c>
      <c r="Q1118">
        <f t="shared" si="1030"/>
        <v>-706711.59087544424</v>
      </c>
      <c r="R1118">
        <f t="shared" si="1031"/>
        <v>-2746369.1874025781</v>
      </c>
      <c r="S1118">
        <f t="shared" si="1032"/>
        <v>-27.46369187402578</v>
      </c>
      <c r="T1118">
        <f t="shared" si="1033"/>
        <v>-2.7463691874025781E-2</v>
      </c>
    </row>
    <row r="1119" spans="1:20" x14ac:dyDescent="0.25">
      <c r="A1119" s="5">
        <v>43474</v>
      </c>
      <c r="B1119">
        <v>2.242</v>
      </c>
      <c r="C1119">
        <v>2.4990000000000001</v>
      </c>
      <c r="D1119">
        <v>2.238</v>
      </c>
      <c r="E1119">
        <v>2.415</v>
      </c>
      <c r="F1119">
        <v>953337.14300000004</v>
      </c>
      <c r="G1119">
        <v>0</v>
      </c>
      <c r="L1119" t="s">
        <v>8</v>
      </c>
      <c r="M1119" t="s">
        <v>8</v>
      </c>
      <c r="N1119" t="s">
        <v>7</v>
      </c>
      <c r="P1119">
        <f t="shared" si="1029"/>
        <v>0.3563218390804595</v>
      </c>
      <c r="Q1119">
        <f t="shared" si="1030"/>
        <v>339694.84405747103</v>
      </c>
      <c r="R1119">
        <f t="shared" si="1031"/>
        <v>-2039657.5965271341</v>
      </c>
      <c r="S1119">
        <f t="shared" si="1032"/>
        <v>-20.396575965271342</v>
      </c>
      <c r="T1119">
        <f t="shared" si="1033"/>
        <v>-2.0396575965271342E-2</v>
      </c>
    </row>
    <row r="1120" spans="1:20" x14ac:dyDescent="0.25">
      <c r="A1120" s="5">
        <v>43473</v>
      </c>
      <c r="B1120">
        <v>2.2450000000000001</v>
      </c>
      <c r="C1120">
        <v>2.3210000000000002</v>
      </c>
      <c r="D1120">
        <v>2.2050000000000001</v>
      </c>
      <c r="E1120">
        <v>2.242</v>
      </c>
      <c r="F1120">
        <v>259006.44699999999</v>
      </c>
      <c r="G1120">
        <v>0</v>
      </c>
      <c r="L1120" t="s">
        <v>7</v>
      </c>
      <c r="M1120" t="s">
        <v>7</v>
      </c>
      <c r="N1120" t="s">
        <v>7</v>
      </c>
      <c r="P1120">
        <f t="shared" si="1029"/>
        <v>-0.36206896551724327</v>
      </c>
      <c r="Q1120">
        <f t="shared" si="1030"/>
        <v>-93778.196327586687</v>
      </c>
      <c r="R1120">
        <f t="shared" si="1031"/>
        <v>-2379352.4405846051</v>
      </c>
      <c r="S1120">
        <f t="shared" si="1032"/>
        <v>-23.79352440584605</v>
      </c>
      <c r="T1120">
        <f t="shared" si="1033"/>
        <v>-2.3793524405846051E-2</v>
      </c>
    </row>
    <row r="1121" spans="1:20" x14ac:dyDescent="0.25">
      <c r="A1121" s="5">
        <v>43472</v>
      </c>
      <c r="B1121">
        <v>2.2919999999999998</v>
      </c>
      <c r="C1121">
        <v>2.3220000000000001</v>
      </c>
      <c r="D1121">
        <v>2.222</v>
      </c>
      <c r="E1121">
        <v>2.246</v>
      </c>
      <c r="F1121">
        <v>223076.44</v>
      </c>
      <c r="G1121">
        <v>0</v>
      </c>
      <c r="L1121" t="s">
        <v>8</v>
      </c>
      <c r="M1121" t="s">
        <v>7</v>
      </c>
      <c r="N1121" t="s">
        <v>7</v>
      </c>
      <c r="P1121">
        <f t="shared" si="1029"/>
        <v>-0.52</v>
      </c>
      <c r="Q1121">
        <f t="shared" si="1030"/>
        <v>-115999.7488</v>
      </c>
      <c r="R1121">
        <f t="shared" si="1031"/>
        <v>-2285574.2442570184</v>
      </c>
      <c r="S1121">
        <f t="shared" si="1032"/>
        <v>-22.855742442570186</v>
      </c>
      <c r="T1121">
        <f t="shared" si="1033"/>
        <v>-2.2855742442570187E-2</v>
      </c>
    </row>
    <row r="1122" spans="1:20" x14ac:dyDescent="0.25">
      <c r="A1122" s="5">
        <v>43471</v>
      </c>
      <c r="B1122">
        <v>2.21</v>
      </c>
      <c r="C1122">
        <v>2.3540000000000001</v>
      </c>
      <c r="D1122">
        <v>2.177</v>
      </c>
      <c r="E1122">
        <v>2.2909999999999999</v>
      </c>
      <c r="F1122">
        <v>372689.15700000001</v>
      </c>
      <c r="G1122">
        <v>0</v>
      </c>
      <c r="L1122" t="s">
        <v>8</v>
      </c>
      <c r="M1122" t="s">
        <v>7</v>
      </c>
      <c r="N1122" t="s">
        <v>7</v>
      </c>
      <c r="P1122">
        <f t="shared" si="1029"/>
        <v>0.28813559322033727</v>
      </c>
      <c r="Q1122">
        <f t="shared" si="1030"/>
        <v>107385.01133898241</v>
      </c>
      <c r="R1122">
        <f t="shared" si="1031"/>
        <v>-2169574.4954570183</v>
      </c>
      <c r="S1122">
        <f t="shared" si="1032"/>
        <v>-21.695744954570184</v>
      </c>
      <c r="T1122">
        <f t="shared" si="1033"/>
        <v>-2.1695744954570183E-2</v>
      </c>
    </row>
    <row r="1123" spans="1:20" x14ac:dyDescent="0.25">
      <c r="A1123" s="5">
        <v>43470</v>
      </c>
      <c r="B1123">
        <v>2.2029999999999998</v>
      </c>
      <c r="C1123">
        <v>2.2610000000000001</v>
      </c>
      <c r="D1123">
        <v>2.1749999999999998</v>
      </c>
      <c r="E1123">
        <v>2.2050000000000001</v>
      </c>
      <c r="F1123">
        <v>419717.408</v>
      </c>
      <c r="G1123">
        <v>0</v>
      </c>
      <c r="L1123" t="s">
        <v>7</v>
      </c>
      <c r="M1123" t="s">
        <v>7</v>
      </c>
      <c r="N1123" t="s">
        <v>7</v>
      </c>
      <c r="P1123">
        <f t="shared" si="1029"/>
        <v>-0.30232558139534549</v>
      </c>
      <c r="Q1123">
        <f t="shared" si="1030"/>
        <v>-126891.30939534743</v>
      </c>
      <c r="R1123">
        <f t="shared" si="1031"/>
        <v>-2276959.5067960005</v>
      </c>
      <c r="S1123">
        <f t="shared" si="1032"/>
        <v>-22.769595067960005</v>
      </c>
      <c r="T1123">
        <f t="shared" si="1033"/>
        <v>-2.2769595067960006E-2</v>
      </c>
    </row>
    <row r="1124" spans="1:20" x14ac:dyDescent="0.25">
      <c r="A1124" s="5">
        <v>43469</v>
      </c>
      <c r="B1124">
        <v>2.16</v>
      </c>
      <c r="C1124">
        <v>2.2290000000000001</v>
      </c>
      <c r="D1124">
        <v>2.1339999999999999</v>
      </c>
      <c r="E1124">
        <v>2.2050000000000001</v>
      </c>
      <c r="F1124">
        <v>165072.288</v>
      </c>
      <c r="G1124">
        <v>0</v>
      </c>
      <c r="L1124" t="s">
        <v>7</v>
      </c>
      <c r="M1124" t="s">
        <v>7</v>
      </c>
      <c r="N1124" t="s">
        <v>7</v>
      </c>
      <c r="P1124">
        <f t="shared" si="1029"/>
        <v>0.49473684210526375</v>
      </c>
      <c r="Q1124">
        <f t="shared" si="1030"/>
        <v>81667.342484210618</v>
      </c>
      <c r="R1124">
        <f t="shared" si="1031"/>
        <v>-2150068.1974006533</v>
      </c>
      <c r="S1124">
        <f t="shared" si="1032"/>
        <v>-21.500681974006532</v>
      </c>
      <c r="T1124">
        <f t="shared" si="1033"/>
        <v>-2.1500681974006532E-2</v>
      </c>
    </row>
    <row r="1125" spans="1:20" x14ac:dyDescent="0.25">
      <c r="A1125" s="5">
        <v>43468</v>
      </c>
      <c r="B1125">
        <v>2.31</v>
      </c>
      <c r="C1125">
        <v>2.31</v>
      </c>
      <c r="D1125">
        <v>2.145</v>
      </c>
      <c r="E1125">
        <v>2.16</v>
      </c>
      <c r="F1125">
        <v>192700.82699999999</v>
      </c>
      <c r="G1125">
        <v>0</v>
      </c>
      <c r="L1125" t="s">
        <v>7</v>
      </c>
      <c r="M1125" t="s">
        <v>7</v>
      </c>
      <c r="N1125" t="s">
        <v>7</v>
      </c>
      <c r="P1125">
        <f t="shared" si="1029"/>
        <v>-0.81818181818181668</v>
      </c>
      <c r="Q1125">
        <f t="shared" si="1030"/>
        <v>-157664.3129999997</v>
      </c>
      <c r="R1125">
        <f t="shared" si="1031"/>
        <v>-2231735.5398848639</v>
      </c>
      <c r="S1125">
        <f t="shared" si="1032"/>
        <v>-22.31735539884864</v>
      </c>
      <c r="T1125">
        <f t="shared" si="1033"/>
        <v>-2.2317355398848639E-2</v>
      </c>
    </row>
    <row r="1126" spans="1:20" x14ac:dyDescent="0.25">
      <c r="A1126" s="5">
        <v>43467</v>
      </c>
      <c r="B1126">
        <v>2.2360000000000002</v>
      </c>
      <c r="C1126">
        <v>2.3220000000000001</v>
      </c>
      <c r="D1126">
        <v>2.145</v>
      </c>
      <c r="E1126">
        <v>2.3090000000000002</v>
      </c>
      <c r="F1126">
        <v>236086.96799999999</v>
      </c>
      <c r="G1126">
        <v>0</v>
      </c>
      <c r="L1126" t="s">
        <v>8</v>
      </c>
      <c r="M1126" t="s">
        <v>7</v>
      </c>
      <c r="N1126" t="s">
        <v>7</v>
      </c>
      <c r="P1126">
        <f t="shared" si="1029"/>
        <v>0.85310734463276949</v>
      </c>
      <c r="Q1126">
        <f t="shared" si="1030"/>
        <v>201407.52637288161</v>
      </c>
      <c r="R1126">
        <f t="shared" si="1031"/>
        <v>-2074071.2268848643</v>
      </c>
      <c r="S1126">
        <f t="shared" si="1032"/>
        <v>-20.740712268848643</v>
      </c>
      <c r="T1126">
        <f t="shared" si="1033"/>
        <v>-2.0740712268848643E-2</v>
      </c>
    </row>
    <row r="1127" spans="1:20" x14ac:dyDescent="0.25">
      <c r="A1127" s="5">
        <v>43466</v>
      </c>
      <c r="B1127">
        <v>2.1230000000000002</v>
      </c>
      <c r="C1127">
        <v>2.25</v>
      </c>
      <c r="D1127">
        <v>2.1</v>
      </c>
      <c r="E1127">
        <v>2.2290000000000001</v>
      </c>
      <c r="F1127">
        <v>110950.416</v>
      </c>
      <c r="G1127">
        <v>0</v>
      </c>
      <c r="L1127" t="s">
        <v>7</v>
      </c>
      <c r="M1127" t="s">
        <v>7</v>
      </c>
      <c r="N1127" t="s">
        <v>7</v>
      </c>
      <c r="P1127">
        <f t="shared" si="1029"/>
        <v>0.72000000000000108</v>
      </c>
      <c r="Q1127">
        <f t="shared" si="1030"/>
        <v>79884.299520000117</v>
      </c>
      <c r="R1127">
        <f t="shared" si="1031"/>
        <v>-2275478.7532577459</v>
      </c>
      <c r="S1127">
        <f t="shared" si="1032"/>
        <v>-22.75478753257746</v>
      </c>
      <c r="T1127">
        <f t="shared" si="1033"/>
        <v>-2.275478753257746E-2</v>
      </c>
    </row>
    <row r="1128" spans="1:20" x14ac:dyDescent="0.25">
      <c r="A1128" s="5">
        <v>43465</v>
      </c>
      <c r="B1128">
        <v>2.274</v>
      </c>
      <c r="C1128">
        <v>2.2850000000000001</v>
      </c>
      <c r="D1128">
        <v>2.11</v>
      </c>
      <c r="E1128">
        <v>2.1219999999999999</v>
      </c>
      <c r="F1128">
        <v>224428.679</v>
      </c>
      <c r="G1128">
        <v>0</v>
      </c>
      <c r="L1128" t="s">
        <v>7</v>
      </c>
      <c r="M1128" t="s">
        <v>7</v>
      </c>
      <c r="N1128" t="s">
        <v>7</v>
      </c>
      <c r="P1128">
        <f t="shared" si="1029"/>
        <v>-0.86285714285714299</v>
      </c>
      <c r="Q1128">
        <f t="shared" si="1030"/>
        <v>-193649.8887371429</v>
      </c>
      <c r="R1128">
        <f t="shared" si="1031"/>
        <v>-2355363.0527777462</v>
      </c>
      <c r="S1128">
        <f t="shared" si="1032"/>
        <v>-23.553630527777461</v>
      </c>
      <c r="T1128">
        <f t="shared" si="1033"/>
        <v>-2.355363052777746E-2</v>
      </c>
    </row>
    <row r="1129" spans="1:20" x14ac:dyDescent="0.25">
      <c r="A1129" s="5">
        <v>43464</v>
      </c>
      <c r="B1129">
        <v>2.23</v>
      </c>
      <c r="C1129">
        <v>2.298</v>
      </c>
      <c r="D1129">
        <v>2.202</v>
      </c>
      <c r="E1129">
        <v>2.2749999999999999</v>
      </c>
      <c r="F1129">
        <v>126486.55899999999</v>
      </c>
      <c r="G1129">
        <v>0</v>
      </c>
      <c r="L1129" t="s">
        <v>7</v>
      </c>
      <c r="M1129" t="s">
        <v>7</v>
      </c>
      <c r="N1129" t="s">
        <v>7</v>
      </c>
      <c r="P1129">
        <f t="shared" si="1029"/>
        <v>0.52083333333333104</v>
      </c>
      <c r="Q1129">
        <f t="shared" si="1030"/>
        <v>65878.416145833035</v>
      </c>
      <c r="R1129">
        <f t="shared" si="1031"/>
        <v>-2161713.1640406032</v>
      </c>
      <c r="S1129">
        <f t="shared" si="1032"/>
        <v>-21.617131640406033</v>
      </c>
      <c r="T1129">
        <f t="shared" si="1033"/>
        <v>-2.1617131640406032E-2</v>
      </c>
    </row>
    <row r="1130" spans="1:20" x14ac:dyDescent="0.25">
      <c r="A1130" s="5">
        <v>43463</v>
      </c>
      <c r="B1130">
        <v>2.3260000000000001</v>
      </c>
      <c r="C1130">
        <v>2.371</v>
      </c>
      <c r="D1130">
        <v>2.2109999999999999</v>
      </c>
      <c r="E1130">
        <v>2.23</v>
      </c>
      <c r="F1130">
        <v>256643.83199999999</v>
      </c>
      <c r="G1130">
        <v>0</v>
      </c>
      <c r="L1130" t="s">
        <v>8</v>
      </c>
      <c r="M1130" t="s">
        <v>7</v>
      </c>
      <c r="N1130" t="s">
        <v>7</v>
      </c>
      <c r="P1130">
        <f t="shared" si="1029"/>
        <v>-0.76249999999999862</v>
      </c>
      <c r="Q1130">
        <f t="shared" si="1030"/>
        <v>-195690.92189999964</v>
      </c>
      <c r="R1130">
        <f t="shared" si="1031"/>
        <v>-2227591.5801864364</v>
      </c>
      <c r="S1130">
        <f t="shared" si="1032"/>
        <v>-22.275915801864365</v>
      </c>
      <c r="T1130">
        <f t="shared" si="1033"/>
        <v>-2.2275915801864363E-2</v>
      </c>
    </row>
    <row r="1131" spans="1:20" x14ac:dyDescent="0.25">
      <c r="A1131" s="5">
        <v>43462</v>
      </c>
      <c r="B1131">
        <v>2.0790000000000002</v>
      </c>
      <c r="C1131">
        <v>2.3559999999999999</v>
      </c>
      <c r="D1131">
        <v>2.0209999999999999</v>
      </c>
      <c r="E1131">
        <v>2.3260000000000001</v>
      </c>
      <c r="F1131">
        <v>390856.06300000002</v>
      </c>
      <c r="G1131">
        <v>0</v>
      </c>
      <c r="L1131" t="s">
        <v>8</v>
      </c>
      <c r="M1131" t="s">
        <v>7</v>
      </c>
      <c r="N1131" t="s">
        <v>7</v>
      </c>
      <c r="P1131">
        <f t="shared" si="1029"/>
        <v>0.82089552238806085</v>
      </c>
      <c r="Q1131">
        <f t="shared" si="1030"/>
        <v>320851.99201492587</v>
      </c>
      <c r="R1131">
        <f t="shared" si="1031"/>
        <v>-2031900.6582864369</v>
      </c>
      <c r="S1131">
        <f t="shared" si="1032"/>
        <v>-20.319006582864368</v>
      </c>
      <c r="T1131">
        <f t="shared" si="1033"/>
        <v>-2.0319006582864368E-2</v>
      </c>
    </row>
    <row r="1132" spans="1:20" x14ac:dyDescent="0.25">
      <c r="A1132" s="5">
        <v>43461</v>
      </c>
      <c r="B1132">
        <v>2.3889999999999998</v>
      </c>
      <c r="C1132">
        <v>2.4009999999999998</v>
      </c>
      <c r="D1132">
        <v>2.0329999999999999</v>
      </c>
      <c r="E1132">
        <v>2.0790000000000002</v>
      </c>
      <c r="F1132">
        <v>217852.94699999999</v>
      </c>
      <c r="G1132">
        <v>0</v>
      </c>
      <c r="L1132" t="s">
        <v>7</v>
      </c>
      <c r="M1132" t="s">
        <v>7</v>
      </c>
      <c r="N1132" t="s">
        <v>7</v>
      </c>
      <c r="P1132">
        <f t="shared" si="1029"/>
        <v>-0.74999999999999845</v>
      </c>
      <c r="Q1132">
        <f t="shared" si="1030"/>
        <v>-163389.71024999965</v>
      </c>
      <c r="R1132">
        <f t="shared" si="1031"/>
        <v>-2352752.6503013629</v>
      </c>
      <c r="S1132">
        <f t="shared" si="1032"/>
        <v>-23.527526503013629</v>
      </c>
      <c r="T1132">
        <f t="shared" si="1033"/>
        <v>-2.3527526503013627E-2</v>
      </c>
    </row>
    <row r="1133" spans="1:20" x14ac:dyDescent="0.25">
      <c r="A1133" s="5">
        <v>43460</v>
      </c>
      <c r="B1133">
        <v>2.383</v>
      </c>
      <c r="C1133">
        <v>2.48</v>
      </c>
      <c r="D1133">
        <v>2.2829999999999999</v>
      </c>
      <c r="E1133">
        <v>2.3849999999999998</v>
      </c>
      <c r="F1133">
        <v>228975.125</v>
      </c>
      <c r="G1133">
        <v>0</v>
      </c>
      <c r="L1133" t="s">
        <v>8</v>
      </c>
      <c r="M1133" t="s">
        <v>7</v>
      </c>
      <c r="N1133" t="s">
        <v>8</v>
      </c>
      <c r="P1133">
        <f t="shared" si="1029"/>
        <v>3.5532994923856198E-2</v>
      </c>
      <c r="Q1133">
        <f t="shared" si="1030"/>
        <v>8136.1719543143381</v>
      </c>
      <c r="R1133">
        <f t="shared" si="1031"/>
        <v>-2189362.9400513633</v>
      </c>
      <c r="S1133">
        <f t="shared" si="1032"/>
        <v>-21.893629400513632</v>
      </c>
      <c r="T1133">
        <f t="shared" si="1033"/>
        <v>-2.189362940051363E-2</v>
      </c>
    </row>
    <row r="1134" spans="1:20" x14ac:dyDescent="0.25">
      <c r="A1134" s="5">
        <v>43459</v>
      </c>
      <c r="B1134">
        <v>2.609</v>
      </c>
      <c r="C1134">
        <v>2.6160000000000001</v>
      </c>
      <c r="D1134">
        <v>2.2810000000000001</v>
      </c>
      <c r="E1134">
        <v>2.3820000000000001</v>
      </c>
      <c r="F1134">
        <v>565178.58900000004</v>
      </c>
      <c r="G1134">
        <v>0</v>
      </c>
      <c r="L1134" t="s">
        <v>7</v>
      </c>
      <c r="M1134" t="s">
        <v>7</v>
      </c>
      <c r="N1134" t="s">
        <v>8</v>
      </c>
      <c r="P1134">
        <f t="shared" si="1029"/>
        <v>-0.39701492537313438</v>
      </c>
      <c r="Q1134">
        <f t="shared" si="1030"/>
        <v>-224384.33533432841</v>
      </c>
      <c r="R1134">
        <f t="shared" si="1031"/>
        <v>-2197499.1120056775</v>
      </c>
      <c r="S1134">
        <f t="shared" si="1032"/>
        <v>-21.974991120056774</v>
      </c>
      <c r="T1134">
        <f t="shared" si="1033"/>
        <v>-2.1974991120056773E-2</v>
      </c>
    </row>
    <row r="1135" spans="1:20" x14ac:dyDescent="0.25">
      <c r="A1135" s="5">
        <v>43458</v>
      </c>
      <c r="B1135">
        <v>2.73</v>
      </c>
      <c r="C1135">
        <v>3.0249999999999999</v>
      </c>
      <c r="D1135">
        <v>2.597</v>
      </c>
      <c r="E1135">
        <v>2.61</v>
      </c>
      <c r="F1135">
        <v>1767464.7609999999</v>
      </c>
      <c r="G1135">
        <v>0</v>
      </c>
      <c r="L1135" t="s">
        <v>8</v>
      </c>
      <c r="M1135" t="s">
        <v>8</v>
      </c>
      <c r="N1135" t="s">
        <v>8</v>
      </c>
      <c r="P1135">
        <f t="shared" si="1029"/>
        <v>-0.93925233644859862</v>
      </c>
      <c r="Q1135">
        <f t="shared" si="1030"/>
        <v>-1660095.4063598139</v>
      </c>
      <c r="R1135">
        <f t="shared" si="1031"/>
        <v>-1973114.7766713491</v>
      </c>
      <c r="S1135">
        <f t="shared" si="1032"/>
        <v>-19.731147766713491</v>
      </c>
      <c r="T1135">
        <f t="shared" si="1033"/>
        <v>-1.9731147766713492E-2</v>
      </c>
    </row>
    <row r="1136" spans="1:20" x14ac:dyDescent="0.25">
      <c r="A1136" s="5">
        <v>43457</v>
      </c>
      <c r="B1136">
        <v>2.3410000000000002</v>
      </c>
      <c r="C1136">
        <v>2.74</v>
      </c>
      <c r="D1136">
        <v>2.2949999999999999</v>
      </c>
      <c r="E1136">
        <v>2.73</v>
      </c>
      <c r="F1136">
        <v>1226893.872</v>
      </c>
      <c r="G1136">
        <v>0</v>
      </c>
      <c r="L1136" t="s">
        <v>8</v>
      </c>
      <c r="M1136" t="s">
        <v>8</v>
      </c>
      <c r="N1136" t="s">
        <v>8</v>
      </c>
      <c r="P1136">
        <f t="shared" si="1029"/>
        <v>0.9550561797752799</v>
      </c>
      <c r="Q1136">
        <f t="shared" si="1030"/>
        <v>1171752.5743820213</v>
      </c>
      <c r="R1136">
        <f t="shared" si="1031"/>
        <v>-313019.3703115352</v>
      </c>
      <c r="S1136">
        <f t="shared" si="1032"/>
        <v>-3.1301937031153519</v>
      </c>
      <c r="T1136">
        <f t="shared" si="1033"/>
        <v>-3.1301937031153518E-3</v>
      </c>
    </row>
    <row r="1137" spans="1:20" x14ac:dyDescent="0.25">
      <c r="A1137" s="5">
        <v>43456</v>
      </c>
      <c r="B1137">
        <v>2.2349999999999999</v>
      </c>
      <c r="C1137">
        <v>2.3719999999999999</v>
      </c>
      <c r="D1137">
        <v>2.161</v>
      </c>
      <c r="E1137">
        <v>2.3439999999999999</v>
      </c>
      <c r="F1137">
        <v>567100.56999999995</v>
      </c>
      <c r="G1137">
        <v>0</v>
      </c>
      <c r="L1137" t="s">
        <v>7</v>
      </c>
      <c r="M1137" t="s">
        <v>8</v>
      </c>
      <c r="N1137" t="s">
        <v>8</v>
      </c>
      <c r="P1137">
        <f t="shared" si="1029"/>
        <v>0.73459715639810386</v>
      </c>
      <c r="Q1137">
        <f t="shared" si="1030"/>
        <v>416590.46611374378</v>
      </c>
      <c r="R1137">
        <f t="shared" si="1031"/>
        <v>-1484771.9446935565</v>
      </c>
      <c r="S1137">
        <f t="shared" si="1032"/>
        <v>-14.847719446935566</v>
      </c>
      <c r="T1137">
        <f t="shared" si="1033"/>
        <v>-1.4847719446935565E-2</v>
      </c>
    </row>
    <row r="1138" spans="1:20" x14ac:dyDescent="0.25">
      <c r="A1138" s="5">
        <v>43455</v>
      </c>
      <c r="B1138">
        <v>2.3610000000000002</v>
      </c>
      <c r="C1138">
        <v>2.448</v>
      </c>
      <c r="D1138">
        <v>2.1749999999999998</v>
      </c>
      <c r="E1138">
        <v>2.2370000000000001</v>
      </c>
      <c r="F1138">
        <v>1044386.91</v>
      </c>
      <c r="G1138">
        <v>0</v>
      </c>
      <c r="L1138" t="s">
        <v>8</v>
      </c>
      <c r="M1138" t="s">
        <v>8</v>
      </c>
      <c r="N1138" t="s">
        <v>8</v>
      </c>
      <c r="P1138">
        <f t="shared" si="1029"/>
        <v>-0.54578754578754396</v>
      </c>
      <c r="Q1138">
        <f t="shared" si="1030"/>
        <v>-570013.36846153659</v>
      </c>
      <c r="R1138">
        <f t="shared" si="1031"/>
        <v>-1901362.4108073004</v>
      </c>
      <c r="S1138">
        <f t="shared" si="1032"/>
        <v>-19.013624108073003</v>
      </c>
      <c r="T1138">
        <f t="shared" si="1033"/>
        <v>-1.9013624108073002E-2</v>
      </c>
    </row>
    <row r="1139" spans="1:20" x14ac:dyDescent="0.25">
      <c r="A1139" s="5">
        <v>43454</v>
      </c>
      <c r="B1139">
        <v>2.2000000000000002</v>
      </c>
      <c r="C1139">
        <v>2.4260000000000002</v>
      </c>
      <c r="D1139">
        <v>2.13</v>
      </c>
      <c r="E1139">
        <v>2.36</v>
      </c>
      <c r="F1139">
        <v>1158902.9439999999</v>
      </c>
      <c r="G1139">
        <v>0</v>
      </c>
      <c r="L1139" t="s">
        <v>7</v>
      </c>
      <c r="M1139" t="s">
        <v>8</v>
      </c>
      <c r="N1139" t="s">
        <v>8</v>
      </c>
      <c r="P1139">
        <f t="shared" si="1029"/>
        <v>0.5540540540540525</v>
      </c>
      <c r="Q1139">
        <f t="shared" si="1030"/>
        <v>642094.87437837652</v>
      </c>
      <c r="R1139">
        <f t="shared" si="1031"/>
        <v>-1331349.0423457636</v>
      </c>
      <c r="S1139">
        <f t="shared" si="1032"/>
        <v>-13.313490423457637</v>
      </c>
      <c r="T1139">
        <f t="shared" si="1033"/>
        <v>-1.3313490423457636E-2</v>
      </c>
    </row>
    <row r="1140" spans="1:20" x14ac:dyDescent="0.25">
      <c r="A1140" s="5">
        <v>43453</v>
      </c>
      <c r="B1140">
        <v>2.1070000000000002</v>
      </c>
      <c r="C1140">
        <v>2.4969999999999999</v>
      </c>
      <c r="D1140">
        <v>2.0640000000000001</v>
      </c>
      <c r="E1140">
        <v>2.2000000000000002</v>
      </c>
      <c r="F1140">
        <v>1277476.933</v>
      </c>
      <c r="G1140">
        <v>0</v>
      </c>
      <c r="L1140" t="s">
        <v>8</v>
      </c>
      <c r="M1140" t="s">
        <v>8</v>
      </c>
      <c r="N1140" t="s">
        <v>8</v>
      </c>
      <c r="P1140">
        <f t="shared" si="1029"/>
        <v>-0.37182448036951421</v>
      </c>
      <c r="Q1140">
        <f t="shared" si="1030"/>
        <v>-474997.19679676573</v>
      </c>
      <c r="R1140">
        <f t="shared" si="1031"/>
        <v>-1973443.9167241401</v>
      </c>
      <c r="S1140">
        <f t="shared" si="1032"/>
        <v>-19.734439167241401</v>
      </c>
      <c r="T1140">
        <f t="shared" si="1033"/>
        <v>-1.9734439167241401E-2</v>
      </c>
    </row>
    <row r="1141" spans="1:20" x14ac:dyDescent="0.25">
      <c r="A1141" s="5">
        <v>43452</v>
      </c>
      <c r="B1141">
        <v>2.0590000000000002</v>
      </c>
      <c r="C1141">
        <v>2.153</v>
      </c>
      <c r="D1141">
        <v>1.9650000000000001</v>
      </c>
      <c r="E1141">
        <v>2.1070000000000002</v>
      </c>
      <c r="F1141">
        <v>819556.67</v>
      </c>
      <c r="G1141">
        <v>0</v>
      </c>
      <c r="L1141" t="s">
        <v>7</v>
      </c>
      <c r="M1141" t="s">
        <v>8</v>
      </c>
      <c r="N1141" t="s">
        <v>8</v>
      </c>
      <c r="P1141">
        <f t="shared" si="1029"/>
        <v>0.51063829787234216</v>
      </c>
      <c r="Q1141">
        <f t="shared" si="1030"/>
        <v>418497.02297872485</v>
      </c>
      <c r="R1141">
        <f t="shared" si="1031"/>
        <v>-1498446.7199273743</v>
      </c>
      <c r="S1141">
        <f t="shared" si="1032"/>
        <v>-14.984467199273743</v>
      </c>
      <c r="T1141">
        <f t="shared" si="1033"/>
        <v>-1.4984467199273743E-2</v>
      </c>
    </row>
    <row r="1142" spans="1:20" x14ac:dyDescent="0.25">
      <c r="A1142" s="5">
        <v>43451</v>
      </c>
      <c r="B1142">
        <v>1.7210000000000001</v>
      </c>
      <c r="C1142">
        <v>2.194</v>
      </c>
      <c r="D1142">
        <v>1.698</v>
      </c>
      <c r="E1142">
        <v>2.0670000000000002</v>
      </c>
      <c r="F1142">
        <v>989989.44700000004</v>
      </c>
      <c r="G1142">
        <v>0</v>
      </c>
      <c r="L1142" t="s">
        <v>8</v>
      </c>
      <c r="M1142" t="s">
        <v>8</v>
      </c>
      <c r="N1142" t="s">
        <v>8</v>
      </c>
      <c r="P1142">
        <f t="shared" si="1029"/>
        <v>0.48790322580645251</v>
      </c>
      <c r="Q1142">
        <f t="shared" si="1030"/>
        <v>483019.04470564605</v>
      </c>
      <c r="R1142">
        <f t="shared" si="1031"/>
        <v>-1916943.7429060992</v>
      </c>
      <c r="S1142">
        <f t="shared" si="1032"/>
        <v>-19.169437429060991</v>
      </c>
      <c r="T1142">
        <f t="shared" si="1033"/>
        <v>-1.9169437429060993E-2</v>
      </c>
    </row>
    <row r="1143" spans="1:20" x14ac:dyDescent="0.25">
      <c r="A1143" s="5">
        <v>43450</v>
      </c>
      <c r="B1143">
        <v>1.6990000000000001</v>
      </c>
      <c r="C1143">
        <v>1.76</v>
      </c>
      <c r="D1143">
        <v>1.679</v>
      </c>
      <c r="E1143">
        <v>1.7210000000000001</v>
      </c>
      <c r="F1143">
        <v>202328.18400000001</v>
      </c>
      <c r="G1143">
        <v>0</v>
      </c>
      <c r="L1143" t="s">
        <v>8</v>
      </c>
      <c r="M1143" t="s">
        <v>7</v>
      </c>
      <c r="N1143" t="s">
        <v>8</v>
      </c>
      <c r="P1143">
        <f t="shared" si="1029"/>
        <v>3.7037037037038457E-2</v>
      </c>
      <c r="Q1143">
        <f t="shared" si="1030"/>
        <v>7493.6364444447318</v>
      </c>
      <c r="R1143">
        <f t="shared" si="1031"/>
        <v>-2399962.7876117453</v>
      </c>
      <c r="S1143">
        <f t="shared" si="1032"/>
        <v>-23.999627876117454</v>
      </c>
      <c r="T1143">
        <f t="shared" si="1033"/>
        <v>-2.3999627876117455E-2</v>
      </c>
    </row>
    <row r="1144" spans="1:20" x14ac:dyDescent="0.25">
      <c r="A1144" s="5">
        <v>43449</v>
      </c>
      <c r="B1144">
        <v>1.704</v>
      </c>
      <c r="C1144">
        <v>1.7509999999999999</v>
      </c>
      <c r="D1144">
        <v>1.633</v>
      </c>
      <c r="E1144">
        <v>1.702</v>
      </c>
      <c r="F1144">
        <v>244501.97399999999</v>
      </c>
      <c r="G1144">
        <v>0</v>
      </c>
      <c r="L1144" t="s">
        <v>7</v>
      </c>
      <c r="M1144" t="s">
        <v>7</v>
      </c>
      <c r="N1144" t="s">
        <v>8</v>
      </c>
      <c r="P1144">
        <f t="shared" si="1029"/>
        <v>0.16949152542372914</v>
      </c>
      <c r="Q1144">
        <f t="shared" si="1030"/>
        <v>41441.012542372962</v>
      </c>
      <c r="R1144">
        <f t="shared" si="1031"/>
        <v>-2407456.4240561901</v>
      </c>
      <c r="S1144">
        <f t="shared" si="1032"/>
        <v>-24.074564240561902</v>
      </c>
      <c r="T1144">
        <f t="shared" si="1033"/>
        <v>-2.40745642405619E-2</v>
      </c>
    </row>
    <row r="1145" spans="1:20" x14ac:dyDescent="0.25">
      <c r="A1145" s="5">
        <v>43448</v>
      </c>
      <c r="B1145">
        <v>1.8109999999999999</v>
      </c>
      <c r="C1145">
        <v>1.8169999999999999</v>
      </c>
      <c r="D1145">
        <v>1.68</v>
      </c>
      <c r="E1145">
        <v>1.704</v>
      </c>
      <c r="F1145">
        <v>469095.28</v>
      </c>
      <c r="G1145">
        <v>0</v>
      </c>
      <c r="L1145" t="s">
        <v>7</v>
      </c>
      <c r="M1145" t="s">
        <v>7</v>
      </c>
      <c r="N1145" t="s">
        <v>8</v>
      </c>
      <c r="P1145">
        <f t="shared" si="1029"/>
        <v>-0.64963503649635013</v>
      </c>
      <c r="Q1145">
        <f t="shared" si="1030"/>
        <v>-304740.72934306558</v>
      </c>
      <c r="R1145">
        <f t="shared" si="1031"/>
        <v>-2448897.4365985631</v>
      </c>
      <c r="S1145">
        <f t="shared" si="1032"/>
        <v>-24.48897436598563</v>
      </c>
      <c r="T1145">
        <f t="shared" si="1033"/>
        <v>-2.4488974365985631E-2</v>
      </c>
    </row>
    <row r="1146" spans="1:20" x14ac:dyDescent="0.25">
      <c r="A1146" s="5">
        <v>43447</v>
      </c>
      <c r="B1146">
        <v>1.651</v>
      </c>
      <c r="C1146">
        <v>2.0510000000000002</v>
      </c>
      <c r="D1146">
        <v>1.601</v>
      </c>
      <c r="E1146">
        <v>1.8160000000000001</v>
      </c>
      <c r="F1146">
        <v>1962846.9350000001</v>
      </c>
      <c r="G1146">
        <v>0</v>
      </c>
      <c r="L1146" t="s">
        <v>8</v>
      </c>
      <c r="M1146" t="s">
        <v>8</v>
      </c>
      <c r="N1146" t="s">
        <v>8</v>
      </c>
      <c r="P1146">
        <f t="shared" si="1029"/>
        <v>-4.4444444444444467E-2</v>
      </c>
      <c r="Q1146">
        <f t="shared" si="1030"/>
        <v>-87237.641555555601</v>
      </c>
      <c r="R1146">
        <f t="shared" si="1031"/>
        <v>-2144156.7072554976</v>
      </c>
      <c r="S1146">
        <f t="shared" si="1032"/>
        <v>-21.441567072554975</v>
      </c>
      <c r="T1146">
        <f t="shared" si="1033"/>
        <v>-2.1441567072554974E-2</v>
      </c>
    </row>
    <row r="1147" spans="1:20" x14ac:dyDescent="0.25">
      <c r="A1147" s="5">
        <v>43446</v>
      </c>
      <c r="B1147">
        <v>1.615</v>
      </c>
      <c r="C1147">
        <v>1.69</v>
      </c>
      <c r="D1147">
        <v>1.58</v>
      </c>
      <c r="E1147">
        <v>1.651</v>
      </c>
      <c r="F1147">
        <v>212652.39300000001</v>
      </c>
      <c r="G1147">
        <v>0</v>
      </c>
      <c r="L1147" t="s">
        <v>7</v>
      </c>
      <c r="M1147" t="s">
        <v>8</v>
      </c>
      <c r="N1147" t="s">
        <v>7</v>
      </c>
      <c r="P1147">
        <f t="shared" si="1029"/>
        <v>0.29090909090909151</v>
      </c>
      <c r="Q1147">
        <f t="shared" si="1030"/>
        <v>61862.51432727286</v>
      </c>
      <c r="R1147">
        <f t="shared" si="1031"/>
        <v>-2056919.0656999419</v>
      </c>
      <c r="S1147">
        <f t="shared" si="1032"/>
        <v>-20.569190656999421</v>
      </c>
      <c r="T1147">
        <f t="shared" si="1033"/>
        <v>-2.0569190656999421E-2</v>
      </c>
    </row>
    <row r="1148" spans="1:20" x14ac:dyDescent="0.25">
      <c r="A1148" s="5">
        <v>43445</v>
      </c>
      <c r="B1148">
        <v>1.5569999999999999</v>
      </c>
      <c r="C1148">
        <v>1.76</v>
      </c>
      <c r="D1148">
        <v>1.53</v>
      </c>
      <c r="E1148">
        <v>1.615</v>
      </c>
      <c r="F1148">
        <v>603025.23100000003</v>
      </c>
      <c r="G1148">
        <v>0</v>
      </c>
      <c r="L1148" t="s">
        <v>8</v>
      </c>
      <c r="M1148" t="s">
        <v>8</v>
      </c>
      <c r="N1148" t="s">
        <v>7</v>
      </c>
      <c r="P1148">
        <f t="shared" si="1029"/>
        <v>-0.26086956521739157</v>
      </c>
      <c r="Q1148">
        <f t="shared" si="1030"/>
        <v>-157310.92982608711</v>
      </c>
      <c r="R1148">
        <f t="shared" si="1031"/>
        <v>-2118781.5800272147</v>
      </c>
      <c r="S1148">
        <f t="shared" si="1032"/>
        <v>-21.187815800272148</v>
      </c>
      <c r="T1148">
        <f t="shared" si="1033"/>
        <v>-2.1187815800272149E-2</v>
      </c>
    </row>
    <row r="1149" spans="1:20" x14ac:dyDescent="0.25">
      <c r="A1149" s="5">
        <v>43444</v>
      </c>
      <c r="B1149">
        <v>1.6359999999999999</v>
      </c>
      <c r="C1149">
        <v>1.6919999999999999</v>
      </c>
      <c r="D1149">
        <v>1.524</v>
      </c>
      <c r="E1149">
        <v>1.5680000000000001</v>
      </c>
      <c r="F1149">
        <v>206250.443</v>
      </c>
      <c r="G1149">
        <v>0</v>
      </c>
      <c r="L1149" t="s">
        <v>7</v>
      </c>
      <c r="M1149" t="s">
        <v>7</v>
      </c>
      <c r="N1149" t="s">
        <v>7</v>
      </c>
      <c r="P1149">
        <f t="shared" si="1029"/>
        <v>-0.4761904761904755</v>
      </c>
      <c r="Q1149">
        <f t="shared" si="1030"/>
        <v>-98214.496666666528</v>
      </c>
      <c r="R1149">
        <f t="shared" si="1031"/>
        <v>-1961470.6502011274</v>
      </c>
      <c r="S1149">
        <f t="shared" si="1032"/>
        <v>-19.614706502011273</v>
      </c>
      <c r="T1149">
        <f t="shared" si="1033"/>
        <v>-1.9614706502011272E-2</v>
      </c>
    </row>
    <row r="1150" spans="1:20" x14ac:dyDescent="0.25">
      <c r="A1150" s="5">
        <v>43443</v>
      </c>
      <c r="B1150">
        <v>1.573</v>
      </c>
      <c r="C1150">
        <v>1.6990000000000001</v>
      </c>
      <c r="D1150">
        <v>1.5660000000000001</v>
      </c>
      <c r="E1150">
        <v>1.6359999999999999</v>
      </c>
      <c r="F1150">
        <v>275216.06800000003</v>
      </c>
      <c r="G1150">
        <v>0</v>
      </c>
      <c r="L1150" t="s">
        <v>8</v>
      </c>
      <c r="M1150" t="s">
        <v>7</v>
      </c>
      <c r="N1150" t="s">
        <v>7</v>
      </c>
      <c r="P1150">
        <f t="shared" si="1029"/>
        <v>5.2631578947365962E-2</v>
      </c>
      <c r="Q1150">
        <f t="shared" si="1030"/>
        <v>14485.056210525641</v>
      </c>
      <c r="R1150">
        <f t="shared" si="1031"/>
        <v>-1863256.1535344608</v>
      </c>
      <c r="S1150">
        <f t="shared" si="1032"/>
        <v>-18.632561535344607</v>
      </c>
      <c r="T1150">
        <f t="shared" si="1033"/>
        <v>-1.8632561535344608E-2</v>
      </c>
    </row>
    <row r="1151" spans="1:20" x14ac:dyDescent="0.25">
      <c r="A1151" s="5">
        <v>43442</v>
      </c>
      <c r="B1151">
        <v>1.5760000000000001</v>
      </c>
      <c r="C1151">
        <v>1.6659999999999999</v>
      </c>
      <c r="D1151">
        <v>1.4870000000000001</v>
      </c>
      <c r="E1151">
        <v>1.5760000000000001</v>
      </c>
      <c r="F1151">
        <v>258071.55</v>
      </c>
      <c r="G1151">
        <v>0</v>
      </c>
      <c r="L1151" t="s">
        <v>8</v>
      </c>
      <c r="M1151" t="s">
        <v>7</v>
      </c>
      <c r="N1151" t="s">
        <v>7</v>
      </c>
      <c r="P1151">
        <f t="shared" ref="P1151:P1195" si="1034">IF(C1151=D1151,0,((E1151-D1151)-(C1151-E1151))/(C1151-D1151))</f>
        <v>-5.5865921787703401E-3</v>
      </c>
      <c r="Q1151">
        <f t="shared" ref="Q1151:Q1195" si="1035">F1151*P1151</f>
        <v>-1441.7405027931386</v>
      </c>
      <c r="R1151">
        <f t="shared" ref="R1151:R1195" si="1036">R1152+Q1151</f>
        <v>-1877741.2097449864</v>
      </c>
      <c r="S1151">
        <f t="shared" ref="S1151:S1195" si="1037">R1151/100000</f>
        <v>-18.777412097449865</v>
      </c>
      <c r="T1151">
        <f t="shared" ref="T1151:T1195" si="1038">S1151/1000</f>
        <v>-1.8777412097449864E-2</v>
      </c>
    </row>
    <row r="1152" spans="1:20" x14ac:dyDescent="0.25">
      <c r="A1152" s="5">
        <v>43441</v>
      </c>
      <c r="B1152">
        <v>1.6359999999999999</v>
      </c>
      <c r="C1152">
        <v>1.657</v>
      </c>
      <c r="D1152">
        <v>1.45</v>
      </c>
      <c r="E1152">
        <v>1.5720000000000001</v>
      </c>
      <c r="F1152">
        <v>487673.658</v>
      </c>
      <c r="G1152">
        <v>0</v>
      </c>
      <c r="L1152" t="s">
        <v>7</v>
      </c>
      <c r="M1152" t="s">
        <v>7</v>
      </c>
      <c r="N1152" t="s">
        <v>7</v>
      </c>
      <c r="P1152">
        <f t="shared" si="1034"/>
        <v>0.17874396135265763</v>
      </c>
      <c r="Q1152">
        <f t="shared" si="1035"/>
        <v>87168.72147826117</v>
      </c>
      <c r="R1152">
        <f t="shared" si="1036"/>
        <v>-1876299.4692421933</v>
      </c>
      <c r="S1152">
        <f t="shared" si="1037"/>
        <v>-18.762994692421934</v>
      </c>
      <c r="T1152">
        <f t="shared" si="1038"/>
        <v>-1.8762994692421934E-2</v>
      </c>
    </row>
    <row r="1153" spans="1:20" x14ac:dyDescent="0.25">
      <c r="A1153" s="5">
        <v>43440</v>
      </c>
      <c r="B1153">
        <v>1.8540000000000001</v>
      </c>
      <c r="C1153">
        <v>1.9119999999999999</v>
      </c>
      <c r="D1153">
        <v>1.6339999999999999</v>
      </c>
      <c r="E1153">
        <v>1.6359999999999999</v>
      </c>
      <c r="F1153">
        <v>298661.78999999998</v>
      </c>
      <c r="G1153">
        <v>0</v>
      </c>
      <c r="L1153" t="s">
        <v>7</v>
      </c>
      <c r="M1153" t="s">
        <v>7</v>
      </c>
      <c r="N1153" t="s">
        <v>7</v>
      </c>
      <c r="P1153">
        <f t="shared" si="1034"/>
        <v>-0.98561151079136688</v>
      </c>
      <c r="Q1153">
        <f t="shared" si="1035"/>
        <v>-294364.49805755395</v>
      </c>
      <c r="R1153">
        <f t="shared" si="1036"/>
        <v>-1963468.1907204543</v>
      </c>
      <c r="S1153">
        <f t="shared" si="1037"/>
        <v>-19.634681907204545</v>
      </c>
      <c r="T1153">
        <f t="shared" si="1038"/>
        <v>-1.9634681907204545E-2</v>
      </c>
    </row>
    <row r="1154" spans="1:20" x14ac:dyDescent="0.25">
      <c r="A1154" s="5">
        <v>43439</v>
      </c>
      <c r="B1154">
        <v>1.9550000000000001</v>
      </c>
      <c r="C1154">
        <v>1.9630000000000001</v>
      </c>
      <c r="D1154">
        <v>1.8320000000000001</v>
      </c>
      <c r="E1154">
        <v>1.843</v>
      </c>
      <c r="F1154">
        <v>235442.092</v>
      </c>
      <c r="G1154">
        <v>0</v>
      </c>
      <c r="L1154" t="s">
        <v>7</v>
      </c>
      <c r="M1154" t="s">
        <v>7</v>
      </c>
      <c r="N1154" t="s">
        <v>7</v>
      </c>
      <c r="P1154">
        <f t="shared" si="1034"/>
        <v>-0.83206106870229168</v>
      </c>
      <c r="Q1154">
        <f t="shared" si="1035"/>
        <v>-195902.19868702328</v>
      </c>
      <c r="R1154">
        <f t="shared" si="1036"/>
        <v>-1669103.6926629003</v>
      </c>
      <c r="S1154">
        <f t="shared" si="1037"/>
        <v>-16.691036926629003</v>
      </c>
      <c r="T1154">
        <f t="shared" si="1038"/>
        <v>-1.6691036926629002E-2</v>
      </c>
    </row>
    <row r="1155" spans="1:20" x14ac:dyDescent="0.25">
      <c r="A1155" s="5">
        <v>43438</v>
      </c>
      <c r="B1155">
        <v>1.9430000000000001</v>
      </c>
      <c r="C1155">
        <v>2.0270000000000001</v>
      </c>
      <c r="D1155">
        <v>1.86</v>
      </c>
      <c r="E1155">
        <v>1.9490000000000001</v>
      </c>
      <c r="F1155">
        <v>241301.80499999999</v>
      </c>
      <c r="G1155">
        <v>0</v>
      </c>
      <c r="L1155" t="s">
        <v>7</v>
      </c>
      <c r="M1155" t="s">
        <v>7</v>
      </c>
      <c r="N1155" t="s">
        <v>7</v>
      </c>
      <c r="P1155">
        <f t="shared" si="1034"/>
        <v>6.5868263473053273E-2</v>
      </c>
      <c r="Q1155">
        <f t="shared" si="1035"/>
        <v>15894.130868263323</v>
      </c>
      <c r="R1155">
        <f t="shared" si="1036"/>
        <v>-1473201.4939758771</v>
      </c>
      <c r="S1155">
        <f t="shared" si="1037"/>
        <v>-14.73201493975877</v>
      </c>
      <c r="T1155">
        <f t="shared" si="1038"/>
        <v>-1.4732014939758771E-2</v>
      </c>
    </row>
    <row r="1156" spans="1:20" x14ac:dyDescent="0.25">
      <c r="A1156" s="5">
        <v>43437</v>
      </c>
      <c r="B1156">
        <v>2.125</v>
      </c>
      <c r="C1156">
        <v>2.137</v>
      </c>
      <c r="D1156">
        <v>1.899</v>
      </c>
      <c r="E1156">
        <v>1.9430000000000001</v>
      </c>
      <c r="F1156">
        <v>305569.21799999999</v>
      </c>
      <c r="G1156">
        <v>0</v>
      </c>
      <c r="L1156" t="s">
        <v>7</v>
      </c>
      <c r="M1156" t="s">
        <v>7</v>
      </c>
      <c r="N1156" t="s">
        <v>7</v>
      </c>
      <c r="P1156">
        <f t="shared" si="1034"/>
        <v>-0.63025210084033578</v>
      </c>
      <c r="Q1156">
        <f t="shared" si="1035"/>
        <v>-192585.64159663854</v>
      </c>
      <c r="R1156">
        <f t="shared" si="1036"/>
        <v>-1489095.6248441404</v>
      </c>
      <c r="S1156">
        <f t="shared" si="1037"/>
        <v>-14.890956248441404</v>
      </c>
      <c r="T1156">
        <f t="shared" si="1038"/>
        <v>-1.4890956248441403E-2</v>
      </c>
    </row>
    <row r="1157" spans="1:20" x14ac:dyDescent="0.25">
      <c r="A1157" s="5">
        <v>43436</v>
      </c>
      <c r="B1157">
        <v>2.1179999999999999</v>
      </c>
      <c r="C1157">
        <v>2.1819999999999999</v>
      </c>
      <c r="D1157">
        <v>2.0790000000000002</v>
      </c>
      <c r="E1157">
        <v>2.1240000000000001</v>
      </c>
      <c r="F1157">
        <v>247117.791</v>
      </c>
      <c r="G1157">
        <v>0</v>
      </c>
      <c r="L1157" t="s">
        <v>8</v>
      </c>
      <c r="M1157" t="s">
        <v>7</v>
      </c>
      <c r="N1157" t="s">
        <v>7</v>
      </c>
      <c r="P1157">
        <f t="shared" si="1034"/>
        <v>-0.12621359223300904</v>
      </c>
      <c r="Q1157">
        <f t="shared" si="1035"/>
        <v>-31189.624106795953</v>
      </c>
      <c r="R1157">
        <f t="shared" si="1036"/>
        <v>-1296509.9832475018</v>
      </c>
      <c r="S1157">
        <f t="shared" si="1037"/>
        <v>-12.965099832475017</v>
      </c>
      <c r="T1157">
        <f t="shared" si="1038"/>
        <v>-1.2965099832475017E-2</v>
      </c>
    </row>
    <row r="1158" spans="1:20" x14ac:dyDescent="0.25">
      <c r="A1158" s="5">
        <v>43435</v>
      </c>
      <c r="B1158">
        <v>2.0230000000000001</v>
      </c>
      <c r="C1158">
        <v>2.17</v>
      </c>
      <c r="D1158">
        <v>1.996</v>
      </c>
      <c r="E1158">
        <v>2.1190000000000002</v>
      </c>
      <c r="F1158">
        <v>241559.06899999999</v>
      </c>
      <c r="G1158">
        <v>0</v>
      </c>
      <c r="L1158" t="s">
        <v>8</v>
      </c>
      <c r="M1158" t="s">
        <v>7</v>
      </c>
      <c r="N1158" t="s">
        <v>7</v>
      </c>
      <c r="P1158">
        <f t="shared" si="1034"/>
        <v>0.41379310344827896</v>
      </c>
      <c r="Q1158">
        <f t="shared" si="1035"/>
        <v>99955.476827586957</v>
      </c>
      <c r="R1158">
        <f t="shared" si="1036"/>
        <v>-1265320.3591407058</v>
      </c>
      <c r="S1158">
        <f t="shared" si="1037"/>
        <v>-12.653203591407058</v>
      </c>
      <c r="T1158">
        <f t="shared" si="1038"/>
        <v>-1.2653203591407059E-2</v>
      </c>
    </row>
    <row r="1159" spans="1:20" x14ac:dyDescent="0.25">
      <c r="A1159" s="5">
        <v>43434</v>
      </c>
      <c r="B1159">
        <v>2.1549999999999998</v>
      </c>
      <c r="C1159">
        <v>2.169</v>
      </c>
      <c r="D1159">
        <v>1.954</v>
      </c>
      <c r="E1159">
        <v>2.0249999999999999</v>
      </c>
      <c r="F1159">
        <v>397526.25799999997</v>
      </c>
      <c r="G1159">
        <v>0</v>
      </c>
      <c r="L1159" t="s">
        <v>7</v>
      </c>
      <c r="M1159" t="s">
        <v>7</v>
      </c>
      <c r="N1159" t="s">
        <v>7</v>
      </c>
      <c r="P1159">
        <f t="shared" si="1034"/>
        <v>-0.33953488372093094</v>
      </c>
      <c r="Q1159">
        <f t="shared" si="1035"/>
        <v>-134974.03178604678</v>
      </c>
      <c r="R1159">
        <f t="shared" si="1036"/>
        <v>-1365275.8359682928</v>
      </c>
      <c r="S1159">
        <f t="shared" si="1037"/>
        <v>-13.652758359682927</v>
      </c>
      <c r="T1159">
        <f t="shared" si="1038"/>
        <v>-1.3652758359682927E-2</v>
      </c>
    </row>
    <row r="1160" spans="1:20" x14ac:dyDescent="0.25">
      <c r="A1160" s="5">
        <v>43433</v>
      </c>
      <c r="B1160">
        <v>2.1760000000000002</v>
      </c>
      <c r="C1160">
        <v>2.2999999999999998</v>
      </c>
      <c r="D1160">
        <v>2.0699999999999998</v>
      </c>
      <c r="E1160">
        <v>2.1549999999999998</v>
      </c>
      <c r="F1160">
        <v>482373.25799999997</v>
      </c>
      <c r="G1160">
        <v>0</v>
      </c>
      <c r="L1160" t="s">
        <v>8</v>
      </c>
      <c r="M1160" t="s">
        <v>8</v>
      </c>
      <c r="N1160" t="s">
        <v>7</v>
      </c>
      <c r="P1160">
        <f t="shared" si="1034"/>
        <v>-0.26086956521739157</v>
      </c>
      <c r="Q1160">
        <f t="shared" si="1035"/>
        <v>-125836.50208695665</v>
      </c>
      <c r="R1160">
        <f t="shared" si="1036"/>
        <v>-1230301.8041822461</v>
      </c>
      <c r="S1160">
        <f t="shared" si="1037"/>
        <v>-12.303018041822462</v>
      </c>
      <c r="T1160">
        <f t="shared" si="1038"/>
        <v>-1.2303018041822461E-2</v>
      </c>
    </row>
    <row r="1161" spans="1:20" x14ac:dyDescent="0.25">
      <c r="A1161" s="5">
        <v>43432</v>
      </c>
      <c r="B1161">
        <v>1.97</v>
      </c>
      <c r="C1161">
        <v>2.27</v>
      </c>
      <c r="D1161">
        <v>1.9630000000000001</v>
      </c>
      <c r="E1161">
        <v>2.1779999999999999</v>
      </c>
      <c r="F1161">
        <v>433386.68800000002</v>
      </c>
      <c r="G1161">
        <v>0</v>
      </c>
      <c r="L1161" t="s">
        <v>8</v>
      </c>
      <c r="M1161" t="s">
        <v>8</v>
      </c>
      <c r="N1161" t="s">
        <v>7</v>
      </c>
      <c r="P1161">
        <f t="shared" si="1034"/>
        <v>0.40065146579804495</v>
      </c>
      <c r="Q1161">
        <f t="shared" si="1035"/>
        <v>173637.01180456</v>
      </c>
      <c r="R1161">
        <f t="shared" si="1036"/>
        <v>-1104465.3020952893</v>
      </c>
      <c r="S1161">
        <f t="shared" si="1037"/>
        <v>-11.044653020952893</v>
      </c>
      <c r="T1161">
        <f t="shared" si="1038"/>
        <v>-1.1044653020952894E-2</v>
      </c>
    </row>
    <row r="1162" spans="1:20" x14ac:dyDescent="0.25">
      <c r="A1162" s="5">
        <v>43431</v>
      </c>
      <c r="B1162">
        <v>1.9370000000000001</v>
      </c>
      <c r="C1162">
        <v>2.0110000000000001</v>
      </c>
      <c r="D1162">
        <v>1.8460000000000001</v>
      </c>
      <c r="E1162">
        <v>1.9650000000000001</v>
      </c>
      <c r="F1162">
        <v>270320.78100000002</v>
      </c>
      <c r="G1162">
        <v>0</v>
      </c>
      <c r="L1162" t="s">
        <v>7</v>
      </c>
      <c r="M1162" t="s">
        <v>7</v>
      </c>
      <c r="N1162" t="s">
        <v>7</v>
      </c>
      <c r="P1162">
        <f t="shared" si="1034"/>
        <v>0.44242424242424205</v>
      </c>
      <c r="Q1162">
        <f t="shared" si="1035"/>
        <v>119596.46674545445</v>
      </c>
      <c r="R1162">
        <f t="shared" si="1036"/>
        <v>-1278102.3138998493</v>
      </c>
      <c r="S1162">
        <f t="shared" si="1037"/>
        <v>-12.781023138998494</v>
      </c>
      <c r="T1162">
        <f t="shared" si="1038"/>
        <v>-1.2781023138998494E-2</v>
      </c>
    </row>
    <row r="1163" spans="1:20" x14ac:dyDescent="0.25">
      <c r="A1163" s="5">
        <v>43430</v>
      </c>
      <c r="B1163">
        <v>2.1030000000000002</v>
      </c>
      <c r="C1163">
        <v>2.1680000000000001</v>
      </c>
      <c r="D1163">
        <v>1.883</v>
      </c>
      <c r="E1163">
        <v>1.9390000000000001</v>
      </c>
      <c r="F1163">
        <v>468726.96799999999</v>
      </c>
      <c r="G1163">
        <v>0</v>
      </c>
      <c r="L1163" t="s">
        <v>8</v>
      </c>
      <c r="M1163" t="s">
        <v>7</v>
      </c>
      <c r="N1163" t="s">
        <v>7</v>
      </c>
      <c r="P1163">
        <f t="shared" si="1034"/>
        <v>-0.60701754385964901</v>
      </c>
      <c r="Q1163">
        <f t="shared" si="1035"/>
        <v>-284525.49285614031</v>
      </c>
      <c r="R1163">
        <f t="shared" si="1036"/>
        <v>-1397698.7806453037</v>
      </c>
      <c r="S1163">
        <f t="shared" si="1037"/>
        <v>-13.976987806453037</v>
      </c>
      <c r="T1163">
        <f t="shared" si="1038"/>
        <v>-1.3976987806453038E-2</v>
      </c>
    </row>
    <row r="1164" spans="1:20" x14ac:dyDescent="0.25">
      <c r="A1164" s="5">
        <v>43429</v>
      </c>
      <c r="B1164">
        <v>2.1459999999999999</v>
      </c>
      <c r="C1164">
        <v>2.1709999999999998</v>
      </c>
      <c r="D1164">
        <v>1.875</v>
      </c>
      <c r="E1164">
        <v>2.1030000000000002</v>
      </c>
      <c r="F1164">
        <v>462280.28200000001</v>
      </c>
      <c r="G1164">
        <v>0</v>
      </c>
      <c r="L1164" t="s">
        <v>7</v>
      </c>
      <c r="M1164" t="s">
        <v>7</v>
      </c>
      <c r="N1164" t="s">
        <v>7</v>
      </c>
      <c r="P1164">
        <f t="shared" si="1034"/>
        <v>0.5405405405405429</v>
      </c>
      <c r="Q1164">
        <f t="shared" si="1035"/>
        <v>249881.2335135146</v>
      </c>
      <c r="R1164">
        <f t="shared" si="1036"/>
        <v>-1113173.2877891634</v>
      </c>
      <c r="S1164">
        <f t="shared" si="1037"/>
        <v>-11.131732877891634</v>
      </c>
      <c r="T1164">
        <f t="shared" si="1038"/>
        <v>-1.1131732877891634E-2</v>
      </c>
    </row>
    <row r="1165" spans="1:20" x14ac:dyDescent="0.25">
      <c r="A1165" s="5">
        <v>43428</v>
      </c>
      <c r="B1165">
        <v>2.3490000000000002</v>
      </c>
      <c r="C1165">
        <v>2.4359999999999999</v>
      </c>
      <c r="D1165">
        <v>2.0880000000000001</v>
      </c>
      <c r="E1165">
        <v>2.1379999999999999</v>
      </c>
      <c r="F1165">
        <v>260083.87599999999</v>
      </c>
      <c r="G1165">
        <v>0</v>
      </c>
      <c r="L1165" t="s">
        <v>7</v>
      </c>
      <c r="M1165" t="s">
        <v>7</v>
      </c>
      <c r="N1165" t="s">
        <v>7</v>
      </c>
      <c r="P1165">
        <f t="shared" si="1034"/>
        <v>-0.71264367816092045</v>
      </c>
      <c r="Q1165">
        <f t="shared" si="1035"/>
        <v>-185347.13002298874</v>
      </c>
      <c r="R1165">
        <f t="shared" si="1036"/>
        <v>-1363054.5213026779</v>
      </c>
      <c r="S1165">
        <f t="shared" si="1037"/>
        <v>-13.63054521302678</v>
      </c>
      <c r="T1165">
        <f t="shared" si="1038"/>
        <v>-1.3630545213026779E-2</v>
      </c>
    </row>
    <row r="1166" spans="1:20" x14ac:dyDescent="0.25">
      <c r="A1166" s="5">
        <v>43427</v>
      </c>
      <c r="B1166">
        <v>2.3570000000000002</v>
      </c>
      <c r="C1166">
        <v>2.3860000000000001</v>
      </c>
      <c r="D1166">
        <v>2.2069999999999999</v>
      </c>
      <c r="E1166">
        <v>2.3490000000000002</v>
      </c>
      <c r="F1166">
        <v>258084.75</v>
      </c>
      <c r="G1166">
        <v>0</v>
      </c>
      <c r="L1166" t="s">
        <v>7</v>
      </c>
      <c r="M1166" t="s">
        <v>8</v>
      </c>
      <c r="N1166" t="s">
        <v>7</v>
      </c>
      <c r="P1166">
        <f t="shared" si="1034"/>
        <v>0.58659217877095127</v>
      </c>
      <c r="Q1166">
        <f t="shared" si="1035"/>
        <v>151390.49581005625</v>
      </c>
      <c r="R1166">
        <f t="shared" si="1036"/>
        <v>-1177707.3912796893</v>
      </c>
      <c r="S1166">
        <f t="shared" si="1037"/>
        <v>-11.777073912796892</v>
      </c>
      <c r="T1166">
        <f t="shared" si="1038"/>
        <v>-1.1777073912796893E-2</v>
      </c>
    </row>
    <row r="1167" spans="1:20" x14ac:dyDescent="0.25">
      <c r="A1167" s="5">
        <v>43426</v>
      </c>
      <c r="B1167">
        <v>2.5089999999999999</v>
      </c>
      <c r="C1167">
        <v>2.5419999999999998</v>
      </c>
      <c r="D1167">
        <v>2.3460000000000001</v>
      </c>
      <c r="E1167">
        <v>2.3460000000000001</v>
      </c>
      <c r="F1167">
        <v>269249.63699999999</v>
      </c>
      <c r="G1167">
        <v>0</v>
      </c>
      <c r="L1167" t="s">
        <v>7</v>
      </c>
      <c r="M1167" t="s">
        <v>8</v>
      </c>
      <c r="N1167" t="s">
        <v>7</v>
      </c>
      <c r="P1167">
        <f t="shared" si="1034"/>
        <v>-1</v>
      </c>
      <c r="Q1167">
        <f t="shared" si="1035"/>
        <v>-269249.63699999999</v>
      </c>
      <c r="R1167">
        <f t="shared" si="1036"/>
        <v>-1329097.8870897456</v>
      </c>
      <c r="S1167">
        <f t="shared" si="1037"/>
        <v>-13.290978870897456</v>
      </c>
      <c r="T1167">
        <f t="shared" si="1038"/>
        <v>-1.3290978870897457E-2</v>
      </c>
    </row>
    <row r="1168" spans="1:20" x14ac:dyDescent="0.25">
      <c r="A1168" s="5">
        <v>43425</v>
      </c>
      <c r="B1168">
        <v>2.4430000000000001</v>
      </c>
      <c r="C1168">
        <v>2.56</v>
      </c>
      <c r="D1168">
        <v>2.3420000000000001</v>
      </c>
      <c r="E1168">
        <v>2.5009999999999999</v>
      </c>
      <c r="F1168">
        <v>523977.94699999999</v>
      </c>
      <c r="G1168">
        <v>0</v>
      </c>
      <c r="L1168" t="s">
        <v>8</v>
      </c>
      <c r="M1168" t="s">
        <v>8</v>
      </c>
      <c r="N1168" t="s">
        <v>7</v>
      </c>
      <c r="P1168">
        <f t="shared" si="1034"/>
        <v>0.45871559633027364</v>
      </c>
      <c r="Q1168">
        <f t="shared" si="1035"/>
        <v>240356.8564220175</v>
      </c>
      <c r="R1168">
        <f t="shared" si="1036"/>
        <v>-1059848.2500897457</v>
      </c>
      <c r="S1168">
        <f t="shared" si="1037"/>
        <v>-10.598482500897457</v>
      </c>
      <c r="T1168">
        <f t="shared" si="1038"/>
        <v>-1.0598482500897458E-2</v>
      </c>
    </row>
    <row r="1169" spans="1:20" x14ac:dyDescent="0.25">
      <c r="A1169" s="5">
        <v>43424</v>
      </c>
      <c r="B1169">
        <v>2.5659999999999998</v>
      </c>
      <c r="C1169">
        <v>2.69</v>
      </c>
      <c r="D1169">
        <v>2.1739999999999999</v>
      </c>
      <c r="E1169">
        <v>2.4430000000000001</v>
      </c>
      <c r="F1169">
        <v>637598.80900000001</v>
      </c>
      <c r="G1169">
        <v>0</v>
      </c>
      <c r="L1169" t="s">
        <v>7</v>
      </c>
      <c r="M1169" t="s">
        <v>7</v>
      </c>
      <c r="N1169" t="s">
        <v>7</v>
      </c>
      <c r="P1169">
        <f t="shared" si="1034"/>
        <v>4.2635658914729146E-2</v>
      </c>
      <c r="Q1169">
        <f t="shared" si="1035"/>
        <v>27184.445344961536</v>
      </c>
      <c r="R1169">
        <f t="shared" si="1036"/>
        <v>-1300205.1065117633</v>
      </c>
      <c r="S1169">
        <f t="shared" si="1037"/>
        <v>-13.002051065117634</v>
      </c>
      <c r="T1169">
        <f t="shared" si="1038"/>
        <v>-1.3002051065117634E-2</v>
      </c>
    </row>
    <row r="1170" spans="1:20" x14ac:dyDescent="0.25">
      <c r="A1170" s="5">
        <v>43423</v>
      </c>
      <c r="B1170">
        <v>3.1280000000000001</v>
      </c>
      <c r="C1170">
        <v>3.1280000000000001</v>
      </c>
      <c r="D1170">
        <v>2.4990000000000001</v>
      </c>
      <c r="E1170">
        <v>2.556</v>
      </c>
      <c r="F1170">
        <v>542536.01300000004</v>
      </c>
      <c r="G1170">
        <v>0</v>
      </c>
      <c r="L1170" t="s">
        <v>7</v>
      </c>
      <c r="M1170" t="s">
        <v>7</v>
      </c>
      <c r="N1170" t="s">
        <v>7</v>
      </c>
      <c r="P1170">
        <f t="shared" si="1034"/>
        <v>-0.8187599364069954</v>
      </c>
      <c r="Q1170">
        <f t="shared" si="1035"/>
        <v>-444206.75150238484</v>
      </c>
      <c r="R1170">
        <f t="shared" si="1036"/>
        <v>-1327389.5518567248</v>
      </c>
      <c r="S1170">
        <f t="shared" si="1037"/>
        <v>-13.273895518567247</v>
      </c>
      <c r="T1170">
        <f t="shared" si="1038"/>
        <v>-1.3273895518567247E-2</v>
      </c>
    </row>
    <row r="1171" spans="1:20" x14ac:dyDescent="0.25">
      <c r="A1171" s="5">
        <v>43422</v>
      </c>
      <c r="B1171">
        <v>3.1309999999999998</v>
      </c>
      <c r="C1171">
        <v>3.1909999999999998</v>
      </c>
      <c r="D1171">
        <v>3.09</v>
      </c>
      <c r="E1171">
        <v>3.121</v>
      </c>
      <c r="F1171">
        <v>104022.878</v>
      </c>
      <c r="G1171">
        <v>0</v>
      </c>
      <c r="L1171" t="s">
        <v>8</v>
      </c>
      <c r="M1171" t="s">
        <v>7</v>
      </c>
      <c r="N1171" t="s">
        <v>7</v>
      </c>
      <c r="P1171">
        <f t="shared" si="1034"/>
        <v>-0.38613861386138326</v>
      </c>
      <c r="Q1171">
        <f t="shared" si="1035"/>
        <v>-40167.249920791779</v>
      </c>
      <c r="R1171">
        <f t="shared" si="1036"/>
        <v>-883182.80035434</v>
      </c>
      <c r="S1171">
        <f t="shared" si="1037"/>
        <v>-8.8318280035434</v>
      </c>
      <c r="T1171">
        <f t="shared" si="1038"/>
        <v>-8.8318280035433998E-3</v>
      </c>
    </row>
    <row r="1172" spans="1:20" x14ac:dyDescent="0.25">
      <c r="A1172" s="5">
        <v>43421</v>
      </c>
      <c r="B1172">
        <v>3.105</v>
      </c>
      <c r="C1172">
        <v>3.1440000000000001</v>
      </c>
      <c r="D1172">
        <v>3.0619999999999998</v>
      </c>
      <c r="E1172">
        <v>3.1309999999999998</v>
      </c>
      <c r="F1172">
        <v>80701.345000000001</v>
      </c>
      <c r="G1172">
        <v>0</v>
      </c>
      <c r="L1172" t="s">
        <v>8</v>
      </c>
      <c r="M1172" t="s">
        <v>7</v>
      </c>
      <c r="N1172" t="s">
        <v>7</v>
      </c>
      <c r="P1172">
        <f t="shared" si="1034"/>
        <v>0.68292682926828541</v>
      </c>
      <c r="Q1172">
        <f t="shared" si="1035"/>
        <v>55113.113658536</v>
      </c>
      <c r="R1172">
        <f t="shared" si="1036"/>
        <v>-843015.55043354817</v>
      </c>
      <c r="S1172">
        <f t="shared" si="1037"/>
        <v>-8.430155504335481</v>
      </c>
      <c r="T1172">
        <f t="shared" si="1038"/>
        <v>-8.4301555043354813E-3</v>
      </c>
    </row>
    <row r="1173" spans="1:20" x14ac:dyDescent="0.25">
      <c r="A1173" s="5">
        <v>43420</v>
      </c>
      <c r="B1173">
        <v>3.242</v>
      </c>
      <c r="C1173">
        <v>3.2639999999999998</v>
      </c>
      <c r="D1173">
        <v>3.0680000000000001</v>
      </c>
      <c r="E1173">
        <v>3.1309999999999998</v>
      </c>
      <c r="F1173">
        <v>129709.736</v>
      </c>
      <c r="G1173">
        <v>0</v>
      </c>
      <c r="L1173" t="s">
        <v>8</v>
      </c>
      <c r="M1173" t="s">
        <v>7</v>
      </c>
      <c r="N1173" t="s">
        <v>7</v>
      </c>
      <c r="P1173">
        <f t="shared" si="1034"/>
        <v>-0.35714285714285909</v>
      </c>
      <c r="Q1173">
        <f t="shared" si="1035"/>
        <v>-46324.905714285967</v>
      </c>
      <c r="R1173">
        <f t="shared" si="1036"/>
        <v>-898128.66409208416</v>
      </c>
      <c r="S1173">
        <f t="shared" si="1037"/>
        <v>-8.9812866409208407</v>
      </c>
      <c r="T1173">
        <f t="shared" si="1038"/>
        <v>-8.9812866409208405E-3</v>
      </c>
    </row>
    <row r="1174" spans="1:20" x14ac:dyDescent="0.25">
      <c r="A1174" s="5">
        <v>43419</v>
      </c>
      <c r="B1174">
        <v>3.3919999999999999</v>
      </c>
      <c r="C1174">
        <v>3.4140000000000001</v>
      </c>
      <c r="D1174">
        <v>2.972</v>
      </c>
      <c r="E1174">
        <v>3.238</v>
      </c>
      <c r="F1174">
        <v>469797.45899999997</v>
      </c>
      <c r="G1174">
        <v>0</v>
      </c>
      <c r="L1174" t="s">
        <v>7</v>
      </c>
      <c r="M1174" t="s">
        <v>7</v>
      </c>
      <c r="N1174" t="s">
        <v>7</v>
      </c>
      <c r="P1174">
        <f t="shared" si="1034"/>
        <v>0.20361990950226205</v>
      </c>
      <c r="Q1174">
        <f t="shared" si="1035"/>
        <v>95660.116085972666</v>
      </c>
      <c r="R1174">
        <f t="shared" si="1036"/>
        <v>-851803.75837779813</v>
      </c>
      <c r="S1174">
        <f t="shared" si="1037"/>
        <v>-8.518037583777982</v>
      </c>
      <c r="T1174">
        <f t="shared" si="1038"/>
        <v>-8.5180375837779817E-3</v>
      </c>
    </row>
    <row r="1175" spans="1:20" x14ac:dyDescent="0.25">
      <c r="A1175" s="5">
        <v>43418</v>
      </c>
      <c r="B1175">
        <v>3.7989999999999999</v>
      </c>
      <c r="C1175">
        <v>3.8079999999999998</v>
      </c>
      <c r="D1175">
        <v>3.0779999999999998</v>
      </c>
      <c r="E1175">
        <v>3.39</v>
      </c>
      <c r="F1175">
        <v>518753.38099999999</v>
      </c>
      <c r="G1175">
        <v>0</v>
      </c>
      <c r="L1175" t="s">
        <v>7</v>
      </c>
      <c r="M1175" t="s">
        <v>7</v>
      </c>
      <c r="N1175" t="s">
        <v>7</v>
      </c>
      <c r="P1175">
        <f t="shared" si="1034"/>
        <v>-0.145205479452054</v>
      </c>
      <c r="Q1175">
        <f t="shared" si="1035"/>
        <v>-75325.833405479047</v>
      </c>
      <c r="R1175">
        <f t="shared" si="1036"/>
        <v>-947463.87446377077</v>
      </c>
      <c r="S1175">
        <f t="shared" si="1037"/>
        <v>-9.4746387446377085</v>
      </c>
      <c r="T1175">
        <f t="shared" si="1038"/>
        <v>-9.4746387446377079E-3</v>
      </c>
    </row>
    <row r="1176" spans="1:20" x14ac:dyDescent="0.25">
      <c r="A1176" s="5">
        <v>43417</v>
      </c>
      <c r="B1176">
        <v>3.8330000000000002</v>
      </c>
      <c r="C1176">
        <v>3.8559999999999999</v>
      </c>
      <c r="D1176">
        <v>3.7559999999999998</v>
      </c>
      <c r="E1176">
        <v>3.7989999999999999</v>
      </c>
      <c r="F1176">
        <v>118961.60799999999</v>
      </c>
      <c r="G1176">
        <v>0</v>
      </c>
      <c r="L1176" t="s">
        <v>7</v>
      </c>
      <c r="M1176" t="s">
        <v>8</v>
      </c>
      <c r="N1176" t="s">
        <v>8</v>
      </c>
      <c r="P1176">
        <f t="shared" si="1034"/>
        <v>-0.13999999999999779</v>
      </c>
      <c r="Q1176">
        <f t="shared" si="1035"/>
        <v>-16654.625119999735</v>
      </c>
      <c r="R1176">
        <f t="shared" si="1036"/>
        <v>-872138.04105829168</v>
      </c>
      <c r="S1176">
        <f t="shared" si="1037"/>
        <v>-8.7213804105829169</v>
      </c>
      <c r="T1176">
        <f t="shared" si="1038"/>
        <v>-8.7213804105829174E-3</v>
      </c>
    </row>
    <row r="1177" spans="1:20" x14ac:dyDescent="0.25">
      <c r="A1177" s="5">
        <v>43416</v>
      </c>
      <c r="B1177">
        <v>3.9020000000000001</v>
      </c>
      <c r="C1177">
        <v>3.9140000000000001</v>
      </c>
      <c r="D1177">
        <v>3.78</v>
      </c>
      <c r="E1177">
        <v>3.84</v>
      </c>
      <c r="F1177">
        <v>104351.702</v>
      </c>
      <c r="G1177">
        <v>0</v>
      </c>
      <c r="L1177" t="s">
        <v>7</v>
      </c>
      <c r="M1177" t="s">
        <v>8</v>
      </c>
      <c r="N1177" t="s">
        <v>8</v>
      </c>
      <c r="P1177">
        <f t="shared" si="1034"/>
        <v>-0.10447761194029999</v>
      </c>
      <c r="Q1177">
        <f t="shared" si="1035"/>
        <v>-10902.416626865826</v>
      </c>
      <c r="R1177">
        <f t="shared" si="1036"/>
        <v>-855483.41593829193</v>
      </c>
      <c r="S1177">
        <f t="shared" si="1037"/>
        <v>-8.5548341593829189</v>
      </c>
      <c r="T1177">
        <f t="shared" si="1038"/>
        <v>-8.5548341593829191E-3</v>
      </c>
    </row>
    <row r="1178" spans="1:20" x14ac:dyDescent="0.25">
      <c r="A1178" s="5">
        <v>43415</v>
      </c>
      <c r="B1178">
        <v>3.9289999999999998</v>
      </c>
      <c r="C1178">
        <v>3.9409999999999998</v>
      </c>
      <c r="D1178">
        <v>3.7850000000000001</v>
      </c>
      <c r="E1178">
        <v>3.8940000000000001</v>
      </c>
      <c r="F1178">
        <v>111845.86599999999</v>
      </c>
      <c r="G1178">
        <v>0</v>
      </c>
      <c r="L1178" t="s">
        <v>7</v>
      </c>
      <c r="M1178" t="s">
        <v>8</v>
      </c>
      <c r="N1178" t="s">
        <v>8</v>
      </c>
      <c r="P1178">
        <f t="shared" si="1034"/>
        <v>0.39743589743589997</v>
      </c>
      <c r="Q1178">
        <f t="shared" si="1035"/>
        <v>44451.562128205405</v>
      </c>
      <c r="R1178">
        <f t="shared" si="1036"/>
        <v>-844580.99931142607</v>
      </c>
      <c r="S1178">
        <f t="shared" si="1037"/>
        <v>-8.4458099931142598</v>
      </c>
      <c r="T1178">
        <f t="shared" si="1038"/>
        <v>-8.4458099931142595E-3</v>
      </c>
    </row>
    <row r="1179" spans="1:20" x14ac:dyDescent="0.25">
      <c r="A1179" s="5">
        <v>43414</v>
      </c>
      <c r="B1179">
        <v>3.883</v>
      </c>
      <c r="C1179">
        <v>3.95</v>
      </c>
      <c r="D1179">
        <v>3.8559999999999999</v>
      </c>
      <c r="E1179">
        <v>3.9289999999999998</v>
      </c>
      <c r="F1179">
        <v>80900.191000000006</v>
      </c>
      <c r="G1179">
        <v>0</v>
      </c>
      <c r="L1179" t="s">
        <v>7</v>
      </c>
      <c r="M1179" t="s">
        <v>8</v>
      </c>
      <c r="N1179" t="s">
        <v>8</v>
      </c>
      <c r="P1179">
        <f t="shared" si="1034"/>
        <v>0.55319148936169604</v>
      </c>
      <c r="Q1179">
        <f t="shared" si="1035"/>
        <v>44753.297148935679</v>
      </c>
      <c r="R1179">
        <f t="shared" si="1036"/>
        <v>-889032.56143963151</v>
      </c>
      <c r="S1179">
        <f t="shared" si="1037"/>
        <v>-8.8903256143963159</v>
      </c>
      <c r="T1179">
        <f t="shared" si="1038"/>
        <v>-8.8903256143963161E-3</v>
      </c>
    </row>
    <row r="1180" spans="1:20" x14ac:dyDescent="0.25">
      <c r="A1180" s="5">
        <v>43413</v>
      </c>
      <c r="B1180">
        <v>3.9830000000000001</v>
      </c>
      <c r="C1180">
        <v>4.0350000000000001</v>
      </c>
      <c r="D1180">
        <v>3.8639999999999999</v>
      </c>
      <c r="E1180">
        <v>3.8940000000000001</v>
      </c>
      <c r="F1180">
        <v>210912.23800000001</v>
      </c>
      <c r="G1180">
        <v>0</v>
      </c>
      <c r="L1180" t="s">
        <v>7</v>
      </c>
      <c r="M1180" t="s">
        <v>8</v>
      </c>
      <c r="N1180" t="s">
        <v>8</v>
      </c>
      <c r="P1180">
        <f t="shared" si="1034"/>
        <v>-0.64912280701754144</v>
      </c>
      <c r="Q1180">
        <f t="shared" si="1035"/>
        <v>-136907.94396491177</v>
      </c>
      <c r="R1180">
        <f t="shared" si="1036"/>
        <v>-933785.85858856724</v>
      </c>
      <c r="S1180">
        <f t="shared" si="1037"/>
        <v>-9.3378585858856731</v>
      </c>
      <c r="T1180">
        <f t="shared" si="1038"/>
        <v>-9.3378585858856725E-3</v>
      </c>
    </row>
    <row r="1181" spans="1:20" x14ac:dyDescent="0.25">
      <c r="A1181" s="5">
        <v>43412</v>
      </c>
      <c r="B1181">
        <v>4.1369999999999996</v>
      </c>
      <c r="C1181">
        <v>4.1849999999999996</v>
      </c>
      <c r="D1181">
        <v>3.98</v>
      </c>
      <c r="E1181">
        <v>3.9830000000000001</v>
      </c>
      <c r="F1181">
        <v>205769.66</v>
      </c>
      <c r="G1181">
        <v>0</v>
      </c>
      <c r="L1181" t="s">
        <v>7</v>
      </c>
      <c r="M1181" t="s">
        <v>8</v>
      </c>
      <c r="N1181" t="s">
        <v>8</v>
      </c>
      <c r="P1181">
        <f t="shared" si="1034"/>
        <v>-0.97073170731707203</v>
      </c>
      <c r="Q1181">
        <f t="shared" si="1035"/>
        <v>-199747.13336585343</v>
      </c>
      <c r="R1181">
        <f t="shared" si="1036"/>
        <v>-796877.9146236555</v>
      </c>
      <c r="S1181">
        <f t="shared" si="1037"/>
        <v>-7.9687791462365549</v>
      </c>
      <c r="T1181">
        <f t="shared" si="1038"/>
        <v>-7.9687791462365546E-3</v>
      </c>
    </row>
    <row r="1182" spans="1:20" x14ac:dyDescent="0.25">
      <c r="A1182" s="5">
        <v>43411</v>
      </c>
      <c r="B1182">
        <v>4.0730000000000004</v>
      </c>
      <c r="C1182">
        <v>4.32</v>
      </c>
      <c r="D1182">
        <v>4.0430000000000001</v>
      </c>
      <c r="E1182">
        <v>4.1399999999999997</v>
      </c>
      <c r="F1182">
        <v>380130.239</v>
      </c>
      <c r="G1182">
        <v>0</v>
      </c>
      <c r="L1182" t="s">
        <v>8</v>
      </c>
      <c r="M1182" t="s">
        <v>8</v>
      </c>
      <c r="N1182" t="s">
        <v>8</v>
      </c>
      <c r="P1182">
        <f t="shared" si="1034"/>
        <v>-0.29963898916967879</v>
      </c>
      <c r="Q1182">
        <f t="shared" si="1035"/>
        <v>-113901.84056678841</v>
      </c>
      <c r="R1182">
        <f t="shared" si="1036"/>
        <v>-597130.78125780204</v>
      </c>
      <c r="S1182">
        <f t="shared" si="1037"/>
        <v>-5.9713078125780203</v>
      </c>
      <c r="T1182">
        <f t="shared" si="1038"/>
        <v>-5.97130781257802E-3</v>
      </c>
    </row>
    <row r="1183" spans="1:20" x14ac:dyDescent="0.25">
      <c r="A1183" s="5">
        <v>43410</v>
      </c>
      <c r="B1183">
        <v>3.9220000000000002</v>
      </c>
      <c r="C1183">
        <v>4.0999999999999996</v>
      </c>
      <c r="D1183">
        <v>3.8849999999999998</v>
      </c>
      <c r="E1183">
        <v>4.0730000000000004</v>
      </c>
      <c r="F1183">
        <v>218097.07800000001</v>
      </c>
      <c r="G1183">
        <v>0</v>
      </c>
      <c r="L1183" t="s">
        <v>8</v>
      </c>
      <c r="M1183" t="s">
        <v>8</v>
      </c>
      <c r="N1183" t="s">
        <v>8</v>
      </c>
      <c r="P1183">
        <f t="shared" si="1034"/>
        <v>0.74883720930233244</v>
      </c>
      <c r="Q1183">
        <f t="shared" si="1035"/>
        <v>163319.20724651314</v>
      </c>
      <c r="R1183">
        <f t="shared" si="1036"/>
        <v>-483228.94069101359</v>
      </c>
      <c r="S1183">
        <f t="shared" si="1037"/>
        <v>-4.8322894069101361</v>
      </c>
      <c r="T1183">
        <f t="shared" si="1038"/>
        <v>-4.8322894069101358E-3</v>
      </c>
    </row>
    <row r="1184" spans="1:20" x14ac:dyDescent="0.25">
      <c r="A1184" s="5">
        <v>43409</v>
      </c>
      <c r="B1184">
        <v>4.0090000000000003</v>
      </c>
      <c r="C1184">
        <v>4.0149999999999997</v>
      </c>
      <c r="D1184">
        <v>3.8769999999999998</v>
      </c>
      <c r="E1184">
        <v>3.9129999999999998</v>
      </c>
      <c r="F1184">
        <v>146060.36799999999</v>
      </c>
      <c r="G1184">
        <v>0</v>
      </c>
      <c r="L1184" t="s">
        <v>8</v>
      </c>
      <c r="M1184" t="s">
        <v>8</v>
      </c>
      <c r="N1184" t="s">
        <v>8</v>
      </c>
      <c r="P1184">
        <f t="shared" si="1034"/>
        <v>-0.47826086956521657</v>
      </c>
      <c r="Q1184">
        <f t="shared" si="1035"/>
        <v>-69854.958608695524</v>
      </c>
      <c r="R1184">
        <f t="shared" si="1036"/>
        <v>-646548.14793752669</v>
      </c>
      <c r="S1184">
        <f t="shared" si="1037"/>
        <v>-6.4654814793752671</v>
      </c>
      <c r="T1184">
        <f t="shared" si="1038"/>
        <v>-6.4654814793752673E-3</v>
      </c>
    </row>
    <row r="1185" spans="1:20" x14ac:dyDescent="0.25">
      <c r="A1185" s="5">
        <v>43408</v>
      </c>
      <c r="B1185">
        <v>3.9140000000000001</v>
      </c>
      <c r="C1185">
        <v>4.1040000000000001</v>
      </c>
      <c r="D1185">
        <v>3.8490000000000002</v>
      </c>
      <c r="E1185">
        <v>4.0090000000000003</v>
      </c>
      <c r="F1185">
        <v>173451.71599999999</v>
      </c>
      <c r="G1185">
        <v>0</v>
      </c>
      <c r="L1185" t="s">
        <v>8</v>
      </c>
      <c r="M1185" t="s">
        <v>8</v>
      </c>
      <c r="N1185" t="s">
        <v>8</v>
      </c>
      <c r="P1185">
        <f t="shared" si="1034"/>
        <v>0.25490196078431537</v>
      </c>
      <c r="Q1185">
        <f t="shared" si="1035"/>
        <v>44213.182509804203</v>
      </c>
      <c r="R1185">
        <f t="shared" si="1036"/>
        <v>-576693.18932883115</v>
      </c>
      <c r="S1185">
        <f t="shared" si="1037"/>
        <v>-5.7669318932883114</v>
      </c>
      <c r="T1185">
        <f t="shared" si="1038"/>
        <v>-5.7669318932883117E-3</v>
      </c>
    </row>
    <row r="1186" spans="1:20" x14ac:dyDescent="0.25">
      <c r="A1186" s="5">
        <v>43407</v>
      </c>
      <c r="B1186">
        <v>3.9609999999999999</v>
      </c>
      <c r="C1186">
        <v>3.964</v>
      </c>
      <c r="D1186">
        <v>3.851</v>
      </c>
      <c r="E1186">
        <v>3.915</v>
      </c>
      <c r="F1186">
        <v>149773.98800000001</v>
      </c>
      <c r="G1186">
        <v>0</v>
      </c>
      <c r="L1186" t="s">
        <v>7</v>
      </c>
      <c r="M1186" t="s">
        <v>8</v>
      </c>
      <c r="N1186" t="s">
        <v>8</v>
      </c>
      <c r="P1186">
        <f t="shared" si="1034"/>
        <v>0.13274336283185953</v>
      </c>
      <c r="Q1186">
        <f t="shared" si="1035"/>
        <v>19881.502831858576</v>
      </c>
      <c r="R1186">
        <f t="shared" si="1036"/>
        <v>-620906.3718386353</v>
      </c>
      <c r="S1186">
        <f t="shared" si="1037"/>
        <v>-6.2090637183863526</v>
      </c>
      <c r="T1186">
        <f t="shared" si="1038"/>
        <v>-6.2090637183863529E-3</v>
      </c>
    </row>
    <row r="1187" spans="1:20" x14ac:dyDescent="0.25">
      <c r="A1187" s="5">
        <v>43406</v>
      </c>
      <c r="B1187">
        <v>3.91</v>
      </c>
      <c r="C1187">
        <v>3.9860000000000002</v>
      </c>
      <c r="D1187">
        <v>3.895</v>
      </c>
      <c r="E1187">
        <v>3.956</v>
      </c>
      <c r="F1187">
        <v>149818.845</v>
      </c>
      <c r="G1187">
        <v>0</v>
      </c>
      <c r="L1187" t="s">
        <v>7</v>
      </c>
      <c r="M1187" t="s">
        <v>8</v>
      </c>
      <c r="N1187" t="s">
        <v>8</v>
      </c>
      <c r="P1187">
        <f t="shared" si="1034"/>
        <v>0.34065934065933656</v>
      </c>
      <c r="Q1187">
        <f t="shared" si="1035"/>
        <v>51037.188956043341</v>
      </c>
      <c r="R1187">
        <f t="shared" si="1036"/>
        <v>-640787.87467049388</v>
      </c>
      <c r="S1187">
        <f t="shared" si="1037"/>
        <v>-6.407878746704939</v>
      </c>
      <c r="T1187">
        <f t="shared" si="1038"/>
        <v>-6.4078787467049389E-3</v>
      </c>
    </row>
    <row r="1188" spans="1:20" x14ac:dyDescent="0.25">
      <c r="A1188" s="5">
        <v>43405</v>
      </c>
      <c r="B1188">
        <v>3.86</v>
      </c>
      <c r="C1188">
        <v>3.9140000000000001</v>
      </c>
      <c r="D1188">
        <v>3.8180000000000001</v>
      </c>
      <c r="E1188">
        <v>3.9009999999999998</v>
      </c>
      <c r="F1188">
        <v>86677.377999999997</v>
      </c>
      <c r="G1188">
        <v>0</v>
      </c>
      <c r="L1188" t="s">
        <v>7</v>
      </c>
      <c r="M1188" t="s">
        <v>8</v>
      </c>
      <c r="N1188" t="s">
        <v>8</v>
      </c>
      <c r="P1188">
        <f t="shared" si="1034"/>
        <v>0.72916666666665975</v>
      </c>
      <c r="Q1188">
        <f t="shared" si="1035"/>
        <v>63202.254791666062</v>
      </c>
      <c r="R1188">
        <f t="shared" si="1036"/>
        <v>-691825.06362653722</v>
      </c>
      <c r="S1188">
        <f t="shared" si="1037"/>
        <v>-6.9182506362653724</v>
      </c>
      <c r="T1188">
        <f t="shared" si="1038"/>
        <v>-6.9182506362653728E-3</v>
      </c>
    </row>
    <row r="1189" spans="1:20" x14ac:dyDescent="0.25">
      <c r="A1189" s="5">
        <v>43404</v>
      </c>
      <c r="B1189">
        <v>3.778</v>
      </c>
      <c r="C1189">
        <v>3.8860000000000001</v>
      </c>
      <c r="D1189">
        <v>3.7120000000000002</v>
      </c>
      <c r="E1189">
        <v>3.8559999999999999</v>
      </c>
      <c r="F1189">
        <v>149000.66200000001</v>
      </c>
      <c r="G1189">
        <v>0</v>
      </c>
      <c r="L1189" t="s">
        <v>7</v>
      </c>
      <c r="M1189" t="s">
        <v>8</v>
      </c>
      <c r="N1189" t="s">
        <v>8</v>
      </c>
      <c r="P1189">
        <f t="shared" si="1034"/>
        <v>0.65517241379310043</v>
      </c>
      <c r="Q1189">
        <f t="shared" si="1035"/>
        <v>97621.123379309909</v>
      </c>
      <c r="R1189">
        <f t="shared" si="1036"/>
        <v>-755027.31841820327</v>
      </c>
      <c r="S1189">
        <f t="shared" si="1037"/>
        <v>-7.550273184182033</v>
      </c>
      <c r="T1189">
        <f t="shared" si="1038"/>
        <v>-7.550273184182033E-3</v>
      </c>
    </row>
    <row r="1190" spans="1:20" x14ac:dyDescent="0.25">
      <c r="A1190" s="5">
        <v>43403</v>
      </c>
      <c r="B1190">
        <v>3.8090000000000002</v>
      </c>
      <c r="C1190">
        <v>3.8479999999999999</v>
      </c>
      <c r="D1190">
        <v>3.7120000000000002</v>
      </c>
      <c r="E1190">
        <v>3.7789999999999999</v>
      </c>
      <c r="F1190">
        <v>114536.923</v>
      </c>
      <c r="G1190">
        <v>0</v>
      </c>
      <c r="L1190" t="s">
        <v>7</v>
      </c>
      <c r="M1190" t="s">
        <v>8</v>
      </c>
      <c r="N1190" t="s">
        <v>8</v>
      </c>
      <c r="P1190">
        <f t="shared" si="1034"/>
        <v>-1.4705882352942857E-2</v>
      </c>
      <c r="Q1190">
        <f t="shared" si="1035"/>
        <v>-1684.3665147060749</v>
      </c>
      <c r="R1190">
        <f t="shared" si="1036"/>
        <v>-852648.44179751317</v>
      </c>
      <c r="S1190">
        <f t="shared" si="1037"/>
        <v>-8.5264844179751318</v>
      </c>
      <c r="T1190">
        <f t="shared" si="1038"/>
        <v>-8.526484417975131E-3</v>
      </c>
    </row>
    <row r="1191" spans="1:20" x14ac:dyDescent="0.25">
      <c r="A1191" s="5">
        <v>43402</v>
      </c>
      <c r="B1191">
        <v>4.0510000000000002</v>
      </c>
      <c r="C1191">
        <v>4.0830000000000002</v>
      </c>
      <c r="D1191">
        <v>3.7120000000000002</v>
      </c>
      <c r="E1191">
        <v>3.7959999999999998</v>
      </c>
      <c r="F1191">
        <v>261412.25599999999</v>
      </c>
      <c r="G1191">
        <v>0</v>
      </c>
      <c r="L1191" t="s">
        <v>7</v>
      </c>
      <c r="M1191" t="s">
        <v>8</v>
      </c>
      <c r="N1191" t="s">
        <v>8</v>
      </c>
      <c r="P1191">
        <f t="shared" si="1034"/>
        <v>-0.5471698113207567</v>
      </c>
      <c r="Q1191">
        <f t="shared" si="1035"/>
        <v>-143036.89479245336</v>
      </c>
      <c r="R1191">
        <f t="shared" si="1036"/>
        <v>-850964.07528280711</v>
      </c>
      <c r="S1191">
        <f t="shared" si="1037"/>
        <v>-8.5096407528280711</v>
      </c>
      <c r="T1191">
        <f t="shared" si="1038"/>
        <v>-8.5096407528280713E-3</v>
      </c>
    </row>
    <row r="1192" spans="1:20" x14ac:dyDescent="0.25">
      <c r="A1192" s="5">
        <v>43401</v>
      </c>
      <c r="B1192">
        <v>4.05</v>
      </c>
      <c r="C1192">
        <v>4.0960000000000001</v>
      </c>
      <c r="D1192">
        <v>4.01</v>
      </c>
      <c r="E1192">
        <v>4.0540000000000003</v>
      </c>
      <c r="F1192">
        <v>80150.379000000001</v>
      </c>
      <c r="G1192">
        <v>0</v>
      </c>
      <c r="L1192" t="s">
        <v>8</v>
      </c>
      <c r="M1192" t="s">
        <v>8</v>
      </c>
      <c r="N1192" t="s">
        <v>8</v>
      </c>
      <c r="P1192">
        <f t="shared" si="1034"/>
        <v>2.3255813953496057E-2</v>
      </c>
      <c r="Q1192">
        <f t="shared" si="1035"/>
        <v>1863.9623023261972</v>
      </c>
      <c r="R1192">
        <f t="shared" si="1036"/>
        <v>-707927.18049035373</v>
      </c>
      <c r="S1192">
        <f t="shared" si="1037"/>
        <v>-7.079271804903537</v>
      </c>
      <c r="T1192">
        <f t="shared" si="1038"/>
        <v>-7.0792718049035369E-3</v>
      </c>
    </row>
    <row r="1193" spans="1:20" x14ac:dyDescent="0.25">
      <c r="A1193" s="5">
        <v>43400</v>
      </c>
      <c r="B1193">
        <v>4.0540000000000003</v>
      </c>
      <c r="C1193">
        <v>4.1829999999999998</v>
      </c>
      <c r="D1193">
        <v>4</v>
      </c>
      <c r="E1193">
        <v>4.0439999999999996</v>
      </c>
      <c r="F1193">
        <v>1417060.7309999999</v>
      </c>
      <c r="G1193">
        <v>0</v>
      </c>
      <c r="L1193" t="s">
        <v>8</v>
      </c>
      <c r="M1193" t="s">
        <v>8</v>
      </c>
      <c r="N1193" t="s">
        <v>8</v>
      </c>
      <c r="P1193">
        <f t="shared" si="1034"/>
        <v>-0.51912568306011331</v>
      </c>
      <c r="Q1193">
        <f t="shared" si="1035"/>
        <v>-735632.61991803849</v>
      </c>
      <c r="R1193">
        <f t="shared" si="1036"/>
        <v>-709791.14279267995</v>
      </c>
      <c r="S1193">
        <f t="shared" si="1037"/>
        <v>-7.0979114279267996</v>
      </c>
      <c r="T1193">
        <f t="shared" si="1038"/>
        <v>-7.0979114279268E-3</v>
      </c>
    </row>
    <row r="1194" spans="1:20" x14ac:dyDescent="0.25">
      <c r="A1194" s="5">
        <v>43399</v>
      </c>
      <c r="B1194">
        <v>4.0979999999999999</v>
      </c>
      <c r="C1194">
        <v>4.12</v>
      </c>
      <c r="D1194">
        <v>3.9609999999999999</v>
      </c>
      <c r="E1194">
        <v>4.0469999999999997</v>
      </c>
      <c r="F1194">
        <v>175305.72200000001</v>
      </c>
      <c r="G1194">
        <v>0</v>
      </c>
      <c r="L1194" t="s">
        <v>8</v>
      </c>
      <c r="M1194" t="s">
        <v>8</v>
      </c>
      <c r="N1194" t="s">
        <v>8</v>
      </c>
      <c r="P1194">
        <f t="shared" si="1034"/>
        <v>8.1761006289304633E-2</v>
      </c>
      <c r="Q1194">
        <f t="shared" si="1035"/>
        <v>14333.172238993091</v>
      </c>
      <c r="R1194">
        <f t="shared" si="1036"/>
        <v>25841.477125358517</v>
      </c>
      <c r="S1194">
        <f t="shared" si="1037"/>
        <v>0.25841477125358514</v>
      </c>
      <c r="T1194">
        <f t="shared" si="1038"/>
        <v>2.5841477125358514E-4</v>
      </c>
    </row>
    <row r="1195" spans="1:20" x14ac:dyDescent="0.25">
      <c r="A1195" s="5">
        <v>43398</v>
      </c>
      <c r="B1195">
        <v>4.1879999999999997</v>
      </c>
      <c r="C1195">
        <v>4.1879999999999997</v>
      </c>
      <c r="D1195">
        <v>4.0119999999999996</v>
      </c>
      <c r="E1195">
        <v>4.1050000000000004</v>
      </c>
      <c r="F1195">
        <v>202546.166</v>
      </c>
      <c r="G1195">
        <v>0</v>
      </c>
      <c r="P1195">
        <f t="shared" si="1034"/>
        <v>5.681818181819065E-2</v>
      </c>
      <c r="Q1195">
        <f t="shared" si="1035"/>
        <v>11508.304886365426</v>
      </c>
      <c r="R1195">
        <f t="shared" si="1036"/>
        <v>11508.304886365426</v>
      </c>
      <c r="S1195">
        <f t="shared" si="1037"/>
        <v>0.11508304886365425</v>
      </c>
      <c r="T1195">
        <f t="shared" si="1038"/>
        <v>1.1508304886365425E-4</v>
      </c>
    </row>
    <row r="1196" spans="1:20" x14ac:dyDescent="0.25">
      <c r="A1196" s="5"/>
      <c r="C1196"/>
      <c r="D1196"/>
    </row>
    <row r="1197" spans="1:20" x14ac:dyDescent="0.25">
      <c r="A1197" s="5"/>
      <c r="C1197"/>
      <c r="D1197"/>
    </row>
    <row r="1198" spans="1:20" x14ac:dyDescent="0.25">
      <c r="A1198" s="5"/>
      <c r="C1198"/>
      <c r="D1198"/>
    </row>
    <row r="1199" spans="1:20" x14ac:dyDescent="0.25">
      <c r="A1199" s="5"/>
      <c r="C1199"/>
      <c r="D1199"/>
    </row>
    <row r="1200" spans="1:20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SB501" sqref="SB50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$A$500</v>
      </c>
      <c r="D111" s="1" t="str">
        <f>ADDRESS(C121-1,D121,1,1)</f>
        <v>$SB$500</v>
      </c>
      <c r="E111"/>
    </row>
    <row r="112" spans="1:5" x14ac:dyDescent="0.25">
      <c r="A112" s="7">
        <v>12164.144957890772</v>
      </c>
      <c r="C112" s="1" t="str">
        <f>ADDRESS(C121,1,1,1)</f>
        <v>$A$501</v>
      </c>
      <c r="D112" s="1" t="str">
        <f>ADDRESS(C121,D121-1,1,1)</f>
        <v>$SA$501</v>
      </c>
      <c r="E112"/>
    </row>
    <row r="113" spans="1:5" x14ac:dyDescent="0.25">
      <c r="A113" s="7">
        <v>11925.63231165762</v>
      </c>
      <c r="C113" s="1" t="str">
        <f>ADDRESS(C121+1,1,1,1)</f>
        <v>$A$502</v>
      </c>
      <c r="D113" s="1" t="str">
        <f>ADDRESS(C121-1,D121+1,1,1)</f>
        <v>$SC$500</v>
      </c>
    </row>
    <row r="114" spans="1:5" x14ac:dyDescent="0.25">
      <c r="A114" s="7">
        <v>11691.796383978059</v>
      </c>
      <c r="C114" s="1" t="str">
        <f>ADDRESS(C121,D121,1,1)</f>
        <v>$SB$501</v>
      </c>
      <c r="D114" s="1" t="str">
        <f>ADDRESS(C121+1,D121+1,1,1)</f>
        <v>$SC$502</v>
      </c>
    </row>
    <row r="115" spans="1:5" x14ac:dyDescent="0.25">
      <c r="A115" s="7">
        <v>11462.545474488292</v>
      </c>
      <c r="C115" s="1" t="str">
        <f>ADDRESS(C121+1,D121,1,1)</f>
        <v>$SB$502</v>
      </c>
    </row>
    <row r="116" spans="1:5" x14ac:dyDescent="0.25">
      <c r="A116" s="7">
        <v>11237.789680870874</v>
      </c>
      <c r="C116" s="1">
        <f>C117-1</f>
        <v>500</v>
      </c>
    </row>
    <row r="117" spans="1:5" x14ac:dyDescent="0.25">
      <c r="A117" s="7">
        <v>11017.440863598895</v>
      </c>
      <c r="C117" s="1">
        <f>C121</f>
        <v>501</v>
      </c>
      <c r="D117" s="1">
        <f>D121</f>
        <v>496</v>
      </c>
    </row>
    <row r="118" spans="1:5" x14ac:dyDescent="0.25">
      <c r="A118" s="7">
        <v>10801.412611371465</v>
      </c>
      <c r="C118" s="1">
        <f>C117+1</f>
        <v>502</v>
      </c>
      <c r="D118" s="1">
        <f>D117+1</f>
        <v>497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501</v>
      </c>
      <c r="D121" s="19">
        <v>496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R501</v>
      </c>
      <c r="D123" s="1" t="str">
        <f>"C"&amp;D121</f>
        <v>C496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5.4905363550039512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372" x14ac:dyDescent="0.25">
      <c r="A401" s="7">
        <v>39.776992891402749</v>
      </c>
      <c r="B401"/>
      <c r="C401"/>
      <c r="D401"/>
      <c r="E401"/>
    </row>
    <row r="402" spans="1:372" x14ac:dyDescent="0.25">
      <c r="A402" s="7">
        <v>38.997051854316418</v>
      </c>
      <c r="B402"/>
      <c r="C402"/>
      <c r="D402"/>
      <c r="E402"/>
    </row>
    <row r="403" spans="1:372" x14ac:dyDescent="0.25">
      <c r="A403" s="7">
        <v>38.232403778741585</v>
      </c>
      <c r="B403"/>
      <c r="C403"/>
      <c r="D403"/>
      <c r="E403"/>
    </row>
    <row r="404" spans="1:372" x14ac:dyDescent="0.25">
      <c r="A404" s="7">
        <v>37.48274880268783</v>
      </c>
      <c r="B404"/>
      <c r="C404"/>
      <c r="D404"/>
      <c r="E404"/>
    </row>
    <row r="405" spans="1:372" x14ac:dyDescent="0.25">
      <c r="A405" s="7">
        <v>36.747792943811596</v>
      </c>
      <c r="B405"/>
      <c r="C405"/>
      <c r="D405"/>
      <c r="E405"/>
    </row>
    <row r="406" spans="1:372" x14ac:dyDescent="0.25">
      <c r="A406" s="7">
        <v>36.027247984129012</v>
      </c>
      <c r="B406"/>
      <c r="C406"/>
      <c r="D406"/>
      <c r="E406"/>
    </row>
    <row r="407" spans="1:372" x14ac:dyDescent="0.25">
      <c r="A407" s="7">
        <v>35.320831356989224</v>
      </c>
      <c r="B407"/>
      <c r="C407"/>
      <c r="D407"/>
      <c r="E407"/>
      <c r="NE407" s="27" t="s">
        <v>8</v>
      </c>
    </row>
    <row r="408" spans="1:372" x14ac:dyDescent="0.25">
      <c r="A408" s="7">
        <v>34.628266036263945</v>
      </c>
      <c r="B408"/>
      <c r="C408"/>
      <c r="D408"/>
      <c r="E408"/>
      <c r="NE408" s="27" t="s">
        <v>8</v>
      </c>
      <c r="NF408" s="27" t="s">
        <v>7</v>
      </c>
    </row>
    <row r="409" spans="1:372" x14ac:dyDescent="0.25">
      <c r="A409" s="7">
        <v>33.949280427709752</v>
      </c>
      <c r="B409"/>
      <c r="C409"/>
      <c r="D409"/>
      <c r="E409"/>
      <c r="NE409" s="27" t="s">
        <v>8</v>
      </c>
      <c r="NF409" s="27" t="s">
        <v>7</v>
      </c>
    </row>
    <row r="410" spans="1:372" x14ac:dyDescent="0.25">
      <c r="A410" s="7">
        <v>33.28360826246054</v>
      </c>
      <c r="B410"/>
      <c r="C410"/>
      <c r="D410"/>
      <c r="E410"/>
      <c r="NE410" s="27" t="s">
        <v>8</v>
      </c>
      <c r="NF410" s="27" t="s">
        <v>7</v>
      </c>
    </row>
    <row r="411" spans="1:372" x14ac:dyDescent="0.25">
      <c r="A411" s="7">
        <v>32.630988492608374</v>
      </c>
      <c r="B411"/>
      <c r="C411"/>
      <c r="D411"/>
      <c r="E411"/>
      <c r="NE411" s="27" t="s">
        <v>8</v>
      </c>
      <c r="NF411" s="27" t="s">
        <v>7</v>
      </c>
    </row>
    <row r="412" spans="1:372" x14ac:dyDescent="0.25">
      <c r="A412" s="7">
        <v>31.99116518883174</v>
      </c>
      <c r="B412"/>
      <c r="C412"/>
      <c r="D412"/>
      <c r="E412"/>
      <c r="NE412" s="27" t="s">
        <v>8</v>
      </c>
      <c r="NF412" s="27" t="s">
        <v>7</v>
      </c>
    </row>
    <row r="413" spans="1:372" x14ac:dyDescent="0.25">
      <c r="A413" s="7">
        <v>31.363887440031117</v>
      </c>
      <c r="B413"/>
      <c r="C413"/>
      <c r="D413"/>
      <c r="E413"/>
      <c r="NE413" s="27" t="s">
        <v>8</v>
      </c>
      <c r="NF413" s="27" t="s">
        <v>7</v>
      </c>
    </row>
    <row r="414" spans="1:372" x14ac:dyDescent="0.25">
      <c r="A414" s="7">
        <v>30.748909254932467</v>
      </c>
      <c r="B414"/>
      <c r="C414"/>
      <c r="D414"/>
      <c r="E414"/>
      <c r="NE414" s="27" t="s">
        <v>8</v>
      </c>
      <c r="NF414" s="27" t="s">
        <v>7</v>
      </c>
    </row>
    <row r="415" spans="1:372" x14ac:dyDescent="0.25">
      <c r="A415" s="7">
        <v>30.145989465620065</v>
      </c>
      <c r="B415"/>
      <c r="C415"/>
      <c r="D415"/>
      <c r="E415"/>
      <c r="NE415" s="27" t="s">
        <v>8</v>
      </c>
      <c r="NF415" s="27" t="s">
        <v>7</v>
      </c>
      <c r="NG415" s="27" t="s">
        <v>8</v>
      </c>
    </row>
    <row r="416" spans="1:372" x14ac:dyDescent="0.25">
      <c r="A416" s="7">
        <v>29.55489163296085</v>
      </c>
      <c r="B416"/>
      <c r="C416"/>
      <c r="D416"/>
      <c r="E416"/>
      <c r="NE416" s="27" t="s">
        <v>8</v>
      </c>
      <c r="NF416" s="27" t="s">
        <v>7</v>
      </c>
      <c r="NG416" s="27" t="s">
        <v>8</v>
      </c>
      <c r="NH416" s="27" t="s">
        <v>7</v>
      </c>
    </row>
    <row r="417" spans="1:376" x14ac:dyDescent="0.25">
      <c r="A417" s="7">
        <v>28.975383953883185</v>
      </c>
      <c r="B417"/>
      <c r="C417"/>
      <c r="D417"/>
      <c r="E417"/>
      <c r="NE417" s="27" t="s">
        <v>8</v>
      </c>
      <c r="NF417" s="27" t="s">
        <v>7</v>
      </c>
      <c r="NG417" s="27" t="s">
        <v>8</v>
      </c>
      <c r="NH417" s="27" t="s">
        <v>7</v>
      </c>
    </row>
    <row r="418" spans="1:376" x14ac:dyDescent="0.25">
      <c r="A418" s="7">
        <v>28.407239170473709</v>
      </c>
      <c r="B418"/>
      <c r="C418"/>
      <c r="D418"/>
      <c r="E418"/>
      <c r="NE418" s="27" t="s">
        <v>8</v>
      </c>
      <c r="NF418" s="27" t="s">
        <v>7</v>
      </c>
      <c r="NG418" s="27" t="s">
        <v>8</v>
      </c>
      <c r="NH418" s="27" t="s">
        <v>7</v>
      </c>
    </row>
    <row r="419" spans="1:376" x14ac:dyDescent="0.25">
      <c r="A419" s="7">
        <v>27.850234480856578</v>
      </c>
      <c r="B419"/>
      <c r="C419"/>
      <c r="D419"/>
      <c r="E419"/>
      <c r="NE419" s="27" t="s">
        <v>8</v>
      </c>
      <c r="NF419" s="27" t="s">
        <v>7</v>
      </c>
      <c r="NG419" s="27" t="s">
        <v>8</v>
      </c>
      <c r="NH419" s="27" t="s">
        <v>7</v>
      </c>
    </row>
    <row r="420" spans="1:376" x14ac:dyDescent="0.25">
      <c r="A420" s="7">
        <v>27.304151451820175</v>
      </c>
      <c r="B420"/>
      <c r="C420"/>
      <c r="D420"/>
      <c r="E420"/>
      <c r="NE420" s="27" t="s">
        <v>8</v>
      </c>
      <c r="NF420" s="27" t="s">
        <v>7</v>
      </c>
      <c r="NG420" s="27" t="s">
        <v>8</v>
      </c>
      <c r="NH420" s="27" t="s">
        <v>7</v>
      </c>
    </row>
    <row r="421" spans="1:376" x14ac:dyDescent="0.25">
      <c r="A421" s="7">
        <v>26.768775933157034</v>
      </c>
      <c r="B421"/>
      <c r="C421"/>
      <c r="D421"/>
      <c r="E421"/>
      <c r="NE421" s="27" t="s">
        <v>8</v>
      </c>
      <c r="NF421" s="27" t="s">
        <v>7</v>
      </c>
      <c r="NG421" s="27" t="s">
        <v>8</v>
      </c>
      <c r="NH421" s="27" t="s">
        <v>7</v>
      </c>
      <c r="NI421" s="27" t="s">
        <v>8</v>
      </c>
    </row>
    <row r="422" spans="1:376" x14ac:dyDescent="0.25">
      <c r="A422" s="7">
        <v>26.243897973683367</v>
      </c>
      <c r="B422"/>
      <c r="C422"/>
      <c r="D422"/>
      <c r="E422"/>
      <c r="NE422" s="27" t="s">
        <v>8</v>
      </c>
      <c r="NF422" s="27" t="s">
        <v>7</v>
      </c>
      <c r="NG422" s="27" t="s">
        <v>8</v>
      </c>
      <c r="NH422" s="27" t="s">
        <v>7</v>
      </c>
      <c r="NI422" s="27" t="s">
        <v>8</v>
      </c>
      <c r="NJ422" s="27" t="s">
        <v>7</v>
      </c>
    </row>
    <row r="423" spans="1:376" x14ac:dyDescent="0.25">
      <c r="A423" s="7">
        <v>25.729311738905263</v>
      </c>
      <c r="B423"/>
      <c r="C423"/>
      <c r="D423"/>
      <c r="E423"/>
      <c r="NE423" s="27" t="s">
        <v>8</v>
      </c>
      <c r="NF423" s="27" t="s">
        <v>7</v>
      </c>
      <c r="NG423" s="27" t="s">
        <v>8</v>
      </c>
      <c r="NH423" s="27" t="s">
        <v>7</v>
      </c>
      <c r="NI423" s="27" t="s">
        <v>8</v>
      </c>
      <c r="NJ423" s="27" t="s">
        <v>7</v>
      </c>
    </row>
    <row r="424" spans="1:376" x14ac:dyDescent="0.25">
      <c r="A424" s="7">
        <v>25.224815430299277</v>
      </c>
      <c r="B424"/>
      <c r="C424"/>
      <c r="D424"/>
      <c r="E424"/>
      <c r="NE424" s="27" t="s">
        <v>8</v>
      </c>
      <c r="NF424" s="27" t="s">
        <v>7</v>
      </c>
      <c r="NG424" s="27" t="s">
        <v>8</v>
      </c>
      <c r="NH424" s="27" t="s">
        <v>7</v>
      </c>
      <c r="NI424" s="27" t="s">
        <v>8</v>
      </c>
      <c r="NJ424" s="27" t="s">
        <v>7</v>
      </c>
    </row>
    <row r="425" spans="1:376" x14ac:dyDescent="0.25">
      <c r="A425" s="7">
        <v>24.73021120617576</v>
      </c>
      <c r="B425"/>
      <c r="C425"/>
      <c r="D425"/>
      <c r="E425"/>
      <c r="NE425" s="27" t="s">
        <v>8</v>
      </c>
      <c r="NF425" s="27" t="s">
        <v>7</v>
      </c>
      <c r="NG425" s="27" t="s">
        <v>8</v>
      </c>
      <c r="NH425" s="27" t="s">
        <v>7</v>
      </c>
      <c r="NI425" s="27" t="s">
        <v>8</v>
      </c>
      <c r="NJ425" s="27" t="s">
        <v>7</v>
      </c>
    </row>
    <row r="426" spans="1:376" x14ac:dyDescent="0.25">
      <c r="A426" s="7">
        <v>24.24530510409388</v>
      </c>
      <c r="B426"/>
      <c r="C426"/>
      <c r="D426"/>
      <c r="E426"/>
      <c r="NE426" s="27" t="s">
        <v>8</v>
      </c>
      <c r="NF426" s="27" t="s">
        <v>7</v>
      </c>
      <c r="NG426" s="27" t="s">
        <v>8</v>
      </c>
      <c r="NH426" s="27" t="s">
        <v>7</v>
      </c>
      <c r="NI426" s="27" t="s">
        <v>8</v>
      </c>
      <c r="NJ426" s="27" t="s">
        <v>7</v>
      </c>
    </row>
    <row r="427" spans="1:376" x14ac:dyDescent="0.25">
      <c r="A427" s="7">
        <v>23.769906964797922</v>
      </c>
      <c r="B427"/>
      <c r="C427"/>
      <c r="D427"/>
      <c r="E427"/>
      <c r="NE427" s="27" t="s">
        <v>8</v>
      </c>
      <c r="NF427" s="27" t="s">
        <v>7</v>
      </c>
      <c r="NH427" s="27" t="s">
        <v>7</v>
      </c>
      <c r="NI427" s="27" t="s">
        <v>8</v>
      </c>
      <c r="NJ427" s="27" t="s">
        <v>7</v>
      </c>
    </row>
    <row r="428" spans="1:376" x14ac:dyDescent="0.25">
      <c r="A428" s="7">
        <v>23.303830357645023</v>
      </c>
      <c r="B428"/>
      <c r="C428"/>
      <c r="D428"/>
      <c r="E428"/>
      <c r="NE428" s="27" t="s">
        <v>8</v>
      </c>
      <c r="NH428" s="27" t="s">
        <v>7</v>
      </c>
      <c r="NI428" s="27" t="s">
        <v>8</v>
      </c>
      <c r="NJ428" s="27" t="s">
        <v>7</v>
      </c>
    </row>
    <row r="429" spans="1:376" x14ac:dyDescent="0.25">
      <c r="A429" s="7">
        <v>22.84689250749512</v>
      </c>
      <c r="B429"/>
      <c r="C429"/>
      <c r="D429"/>
      <c r="E429"/>
      <c r="NE429" s="27" t="s">
        <v>8</v>
      </c>
      <c r="NH429" s="27" t="s">
        <v>7</v>
      </c>
      <c r="NI429" s="27" t="s">
        <v>8</v>
      </c>
      <c r="NJ429" s="27" t="s">
        <v>7</v>
      </c>
    </row>
    <row r="430" spans="1:376" x14ac:dyDescent="0.25">
      <c r="A430" s="7">
        <v>22.398914223034431</v>
      </c>
      <c r="B430"/>
      <c r="C430"/>
      <c r="D430"/>
      <c r="E430"/>
      <c r="NE430" s="27" t="s">
        <v>8</v>
      </c>
      <c r="NH430" s="27" t="s">
        <v>7</v>
      </c>
      <c r="NI430" s="27" t="s">
        <v>8</v>
      </c>
      <c r="NJ430" s="27" t="s">
        <v>7</v>
      </c>
      <c r="NK430" s="27" t="s">
        <v>8</v>
      </c>
    </row>
    <row r="431" spans="1:376" x14ac:dyDescent="0.25">
      <c r="A431" s="7">
        <v>21.959719826504344</v>
      </c>
      <c r="B431"/>
      <c r="C431"/>
      <c r="D431"/>
      <c r="E431"/>
      <c r="NE431" s="27" t="s">
        <v>8</v>
      </c>
      <c r="NH431" s="27" t="s">
        <v>7</v>
      </c>
      <c r="NI431" s="27" t="s">
        <v>8</v>
      </c>
      <c r="NJ431" s="27" t="s">
        <v>7</v>
      </c>
      <c r="NK431" s="27" t="s">
        <v>8</v>
      </c>
      <c r="NL431" s="27" t="s">
        <v>7</v>
      </c>
    </row>
    <row r="432" spans="1:376" x14ac:dyDescent="0.25">
      <c r="A432" s="7">
        <v>21.52913708480818</v>
      </c>
      <c r="B432"/>
      <c r="C432"/>
      <c r="D432"/>
      <c r="E432"/>
      <c r="NE432" s="27" t="s">
        <v>8</v>
      </c>
      <c r="NH432" s="27" t="s">
        <v>7</v>
      </c>
      <c r="NJ432" s="27" t="s">
        <v>7</v>
      </c>
      <c r="NK432" s="27" t="s">
        <v>8</v>
      </c>
      <c r="NL432" s="27" t="s">
        <v>7</v>
      </c>
    </row>
    <row r="433" spans="1:474" x14ac:dyDescent="0.25">
      <c r="A433" s="7">
        <v>21.106997141968804</v>
      </c>
      <c r="B433"/>
      <c r="C433"/>
      <c r="D433"/>
      <c r="E433"/>
      <c r="NE433" s="27" t="s">
        <v>8</v>
      </c>
      <c r="NJ433" s="27" t="s">
        <v>7</v>
      </c>
      <c r="NK433" s="27" t="s">
        <v>8</v>
      </c>
      <c r="NL433" s="27" t="s">
        <v>7</v>
      </c>
    </row>
    <row r="434" spans="1:474" x14ac:dyDescent="0.25">
      <c r="A434" s="7">
        <v>20.693134452910591</v>
      </c>
      <c r="B434"/>
      <c r="C434"/>
      <c r="D434"/>
      <c r="E434"/>
      <c r="MW434" s="27" t="s">
        <v>8</v>
      </c>
      <c r="NE434" s="27" t="s">
        <v>8</v>
      </c>
      <c r="NJ434" s="27" t="s">
        <v>7</v>
      </c>
      <c r="NK434" s="27" t="s">
        <v>8</v>
      </c>
      <c r="NL434" s="27" t="s">
        <v>7</v>
      </c>
    </row>
    <row r="435" spans="1:474" x14ac:dyDescent="0.25">
      <c r="A435" s="7">
        <v>20.287386718539796</v>
      </c>
      <c r="B435"/>
      <c r="C435"/>
      <c r="D435"/>
      <c r="E435"/>
      <c r="MW435" s="27" t="s">
        <v>8</v>
      </c>
      <c r="MX435" s="27" t="s">
        <v>7</v>
      </c>
      <c r="NE435" s="27" t="s">
        <v>8</v>
      </c>
      <c r="NJ435" s="27" t="s">
        <v>7</v>
      </c>
      <c r="NK435" s="27" t="s">
        <v>8</v>
      </c>
      <c r="NL435" s="27" t="s">
        <v>7</v>
      </c>
    </row>
    <row r="436" spans="1:474" x14ac:dyDescent="0.25">
      <c r="A436" s="7">
        <v>19.889594822097838</v>
      </c>
      <c r="B436"/>
      <c r="C436"/>
      <c r="D436"/>
      <c r="E436"/>
      <c r="MW436" s="27" t="s">
        <v>8</v>
      </c>
      <c r="MX436" s="27" t="s">
        <v>7</v>
      </c>
      <c r="NE436" s="27" t="s">
        <v>8</v>
      </c>
      <c r="NJ436" s="27" t="s">
        <v>7</v>
      </c>
      <c r="NK436" s="27" t="s">
        <v>8</v>
      </c>
      <c r="NL436" s="27" t="s">
        <v>7</v>
      </c>
    </row>
    <row r="437" spans="1:474" x14ac:dyDescent="0.25">
      <c r="A437" s="7">
        <v>19.499602766762585</v>
      </c>
      <c r="B437"/>
      <c r="C437"/>
      <c r="D437"/>
      <c r="E437"/>
      <c r="MU437" s="27" t="s">
        <v>8</v>
      </c>
      <c r="MW437" s="27" t="s">
        <v>8</v>
      </c>
      <c r="MX437" s="27" t="s">
        <v>7</v>
      </c>
      <c r="NE437" s="27" t="s">
        <v>8</v>
      </c>
      <c r="NJ437" s="27" t="s">
        <v>7</v>
      </c>
      <c r="NK437" s="27" t="s">
        <v>8</v>
      </c>
      <c r="NL437" s="27" t="s">
        <v>7</v>
      </c>
    </row>
    <row r="438" spans="1:474" x14ac:dyDescent="0.25">
      <c r="A438" s="7">
        <v>19.117257614473122</v>
      </c>
      <c r="B438"/>
      <c r="C438"/>
      <c r="D438"/>
      <c r="E438"/>
      <c r="MU438" s="27" t="s">
        <v>8</v>
      </c>
      <c r="MV438" s="27" t="s">
        <v>7</v>
      </c>
      <c r="MW438" s="27" t="s">
        <v>8</v>
      </c>
      <c r="MX438" s="27" t="s">
        <v>7</v>
      </c>
      <c r="NE438" s="27" t="s">
        <v>8</v>
      </c>
      <c r="NJ438" s="27" t="s">
        <v>7</v>
      </c>
      <c r="NK438" s="27" t="s">
        <v>8</v>
      </c>
      <c r="NL438" s="27" t="s">
        <v>7</v>
      </c>
      <c r="QM438" s="27" t="s">
        <v>8</v>
      </c>
    </row>
    <row r="439" spans="1:474" x14ac:dyDescent="0.25">
      <c r="A439" s="7">
        <v>18.74240942595404</v>
      </c>
      <c r="B439"/>
      <c r="C439"/>
      <c r="D439"/>
      <c r="E439"/>
      <c r="MU439" s="27" t="s">
        <v>8</v>
      </c>
      <c r="MV439" s="27" t="s">
        <v>7</v>
      </c>
      <c r="MW439" s="27" t="s">
        <v>8</v>
      </c>
      <c r="MX439" s="27" t="s">
        <v>7</v>
      </c>
      <c r="NE439" s="27" t="s">
        <v>8</v>
      </c>
      <c r="NJ439" s="27" t="s">
        <v>7</v>
      </c>
      <c r="NL439" s="27" t="s">
        <v>7</v>
      </c>
      <c r="QM439" s="27" t="s">
        <v>8</v>
      </c>
      <c r="QN439" s="27" t="s">
        <v>7</v>
      </c>
    </row>
    <row r="440" spans="1:474" x14ac:dyDescent="0.25">
      <c r="A440" s="7">
        <v>18.374911201915726</v>
      </c>
      <c r="B440"/>
      <c r="C440"/>
      <c r="D440"/>
      <c r="E440"/>
      <c r="MU440" s="27" t="s">
        <v>8</v>
      </c>
      <c r="MV440" s="27" t="s">
        <v>7</v>
      </c>
      <c r="MW440" s="27" t="s">
        <v>8</v>
      </c>
      <c r="MX440" s="27" t="s">
        <v>7</v>
      </c>
      <c r="NE440" s="27" t="s">
        <v>8</v>
      </c>
      <c r="NL440" s="27" t="s">
        <v>7</v>
      </c>
      <c r="NM440" s="27" t="s">
        <v>8</v>
      </c>
      <c r="QM440" s="27" t="s">
        <v>8</v>
      </c>
      <c r="QN440" s="27" t="s">
        <v>7</v>
      </c>
      <c r="QS440" s="27" t="s">
        <v>8</v>
      </c>
    </row>
    <row r="441" spans="1:474" x14ac:dyDescent="0.25">
      <c r="A441" s="7">
        <v>18.014618825407574</v>
      </c>
      <c r="B441"/>
      <c r="C441"/>
      <c r="D441"/>
      <c r="E441"/>
      <c r="MU441" s="27" t="s">
        <v>8</v>
      </c>
      <c r="MV441" s="27" t="s">
        <v>7</v>
      </c>
      <c r="MW441" s="27" t="s">
        <v>8</v>
      </c>
      <c r="MX441" s="27" t="s">
        <v>7</v>
      </c>
      <c r="NE441" s="27" t="s">
        <v>8</v>
      </c>
      <c r="NL441" s="27" t="s">
        <v>7</v>
      </c>
      <c r="NM441" s="27" t="s">
        <v>8</v>
      </c>
      <c r="NN441" s="27" t="s">
        <v>7</v>
      </c>
      <c r="QM441" s="27" t="s">
        <v>8</v>
      </c>
      <c r="QN441" s="27" t="s">
        <v>7</v>
      </c>
      <c r="QS441" s="27" t="s">
        <v>8</v>
      </c>
      <c r="QT441" s="27" t="s">
        <v>7</v>
      </c>
      <c r="QW441" s="27" t="s">
        <v>8</v>
      </c>
    </row>
    <row r="442" spans="1:474" x14ac:dyDescent="0.25">
      <c r="A442" s="7">
        <v>17.661391005301542</v>
      </c>
      <c r="B442"/>
      <c r="C442"/>
      <c r="D442"/>
      <c r="E442"/>
      <c r="MQ442" s="27" t="s">
        <v>8</v>
      </c>
      <c r="MU442" s="27" t="s">
        <v>8</v>
      </c>
      <c r="MV442" s="27" t="s">
        <v>7</v>
      </c>
      <c r="MW442" s="27" t="s">
        <v>8</v>
      </c>
      <c r="MX442" s="27" t="s">
        <v>7</v>
      </c>
      <c r="NE442" s="27" t="s">
        <v>8</v>
      </c>
      <c r="NL442" s="27" t="s">
        <v>7</v>
      </c>
      <c r="NM442" s="27" t="s">
        <v>8</v>
      </c>
      <c r="NN442" s="27" t="s">
        <v>7</v>
      </c>
      <c r="QM442" s="27" t="s">
        <v>8</v>
      </c>
      <c r="QN442" s="27" t="s">
        <v>7</v>
      </c>
      <c r="QQ442" s="27" t="s">
        <v>8</v>
      </c>
      <c r="QS442" s="27" t="s">
        <v>8</v>
      </c>
      <c r="QT442" s="27" t="s">
        <v>7</v>
      </c>
      <c r="QW442" s="27" t="s">
        <v>8</v>
      </c>
      <c r="QX442" s="27" t="s">
        <v>7</v>
      </c>
    </row>
    <row r="443" spans="1:474" x14ac:dyDescent="0.25">
      <c r="A443" s="7">
        <v>17.315089220883866</v>
      </c>
      <c r="B443"/>
      <c r="C443"/>
      <c r="D443"/>
      <c r="E443"/>
      <c r="MQ443" s="27" t="s">
        <v>8</v>
      </c>
      <c r="MR443" s="27" t="s">
        <v>7</v>
      </c>
      <c r="MU443" s="27" t="s">
        <v>8</v>
      </c>
      <c r="MV443" s="27" t="s">
        <v>7</v>
      </c>
      <c r="MW443" s="27" t="s">
        <v>8</v>
      </c>
      <c r="MX443" s="27" t="s">
        <v>7</v>
      </c>
      <c r="NE443" s="27" t="s">
        <v>8</v>
      </c>
      <c r="NL443" s="27" t="s">
        <v>7</v>
      </c>
      <c r="NM443" s="27" t="s">
        <v>8</v>
      </c>
      <c r="NN443" s="27" t="s">
        <v>7</v>
      </c>
      <c r="QM443" s="27" t="s">
        <v>8</v>
      </c>
      <c r="QN443" s="27" t="s">
        <v>7</v>
      </c>
      <c r="QQ443" s="27" t="s">
        <v>8</v>
      </c>
      <c r="QR443" s="27" t="s">
        <v>7</v>
      </c>
      <c r="QS443" s="27" t="s">
        <v>8</v>
      </c>
      <c r="QT443" s="27" t="s">
        <v>7</v>
      </c>
      <c r="QW443" s="27" t="s">
        <v>8</v>
      </c>
      <c r="QX443" s="27" t="s">
        <v>7</v>
      </c>
      <c r="RE443" s="27" t="s">
        <v>8</v>
      </c>
    </row>
    <row r="444" spans="1:474" x14ac:dyDescent="0.25">
      <c r="A444" s="7">
        <v>16.975577667533202</v>
      </c>
      <c r="B444"/>
      <c r="C444"/>
      <c r="D444"/>
      <c r="E444"/>
      <c r="MQ444" s="27" t="s">
        <v>8</v>
      </c>
      <c r="MR444" s="27" t="s">
        <v>7</v>
      </c>
      <c r="MU444" s="27" t="s">
        <v>8</v>
      </c>
      <c r="MV444" s="27" t="s">
        <v>7</v>
      </c>
      <c r="MW444" s="27" t="s">
        <v>8</v>
      </c>
      <c r="MX444" s="27" t="s">
        <v>7</v>
      </c>
      <c r="NE444" s="27" t="s">
        <v>8</v>
      </c>
      <c r="NL444" s="27" t="s">
        <v>7</v>
      </c>
      <c r="NM444" s="27" t="s">
        <v>8</v>
      </c>
      <c r="NN444" s="27" t="s">
        <v>7</v>
      </c>
      <c r="PO444" s="27" t="s">
        <v>8</v>
      </c>
      <c r="QM444" s="27" t="s">
        <v>8</v>
      </c>
      <c r="QN444" s="27" t="s">
        <v>7</v>
      </c>
      <c r="QQ444" s="27" t="s">
        <v>8</v>
      </c>
      <c r="QR444" s="27" t="s">
        <v>7</v>
      </c>
      <c r="QS444" s="27" t="s">
        <v>8</v>
      </c>
      <c r="QT444" s="27" t="s">
        <v>7</v>
      </c>
      <c r="QW444" s="27" t="s">
        <v>8</v>
      </c>
      <c r="QX444" s="27" t="s">
        <v>7</v>
      </c>
      <c r="RC444" s="27" t="s">
        <v>8</v>
      </c>
      <c r="RE444" s="27" t="s">
        <v>8</v>
      </c>
      <c r="RF444" s="27" t="s">
        <v>7</v>
      </c>
    </row>
    <row r="445" spans="1:474" x14ac:dyDescent="0.25">
      <c r="A445" s="7">
        <v>16.642723203463923</v>
      </c>
      <c r="B445"/>
      <c r="C445"/>
      <c r="D445"/>
      <c r="E445"/>
      <c r="MQ445" s="27" t="s">
        <v>8</v>
      </c>
      <c r="MR445" s="27" t="s">
        <v>7</v>
      </c>
      <c r="MS445" s="27" t="s">
        <v>8</v>
      </c>
      <c r="MU445" s="27" t="s">
        <v>8</v>
      </c>
      <c r="MV445" s="27" t="s">
        <v>7</v>
      </c>
      <c r="MW445" s="27" t="s">
        <v>8</v>
      </c>
      <c r="MX445" s="27" t="s">
        <v>7</v>
      </c>
      <c r="NE445" s="27" t="s">
        <v>8</v>
      </c>
      <c r="NL445" s="27" t="s">
        <v>7</v>
      </c>
      <c r="NM445" s="27" t="s">
        <v>8</v>
      </c>
      <c r="NN445" s="27" t="s">
        <v>7</v>
      </c>
      <c r="PO445" s="27" t="s">
        <v>8</v>
      </c>
      <c r="PP445" s="27" t="s">
        <v>7</v>
      </c>
      <c r="QM445" s="27" t="s">
        <v>8</v>
      </c>
      <c r="QN445" s="27" t="s">
        <v>7</v>
      </c>
      <c r="QO445" s="27" t="s">
        <v>8</v>
      </c>
      <c r="QQ445" s="27" t="s">
        <v>8</v>
      </c>
      <c r="QR445" s="27" t="s">
        <v>7</v>
      </c>
      <c r="QS445" s="27" t="s">
        <v>8</v>
      </c>
      <c r="QT445" s="27" t="s">
        <v>7</v>
      </c>
      <c r="QW445" s="27" t="s">
        <v>8</v>
      </c>
      <c r="QX445" s="27" t="s">
        <v>7</v>
      </c>
      <c r="RC445" s="27" t="s">
        <v>8</v>
      </c>
      <c r="RD445" s="27" t="s">
        <v>7</v>
      </c>
      <c r="RE445" s="27" t="s">
        <v>8</v>
      </c>
      <c r="RF445" s="27" t="s">
        <v>7</v>
      </c>
    </row>
    <row r="446" spans="1:474" x14ac:dyDescent="0.25">
      <c r="A446" s="7">
        <v>16.316395297513651</v>
      </c>
      <c r="B446"/>
      <c r="C446"/>
      <c r="D446"/>
      <c r="E446"/>
      <c r="MQ446" s="27" t="s">
        <v>8</v>
      </c>
      <c r="MR446" s="27" t="s">
        <v>7</v>
      </c>
      <c r="MS446" s="27" t="s">
        <v>8</v>
      </c>
      <c r="MT446" s="27" t="s">
        <v>7</v>
      </c>
      <c r="MU446" s="27" t="s">
        <v>8</v>
      </c>
      <c r="MV446" s="27" t="s">
        <v>7</v>
      </c>
      <c r="MW446" s="27" t="s">
        <v>8</v>
      </c>
      <c r="MX446" s="27" t="s">
        <v>7</v>
      </c>
      <c r="NE446" s="27" t="s">
        <v>8</v>
      </c>
      <c r="NL446" s="27" t="s">
        <v>7</v>
      </c>
      <c r="NN446" s="27" t="s">
        <v>7</v>
      </c>
      <c r="PO446" s="27" t="s">
        <v>8</v>
      </c>
      <c r="PP446" s="27" t="s">
        <v>7</v>
      </c>
      <c r="QM446" s="27" t="s">
        <v>8</v>
      </c>
      <c r="QN446" s="27" t="s">
        <v>7</v>
      </c>
      <c r="QO446" s="27" t="s">
        <v>8</v>
      </c>
      <c r="QP446" s="27" t="s">
        <v>7</v>
      </c>
      <c r="QQ446" s="27" t="s">
        <v>8</v>
      </c>
      <c r="QR446" s="27" t="s">
        <v>7</v>
      </c>
      <c r="QS446" s="27" t="s">
        <v>8</v>
      </c>
      <c r="QT446" s="27" t="s">
        <v>7</v>
      </c>
      <c r="QU446" s="27" t="s">
        <v>8</v>
      </c>
      <c r="QW446" s="27" t="s">
        <v>8</v>
      </c>
      <c r="QX446" s="27" t="s">
        <v>7</v>
      </c>
      <c r="RC446" s="27" t="s">
        <v>8</v>
      </c>
      <c r="RD446" s="27" t="s">
        <v>7</v>
      </c>
      <c r="RE446" s="27" t="s">
        <v>8</v>
      </c>
      <c r="RF446" s="27" t="s">
        <v>7</v>
      </c>
    </row>
    <row r="447" spans="1:474" x14ac:dyDescent="0.25">
      <c r="A447" s="7">
        <v>15.996465977954561</v>
      </c>
      <c r="B447"/>
      <c r="C447"/>
      <c r="D447"/>
      <c r="E447"/>
      <c r="MQ447" s="27" t="s">
        <v>8</v>
      </c>
      <c r="MR447" s="27" t="s">
        <v>7</v>
      </c>
      <c r="MS447" s="27" t="s">
        <v>8</v>
      </c>
      <c r="MT447" s="27" t="s">
        <v>7</v>
      </c>
      <c r="MU447" s="27" t="s">
        <v>8</v>
      </c>
      <c r="MV447" s="27" t="s">
        <v>7</v>
      </c>
      <c r="MW447" s="27" t="s">
        <v>8</v>
      </c>
      <c r="MX447" s="27" t="s">
        <v>7</v>
      </c>
      <c r="NC447" s="27" t="s">
        <v>8</v>
      </c>
      <c r="NE447" s="27" t="s">
        <v>8</v>
      </c>
      <c r="NN447" s="27" t="s">
        <v>7</v>
      </c>
      <c r="PO447" s="27" t="s">
        <v>8</v>
      </c>
      <c r="PP447" s="27" t="s">
        <v>7</v>
      </c>
      <c r="QM447" s="27" t="s">
        <v>8</v>
      </c>
      <c r="QN447" s="27" t="s">
        <v>7</v>
      </c>
      <c r="QO447" s="27" t="s">
        <v>8</v>
      </c>
      <c r="QP447" s="27" t="s">
        <v>7</v>
      </c>
      <c r="QQ447" s="27" t="s">
        <v>8</v>
      </c>
      <c r="QR447" s="27" t="s">
        <v>7</v>
      </c>
      <c r="QT447" s="27" t="s">
        <v>7</v>
      </c>
      <c r="QU447" s="27" t="s">
        <v>8</v>
      </c>
      <c r="QV447" s="27" t="s">
        <v>7</v>
      </c>
      <c r="QW447" s="27" t="s">
        <v>8</v>
      </c>
      <c r="QX447" s="27" t="s">
        <v>7</v>
      </c>
      <c r="RA447" s="27" t="s">
        <v>8</v>
      </c>
      <c r="RC447" s="27" t="s">
        <v>8</v>
      </c>
      <c r="RD447" s="27" t="s">
        <v>7</v>
      </c>
      <c r="RE447" s="27" t="s">
        <v>8</v>
      </c>
      <c r="RF447" s="27" t="s">
        <v>7</v>
      </c>
    </row>
    <row r="448" spans="1:474" x14ac:dyDescent="0.25">
      <c r="A448" s="7">
        <v>15.682809782308393</v>
      </c>
      <c r="B448"/>
      <c r="C448"/>
      <c r="D448"/>
      <c r="E448"/>
      <c r="MQ448" s="27" t="s">
        <v>8</v>
      </c>
      <c r="MR448" s="27" t="s">
        <v>7</v>
      </c>
      <c r="MS448" s="27" t="s">
        <v>8</v>
      </c>
      <c r="MT448" s="27" t="s">
        <v>7</v>
      </c>
      <c r="MU448" s="27" t="s">
        <v>8</v>
      </c>
      <c r="MV448" s="27" t="s">
        <v>7</v>
      </c>
      <c r="MW448" s="27" t="s">
        <v>8</v>
      </c>
      <c r="MX448" s="27" t="s">
        <v>7</v>
      </c>
      <c r="NC448" s="27" t="s">
        <v>8</v>
      </c>
      <c r="ND448" s="27" t="s">
        <v>7</v>
      </c>
      <c r="NE448" s="27" t="s">
        <v>8</v>
      </c>
      <c r="NN448" s="27" t="s">
        <v>7</v>
      </c>
      <c r="PO448" s="27" t="s">
        <v>8</v>
      </c>
      <c r="PP448" s="27" t="s">
        <v>7</v>
      </c>
      <c r="QM448" s="27" t="s">
        <v>8</v>
      </c>
      <c r="QN448" s="27" t="s">
        <v>7</v>
      </c>
      <c r="QO448" s="27" t="s">
        <v>8</v>
      </c>
      <c r="QP448" s="27" t="s">
        <v>7</v>
      </c>
      <c r="QT448" s="27" t="s">
        <v>7</v>
      </c>
      <c r="QU448" s="27" t="s">
        <v>8</v>
      </c>
      <c r="QV448" s="27" t="s">
        <v>7</v>
      </c>
      <c r="QW448" s="27" t="s">
        <v>8</v>
      </c>
      <c r="QX448" s="27" t="s">
        <v>7</v>
      </c>
      <c r="RA448" s="27" t="s">
        <v>8</v>
      </c>
      <c r="RB448" s="27" t="s">
        <v>7</v>
      </c>
      <c r="RC448" s="27" t="s">
        <v>8</v>
      </c>
      <c r="RD448" s="27" t="s">
        <v>7</v>
      </c>
      <c r="RE448" s="27" t="s">
        <v>8</v>
      </c>
      <c r="RF448" s="27" t="s">
        <v>7</v>
      </c>
    </row>
    <row r="449" spans="1:478" x14ac:dyDescent="0.25">
      <c r="A449" s="7">
        <v>15.375303708145482</v>
      </c>
      <c r="B449"/>
      <c r="C449"/>
      <c r="D449"/>
      <c r="E449"/>
      <c r="MQ449" s="27" t="s">
        <v>8</v>
      </c>
      <c r="MR449" s="27" t="s">
        <v>7</v>
      </c>
      <c r="MS449" s="27" t="s">
        <v>8</v>
      </c>
      <c r="MT449" s="27" t="s">
        <v>7</v>
      </c>
      <c r="MU449" s="27" t="s">
        <v>8</v>
      </c>
      <c r="MV449" s="27" t="s">
        <v>7</v>
      </c>
      <c r="MW449" s="27" t="s">
        <v>8</v>
      </c>
      <c r="MX449" s="27" t="s">
        <v>7</v>
      </c>
      <c r="NA449" s="27" t="s">
        <v>8</v>
      </c>
      <c r="NC449" s="27" t="s">
        <v>8</v>
      </c>
      <c r="ND449" s="27" t="s">
        <v>7</v>
      </c>
      <c r="NE449" s="27" t="s">
        <v>8</v>
      </c>
      <c r="NN449" s="27" t="s">
        <v>7</v>
      </c>
      <c r="PO449" s="27" t="s">
        <v>8</v>
      </c>
      <c r="PP449" s="27" t="s">
        <v>7</v>
      </c>
      <c r="QM449" s="27" t="s">
        <v>8</v>
      </c>
      <c r="QN449" s="27" t="s">
        <v>7</v>
      </c>
      <c r="QT449" s="27" t="s">
        <v>7</v>
      </c>
      <c r="QV449" s="27" t="s">
        <v>7</v>
      </c>
      <c r="QX449" s="27" t="s">
        <v>7</v>
      </c>
      <c r="QY449" s="27" t="s">
        <v>8</v>
      </c>
      <c r="RA449" s="27" t="s">
        <v>8</v>
      </c>
      <c r="RB449" s="27" t="s">
        <v>7</v>
      </c>
      <c r="RC449" s="27" t="s">
        <v>8</v>
      </c>
      <c r="RD449" s="27" t="s">
        <v>7</v>
      </c>
      <c r="RE449" s="27" t="s">
        <v>8</v>
      </c>
      <c r="RF449" s="27" t="s">
        <v>7</v>
      </c>
    </row>
    <row r="450" spans="1:478" x14ac:dyDescent="0.25">
      <c r="A450" s="7">
        <v>15.073827164848511</v>
      </c>
      <c r="B450"/>
      <c r="C450"/>
      <c r="D450"/>
      <c r="E450"/>
      <c r="MQ450" s="27" t="s">
        <v>8</v>
      </c>
      <c r="MR450" s="27" t="s">
        <v>7</v>
      </c>
      <c r="MS450" s="27" t="s">
        <v>8</v>
      </c>
      <c r="MT450" s="27" t="s">
        <v>7</v>
      </c>
      <c r="MU450" s="27" t="s">
        <v>8</v>
      </c>
      <c r="MV450" s="27" t="s">
        <v>7</v>
      </c>
      <c r="MW450" s="27" t="s">
        <v>8</v>
      </c>
      <c r="MX450" s="27" t="s">
        <v>7</v>
      </c>
      <c r="NA450" s="27" t="s">
        <v>8</v>
      </c>
      <c r="NB450" s="27" t="s">
        <v>7</v>
      </c>
      <c r="NC450" s="27" t="s">
        <v>8</v>
      </c>
      <c r="ND450" s="27" t="s">
        <v>7</v>
      </c>
      <c r="NE450" s="27" t="s">
        <v>8</v>
      </c>
      <c r="NN450" s="27" t="s">
        <v>7</v>
      </c>
      <c r="PE450" s="27" t="s">
        <v>8</v>
      </c>
      <c r="PO450" s="27" t="s">
        <v>8</v>
      </c>
      <c r="PP450" s="27" t="s">
        <v>7</v>
      </c>
      <c r="QM450" s="27" t="s">
        <v>8</v>
      </c>
      <c r="QX450" s="27" t="s">
        <v>7</v>
      </c>
      <c r="QY450" s="27" t="s">
        <v>8</v>
      </c>
      <c r="QZ450" s="27" t="s">
        <v>7</v>
      </c>
      <c r="RA450" s="27" t="s">
        <v>8</v>
      </c>
      <c r="RB450" s="27" t="s">
        <v>7</v>
      </c>
      <c r="RC450" s="27" t="s">
        <v>8</v>
      </c>
      <c r="RD450" s="27" t="s">
        <v>7</v>
      </c>
      <c r="RE450" s="27" t="s">
        <v>8</v>
      </c>
      <c r="RF450" s="27" t="s">
        <v>7</v>
      </c>
    </row>
    <row r="451" spans="1:478" x14ac:dyDescent="0.25">
      <c r="A451" s="7">
        <v>14.77826192632207</v>
      </c>
      <c r="B451"/>
      <c r="C451"/>
      <c r="D451"/>
      <c r="E451"/>
      <c r="MQ451" s="27" t="s">
        <v>8</v>
      </c>
      <c r="MR451" s="27" t="s">
        <v>7</v>
      </c>
      <c r="MS451" s="27" t="s">
        <v>8</v>
      </c>
      <c r="MT451" s="27" t="s">
        <v>7</v>
      </c>
      <c r="MU451" s="27" t="s">
        <v>8</v>
      </c>
      <c r="MV451" s="27" t="s">
        <v>7</v>
      </c>
      <c r="MW451" s="27" t="s">
        <v>8</v>
      </c>
      <c r="MX451" s="27" t="s">
        <v>7</v>
      </c>
      <c r="NA451" s="27" t="s">
        <v>8</v>
      </c>
      <c r="NB451" s="27" t="s">
        <v>7</v>
      </c>
      <c r="NC451" s="27" t="s">
        <v>8</v>
      </c>
      <c r="ND451" s="27" t="s">
        <v>7</v>
      </c>
      <c r="NE451" s="27" t="s">
        <v>8</v>
      </c>
      <c r="NN451" s="27" t="s">
        <v>7</v>
      </c>
      <c r="NS451" s="27" t="s">
        <v>8</v>
      </c>
      <c r="PE451" s="27" t="s">
        <v>8</v>
      </c>
      <c r="PF451" s="27" t="s">
        <v>7</v>
      </c>
      <c r="PG451" s="27" t="s">
        <v>8</v>
      </c>
      <c r="PO451" s="27" t="s">
        <v>8</v>
      </c>
      <c r="PP451" s="27" t="s">
        <v>7</v>
      </c>
      <c r="QC451" s="27" t="s">
        <v>8</v>
      </c>
      <c r="QM451" s="27" t="s">
        <v>8</v>
      </c>
      <c r="QX451" s="27" t="s">
        <v>7</v>
      </c>
      <c r="QY451" s="27" t="s">
        <v>8</v>
      </c>
      <c r="QZ451" s="27" t="s">
        <v>7</v>
      </c>
      <c r="RA451" s="27" t="s">
        <v>8</v>
      </c>
      <c r="RB451" s="27" t="s">
        <v>7</v>
      </c>
      <c r="RC451" s="27" t="s">
        <v>8</v>
      </c>
      <c r="RD451" s="27" t="s">
        <v>7</v>
      </c>
      <c r="RE451" s="27" t="s">
        <v>8</v>
      </c>
      <c r="RF451" s="27" t="s">
        <v>7</v>
      </c>
    </row>
    <row r="452" spans="1:478" x14ac:dyDescent="0.25">
      <c r="A452" s="7">
        <v>14.488492084629481</v>
      </c>
      <c r="B452"/>
      <c r="C452"/>
      <c r="D452"/>
      <c r="E452"/>
      <c r="MQ452" s="27" t="s">
        <v>8</v>
      </c>
      <c r="MR452" s="27" t="s">
        <v>7</v>
      </c>
      <c r="MT452" s="27" t="s">
        <v>7</v>
      </c>
      <c r="MU452" s="27" t="s">
        <v>8</v>
      </c>
      <c r="MV452" s="27" t="s">
        <v>7</v>
      </c>
      <c r="MW452" s="27" t="s">
        <v>8</v>
      </c>
      <c r="MX452" s="27" t="s">
        <v>7</v>
      </c>
      <c r="NA452" s="27" t="s">
        <v>8</v>
      </c>
      <c r="NB452" s="27" t="s">
        <v>7</v>
      </c>
      <c r="NC452" s="27" t="s">
        <v>8</v>
      </c>
      <c r="ND452" s="27" t="s">
        <v>7</v>
      </c>
      <c r="NE452" s="27" t="s">
        <v>8</v>
      </c>
      <c r="NN452" s="27" t="s">
        <v>7</v>
      </c>
      <c r="NS452" s="27" t="s">
        <v>8</v>
      </c>
      <c r="NT452" s="27" t="s">
        <v>7</v>
      </c>
      <c r="PE452" s="27" t="s">
        <v>8</v>
      </c>
      <c r="PF452" s="27" t="s">
        <v>7</v>
      </c>
      <c r="PG452" s="27" t="s">
        <v>8</v>
      </c>
      <c r="PH452" s="27" t="s">
        <v>7</v>
      </c>
      <c r="PO452" s="27" t="s">
        <v>8</v>
      </c>
      <c r="PP452" s="27" t="s">
        <v>7</v>
      </c>
      <c r="QA452" s="27" t="s">
        <v>8</v>
      </c>
      <c r="QC452" s="27" t="s">
        <v>8</v>
      </c>
      <c r="QD452" s="27" t="s">
        <v>7</v>
      </c>
      <c r="QM452" s="27" t="s">
        <v>8</v>
      </c>
      <c r="QX452" s="27" t="s">
        <v>7</v>
      </c>
      <c r="QY452" s="27" t="s">
        <v>8</v>
      </c>
      <c r="QZ452" s="27" t="s">
        <v>7</v>
      </c>
      <c r="RA452" s="27" t="s">
        <v>8</v>
      </c>
      <c r="RB452" s="27" t="s">
        <v>7</v>
      </c>
      <c r="RC452" s="27" t="s">
        <v>8</v>
      </c>
      <c r="RD452" s="27" t="s">
        <v>7</v>
      </c>
      <c r="RE452" s="27" t="s">
        <v>8</v>
      </c>
      <c r="RF452" s="27" t="s">
        <v>7</v>
      </c>
    </row>
    <row r="453" spans="1:478" x14ac:dyDescent="0.25">
      <c r="A453" s="7">
        <v>14.204404004538707</v>
      </c>
      <c r="B453"/>
      <c r="C453"/>
      <c r="D453"/>
      <c r="E453"/>
      <c r="MQ453" s="27" t="s">
        <v>8</v>
      </c>
      <c r="MT453" s="27" t="s">
        <v>7</v>
      </c>
      <c r="MV453" s="27" t="s">
        <v>7</v>
      </c>
      <c r="MW453" s="27" t="s">
        <v>8</v>
      </c>
      <c r="MX453" s="27" t="s">
        <v>7</v>
      </c>
      <c r="NA453" s="27" t="s">
        <v>8</v>
      </c>
      <c r="NB453" s="27" t="s">
        <v>7</v>
      </c>
      <c r="NC453" s="27" t="s">
        <v>8</v>
      </c>
      <c r="ND453" s="27" t="s">
        <v>7</v>
      </c>
      <c r="NE453" s="27" t="s">
        <v>8</v>
      </c>
      <c r="NN453" s="27" t="s">
        <v>7</v>
      </c>
      <c r="NS453" s="27" t="s">
        <v>8</v>
      </c>
      <c r="NT453" s="27" t="s">
        <v>7</v>
      </c>
      <c r="PE453" s="27" t="s">
        <v>8</v>
      </c>
      <c r="PF453" s="27" t="s">
        <v>7</v>
      </c>
      <c r="PG453" s="27" t="s">
        <v>8</v>
      </c>
      <c r="PH453" s="27" t="s">
        <v>7</v>
      </c>
      <c r="PK453" s="27" t="s">
        <v>8</v>
      </c>
      <c r="PO453" s="27" t="s">
        <v>8</v>
      </c>
      <c r="PP453" s="27" t="s">
        <v>7</v>
      </c>
      <c r="PQ453" s="27" t="s">
        <v>8</v>
      </c>
      <c r="QA453" s="27" t="s">
        <v>8</v>
      </c>
      <c r="QB453" s="27" t="s">
        <v>7</v>
      </c>
      <c r="QC453" s="27" t="s">
        <v>8</v>
      </c>
      <c r="QD453" s="27" t="s">
        <v>7</v>
      </c>
      <c r="QM453" s="27" t="s">
        <v>8</v>
      </c>
      <c r="QX453" s="27" t="s">
        <v>7</v>
      </c>
      <c r="QZ453" s="27" t="s">
        <v>7</v>
      </c>
      <c r="RA453" s="27" t="s">
        <v>8</v>
      </c>
      <c r="RB453" s="27" t="s">
        <v>7</v>
      </c>
      <c r="RD453" s="27" t="s">
        <v>7</v>
      </c>
      <c r="RE453" s="27" t="s">
        <v>8</v>
      </c>
      <c r="RF453" s="27" t="s">
        <v>7</v>
      </c>
    </row>
    <row r="454" spans="1:478" x14ac:dyDescent="0.25">
      <c r="A454" s="7">
        <v>13.925886278959517</v>
      </c>
      <c r="B454"/>
      <c r="C454"/>
      <c r="D454"/>
      <c r="E454"/>
      <c r="MQ454" s="27" t="s">
        <v>8</v>
      </c>
      <c r="MV454" s="27" t="s">
        <v>7</v>
      </c>
      <c r="MW454" s="27" t="s">
        <v>8</v>
      </c>
      <c r="MX454" s="27" t="s">
        <v>7</v>
      </c>
      <c r="NA454" s="27" t="s">
        <v>8</v>
      </c>
      <c r="NB454" s="27" t="s">
        <v>7</v>
      </c>
      <c r="NC454" s="27" t="s">
        <v>8</v>
      </c>
      <c r="ND454" s="27" t="s">
        <v>7</v>
      </c>
      <c r="NE454" s="27" t="s">
        <v>8</v>
      </c>
      <c r="NN454" s="27" t="s">
        <v>7</v>
      </c>
      <c r="NO454" s="27" t="s">
        <v>8</v>
      </c>
      <c r="NS454" s="27" t="s">
        <v>8</v>
      </c>
      <c r="NT454" s="27" t="s">
        <v>7</v>
      </c>
      <c r="PE454" s="27" t="s">
        <v>8</v>
      </c>
      <c r="PF454" s="27" t="s">
        <v>7</v>
      </c>
      <c r="PG454" s="27" t="s">
        <v>8</v>
      </c>
      <c r="PH454" s="27" t="s">
        <v>7</v>
      </c>
      <c r="PK454" s="27" t="s">
        <v>8</v>
      </c>
      <c r="PL454" s="27" t="s">
        <v>7</v>
      </c>
      <c r="PO454" s="27" t="s">
        <v>8</v>
      </c>
      <c r="PP454" s="27" t="s">
        <v>7</v>
      </c>
      <c r="PQ454" s="27" t="s">
        <v>8</v>
      </c>
      <c r="PR454" s="27" t="s">
        <v>7</v>
      </c>
      <c r="QA454" s="27" t="s">
        <v>8</v>
      </c>
      <c r="QB454" s="27" t="s">
        <v>7</v>
      </c>
      <c r="QC454" s="27" t="s">
        <v>8</v>
      </c>
      <c r="QD454" s="27" t="s">
        <v>7</v>
      </c>
      <c r="QG454" s="27" t="s">
        <v>8</v>
      </c>
      <c r="QM454" s="27" t="s">
        <v>8</v>
      </c>
      <c r="QZ454" s="27" t="s">
        <v>7</v>
      </c>
      <c r="RA454" s="27" t="s">
        <v>8</v>
      </c>
      <c r="RD454" s="27" t="s">
        <v>7</v>
      </c>
      <c r="RF454" s="27" t="s">
        <v>7</v>
      </c>
    </row>
    <row r="455" spans="1:478" x14ac:dyDescent="0.25">
      <c r="A455" s="7">
        <v>13.652829685254428</v>
      </c>
      <c r="B455"/>
      <c r="C455"/>
      <c r="D455"/>
      <c r="E455"/>
      <c r="MQ455" s="27" t="s">
        <v>8</v>
      </c>
      <c r="MV455" s="27" t="s">
        <v>7</v>
      </c>
      <c r="MW455" s="27" t="s">
        <v>8</v>
      </c>
      <c r="MX455" s="27" t="s">
        <v>7</v>
      </c>
      <c r="NA455" s="27" t="s">
        <v>8</v>
      </c>
      <c r="NB455" s="27" t="s">
        <v>7</v>
      </c>
      <c r="ND455" s="27" t="s">
        <v>7</v>
      </c>
      <c r="NN455" s="27" t="s">
        <v>7</v>
      </c>
      <c r="NO455" s="27" t="s">
        <v>8</v>
      </c>
      <c r="NP455" s="27" t="s">
        <v>7</v>
      </c>
      <c r="NS455" s="27" t="s">
        <v>8</v>
      </c>
      <c r="NT455" s="27" t="s">
        <v>7</v>
      </c>
      <c r="PE455" s="27" t="s">
        <v>8</v>
      </c>
      <c r="PF455" s="27" t="s">
        <v>7</v>
      </c>
      <c r="PG455" s="27" t="s">
        <v>8</v>
      </c>
      <c r="PH455" s="27" t="s">
        <v>7</v>
      </c>
      <c r="PK455" s="27" t="s">
        <v>8</v>
      </c>
      <c r="PL455" s="27" t="s">
        <v>7</v>
      </c>
      <c r="PM455" s="27" t="s">
        <v>8</v>
      </c>
      <c r="PO455" s="27" t="s">
        <v>8</v>
      </c>
      <c r="PP455" s="27" t="s">
        <v>7</v>
      </c>
      <c r="PQ455" s="27" t="s">
        <v>8</v>
      </c>
      <c r="PR455" s="27" t="s">
        <v>7</v>
      </c>
      <c r="PS455" s="27" t="s">
        <v>8</v>
      </c>
      <c r="QA455" s="27" t="s">
        <v>8</v>
      </c>
      <c r="QB455" s="27" t="s">
        <v>7</v>
      </c>
      <c r="QC455" s="27" t="s">
        <v>8</v>
      </c>
      <c r="QD455" s="27" t="s">
        <v>7</v>
      </c>
      <c r="QG455" s="27" t="s">
        <v>8</v>
      </c>
      <c r="QH455" s="27" t="s">
        <v>7</v>
      </c>
      <c r="QI455" s="27" t="s">
        <v>8</v>
      </c>
      <c r="QK455" s="27" t="s">
        <v>8</v>
      </c>
      <c r="QM455" s="27" t="s">
        <v>8</v>
      </c>
      <c r="QZ455" s="27" t="s">
        <v>7</v>
      </c>
      <c r="RA455" s="27" t="s">
        <v>8</v>
      </c>
      <c r="RF455" s="27" t="s">
        <v>7</v>
      </c>
    </row>
    <row r="456" spans="1:478" x14ac:dyDescent="0.25">
      <c r="A456" s="7">
        <v>13.385127142406303</v>
      </c>
      <c r="B456"/>
      <c r="C456"/>
      <c r="D456"/>
      <c r="E456"/>
      <c r="MQ456" s="27" t="s">
        <v>8</v>
      </c>
      <c r="MV456" s="27" t="s">
        <v>7</v>
      </c>
      <c r="MW456" s="27" t="s">
        <v>8</v>
      </c>
      <c r="MX456" s="27" t="s">
        <v>7</v>
      </c>
      <c r="NA456" s="27" t="s">
        <v>8</v>
      </c>
      <c r="NN456" s="27" t="s">
        <v>7</v>
      </c>
      <c r="NO456" s="27" t="s">
        <v>8</v>
      </c>
      <c r="NP456" s="27" t="s">
        <v>7</v>
      </c>
      <c r="NS456" s="27" t="s">
        <v>8</v>
      </c>
      <c r="NT456" s="27" t="s">
        <v>7</v>
      </c>
      <c r="PE456" s="27" t="s">
        <v>8</v>
      </c>
      <c r="PF456" s="27" t="s">
        <v>7</v>
      </c>
      <c r="PG456" s="27" t="s">
        <v>8</v>
      </c>
      <c r="PH456" s="27" t="s">
        <v>7</v>
      </c>
      <c r="PI456" s="27" t="s">
        <v>8</v>
      </c>
      <c r="PK456" s="27" t="s">
        <v>8</v>
      </c>
      <c r="PL456" s="27" t="s">
        <v>7</v>
      </c>
      <c r="PM456" s="27" t="s">
        <v>8</v>
      </c>
      <c r="PN456" s="27" t="s">
        <v>7</v>
      </c>
      <c r="PO456" s="27" t="s">
        <v>8</v>
      </c>
      <c r="PP456" s="27" t="s">
        <v>7</v>
      </c>
      <c r="PQ456" s="27" t="s">
        <v>8</v>
      </c>
      <c r="PR456" s="27" t="s">
        <v>7</v>
      </c>
      <c r="PS456" s="27" t="s">
        <v>8</v>
      </c>
      <c r="PT456" s="27" t="s">
        <v>7</v>
      </c>
      <c r="QA456" s="27" t="s">
        <v>8</v>
      </c>
      <c r="QB456" s="27" t="s">
        <v>7</v>
      </c>
      <c r="QC456" s="27" t="s">
        <v>8</v>
      </c>
      <c r="QD456" s="27" t="s">
        <v>7</v>
      </c>
      <c r="QE456" s="27" t="s">
        <v>8</v>
      </c>
      <c r="QG456" s="27" t="s">
        <v>8</v>
      </c>
      <c r="QH456" s="27" t="s">
        <v>7</v>
      </c>
      <c r="QI456" s="27" t="s">
        <v>8</v>
      </c>
      <c r="QJ456" s="27" t="s">
        <v>7</v>
      </c>
      <c r="QK456" s="27" t="s">
        <v>8</v>
      </c>
      <c r="QL456" s="27" t="s">
        <v>7</v>
      </c>
      <c r="QM456" s="27" t="s">
        <v>8</v>
      </c>
      <c r="QZ456" s="27" t="s">
        <v>7</v>
      </c>
      <c r="RF456" s="27" t="s">
        <v>7</v>
      </c>
    </row>
    <row r="457" spans="1:478" x14ac:dyDescent="0.25">
      <c r="A457" s="7">
        <v>13.122673669025787</v>
      </c>
      <c r="B457"/>
      <c r="C457"/>
      <c r="D457"/>
      <c r="E457"/>
      <c r="MQ457" s="27" t="s">
        <v>8</v>
      </c>
      <c r="MV457" s="27" t="s">
        <v>7</v>
      </c>
      <c r="MW457" s="27" t="s">
        <v>8</v>
      </c>
      <c r="MX457" s="27" t="s">
        <v>7</v>
      </c>
      <c r="MY457" s="27" t="s">
        <v>8</v>
      </c>
      <c r="NA457" s="27" t="s">
        <v>8</v>
      </c>
      <c r="NN457" s="27" t="s">
        <v>7</v>
      </c>
      <c r="NO457" s="27" t="s">
        <v>8</v>
      </c>
      <c r="NP457" s="27" t="s">
        <v>7</v>
      </c>
      <c r="NS457" s="27" t="s">
        <v>8</v>
      </c>
      <c r="NT457" s="27" t="s">
        <v>7</v>
      </c>
      <c r="PE457" s="27" t="s">
        <v>8</v>
      </c>
      <c r="PF457" s="27" t="s">
        <v>7</v>
      </c>
      <c r="PH457" s="27" t="s">
        <v>7</v>
      </c>
      <c r="PI457" s="27" t="s">
        <v>8</v>
      </c>
      <c r="PJ457" s="27" t="s">
        <v>7</v>
      </c>
      <c r="PK457" s="27" t="s">
        <v>8</v>
      </c>
      <c r="PL457" s="27" t="s">
        <v>7</v>
      </c>
      <c r="PM457" s="27" t="s">
        <v>8</v>
      </c>
      <c r="PN457" s="27" t="s">
        <v>7</v>
      </c>
      <c r="PO457" s="27" t="s">
        <v>8</v>
      </c>
      <c r="PP457" s="27" t="s">
        <v>7</v>
      </c>
      <c r="PQ457" s="27" t="s">
        <v>8</v>
      </c>
      <c r="PR457" s="27" t="s">
        <v>7</v>
      </c>
      <c r="PS457" s="27" t="s">
        <v>8</v>
      </c>
      <c r="PT457" s="27" t="s">
        <v>7</v>
      </c>
      <c r="PU457" s="27" t="s">
        <v>8</v>
      </c>
      <c r="QA457" s="27" t="s">
        <v>8</v>
      </c>
      <c r="QB457" s="27" t="s">
        <v>7</v>
      </c>
      <c r="QC457" s="27" t="s">
        <v>8</v>
      </c>
      <c r="QD457" s="27" t="s">
        <v>7</v>
      </c>
      <c r="QE457" s="27" t="s">
        <v>8</v>
      </c>
      <c r="QF457" s="27" t="s">
        <v>7</v>
      </c>
      <c r="QG457" s="27" t="s">
        <v>8</v>
      </c>
      <c r="QH457" s="27" t="s">
        <v>7</v>
      </c>
      <c r="QI457" s="27" t="s">
        <v>8</v>
      </c>
      <c r="QJ457" s="27" t="s">
        <v>7</v>
      </c>
      <c r="QK457" s="27" t="s">
        <v>8</v>
      </c>
      <c r="QL457" s="27" t="s">
        <v>7</v>
      </c>
      <c r="QM457" s="27" t="s">
        <v>8</v>
      </c>
      <c r="RF457" s="27" t="s">
        <v>7</v>
      </c>
    </row>
    <row r="458" spans="1:478" x14ac:dyDescent="0.25">
      <c r="A458" s="7">
        <v>12.865366342182144</v>
      </c>
      <c r="B458"/>
      <c r="C458"/>
      <c r="D458"/>
      <c r="E458"/>
      <c r="MQ458" s="27" t="s">
        <v>8</v>
      </c>
      <c r="MV458" s="27" t="s">
        <v>7</v>
      </c>
      <c r="MW458" s="27" t="s">
        <v>8</v>
      </c>
      <c r="MX458" s="27" t="s">
        <v>7</v>
      </c>
      <c r="MY458" s="27" t="s">
        <v>8</v>
      </c>
      <c r="MZ458" s="27" t="s">
        <v>7</v>
      </c>
      <c r="NA458" s="27" t="s">
        <v>8</v>
      </c>
      <c r="NN458" s="27" t="s">
        <v>7</v>
      </c>
      <c r="NO458" s="27" t="s">
        <v>8</v>
      </c>
      <c r="NP458" s="27" t="s">
        <v>7</v>
      </c>
      <c r="NQ458" s="27" t="s">
        <v>8</v>
      </c>
      <c r="NS458" s="27" t="s">
        <v>8</v>
      </c>
      <c r="NT458" s="27" t="s">
        <v>7</v>
      </c>
      <c r="PE458" s="27" t="s">
        <v>8</v>
      </c>
      <c r="PH458" s="27" t="s">
        <v>7</v>
      </c>
      <c r="PI458" s="27" t="s">
        <v>8</v>
      </c>
      <c r="PJ458" s="27" t="s">
        <v>7</v>
      </c>
      <c r="PK458" s="27" t="s">
        <v>8</v>
      </c>
      <c r="PL458" s="27" t="s">
        <v>7</v>
      </c>
      <c r="PM458" s="27" t="s">
        <v>8</v>
      </c>
      <c r="PN458" s="27" t="s">
        <v>7</v>
      </c>
      <c r="PO458" s="27" t="s">
        <v>8</v>
      </c>
      <c r="PP458" s="27" t="s">
        <v>7</v>
      </c>
      <c r="PQ458" s="27" t="s">
        <v>8</v>
      </c>
      <c r="PR458" s="27" t="s">
        <v>7</v>
      </c>
      <c r="PS458" s="27" t="s">
        <v>8</v>
      </c>
      <c r="PT458" s="27" t="s">
        <v>7</v>
      </c>
      <c r="PU458" s="27" t="s">
        <v>8</v>
      </c>
      <c r="PV458" s="27" t="s">
        <v>7</v>
      </c>
      <c r="QA458" s="27" t="s">
        <v>8</v>
      </c>
      <c r="QB458" s="27" t="s">
        <v>7</v>
      </c>
      <c r="QC458" s="27" t="s">
        <v>8</v>
      </c>
      <c r="QD458" s="27" t="s">
        <v>7</v>
      </c>
      <c r="QE458" s="27" t="s">
        <v>8</v>
      </c>
      <c r="QF458" s="27" t="s">
        <v>7</v>
      </c>
      <c r="QG458" s="27" t="s">
        <v>8</v>
      </c>
      <c r="QH458" s="27" t="s">
        <v>7</v>
      </c>
      <c r="QI458" s="27" t="s">
        <v>8</v>
      </c>
      <c r="QJ458" s="27" t="s">
        <v>7</v>
      </c>
      <c r="QK458" s="27" t="s">
        <v>8</v>
      </c>
      <c r="QL458" s="27" t="s">
        <v>7</v>
      </c>
      <c r="RF458" s="27" t="s">
        <v>7</v>
      </c>
    </row>
    <row r="459" spans="1:478" x14ac:dyDescent="0.25">
      <c r="A459" s="7">
        <v>12.613104257041318</v>
      </c>
      <c r="B459"/>
      <c r="C459"/>
      <c r="D459"/>
      <c r="E459"/>
      <c r="MQ459" s="27" t="s">
        <v>8</v>
      </c>
      <c r="MV459" s="27" t="s">
        <v>7</v>
      </c>
      <c r="MW459" s="27" t="s">
        <v>8</v>
      </c>
      <c r="MX459" s="27" t="s">
        <v>7</v>
      </c>
      <c r="MY459" s="27" t="s">
        <v>8</v>
      </c>
      <c r="MZ459" s="27" t="s">
        <v>7</v>
      </c>
      <c r="NA459" s="27" t="s">
        <v>8</v>
      </c>
      <c r="NN459" s="27" t="s">
        <v>7</v>
      </c>
      <c r="NO459" s="27" t="s">
        <v>8</v>
      </c>
      <c r="NP459" s="27" t="s">
        <v>7</v>
      </c>
      <c r="NQ459" s="27" t="s">
        <v>8</v>
      </c>
      <c r="NR459" s="27" t="s">
        <v>7</v>
      </c>
      <c r="NS459" s="27" t="s">
        <v>8</v>
      </c>
      <c r="NT459" s="27" t="s">
        <v>7</v>
      </c>
      <c r="NU459" s="27" t="s">
        <v>8</v>
      </c>
      <c r="NW459" s="27" t="s">
        <v>8</v>
      </c>
      <c r="PE459" s="27" t="s">
        <v>8</v>
      </c>
      <c r="PH459" s="27" t="s">
        <v>7</v>
      </c>
      <c r="PI459" s="27" t="s">
        <v>8</v>
      </c>
      <c r="PJ459" s="27" t="s">
        <v>7</v>
      </c>
      <c r="PK459" s="27" t="s">
        <v>8</v>
      </c>
      <c r="PL459" s="27" t="s">
        <v>7</v>
      </c>
      <c r="PM459" s="27" t="s">
        <v>8</v>
      </c>
      <c r="PN459" s="27" t="s">
        <v>7</v>
      </c>
      <c r="PO459" s="27" t="s">
        <v>8</v>
      </c>
      <c r="PP459" s="27" t="s">
        <v>7</v>
      </c>
      <c r="PQ459" s="27" t="s">
        <v>8</v>
      </c>
      <c r="PR459" s="27" t="s">
        <v>7</v>
      </c>
      <c r="PS459" s="27" t="s">
        <v>8</v>
      </c>
      <c r="PT459" s="27" t="s">
        <v>7</v>
      </c>
      <c r="PU459" s="27" t="s">
        <v>8</v>
      </c>
      <c r="PV459" s="27" t="s">
        <v>7</v>
      </c>
      <c r="QA459" s="27" t="s">
        <v>8</v>
      </c>
      <c r="QB459" s="27" t="s">
        <v>7</v>
      </c>
      <c r="QC459" s="27" t="s">
        <v>8</v>
      </c>
      <c r="QD459" s="27" t="s">
        <v>7</v>
      </c>
      <c r="QE459" s="27" t="s">
        <v>8</v>
      </c>
      <c r="QF459" s="27" t="s">
        <v>7</v>
      </c>
      <c r="QG459" s="27" t="s">
        <v>8</v>
      </c>
      <c r="QH459" s="27" t="s">
        <v>7</v>
      </c>
      <c r="QJ459" s="27" t="s">
        <v>7</v>
      </c>
      <c r="QK459" s="27" t="s">
        <v>8</v>
      </c>
      <c r="RF459" s="27" t="s">
        <v>7</v>
      </c>
    </row>
    <row r="460" spans="1:478" x14ac:dyDescent="0.25">
      <c r="A460" s="7">
        <v>12.36578848729541</v>
      </c>
      <c r="B460"/>
      <c r="C460"/>
      <c r="D460"/>
      <c r="E460"/>
      <c r="MQ460" s="27" t="s">
        <v>8</v>
      </c>
      <c r="MV460" s="27" t="s">
        <v>7</v>
      </c>
      <c r="MW460" s="27" t="s">
        <v>8</v>
      </c>
      <c r="MX460" s="27" t="s">
        <v>7</v>
      </c>
      <c r="MY460" s="27" t="s">
        <v>8</v>
      </c>
      <c r="MZ460" s="27" t="s">
        <v>7</v>
      </c>
      <c r="NA460" s="27" t="s">
        <v>8</v>
      </c>
      <c r="NN460" s="27" t="s">
        <v>7</v>
      </c>
      <c r="NO460" s="27" t="s">
        <v>8</v>
      </c>
      <c r="NP460" s="27" t="s">
        <v>7</v>
      </c>
      <c r="NQ460" s="27" t="s">
        <v>8</v>
      </c>
      <c r="NR460" s="27" t="s">
        <v>7</v>
      </c>
      <c r="NS460" s="27" t="s">
        <v>8</v>
      </c>
      <c r="NT460" s="27" t="s">
        <v>7</v>
      </c>
      <c r="NU460" s="27" t="s">
        <v>8</v>
      </c>
      <c r="NV460" s="27" t="s">
        <v>7</v>
      </c>
      <c r="NW460" s="27" t="s">
        <v>8</v>
      </c>
      <c r="NX460" s="27" t="s">
        <v>7</v>
      </c>
      <c r="PE460" s="27" t="s">
        <v>8</v>
      </c>
      <c r="PH460" s="27" t="s">
        <v>7</v>
      </c>
      <c r="PJ460" s="27" t="s">
        <v>7</v>
      </c>
      <c r="PK460" s="27" t="s">
        <v>8</v>
      </c>
      <c r="PL460" s="27" t="s">
        <v>7</v>
      </c>
      <c r="PM460" s="27" t="s">
        <v>8</v>
      </c>
      <c r="PN460" s="27" t="s">
        <v>7</v>
      </c>
      <c r="PO460" s="27" t="s">
        <v>8</v>
      </c>
      <c r="PP460" s="27" t="s">
        <v>7</v>
      </c>
      <c r="PQ460" s="27" t="s">
        <v>8</v>
      </c>
      <c r="PR460" s="27" t="s">
        <v>7</v>
      </c>
      <c r="PT460" s="27" t="s">
        <v>7</v>
      </c>
      <c r="PU460" s="27" t="s">
        <v>8</v>
      </c>
      <c r="PV460" s="27" t="s">
        <v>7</v>
      </c>
      <c r="QA460" s="27" t="s">
        <v>8</v>
      </c>
      <c r="QB460" s="27" t="s">
        <v>7</v>
      </c>
      <c r="QC460" s="27" t="s">
        <v>8</v>
      </c>
      <c r="QD460" s="27" t="s">
        <v>7</v>
      </c>
      <c r="QF460" s="27" t="s">
        <v>7</v>
      </c>
      <c r="QG460" s="27" t="s">
        <v>8</v>
      </c>
      <c r="QJ460" s="27" t="s">
        <v>7</v>
      </c>
      <c r="QK460" s="27" t="s">
        <v>8</v>
      </c>
      <c r="RF460" s="27" t="s">
        <v>7</v>
      </c>
    </row>
    <row r="461" spans="1:478" x14ac:dyDescent="0.25">
      <c r="A461" s="7">
        <v>12.123322046368049</v>
      </c>
      <c r="B461"/>
      <c r="C461"/>
      <c r="D461"/>
      <c r="E461"/>
      <c r="MQ461" s="27" t="s">
        <v>8</v>
      </c>
      <c r="MV461" s="27" t="s">
        <v>7</v>
      </c>
      <c r="MW461" s="27" t="s">
        <v>8</v>
      </c>
      <c r="MX461" s="27" t="s">
        <v>7</v>
      </c>
      <c r="MY461" s="27" t="s">
        <v>8</v>
      </c>
      <c r="MZ461" s="27" t="s">
        <v>7</v>
      </c>
      <c r="NA461" s="27" t="s">
        <v>8</v>
      </c>
      <c r="NN461" s="27" t="s">
        <v>7</v>
      </c>
      <c r="NO461" s="27" t="s">
        <v>8</v>
      </c>
      <c r="NP461" s="27" t="s">
        <v>7</v>
      </c>
      <c r="NQ461" s="27" t="s">
        <v>8</v>
      </c>
      <c r="NR461" s="27" t="s">
        <v>7</v>
      </c>
      <c r="NS461" s="27" t="s">
        <v>8</v>
      </c>
      <c r="NT461" s="27" t="s">
        <v>7</v>
      </c>
      <c r="NU461" s="27" t="s">
        <v>8</v>
      </c>
      <c r="NV461" s="27" t="s">
        <v>7</v>
      </c>
      <c r="NW461" s="27" t="s">
        <v>8</v>
      </c>
      <c r="NX461" s="27" t="s">
        <v>7</v>
      </c>
      <c r="PE461" s="27" t="s">
        <v>8</v>
      </c>
      <c r="PJ461" s="27" t="s">
        <v>7</v>
      </c>
      <c r="PL461" s="27" t="s">
        <v>7</v>
      </c>
      <c r="PM461" s="27" t="s">
        <v>8</v>
      </c>
      <c r="PN461" s="27" t="s">
        <v>7</v>
      </c>
      <c r="PP461" s="27" t="s">
        <v>7</v>
      </c>
      <c r="PQ461" s="27" t="s">
        <v>8</v>
      </c>
      <c r="PT461" s="27" t="s">
        <v>7</v>
      </c>
      <c r="PU461" s="27" t="s">
        <v>8</v>
      </c>
      <c r="PV461" s="27" t="s">
        <v>7</v>
      </c>
      <c r="QA461" s="27" t="s">
        <v>8</v>
      </c>
      <c r="QB461" s="27" t="s">
        <v>7</v>
      </c>
      <c r="QF461" s="27" t="s">
        <v>7</v>
      </c>
      <c r="QG461" s="27" t="s">
        <v>8</v>
      </c>
      <c r="QJ461" s="27" t="s">
        <v>7</v>
      </c>
      <c r="QK461" s="27" t="s">
        <v>8</v>
      </c>
      <c r="RF461" s="27" t="s">
        <v>7</v>
      </c>
    </row>
    <row r="462" spans="1:478" x14ac:dyDescent="0.25">
      <c r="A462" s="7">
        <v>11.88560984938044</v>
      </c>
      <c r="B462"/>
      <c r="C462"/>
      <c r="D462"/>
      <c r="E462"/>
      <c r="MQ462" s="27" t="s">
        <v>8</v>
      </c>
      <c r="MV462" s="27" t="s">
        <v>7</v>
      </c>
      <c r="MX462" s="27" t="s">
        <v>7</v>
      </c>
      <c r="MY462" s="27" t="s">
        <v>8</v>
      </c>
      <c r="MZ462" s="27" t="s">
        <v>7</v>
      </c>
      <c r="NA462" s="27" t="s">
        <v>8</v>
      </c>
      <c r="NN462" s="27" t="s">
        <v>7</v>
      </c>
      <c r="NO462" s="27" t="s">
        <v>8</v>
      </c>
      <c r="NP462" s="27" t="s">
        <v>7</v>
      </c>
      <c r="NQ462" s="27" t="s">
        <v>8</v>
      </c>
      <c r="NR462" s="27" t="s">
        <v>7</v>
      </c>
      <c r="NS462" s="27" t="s">
        <v>8</v>
      </c>
      <c r="NT462" s="27" t="s">
        <v>7</v>
      </c>
      <c r="NU462" s="27" t="s">
        <v>8</v>
      </c>
      <c r="NV462" s="27" t="s">
        <v>7</v>
      </c>
      <c r="NW462" s="27" t="s">
        <v>8</v>
      </c>
      <c r="NX462" s="27" t="s">
        <v>7</v>
      </c>
      <c r="PE462" s="27" t="s">
        <v>8</v>
      </c>
      <c r="PL462" s="27" t="s">
        <v>7</v>
      </c>
      <c r="PM462" s="27" t="s">
        <v>8</v>
      </c>
      <c r="PP462" s="27" t="s">
        <v>7</v>
      </c>
      <c r="PQ462" s="27" t="s">
        <v>8</v>
      </c>
      <c r="PT462" s="27" t="s">
        <v>7</v>
      </c>
      <c r="PV462" s="27" t="s">
        <v>7</v>
      </c>
      <c r="QA462" s="27" t="s">
        <v>8</v>
      </c>
      <c r="QF462" s="27" t="s">
        <v>7</v>
      </c>
      <c r="QJ462" s="27" t="s">
        <v>7</v>
      </c>
      <c r="QK462" s="27" t="s">
        <v>8</v>
      </c>
      <c r="RF462" s="27" t="s">
        <v>7</v>
      </c>
    </row>
    <row r="463" spans="1:478" x14ac:dyDescent="0.25">
      <c r="A463" s="7">
        <v>11.652558675863176</v>
      </c>
      <c r="B463"/>
      <c r="C463"/>
      <c r="D463"/>
      <c r="E463"/>
      <c r="MQ463" s="27" t="s">
        <v>8</v>
      </c>
      <c r="MX463" s="27" t="s">
        <v>7</v>
      </c>
      <c r="MY463" s="27" t="s">
        <v>8</v>
      </c>
      <c r="MZ463" s="27" t="s">
        <v>7</v>
      </c>
      <c r="NA463" s="27" t="s">
        <v>8</v>
      </c>
      <c r="NN463" s="27" t="s">
        <v>7</v>
      </c>
      <c r="NO463" s="27" t="s">
        <v>8</v>
      </c>
      <c r="NP463" s="27" t="s">
        <v>7</v>
      </c>
      <c r="NQ463" s="27" t="s">
        <v>8</v>
      </c>
      <c r="NR463" s="27" t="s">
        <v>7</v>
      </c>
      <c r="NS463" s="27" t="s">
        <v>8</v>
      </c>
      <c r="NT463" s="27" t="s">
        <v>7</v>
      </c>
      <c r="NU463" s="27" t="s">
        <v>8</v>
      </c>
      <c r="NV463" s="27" t="s">
        <v>7</v>
      </c>
      <c r="NW463" s="27" t="s">
        <v>8</v>
      </c>
      <c r="NX463" s="27" t="s">
        <v>7</v>
      </c>
      <c r="PE463" s="27" t="s">
        <v>8</v>
      </c>
      <c r="PL463" s="27" t="s">
        <v>7</v>
      </c>
      <c r="PM463" s="27" t="s">
        <v>8</v>
      </c>
      <c r="PP463" s="27" t="s">
        <v>7</v>
      </c>
      <c r="PQ463" s="27" t="s">
        <v>8</v>
      </c>
      <c r="PV463" s="27" t="s">
        <v>7</v>
      </c>
      <c r="QA463" s="27" t="s">
        <v>8</v>
      </c>
      <c r="QJ463" s="27" t="s">
        <v>7</v>
      </c>
      <c r="QK463" s="27" t="s">
        <v>8</v>
      </c>
      <c r="RF463" s="27" t="s">
        <v>7</v>
      </c>
      <c r="RG463" s="27" t="s">
        <v>8</v>
      </c>
      <c r="RI463" s="27" t="s">
        <v>8</v>
      </c>
    </row>
    <row r="464" spans="1:478" x14ac:dyDescent="0.25">
      <c r="A464" s="7">
        <v>11.424077133199193</v>
      </c>
      <c r="B464"/>
      <c r="C464"/>
      <c r="D464"/>
      <c r="E464"/>
      <c r="MQ464" s="27" t="s">
        <v>8</v>
      </c>
      <c r="MX464" s="27" t="s">
        <v>7</v>
      </c>
      <c r="MY464" s="27" t="s">
        <v>8</v>
      </c>
      <c r="MZ464" s="27" t="s">
        <v>7</v>
      </c>
      <c r="NA464" s="27" t="s">
        <v>8</v>
      </c>
      <c r="NN464" s="27" t="s">
        <v>7</v>
      </c>
      <c r="NO464" s="27" t="s">
        <v>8</v>
      </c>
      <c r="NP464" s="27" t="s">
        <v>7</v>
      </c>
      <c r="NQ464" s="27" t="s">
        <v>8</v>
      </c>
      <c r="NR464" s="27" t="s">
        <v>7</v>
      </c>
      <c r="NT464" s="27" t="s">
        <v>7</v>
      </c>
      <c r="NU464" s="27" t="s">
        <v>8</v>
      </c>
      <c r="NV464" s="27" t="s">
        <v>7</v>
      </c>
      <c r="NX464" s="27" t="s">
        <v>7</v>
      </c>
      <c r="OY464" s="27" t="s">
        <v>8</v>
      </c>
      <c r="PA464" s="27" t="s">
        <v>8</v>
      </c>
      <c r="PC464" s="27" t="s">
        <v>8</v>
      </c>
      <c r="PE464" s="27" t="s">
        <v>8</v>
      </c>
      <c r="PL464" s="27" t="s">
        <v>7</v>
      </c>
      <c r="PP464" s="27" t="s">
        <v>7</v>
      </c>
      <c r="PQ464" s="27" t="s">
        <v>8</v>
      </c>
      <c r="PV464" s="27" t="s">
        <v>7</v>
      </c>
      <c r="QA464" s="27" t="s">
        <v>8</v>
      </c>
      <c r="QJ464" s="27" t="s">
        <v>7</v>
      </c>
      <c r="QK464" s="27" t="s">
        <v>8</v>
      </c>
      <c r="RF464" s="27" t="s">
        <v>7</v>
      </c>
      <c r="RG464" s="27" t="s">
        <v>8</v>
      </c>
      <c r="RH464" s="27" t="s">
        <v>7</v>
      </c>
      <c r="RI464" s="27" t="s">
        <v>8</v>
      </c>
      <c r="RJ464" s="27" t="s">
        <v>7</v>
      </c>
    </row>
    <row r="465" spans="1:492" x14ac:dyDescent="0.25">
      <c r="A465" s="7">
        <v>11.200075620783522</v>
      </c>
      <c r="B465"/>
      <c r="C465"/>
      <c r="D465"/>
      <c r="E465"/>
      <c r="MQ465" s="27" t="s">
        <v>8</v>
      </c>
      <c r="MX465" s="27" t="s">
        <v>7</v>
      </c>
      <c r="MY465" s="27" t="s">
        <v>8</v>
      </c>
      <c r="MZ465" s="27" t="s">
        <v>7</v>
      </c>
      <c r="NN465" s="27" t="s">
        <v>7</v>
      </c>
      <c r="NO465" s="27" t="s">
        <v>8</v>
      </c>
      <c r="NP465" s="27" t="s">
        <v>7</v>
      </c>
      <c r="NQ465" s="27" t="s">
        <v>8</v>
      </c>
      <c r="NT465" s="27" t="s">
        <v>7</v>
      </c>
      <c r="NU465" s="27" t="s">
        <v>8</v>
      </c>
      <c r="NX465" s="27" t="s">
        <v>7</v>
      </c>
      <c r="OY465" s="27" t="s">
        <v>8</v>
      </c>
      <c r="OZ465" s="27" t="s">
        <v>7</v>
      </c>
      <c r="PA465" s="27" t="s">
        <v>8</v>
      </c>
      <c r="PB465" s="27" t="s">
        <v>7</v>
      </c>
      <c r="PC465" s="27" t="s">
        <v>8</v>
      </c>
      <c r="PD465" s="27" t="s">
        <v>7</v>
      </c>
      <c r="PE465" s="27" t="s">
        <v>8</v>
      </c>
      <c r="PP465" s="27" t="s">
        <v>7</v>
      </c>
      <c r="PQ465" s="27" t="s">
        <v>8</v>
      </c>
      <c r="PV465" s="27" t="s">
        <v>7</v>
      </c>
      <c r="QA465" s="27" t="s">
        <v>8</v>
      </c>
      <c r="QJ465" s="27" t="s">
        <v>7</v>
      </c>
      <c r="QK465" s="27" t="s">
        <v>8</v>
      </c>
      <c r="RF465" s="27" t="s">
        <v>7</v>
      </c>
      <c r="RG465" s="27" t="s">
        <v>8</v>
      </c>
      <c r="RH465" s="27" t="s">
        <v>7</v>
      </c>
      <c r="RI465" s="27" t="s">
        <v>8</v>
      </c>
      <c r="RJ465" s="27" t="s">
        <v>7</v>
      </c>
    </row>
    <row r="466" spans="1:492" x14ac:dyDescent="0.25">
      <c r="A466" s="7">
        <v>10.980466294885806</v>
      </c>
      <c r="B466"/>
      <c r="C466"/>
      <c r="D466"/>
      <c r="E466"/>
      <c r="MQ466" s="27" t="s">
        <v>8</v>
      </c>
      <c r="MX466" s="27" t="s">
        <v>7</v>
      </c>
      <c r="MY466" s="27" t="s">
        <v>8</v>
      </c>
      <c r="NN466" s="27" t="s">
        <v>7</v>
      </c>
      <c r="NO466" s="27" t="s">
        <v>8</v>
      </c>
      <c r="NP466" s="27" t="s">
        <v>7</v>
      </c>
      <c r="NQ466" s="27" t="s">
        <v>8</v>
      </c>
      <c r="NT466" s="27" t="s">
        <v>7</v>
      </c>
      <c r="NU466" s="27" t="s">
        <v>8</v>
      </c>
      <c r="NX466" s="27" t="s">
        <v>7</v>
      </c>
      <c r="OY466" s="27" t="s">
        <v>8</v>
      </c>
      <c r="OZ466" s="27" t="s">
        <v>7</v>
      </c>
      <c r="PA466" s="27" t="s">
        <v>8</v>
      </c>
      <c r="PB466" s="27" t="s">
        <v>7</v>
      </c>
      <c r="PC466" s="27" t="s">
        <v>8</v>
      </c>
      <c r="PD466" s="27" t="s">
        <v>7</v>
      </c>
      <c r="PE466" s="27" t="s">
        <v>8</v>
      </c>
      <c r="PP466" s="27" t="s">
        <v>7</v>
      </c>
      <c r="PQ466" s="27" t="s">
        <v>8</v>
      </c>
      <c r="PV466" s="27" t="s">
        <v>7</v>
      </c>
      <c r="PW466" s="27" t="s">
        <v>8</v>
      </c>
      <c r="QA466" s="27" t="s">
        <v>8</v>
      </c>
      <c r="QJ466" s="27" t="s">
        <v>7</v>
      </c>
      <c r="QK466" s="27" t="s">
        <v>8</v>
      </c>
      <c r="RF466" s="27" t="s">
        <v>7</v>
      </c>
      <c r="RG466" s="27" t="s">
        <v>8</v>
      </c>
      <c r="RH466" s="27" t="s">
        <v>7</v>
      </c>
      <c r="RI466" s="27" t="s">
        <v>8</v>
      </c>
      <c r="RJ466" s="27" t="s">
        <v>7</v>
      </c>
    </row>
    <row r="467" spans="1:492" x14ac:dyDescent="0.25">
      <c r="A467" s="7">
        <v>10.765163034201771</v>
      </c>
      <c r="B467"/>
      <c r="C467"/>
      <c r="D467"/>
      <c r="E467"/>
      <c r="MO467" s="27" t="s">
        <v>8</v>
      </c>
      <c r="MQ467" s="27" t="s">
        <v>8</v>
      </c>
      <c r="MX467" s="27" t="s">
        <v>7</v>
      </c>
      <c r="MY467" s="27" t="s">
        <v>8</v>
      </c>
      <c r="NN467" s="27" t="s">
        <v>7</v>
      </c>
      <c r="NO467" s="27" t="s">
        <v>8</v>
      </c>
      <c r="NP467" s="27" t="s">
        <v>7</v>
      </c>
      <c r="NQ467" s="27" t="s">
        <v>8</v>
      </c>
      <c r="NT467" s="27" t="s">
        <v>7</v>
      </c>
      <c r="NU467" s="27" t="s">
        <v>8</v>
      </c>
      <c r="NX467" s="27" t="s">
        <v>7</v>
      </c>
      <c r="OY467" s="27" t="s">
        <v>8</v>
      </c>
      <c r="OZ467" s="27" t="s">
        <v>7</v>
      </c>
      <c r="PA467" s="27" t="s">
        <v>8</v>
      </c>
      <c r="PB467" s="27" t="s">
        <v>7</v>
      </c>
      <c r="PC467" s="27" t="s">
        <v>8</v>
      </c>
      <c r="PD467" s="27" t="s">
        <v>7</v>
      </c>
      <c r="PE467" s="27" t="s">
        <v>8</v>
      </c>
      <c r="PP467" s="27" t="s">
        <v>7</v>
      </c>
      <c r="PQ467" s="27" t="s">
        <v>8</v>
      </c>
      <c r="PV467" s="27" t="s">
        <v>7</v>
      </c>
      <c r="PW467" s="27" t="s">
        <v>8</v>
      </c>
      <c r="PX467" s="27" t="s">
        <v>7</v>
      </c>
      <c r="QA467" s="27" t="s">
        <v>8</v>
      </c>
      <c r="QJ467" s="27" t="s">
        <v>7</v>
      </c>
      <c r="RF467" s="27" t="s">
        <v>7</v>
      </c>
      <c r="RG467" s="27" t="s">
        <v>8</v>
      </c>
      <c r="RH467" s="27" t="s">
        <v>7</v>
      </c>
      <c r="RI467" s="27" t="s">
        <v>8</v>
      </c>
      <c r="RJ467" s="27" t="s">
        <v>7</v>
      </c>
    </row>
    <row r="468" spans="1:492" x14ac:dyDescent="0.25">
      <c r="A468" s="7">
        <v>10.554081406080169</v>
      </c>
      <c r="B468"/>
      <c r="C468"/>
      <c r="D468"/>
      <c r="E468"/>
      <c r="MO468" s="27" t="s">
        <v>8</v>
      </c>
      <c r="MP468" s="27" t="s">
        <v>7</v>
      </c>
      <c r="MQ468" s="27" t="s">
        <v>8</v>
      </c>
      <c r="MX468" s="27" t="s">
        <v>7</v>
      </c>
      <c r="MY468" s="27" t="s">
        <v>8</v>
      </c>
      <c r="NN468" s="27" t="s">
        <v>7</v>
      </c>
      <c r="NO468" s="27" t="s">
        <v>8</v>
      </c>
      <c r="NP468" s="27" t="s">
        <v>7</v>
      </c>
      <c r="NQ468" s="27" t="s">
        <v>8</v>
      </c>
      <c r="NT468" s="27" t="s">
        <v>7</v>
      </c>
      <c r="NU468" s="27" t="s">
        <v>8</v>
      </c>
      <c r="NX468" s="27" t="s">
        <v>7</v>
      </c>
      <c r="NY468" s="27" t="s">
        <v>8</v>
      </c>
      <c r="OY468" s="27" t="s">
        <v>8</v>
      </c>
      <c r="OZ468" s="27" t="s">
        <v>7</v>
      </c>
      <c r="PA468" s="27" t="s">
        <v>8</v>
      </c>
      <c r="PB468" s="27" t="s">
        <v>7</v>
      </c>
      <c r="PC468" s="27" t="s">
        <v>8</v>
      </c>
      <c r="PD468" s="27" t="s">
        <v>7</v>
      </c>
      <c r="PE468" s="27" t="s">
        <v>8</v>
      </c>
      <c r="PP468" s="27" t="s">
        <v>7</v>
      </c>
      <c r="PQ468" s="27" t="s">
        <v>8</v>
      </c>
      <c r="PV468" s="27" t="s">
        <v>7</v>
      </c>
      <c r="PW468" s="27" t="s">
        <v>8</v>
      </c>
      <c r="PX468" s="27" t="s">
        <v>7</v>
      </c>
      <c r="QA468" s="27" t="s">
        <v>8</v>
      </c>
      <c r="RF468" s="27" t="s">
        <v>7</v>
      </c>
      <c r="RG468" s="27" t="s">
        <v>8</v>
      </c>
      <c r="RH468" s="27" t="s">
        <v>7</v>
      </c>
      <c r="RI468" s="27" t="s">
        <v>8</v>
      </c>
      <c r="RJ468" s="27" t="s">
        <v>7</v>
      </c>
    </row>
    <row r="469" spans="1:492" x14ac:dyDescent="0.25">
      <c r="A469" s="7">
        <v>10.34713863341193</v>
      </c>
      <c r="B469"/>
      <c r="C469"/>
      <c r="D469"/>
      <c r="E469"/>
      <c r="MO469" s="27" t="s">
        <v>8</v>
      </c>
      <c r="MP469" s="27" t="s">
        <v>7</v>
      </c>
      <c r="MQ469" s="27" t="s">
        <v>8</v>
      </c>
      <c r="MX469" s="27" t="s">
        <v>7</v>
      </c>
      <c r="MY469" s="27" t="s">
        <v>8</v>
      </c>
      <c r="NN469" s="27" t="s">
        <v>7</v>
      </c>
      <c r="NO469" s="27" t="s">
        <v>8</v>
      </c>
      <c r="NP469" s="27" t="s">
        <v>7</v>
      </c>
      <c r="NQ469" s="27" t="s">
        <v>8</v>
      </c>
      <c r="NT469" s="27" t="s">
        <v>7</v>
      </c>
      <c r="NX469" s="27" t="s">
        <v>7</v>
      </c>
      <c r="NY469" s="27" t="s">
        <v>8</v>
      </c>
      <c r="NZ469" s="27" t="s">
        <v>7</v>
      </c>
      <c r="OY469" s="27" t="s">
        <v>8</v>
      </c>
      <c r="OZ469" s="27" t="s">
        <v>7</v>
      </c>
      <c r="PA469" s="27" t="s">
        <v>8</v>
      </c>
      <c r="PB469" s="27" t="s">
        <v>7</v>
      </c>
      <c r="PD469" s="27" t="s">
        <v>7</v>
      </c>
      <c r="PE469" s="27" t="s">
        <v>8</v>
      </c>
      <c r="PP469" s="27" t="s">
        <v>7</v>
      </c>
      <c r="PQ469" s="27" t="s">
        <v>8</v>
      </c>
      <c r="PV469" s="27" t="s">
        <v>7</v>
      </c>
      <c r="PW469" s="27" t="s">
        <v>8</v>
      </c>
      <c r="PX469" s="27" t="s">
        <v>7</v>
      </c>
      <c r="QA469" s="27" t="s">
        <v>8</v>
      </c>
      <c r="RF469" s="27" t="s">
        <v>7</v>
      </c>
      <c r="RG469" s="27" t="s">
        <v>8</v>
      </c>
      <c r="RH469" s="27" t="s">
        <v>7</v>
      </c>
      <c r="RI469" s="27" t="s">
        <v>8</v>
      </c>
      <c r="RJ469" s="27" t="s">
        <v>7</v>
      </c>
      <c r="RO469" s="27" t="s">
        <v>8</v>
      </c>
      <c r="RQ469" s="27" t="s">
        <v>8</v>
      </c>
    </row>
    <row r="470" spans="1:492" x14ac:dyDescent="0.25">
      <c r="A470" s="7">
        <v>10.14425356216856</v>
      </c>
      <c r="B470"/>
      <c r="C470"/>
      <c r="D470"/>
      <c r="E470"/>
      <c r="MO470" s="27" t="s">
        <v>8</v>
      </c>
      <c r="MP470" s="27" t="s">
        <v>7</v>
      </c>
      <c r="MQ470" s="27" t="s">
        <v>8</v>
      </c>
      <c r="MX470" s="27" t="s">
        <v>7</v>
      </c>
      <c r="NN470" s="27" t="s">
        <v>7</v>
      </c>
      <c r="NO470" s="27" t="s">
        <v>8</v>
      </c>
      <c r="NP470" s="27" t="s">
        <v>7</v>
      </c>
      <c r="NQ470" s="27" t="s">
        <v>8</v>
      </c>
      <c r="NX470" s="27" t="s">
        <v>7</v>
      </c>
      <c r="NY470" s="27" t="s">
        <v>8</v>
      </c>
      <c r="NZ470" s="27" t="s">
        <v>7</v>
      </c>
      <c r="OY470" s="27" t="s">
        <v>8</v>
      </c>
      <c r="OZ470" s="27" t="s">
        <v>7</v>
      </c>
      <c r="PD470" s="27" t="s">
        <v>7</v>
      </c>
      <c r="PE470" s="27" t="s">
        <v>8</v>
      </c>
      <c r="PP470" s="27" t="s">
        <v>7</v>
      </c>
      <c r="PV470" s="27" t="s">
        <v>7</v>
      </c>
      <c r="PW470" s="27" t="s">
        <v>8</v>
      </c>
      <c r="PX470" s="27" t="s">
        <v>7</v>
      </c>
      <c r="QA470" s="27" t="s">
        <v>8</v>
      </c>
      <c r="RF470" s="27" t="s">
        <v>7</v>
      </c>
      <c r="RG470" s="27" t="s">
        <v>8</v>
      </c>
      <c r="RH470" s="27" t="s">
        <v>7</v>
      </c>
      <c r="RI470" s="27" t="s">
        <v>8</v>
      </c>
      <c r="RJ470" s="27" t="s">
        <v>7</v>
      </c>
      <c r="RK470" s="27" t="s">
        <v>8</v>
      </c>
      <c r="RO470" s="27" t="s">
        <v>8</v>
      </c>
      <c r="RP470" s="27" t="s">
        <v>7</v>
      </c>
      <c r="RQ470" s="27" t="s">
        <v>8</v>
      </c>
      <c r="RR470" s="27" t="s">
        <v>7</v>
      </c>
      <c r="RS470" s="27" t="s">
        <v>8</v>
      </c>
    </row>
    <row r="471" spans="1:492" x14ac:dyDescent="0.25">
      <c r="A471" s="7">
        <v>9.9453466295770188</v>
      </c>
      <c r="B471"/>
      <c r="C471"/>
      <c r="D471"/>
      <c r="E471"/>
      <c r="MO471" s="27" t="s">
        <v>8</v>
      </c>
      <c r="MP471" s="27" t="s">
        <v>7</v>
      </c>
      <c r="MQ471" s="27" t="s">
        <v>8</v>
      </c>
      <c r="NN471" s="27" t="s">
        <v>7</v>
      </c>
      <c r="NO471" s="27" t="s">
        <v>8</v>
      </c>
      <c r="NP471" s="27" t="s">
        <v>7</v>
      </c>
      <c r="NQ471" s="27" t="s">
        <v>8</v>
      </c>
      <c r="NX471" s="27" t="s">
        <v>7</v>
      </c>
      <c r="NY471" s="27" t="s">
        <v>8</v>
      </c>
      <c r="NZ471" s="27" t="s">
        <v>7</v>
      </c>
      <c r="OY471" s="27" t="s">
        <v>8</v>
      </c>
      <c r="PD471" s="27" t="s">
        <v>7</v>
      </c>
      <c r="PV471" s="27" t="s">
        <v>7</v>
      </c>
      <c r="PW471" s="27" t="s">
        <v>8</v>
      </c>
      <c r="PX471" s="27" t="s">
        <v>7</v>
      </c>
      <c r="PY471" s="27" t="s">
        <v>8</v>
      </c>
      <c r="QA471" s="27" t="s">
        <v>8</v>
      </c>
      <c r="RF471" s="27" t="s">
        <v>7</v>
      </c>
      <c r="RG471" s="27" t="s">
        <v>8</v>
      </c>
      <c r="RH471" s="27" t="s">
        <v>7</v>
      </c>
      <c r="RI471" s="27" t="s">
        <v>8</v>
      </c>
      <c r="RJ471" s="27" t="s">
        <v>7</v>
      </c>
      <c r="RK471" s="27" t="s">
        <v>8</v>
      </c>
      <c r="RL471" s="27" t="s">
        <v>7</v>
      </c>
      <c r="RM471" s="27" t="s">
        <v>8</v>
      </c>
      <c r="RO471" s="27" t="s">
        <v>8</v>
      </c>
      <c r="RP471" s="27" t="s">
        <v>7</v>
      </c>
      <c r="RQ471" s="27" t="s">
        <v>8</v>
      </c>
      <c r="RR471" s="27" t="s">
        <v>7</v>
      </c>
      <c r="RS471" s="27" t="s">
        <v>8</v>
      </c>
      <c r="RT471" s="27" t="s">
        <v>7</v>
      </c>
    </row>
    <row r="472" spans="1:492" x14ac:dyDescent="0.25">
      <c r="A472" s="7">
        <v>9.7503398329186464</v>
      </c>
      <c r="B472"/>
      <c r="C472"/>
      <c r="D472"/>
      <c r="E472"/>
      <c r="MO472" s="27" t="s">
        <v>8</v>
      </c>
      <c r="MP472" s="27" t="s">
        <v>7</v>
      </c>
      <c r="MQ472" s="27" t="s">
        <v>8</v>
      </c>
      <c r="NN472" s="27" t="s">
        <v>7</v>
      </c>
      <c r="NO472" s="27" t="s">
        <v>8</v>
      </c>
      <c r="NP472" s="27" t="s">
        <v>7</v>
      </c>
      <c r="NQ472" s="27" t="s">
        <v>8</v>
      </c>
      <c r="NX472" s="27" t="s">
        <v>7</v>
      </c>
      <c r="NY472" s="27" t="s">
        <v>8</v>
      </c>
      <c r="NZ472" s="27" t="s">
        <v>7</v>
      </c>
      <c r="OY472" s="27" t="s">
        <v>8</v>
      </c>
      <c r="PV472" s="27" t="s">
        <v>7</v>
      </c>
      <c r="PW472" s="27" t="s">
        <v>8</v>
      </c>
      <c r="PX472" s="27" t="s">
        <v>7</v>
      </c>
      <c r="PY472" s="27" t="s">
        <v>8</v>
      </c>
      <c r="PZ472" s="27" t="s">
        <v>7</v>
      </c>
      <c r="QA472" s="27" t="s">
        <v>8</v>
      </c>
      <c r="RF472" s="27" t="s">
        <v>7</v>
      </c>
      <c r="RG472" s="27" t="s">
        <v>8</v>
      </c>
      <c r="RH472" s="27" t="s">
        <v>7</v>
      </c>
      <c r="RI472" s="27" t="s">
        <v>8</v>
      </c>
      <c r="RJ472" s="27" t="s">
        <v>7</v>
      </c>
      <c r="RK472" s="27" t="s">
        <v>8</v>
      </c>
      <c r="RL472" s="27" t="s">
        <v>7</v>
      </c>
      <c r="RM472" s="27" t="s">
        <v>8</v>
      </c>
      <c r="RN472" s="27" t="s">
        <v>7</v>
      </c>
      <c r="RO472" s="27" t="s">
        <v>8</v>
      </c>
      <c r="RP472" s="27" t="s">
        <v>7</v>
      </c>
      <c r="RR472" s="27" t="s">
        <v>7</v>
      </c>
      <c r="RS472" s="27" t="s">
        <v>8</v>
      </c>
      <c r="RT472" s="27" t="s">
        <v>7</v>
      </c>
    </row>
    <row r="473" spans="1:492" x14ac:dyDescent="0.25">
      <c r="A473" s="7">
        <v>9.5591566989398498</v>
      </c>
      <c r="B473"/>
      <c r="C473"/>
      <c r="D473"/>
      <c r="E473"/>
      <c r="MO473" s="27" t="s">
        <v>8</v>
      </c>
      <c r="MP473" s="27" t="s">
        <v>7</v>
      </c>
      <c r="NN473" s="27" t="s">
        <v>7</v>
      </c>
      <c r="NO473" s="27" t="s">
        <v>8</v>
      </c>
      <c r="NP473" s="27" t="s">
        <v>7</v>
      </c>
      <c r="NQ473" s="27" t="s">
        <v>8</v>
      </c>
      <c r="NX473" s="27" t="s">
        <v>7</v>
      </c>
      <c r="NY473" s="27" t="s">
        <v>8</v>
      </c>
      <c r="NZ473" s="27" t="s">
        <v>7</v>
      </c>
      <c r="OA473" s="27" t="s">
        <v>8</v>
      </c>
      <c r="OY473" s="27" t="s">
        <v>8</v>
      </c>
      <c r="PV473" s="27" t="s">
        <v>7</v>
      </c>
      <c r="PW473" s="27" t="s">
        <v>8</v>
      </c>
      <c r="PX473" s="27" t="s">
        <v>7</v>
      </c>
      <c r="PY473" s="27" t="s">
        <v>8</v>
      </c>
      <c r="PZ473" s="27" t="s">
        <v>7</v>
      </c>
      <c r="QA473" s="27" t="s">
        <v>8</v>
      </c>
      <c r="RF473" s="27" t="s">
        <v>7</v>
      </c>
      <c r="RG473" s="27" t="s">
        <v>8</v>
      </c>
      <c r="RH473" s="27" t="s">
        <v>7</v>
      </c>
      <c r="RI473" s="27" t="s">
        <v>8</v>
      </c>
      <c r="RJ473" s="27" t="s">
        <v>7</v>
      </c>
      <c r="RK473" s="27" t="s">
        <v>8</v>
      </c>
      <c r="RL473" s="27" t="s">
        <v>7</v>
      </c>
      <c r="RM473" s="27" t="s">
        <v>8</v>
      </c>
      <c r="RN473" s="27" t="s">
        <v>7</v>
      </c>
      <c r="RO473" s="27" t="s">
        <v>8</v>
      </c>
      <c r="RR473" s="27" t="s">
        <v>7</v>
      </c>
      <c r="RS473" s="27" t="s">
        <v>8</v>
      </c>
      <c r="RT473" s="27" t="s">
        <v>7</v>
      </c>
    </row>
    <row r="474" spans="1:492" x14ac:dyDescent="0.25">
      <c r="A474" s="7">
        <v>9.3717222538625968</v>
      </c>
      <c r="B474"/>
      <c r="C474"/>
      <c r="D474"/>
      <c r="E474"/>
      <c r="MM474" s="27" t="s">
        <v>8</v>
      </c>
      <c r="MO474" s="27" t="s">
        <v>8</v>
      </c>
      <c r="NN474" s="27" t="s">
        <v>7</v>
      </c>
      <c r="NO474" s="27" t="s">
        <v>8</v>
      </c>
      <c r="NP474" s="27" t="s">
        <v>7</v>
      </c>
      <c r="NQ474" s="27" t="s">
        <v>8</v>
      </c>
      <c r="NX474" s="27" t="s">
        <v>7</v>
      </c>
      <c r="NY474" s="27" t="s">
        <v>8</v>
      </c>
      <c r="NZ474" s="27" t="s">
        <v>7</v>
      </c>
      <c r="OA474" s="27" t="s">
        <v>8</v>
      </c>
      <c r="OB474" s="27" t="s">
        <v>7</v>
      </c>
      <c r="OY474" s="27" t="s">
        <v>8</v>
      </c>
      <c r="PV474" s="27" t="s">
        <v>7</v>
      </c>
      <c r="PW474" s="27" t="s">
        <v>8</v>
      </c>
      <c r="PX474" s="27" t="s">
        <v>7</v>
      </c>
      <c r="PY474" s="27" t="s">
        <v>8</v>
      </c>
      <c r="PZ474" s="27" t="s">
        <v>7</v>
      </c>
      <c r="QA474" s="27" t="s">
        <v>8</v>
      </c>
      <c r="RF474" s="27" t="s">
        <v>7</v>
      </c>
      <c r="RG474" s="27" t="s">
        <v>8</v>
      </c>
      <c r="RH474" s="27" t="s">
        <v>7</v>
      </c>
      <c r="RI474" s="27" t="s">
        <v>8</v>
      </c>
      <c r="RJ474" s="27" t="s">
        <v>7</v>
      </c>
      <c r="RL474" s="27" t="s">
        <v>7</v>
      </c>
      <c r="RM474" s="27" t="s">
        <v>8</v>
      </c>
      <c r="RN474" s="27" t="s">
        <v>7</v>
      </c>
      <c r="RO474" s="27" t="s">
        <v>8</v>
      </c>
      <c r="RR474" s="27" t="s">
        <v>7</v>
      </c>
      <c r="RS474" s="27" t="s">
        <v>8</v>
      </c>
      <c r="RT474" s="27" t="s">
        <v>7</v>
      </c>
    </row>
    <row r="475" spans="1:492" x14ac:dyDescent="0.25">
      <c r="A475" s="7">
        <v>9.1879629939829375</v>
      </c>
      <c r="B475"/>
      <c r="C475"/>
      <c r="D475"/>
      <c r="E475"/>
      <c r="MM475" s="27" t="s">
        <v>8</v>
      </c>
      <c r="MN475" s="27" t="s">
        <v>7</v>
      </c>
      <c r="MO475" s="27" t="s">
        <v>8</v>
      </c>
      <c r="NN475" s="27" t="s">
        <v>7</v>
      </c>
      <c r="NO475" s="27" t="s">
        <v>8</v>
      </c>
      <c r="NP475" s="27" t="s">
        <v>7</v>
      </c>
      <c r="NQ475" s="27" t="s">
        <v>8</v>
      </c>
      <c r="NX475" s="27" t="s">
        <v>7</v>
      </c>
      <c r="NY475" s="27" t="s">
        <v>8</v>
      </c>
      <c r="NZ475" s="27" t="s">
        <v>7</v>
      </c>
      <c r="OA475" s="27" t="s">
        <v>8</v>
      </c>
      <c r="OB475" s="27" t="s">
        <v>7</v>
      </c>
      <c r="OY475" s="27" t="s">
        <v>8</v>
      </c>
      <c r="PV475" s="27" t="s">
        <v>7</v>
      </c>
      <c r="PX475" s="27" t="s">
        <v>7</v>
      </c>
      <c r="PY475" s="27" t="s">
        <v>8</v>
      </c>
      <c r="PZ475" s="27" t="s">
        <v>7</v>
      </c>
      <c r="QA475" s="27" t="s">
        <v>8</v>
      </c>
      <c r="RF475" s="27" t="s">
        <v>7</v>
      </c>
      <c r="RG475" s="27" t="s">
        <v>8</v>
      </c>
      <c r="RH475" s="27" t="s">
        <v>7</v>
      </c>
      <c r="RI475" s="27" t="s">
        <v>8</v>
      </c>
      <c r="RL475" s="27" t="s">
        <v>7</v>
      </c>
      <c r="RM475" s="27" t="s">
        <v>8</v>
      </c>
      <c r="RN475" s="27" t="s">
        <v>7</v>
      </c>
      <c r="RO475" s="27" t="s">
        <v>8</v>
      </c>
      <c r="RR475" s="27" t="s">
        <v>7</v>
      </c>
      <c r="RS475" s="27" t="s">
        <v>8</v>
      </c>
      <c r="RT475" s="27" t="s">
        <v>7</v>
      </c>
      <c r="RW475" s="27" t="s">
        <v>8</v>
      </c>
    </row>
    <row r="476" spans="1:492" x14ac:dyDescent="0.25">
      <c r="A476" s="7">
        <v>9.0078068568460168</v>
      </c>
      <c r="B476"/>
      <c r="C476"/>
      <c r="D476"/>
      <c r="E476"/>
      <c r="MM476" s="27" t="s">
        <v>8</v>
      </c>
      <c r="MN476" s="27" t="s">
        <v>7</v>
      </c>
      <c r="MO476" s="27" t="s">
        <v>8</v>
      </c>
      <c r="NN476" s="27" t="s">
        <v>7</v>
      </c>
      <c r="NO476" s="27" t="s">
        <v>8</v>
      </c>
      <c r="NP476" s="27" t="s">
        <v>7</v>
      </c>
      <c r="NQ476" s="27" t="s">
        <v>8</v>
      </c>
      <c r="NX476" s="27" t="s">
        <v>7</v>
      </c>
      <c r="NY476" s="27" t="s">
        <v>8</v>
      </c>
      <c r="NZ476" s="27" t="s">
        <v>7</v>
      </c>
      <c r="OA476" s="27" t="s">
        <v>8</v>
      </c>
      <c r="OB476" s="27" t="s">
        <v>7</v>
      </c>
      <c r="OY476" s="27" t="s">
        <v>8</v>
      </c>
      <c r="PX476" s="27" t="s">
        <v>7</v>
      </c>
      <c r="PY476" s="27" t="s">
        <v>8</v>
      </c>
      <c r="PZ476" s="27" t="s">
        <v>7</v>
      </c>
      <c r="QA476" s="27" t="s">
        <v>8</v>
      </c>
      <c r="RF476" s="27" t="s">
        <v>7</v>
      </c>
      <c r="RG476" s="27" t="s">
        <v>8</v>
      </c>
      <c r="RH476" s="27" t="s">
        <v>7</v>
      </c>
      <c r="RL476" s="27" t="s">
        <v>7</v>
      </c>
      <c r="RM476" s="27" t="s">
        <v>8</v>
      </c>
      <c r="RN476" s="27" t="s">
        <v>7</v>
      </c>
      <c r="RO476" s="27" t="s">
        <v>8</v>
      </c>
      <c r="RR476" s="27" t="s">
        <v>7</v>
      </c>
      <c r="RS476" s="27" t="s">
        <v>8</v>
      </c>
      <c r="RT476" s="27" t="s">
        <v>7</v>
      </c>
      <c r="RW476" s="27" t="s">
        <v>8</v>
      </c>
      <c r="RX476" s="27" t="s">
        <v>7</v>
      </c>
    </row>
    <row r="477" spans="1:492" x14ac:dyDescent="0.25">
      <c r="A477" s="7">
        <v>8.8311831929862912</v>
      </c>
      <c r="B477"/>
      <c r="C477"/>
      <c r="D477"/>
      <c r="E477"/>
      <c r="LK477" s="27" t="s">
        <v>8</v>
      </c>
      <c r="MM477" s="27" t="s">
        <v>8</v>
      </c>
      <c r="MN477" s="27" t="s">
        <v>7</v>
      </c>
      <c r="MO477" s="27" t="s">
        <v>8</v>
      </c>
      <c r="NN477" s="27" t="s">
        <v>7</v>
      </c>
      <c r="NO477" s="27" t="s">
        <v>8</v>
      </c>
      <c r="NP477" s="27" t="s">
        <v>7</v>
      </c>
      <c r="NQ477" s="27" t="s">
        <v>8</v>
      </c>
      <c r="NX477" s="27" t="s">
        <v>7</v>
      </c>
      <c r="NY477" s="27" t="s">
        <v>8</v>
      </c>
      <c r="NZ477" s="27" t="s">
        <v>7</v>
      </c>
      <c r="OA477" s="27" t="s">
        <v>8</v>
      </c>
      <c r="OB477" s="27" t="s">
        <v>7</v>
      </c>
      <c r="OY477" s="27" t="s">
        <v>8</v>
      </c>
      <c r="PX477" s="27" t="s">
        <v>7</v>
      </c>
      <c r="PZ477" s="27" t="s">
        <v>7</v>
      </c>
      <c r="QA477" s="27" t="s">
        <v>8</v>
      </c>
      <c r="RF477" s="27" t="s">
        <v>7</v>
      </c>
      <c r="RG477" s="27" t="s">
        <v>8</v>
      </c>
      <c r="RL477" s="27" t="s">
        <v>7</v>
      </c>
      <c r="RM477" s="27" t="s">
        <v>8</v>
      </c>
      <c r="RN477" s="27" t="s">
        <v>7</v>
      </c>
      <c r="RO477" s="27" t="s">
        <v>8</v>
      </c>
      <c r="RR477" s="27" t="s">
        <v>7</v>
      </c>
      <c r="RS477" s="27" t="s">
        <v>8</v>
      </c>
      <c r="RT477" s="27" t="s">
        <v>7</v>
      </c>
      <c r="RW477" s="27" t="s">
        <v>8</v>
      </c>
      <c r="RX477" s="27" t="s">
        <v>7</v>
      </c>
    </row>
    <row r="478" spans="1:492" x14ac:dyDescent="0.25">
      <c r="A478" s="7">
        <v>8.6580227382218542</v>
      </c>
      <c r="B478"/>
      <c r="C478"/>
      <c r="D478"/>
      <c r="E478"/>
      <c r="LK478" s="27" t="s">
        <v>8</v>
      </c>
      <c r="LL478" s="27" t="s">
        <v>7</v>
      </c>
      <c r="MM478" s="27" t="s">
        <v>8</v>
      </c>
      <c r="MN478" s="27" t="s">
        <v>7</v>
      </c>
      <c r="MO478" s="27" t="s">
        <v>8</v>
      </c>
      <c r="NN478" s="27" t="s">
        <v>7</v>
      </c>
      <c r="NO478" s="27" t="s">
        <v>8</v>
      </c>
      <c r="NP478" s="27" t="s">
        <v>7</v>
      </c>
      <c r="NQ478" s="27" t="s">
        <v>8</v>
      </c>
      <c r="NX478" s="27" t="s">
        <v>7</v>
      </c>
      <c r="NY478" s="27" t="s">
        <v>8</v>
      </c>
      <c r="NZ478" s="27" t="s">
        <v>7</v>
      </c>
      <c r="OA478" s="27" t="s">
        <v>8</v>
      </c>
      <c r="OB478" s="27" t="s">
        <v>7</v>
      </c>
      <c r="OY478" s="27" t="s">
        <v>8</v>
      </c>
      <c r="PZ478" s="27" t="s">
        <v>7</v>
      </c>
      <c r="RF478" s="27" t="s">
        <v>7</v>
      </c>
      <c r="RG478" s="27" t="s">
        <v>8</v>
      </c>
      <c r="RL478" s="27" t="s">
        <v>7</v>
      </c>
      <c r="RN478" s="27" t="s">
        <v>7</v>
      </c>
      <c r="RR478" s="27" t="s">
        <v>7</v>
      </c>
      <c r="RS478" s="27" t="s">
        <v>8</v>
      </c>
      <c r="RT478" s="27" t="s">
        <v>7</v>
      </c>
      <c r="RW478" s="27" t="s">
        <v>8</v>
      </c>
      <c r="RX478" s="27" t="s">
        <v>7</v>
      </c>
    </row>
    <row r="479" spans="1:492" x14ac:dyDescent="0.25">
      <c r="A479" s="7">
        <v>8.4882575864920131</v>
      </c>
      <c r="B479"/>
      <c r="C479"/>
      <c r="D479"/>
      <c r="E479"/>
      <c r="LK479" s="27" t="s">
        <v>8</v>
      </c>
      <c r="LL479" s="27" t="s">
        <v>7</v>
      </c>
      <c r="MM479" s="27" t="s">
        <v>8</v>
      </c>
      <c r="MN479" s="27" t="s">
        <v>7</v>
      </c>
      <c r="MO479" s="27" t="s">
        <v>8</v>
      </c>
      <c r="NN479" s="27" t="s">
        <v>7</v>
      </c>
      <c r="NO479" s="27" t="s">
        <v>8</v>
      </c>
      <c r="NP479" s="27" t="s">
        <v>7</v>
      </c>
      <c r="NQ479" s="27" t="s">
        <v>8</v>
      </c>
      <c r="NX479" s="27" t="s">
        <v>7</v>
      </c>
      <c r="NZ479" s="27" t="s">
        <v>7</v>
      </c>
      <c r="OA479" s="27" t="s">
        <v>8</v>
      </c>
      <c r="OB479" s="27" t="s">
        <v>7</v>
      </c>
      <c r="OU479" s="27" t="s">
        <v>8</v>
      </c>
      <c r="OY479" s="27" t="s">
        <v>8</v>
      </c>
      <c r="RF479" s="27" t="s">
        <v>7</v>
      </c>
      <c r="RG479" s="27" t="s">
        <v>8</v>
      </c>
      <c r="RR479" s="27" t="s">
        <v>7</v>
      </c>
      <c r="RT479" s="27" t="s">
        <v>7</v>
      </c>
      <c r="RW479" s="27" t="s">
        <v>8</v>
      </c>
      <c r="RX479" s="27" t="s">
        <v>7</v>
      </c>
    </row>
    <row r="480" spans="1:492" x14ac:dyDescent="0.25">
      <c r="A480" s="7">
        <v>8.3218211632274635</v>
      </c>
      <c r="B480"/>
      <c r="C480"/>
      <c r="D480"/>
      <c r="E480"/>
      <c r="LK480" s="27" t="s">
        <v>8</v>
      </c>
      <c r="LL480" s="27" t="s">
        <v>7</v>
      </c>
      <c r="MM480" s="27" t="s">
        <v>8</v>
      </c>
      <c r="MN480" s="27" t="s">
        <v>7</v>
      </c>
      <c r="MO480" s="27" t="s">
        <v>8</v>
      </c>
      <c r="NN480" s="27" t="s">
        <v>7</v>
      </c>
      <c r="NO480" s="27" t="s">
        <v>8</v>
      </c>
      <c r="NP480" s="27" t="s">
        <v>7</v>
      </c>
      <c r="NQ480" s="27" t="s">
        <v>8</v>
      </c>
      <c r="NZ480" s="27" t="s">
        <v>7</v>
      </c>
      <c r="OB480" s="27" t="s">
        <v>7</v>
      </c>
      <c r="OU480" s="27" t="s">
        <v>8</v>
      </c>
      <c r="OV480" s="27" t="s">
        <v>7</v>
      </c>
      <c r="OY480" s="27" t="s">
        <v>8</v>
      </c>
      <c r="RF480" s="27" t="s">
        <v>7</v>
      </c>
      <c r="RG480" s="27" t="s">
        <v>8</v>
      </c>
      <c r="RT480" s="27" t="s">
        <v>7</v>
      </c>
      <c r="RW480" s="27" t="s">
        <v>8</v>
      </c>
      <c r="RX480" s="27" t="s">
        <v>7</v>
      </c>
    </row>
    <row r="481" spans="1:495" x14ac:dyDescent="0.25">
      <c r="A481" s="7">
        <v>8.1586481992426112</v>
      </c>
      <c r="B481"/>
      <c r="C481"/>
      <c r="D481"/>
      <c r="E481"/>
      <c r="LK481" s="27" t="s">
        <v>8</v>
      </c>
      <c r="LL481" s="27" t="s">
        <v>7</v>
      </c>
      <c r="MM481" s="27" t="s">
        <v>8</v>
      </c>
      <c r="MN481" s="27" t="s">
        <v>7</v>
      </c>
      <c r="MO481" s="27" t="s">
        <v>8</v>
      </c>
      <c r="NN481" s="27" t="s">
        <v>7</v>
      </c>
      <c r="NO481" s="27" t="s">
        <v>8</v>
      </c>
      <c r="NP481" s="27" t="s">
        <v>7</v>
      </c>
      <c r="NQ481" s="27" t="s">
        <v>8</v>
      </c>
      <c r="OB481" s="27" t="s">
        <v>7</v>
      </c>
      <c r="OU481" s="27" t="s">
        <v>8</v>
      </c>
      <c r="OV481" s="27" t="s">
        <v>7</v>
      </c>
      <c r="OW481" s="27" t="s">
        <v>8</v>
      </c>
      <c r="OY481" s="27" t="s">
        <v>8</v>
      </c>
      <c r="RF481" s="27" t="s">
        <v>7</v>
      </c>
      <c r="RT481" s="27" t="s">
        <v>7</v>
      </c>
      <c r="RW481" s="27" t="s">
        <v>8</v>
      </c>
      <c r="RX481" s="27" t="s">
        <v>7</v>
      </c>
    </row>
    <row r="482" spans="1:495" x14ac:dyDescent="0.25">
      <c r="A482" s="7">
        <v>7.9986747051398144</v>
      </c>
      <c r="B482"/>
      <c r="C482"/>
      <c r="D482"/>
      <c r="E482"/>
      <c r="LK482" s="27" t="s">
        <v>8</v>
      </c>
      <c r="LL482" s="27" t="s">
        <v>7</v>
      </c>
      <c r="MM482" s="27" t="s">
        <v>8</v>
      </c>
      <c r="MN482" s="27" t="s">
        <v>7</v>
      </c>
      <c r="NN482" s="27" t="s">
        <v>7</v>
      </c>
      <c r="NO482" s="27" t="s">
        <v>8</v>
      </c>
      <c r="NP482" s="27" t="s">
        <v>7</v>
      </c>
      <c r="NQ482" s="27" t="s">
        <v>8</v>
      </c>
      <c r="OB482" s="27" t="s">
        <v>7</v>
      </c>
      <c r="OU482" s="27" t="s">
        <v>8</v>
      </c>
      <c r="OV482" s="27" t="s">
        <v>7</v>
      </c>
      <c r="OW482" s="27" t="s">
        <v>8</v>
      </c>
      <c r="OX482" s="27" t="s">
        <v>7</v>
      </c>
      <c r="OY482" s="27" t="s">
        <v>8</v>
      </c>
      <c r="RT482" s="27" t="s">
        <v>7</v>
      </c>
      <c r="RU482" s="27" t="s">
        <v>8</v>
      </c>
      <c r="RW482" s="27" t="s">
        <v>8</v>
      </c>
      <c r="RX482" s="27" t="s">
        <v>7</v>
      </c>
    </row>
    <row r="483" spans="1:495" x14ac:dyDescent="0.25">
      <c r="A483" s="7">
        <v>7.8418379462155041</v>
      </c>
      <c r="B483"/>
      <c r="C483"/>
      <c r="D483"/>
      <c r="E483"/>
      <c r="LK483" s="27" t="s">
        <v>8</v>
      </c>
      <c r="LL483" s="27" t="s">
        <v>7</v>
      </c>
      <c r="MM483" s="27" t="s">
        <v>8</v>
      </c>
      <c r="NN483" s="27" t="s">
        <v>7</v>
      </c>
      <c r="NO483" s="27" t="s">
        <v>8</v>
      </c>
      <c r="NP483" s="27" t="s">
        <v>7</v>
      </c>
      <c r="NQ483" s="27" t="s">
        <v>8</v>
      </c>
      <c r="OB483" s="27" t="s">
        <v>7</v>
      </c>
      <c r="OE483" s="27" t="s">
        <v>8</v>
      </c>
      <c r="OU483" s="27" t="s">
        <v>8</v>
      </c>
      <c r="OV483" s="27" t="s">
        <v>7</v>
      </c>
      <c r="OW483" s="27" t="s">
        <v>8</v>
      </c>
      <c r="OX483" s="27" t="s">
        <v>7</v>
      </c>
      <c r="OY483" s="27" t="s">
        <v>8</v>
      </c>
      <c r="RT483" s="27" t="s">
        <v>7</v>
      </c>
      <c r="RU483" s="27" t="s">
        <v>8</v>
      </c>
      <c r="RV483" s="27" t="s">
        <v>7</v>
      </c>
      <c r="RW483" s="27" t="s">
        <v>8</v>
      </c>
      <c r="RX483" s="27" t="s">
        <v>7</v>
      </c>
    </row>
    <row r="484" spans="1:495" x14ac:dyDescent="0.25">
      <c r="A484" s="7">
        <v>7.688076417858337</v>
      </c>
      <c r="B484"/>
      <c r="C484"/>
      <c r="D484"/>
      <c r="E484"/>
      <c r="LK484" s="27" t="s">
        <v>8</v>
      </c>
      <c r="LL484" s="27" t="s">
        <v>7</v>
      </c>
      <c r="LM484" s="27" t="s">
        <v>8</v>
      </c>
      <c r="MM484" s="27" t="s">
        <v>8</v>
      </c>
      <c r="NN484" s="27" t="s">
        <v>7</v>
      </c>
      <c r="NO484" s="27" t="s">
        <v>8</v>
      </c>
      <c r="NP484" s="27" t="s">
        <v>7</v>
      </c>
      <c r="NQ484" s="27" t="s">
        <v>8</v>
      </c>
      <c r="OB484" s="27" t="s">
        <v>7</v>
      </c>
      <c r="OE484" s="27" t="s">
        <v>8</v>
      </c>
      <c r="OF484" s="27" t="s">
        <v>7</v>
      </c>
      <c r="OG484" s="27" t="s">
        <v>8</v>
      </c>
      <c r="OU484" s="27" t="s">
        <v>8</v>
      </c>
      <c r="OV484" s="27" t="s">
        <v>7</v>
      </c>
      <c r="OW484" s="27" t="s">
        <v>8</v>
      </c>
      <c r="OX484" s="27" t="s">
        <v>7</v>
      </c>
      <c r="OY484" s="27" t="s">
        <v>8</v>
      </c>
      <c r="RT484" s="27" t="s">
        <v>7</v>
      </c>
      <c r="RU484" s="27" t="s">
        <v>8</v>
      </c>
      <c r="RV484" s="27" t="s">
        <v>7</v>
      </c>
      <c r="RW484" s="27" t="s">
        <v>8</v>
      </c>
      <c r="RX484" s="27" t="s">
        <v>7</v>
      </c>
    </row>
    <row r="485" spans="1:495" x14ac:dyDescent="0.25">
      <c r="A485" s="7">
        <v>7.5373298214297417</v>
      </c>
      <c r="B485"/>
      <c r="C485"/>
      <c r="D485"/>
      <c r="E485"/>
      <c r="LK485" s="27" t="s">
        <v>8</v>
      </c>
      <c r="LL485" s="27" t="s">
        <v>7</v>
      </c>
      <c r="LM485" s="27" t="s">
        <v>8</v>
      </c>
      <c r="LN485" s="27" t="s">
        <v>7</v>
      </c>
      <c r="MI485" s="27" t="s">
        <v>8</v>
      </c>
      <c r="MM485" s="27" t="s">
        <v>8</v>
      </c>
      <c r="NN485" s="27" t="s">
        <v>7</v>
      </c>
      <c r="NO485" s="27" t="s">
        <v>8</v>
      </c>
      <c r="NP485" s="27" t="s">
        <v>7</v>
      </c>
      <c r="NQ485" s="27" t="s">
        <v>8</v>
      </c>
      <c r="OB485" s="27" t="s">
        <v>7</v>
      </c>
      <c r="OE485" s="27" t="s">
        <v>8</v>
      </c>
      <c r="OF485" s="27" t="s">
        <v>7</v>
      </c>
      <c r="OG485" s="27" t="s">
        <v>8</v>
      </c>
      <c r="OH485" s="27" t="s">
        <v>7</v>
      </c>
      <c r="OU485" s="27" t="s">
        <v>8</v>
      </c>
      <c r="OV485" s="27" t="s">
        <v>7</v>
      </c>
      <c r="OW485" s="27" t="s">
        <v>8</v>
      </c>
      <c r="OX485" s="27" t="s">
        <v>7</v>
      </c>
      <c r="RT485" s="27" t="s">
        <v>7</v>
      </c>
      <c r="RU485" s="27" t="s">
        <v>8</v>
      </c>
      <c r="RV485" s="27" t="s">
        <v>7</v>
      </c>
      <c r="RX485" s="27" t="s">
        <v>7</v>
      </c>
    </row>
    <row r="486" spans="1:495" x14ac:dyDescent="0.25">
      <c r="A486" s="7">
        <v>7.389539040617394</v>
      </c>
      <c r="B486"/>
      <c r="C486"/>
      <c r="D486"/>
      <c r="E486"/>
      <c r="LK486" s="27" t="s">
        <v>8</v>
      </c>
      <c r="LL486" s="27" t="s">
        <v>7</v>
      </c>
      <c r="LM486" s="27" t="s">
        <v>8</v>
      </c>
      <c r="LN486" s="27" t="s">
        <v>7</v>
      </c>
      <c r="LQ486" s="27" t="s">
        <v>8</v>
      </c>
      <c r="MI486" s="27" t="s">
        <v>8</v>
      </c>
      <c r="MJ486" s="27" t="s">
        <v>7</v>
      </c>
      <c r="MM486" s="27" t="s">
        <v>8</v>
      </c>
      <c r="NN486" s="27" t="s">
        <v>7</v>
      </c>
      <c r="NP486" s="27" t="s">
        <v>7</v>
      </c>
      <c r="NQ486" s="27" t="s">
        <v>8</v>
      </c>
      <c r="OB486" s="27" t="s">
        <v>7</v>
      </c>
      <c r="OE486" s="27" t="s">
        <v>8</v>
      </c>
      <c r="OF486" s="27" t="s">
        <v>7</v>
      </c>
      <c r="OG486" s="27" t="s">
        <v>8</v>
      </c>
      <c r="OH486" s="27" t="s">
        <v>7</v>
      </c>
      <c r="OU486" s="27" t="s">
        <v>8</v>
      </c>
      <c r="OV486" s="27" t="s">
        <v>7</v>
      </c>
      <c r="OW486" s="27" t="s">
        <v>8</v>
      </c>
      <c r="RT486" s="27" t="s">
        <v>7</v>
      </c>
      <c r="RU486" s="27" t="s">
        <v>8</v>
      </c>
      <c r="RX486" s="27" t="s">
        <v>7</v>
      </c>
    </row>
    <row r="487" spans="1:495" x14ac:dyDescent="0.25">
      <c r="A487" s="7">
        <v>7.2446461182523469</v>
      </c>
      <c r="B487"/>
      <c r="C487"/>
      <c r="D487"/>
      <c r="E487"/>
      <c r="LK487" s="27" t="s">
        <v>8</v>
      </c>
      <c r="LL487" s="27" t="s">
        <v>7</v>
      </c>
      <c r="LM487" s="27" t="s">
        <v>8</v>
      </c>
      <c r="LN487" s="27" t="s">
        <v>7</v>
      </c>
      <c r="LQ487" s="27" t="s">
        <v>8</v>
      </c>
      <c r="LR487" s="27" t="s">
        <v>7</v>
      </c>
      <c r="LS487" s="27" t="s">
        <v>8</v>
      </c>
      <c r="MI487" s="27" t="s">
        <v>8</v>
      </c>
      <c r="MJ487" s="27" t="s">
        <v>7</v>
      </c>
      <c r="MM487" s="27" t="s">
        <v>8</v>
      </c>
      <c r="NP487" s="27" t="s">
        <v>7</v>
      </c>
      <c r="NQ487" s="27" t="s">
        <v>8</v>
      </c>
      <c r="OB487" s="27" t="s">
        <v>7</v>
      </c>
      <c r="OE487" s="27" t="s">
        <v>8</v>
      </c>
      <c r="OF487" s="27" t="s">
        <v>7</v>
      </c>
      <c r="OG487" s="27" t="s">
        <v>8</v>
      </c>
      <c r="OH487" s="27" t="s">
        <v>7</v>
      </c>
      <c r="OI487" s="27" t="s">
        <v>8</v>
      </c>
      <c r="OU487" s="27" t="s">
        <v>8</v>
      </c>
      <c r="OV487" s="27" t="s">
        <v>7</v>
      </c>
      <c r="RT487" s="27" t="s">
        <v>7</v>
      </c>
      <c r="RU487" s="27" t="s">
        <v>8</v>
      </c>
      <c r="RX487" s="27" t="s">
        <v>7</v>
      </c>
    </row>
    <row r="488" spans="1:495" x14ac:dyDescent="0.25">
      <c r="A488" s="7">
        <v>7.1025942335807324</v>
      </c>
      <c r="B488"/>
      <c r="C488"/>
      <c r="D488"/>
      <c r="E488"/>
      <c r="LK488" s="27" t="s">
        <v>8</v>
      </c>
      <c r="LL488" s="27" t="s">
        <v>7</v>
      </c>
      <c r="LM488" s="27" t="s">
        <v>8</v>
      </c>
      <c r="LN488" s="27" t="s">
        <v>7</v>
      </c>
      <c r="LQ488" s="27" t="s">
        <v>8</v>
      </c>
      <c r="LR488" s="27" t="s">
        <v>7</v>
      </c>
      <c r="LS488" s="27" t="s">
        <v>8</v>
      </c>
      <c r="LT488" s="27" t="s">
        <v>7</v>
      </c>
      <c r="MI488" s="27" t="s">
        <v>8</v>
      </c>
      <c r="MJ488" s="27" t="s">
        <v>7</v>
      </c>
      <c r="MM488" s="27" t="s">
        <v>8</v>
      </c>
      <c r="NP488" s="27" t="s">
        <v>7</v>
      </c>
      <c r="NQ488" s="27" t="s">
        <v>8</v>
      </c>
      <c r="OB488" s="27" t="s">
        <v>7</v>
      </c>
      <c r="OE488" s="27" t="s">
        <v>8</v>
      </c>
      <c r="OF488" s="27" t="s">
        <v>7</v>
      </c>
      <c r="OG488" s="27" t="s">
        <v>8</v>
      </c>
      <c r="OH488" s="27" t="s">
        <v>7</v>
      </c>
      <c r="OI488" s="27" t="s">
        <v>8</v>
      </c>
      <c r="OJ488" s="27" t="s">
        <v>7</v>
      </c>
      <c r="OU488" s="27" t="s">
        <v>8</v>
      </c>
      <c r="RT488" s="27" t="s">
        <v>7</v>
      </c>
      <c r="RU488" s="27" t="s">
        <v>8</v>
      </c>
      <c r="RX488" s="27" t="s">
        <v>7</v>
      </c>
    </row>
    <row r="489" spans="1:495" x14ac:dyDescent="0.25">
      <c r="A489" s="7">
        <v>6.9633276799811101</v>
      </c>
      <c r="B489"/>
      <c r="C489"/>
      <c r="D489"/>
      <c r="E489"/>
      <c r="LK489" s="27" t="s">
        <v>8</v>
      </c>
      <c r="LL489" s="27" t="s">
        <v>7</v>
      </c>
      <c r="LN489" s="27" t="s">
        <v>7</v>
      </c>
      <c r="LQ489" s="27" t="s">
        <v>8</v>
      </c>
      <c r="LR489" s="27" t="s">
        <v>7</v>
      </c>
      <c r="LS489" s="27" t="s">
        <v>8</v>
      </c>
      <c r="LT489" s="27" t="s">
        <v>7</v>
      </c>
      <c r="MI489" s="27" t="s">
        <v>8</v>
      </c>
      <c r="MJ489" s="27" t="s">
        <v>7</v>
      </c>
      <c r="MK489" s="27" t="s">
        <v>8</v>
      </c>
      <c r="MM489" s="27" t="s">
        <v>8</v>
      </c>
      <c r="NP489" s="27" t="s">
        <v>7</v>
      </c>
      <c r="NQ489" s="27" t="s">
        <v>8</v>
      </c>
      <c r="OB489" s="27" t="s">
        <v>7</v>
      </c>
      <c r="OE489" s="27" t="s">
        <v>8</v>
      </c>
      <c r="OF489" s="27" t="s">
        <v>7</v>
      </c>
      <c r="OG489" s="27" t="s">
        <v>8</v>
      </c>
      <c r="OH489" s="27" t="s">
        <v>7</v>
      </c>
      <c r="OI489" s="27" t="s">
        <v>8</v>
      </c>
      <c r="OJ489" s="27" t="s">
        <v>7</v>
      </c>
      <c r="OS489" s="27" t="s">
        <v>8</v>
      </c>
      <c r="OU489" s="27" t="s">
        <v>8</v>
      </c>
      <c r="RT489" s="27" t="s">
        <v>7</v>
      </c>
      <c r="RX489" s="27" t="s">
        <v>7</v>
      </c>
    </row>
    <row r="490" spans="1:495" x14ac:dyDescent="0.25">
      <c r="A490" s="7">
        <v>6.8267918431187349</v>
      </c>
      <c r="B490"/>
      <c r="C490"/>
      <c r="D490"/>
      <c r="E490"/>
      <c r="LK490" s="27" t="s">
        <v>8</v>
      </c>
      <c r="LN490" s="27" t="s">
        <v>7</v>
      </c>
      <c r="LQ490" s="27" t="s">
        <v>8</v>
      </c>
      <c r="LR490" s="27" t="s">
        <v>7</v>
      </c>
      <c r="LS490" s="27" t="s">
        <v>8</v>
      </c>
      <c r="LT490" s="27" t="s">
        <v>7</v>
      </c>
      <c r="MI490" s="27" t="s">
        <v>8</v>
      </c>
      <c r="MJ490" s="27" t="s">
        <v>7</v>
      </c>
      <c r="MK490" s="27" t="s">
        <v>8</v>
      </c>
      <c r="ML490" s="27" t="s">
        <v>7</v>
      </c>
      <c r="MM490" s="27" t="s">
        <v>8</v>
      </c>
      <c r="NP490" s="27" t="s">
        <v>7</v>
      </c>
      <c r="NQ490" s="27" t="s">
        <v>8</v>
      </c>
      <c r="OB490" s="27" t="s">
        <v>7</v>
      </c>
      <c r="OE490" s="27" t="s">
        <v>8</v>
      </c>
      <c r="OF490" s="27" t="s">
        <v>7</v>
      </c>
      <c r="OG490" s="27" t="s">
        <v>8</v>
      </c>
      <c r="OH490" s="27" t="s">
        <v>7</v>
      </c>
      <c r="OJ490" s="27" t="s">
        <v>7</v>
      </c>
      <c r="OK490" s="27" t="s">
        <v>8</v>
      </c>
      <c r="OS490" s="27" t="s">
        <v>8</v>
      </c>
      <c r="OT490" s="27" t="s">
        <v>7</v>
      </c>
      <c r="OU490" s="27" t="s">
        <v>8</v>
      </c>
      <c r="RX490" s="27" t="s">
        <v>7</v>
      </c>
    </row>
    <row r="491" spans="1:495" x14ac:dyDescent="0.25">
      <c r="A491" s="7">
        <v>6.692933179528171</v>
      </c>
      <c r="B491"/>
      <c r="C491"/>
      <c r="D491"/>
      <c r="E491"/>
      <c r="LK491" s="27" t="s">
        <v>8</v>
      </c>
      <c r="LN491" s="27" t="s">
        <v>7</v>
      </c>
      <c r="LO491" s="27" t="s">
        <v>8</v>
      </c>
      <c r="LQ491" s="27" t="s">
        <v>8</v>
      </c>
      <c r="LR491" s="27" t="s">
        <v>7</v>
      </c>
      <c r="LS491" s="27" t="s">
        <v>8</v>
      </c>
      <c r="LT491" s="27" t="s">
        <v>7</v>
      </c>
      <c r="MI491" s="27" t="s">
        <v>8</v>
      </c>
      <c r="MJ491" s="27" t="s">
        <v>7</v>
      </c>
      <c r="MK491" s="27" t="s">
        <v>8</v>
      </c>
      <c r="ML491" s="27" t="s">
        <v>7</v>
      </c>
      <c r="MM491" s="27" t="s">
        <v>8</v>
      </c>
      <c r="NP491" s="27" t="s">
        <v>7</v>
      </c>
      <c r="NQ491" s="27" t="s">
        <v>8</v>
      </c>
      <c r="OB491" s="27" t="s">
        <v>7</v>
      </c>
      <c r="OE491" s="27" t="s">
        <v>8</v>
      </c>
      <c r="OF491" s="27" t="s">
        <v>7</v>
      </c>
      <c r="OJ491" s="27" t="s">
        <v>7</v>
      </c>
      <c r="OK491" s="27" t="s">
        <v>8</v>
      </c>
      <c r="OL491" s="27" t="s">
        <v>7</v>
      </c>
      <c r="OS491" s="27" t="s">
        <v>8</v>
      </c>
      <c r="OT491" s="27" t="s">
        <v>7</v>
      </c>
      <c r="OU491" s="27" t="s">
        <v>8</v>
      </c>
      <c r="RX491" s="27" t="s">
        <v>7</v>
      </c>
    </row>
    <row r="492" spans="1:495" x14ac:dyDescent="0.25">
      <c r="A492" s="7">
        <v>6.5616991956158541</v>
      </c>
      <c r="B492"/>
      <c r="C492"/>
      <c r="D492"/>
      <c r="E492"/>
      <c r="LK492" s="27" t="s">
        <v>8</v>
      </c>
      <c r="LN492" s="27" t="s">
        <v>7</v>
      </c>
      <c r="LO492" s="27" t="s">
        <v>8</v>
      </c>
      <c r="LP492" s="27" t="s">
        <v>7</v>
      </c>
      <c r="LQ492" s="27" t="s">
        <v>8</v>
      </c>
      <c r="LR492" s="27" t="s">
        <v>7</v>
      </c>
      <c r="LS492" s="27" t="s">
        <v>8</v>
      </c>
      <c r="LT492" s="27" t="s">
        <v>7</v>
      </c>
      <c r="LY492" s="27" t="s">
        <v>8</v>
      </c>
      <c r="MC492" s="27" t="s">
        <v>8</v>
      </c>
      <c r="MI492" s="27" t="s">
        <v>8</v>
      </c>
      <c r="MJ492" s="27" t="s">
        <v>7</v>
      </c>
      <c r="MK492" s="27" t="s">
        <v>8</v>
      </c>
      <c r="ML492" s="27" t="s">
        <v>7</v>
      </c>
      <c r="MM492" s="27" t="s">
        <v>8</v>
      </c>
      <c r="NP492" s="27" t="s">
        <v>7</v>
      </c>
      <c r="NQ492" s="27" t="s">
        <v>8</v>
      </c>
      <c r="OB492" s="27" t="s">
        <v>7</v>
      </c>
      <c r="OE492" s="27" t="s">
        <v>8</v>
      </c>
      <c r="OJ492" s="27" t="s">
        <v>7</v>
      </c>
      <c r="OK492" s="27" t="s">
        <v>8</v>
      </c>
      <c r="OL492" s="27" t="s">
        <v>7</v>
      </c>
      <c r="OS492" s="27" t="s">
        <v>8</v>
      </c>
      <c r="OT492" s="27" t="s">
        <v>7</v>
      </c>
      <c r="OU492" s="27" t="s">
        <v>8</v>
      </c>
      <c r="RX492" s="27" t="s">
        <v>7</v>
      </c>
    </row>
    <row r="493" spans="1:495" x14ac:dyDescent="0.25">
      <c r="A493" s="7">
        <v>6.4330384270743668</v>
      </c>
      <c r="B493"/>
      <c r="C493"/>
      <c r="D493"/>
      <c r="E493"/>
      <c r="LK493" s="27" t="s">
        <v>8</v>
      </c>
      <c r="LN493" s="27" t="s">
        <v>7</v>
      </c>
      <c r="LO493" s="27" t="s">
        <v>8</v>
      </c>
      <c r="LP493" s="27" t="s">
        <v>7</v>
      </c>
      <c r="LQ493" s="27" t="s">
        <v>8</v>
      </c>
      <c r="LR493" s="27" t="s">
        <v>7</v>
      </c>
      <c r="LT493" s="27" t="s">
        <v>7</v>
      </c>
      <c r="LY493" s="27" t="s">
        <v>8</v>
      </c>
      <c r="LZ493" s="27" t="s">
        <v>7</v>
      </c>
      <c r="MA493" s="27" t="s">
        <v>8</v>
      </c>
      <c r="MC493" s="27" t="s">
        <v>8</v>
      </c>
      <c r="MD493" s="27" t="s">
        <v>7</v>
      </c>
      <c r="MG493" s="27" t="s">
        <v>8</v>
      </c>
      <c r="MI493" s="27" t="s">
        <v>8</v>
      </c>
      <c r="MJ493" s="27" t="s">
        <v>7</v>
      </c>
      <c r="ML493" s="27" t="s">
        <v>7</v>
      </c>
      <c r="MM493" s="27" t="s">
        <v>8</v>
      </c>
      <c r="NP493" s="27" t="s">
        <v>7</v>
      </c>
      <c r="OB493" s="27" t="s">
        <v>7</v>
      </c>
      <c r="OC493" s="27" t="s">
        <v>8</v>
      </c>
      <c r="OE493" s="27" t="s">
        <v>8</v>
      </c>
      <c r="OJ493" s="27" t="s">
        <v>7</v>
      </c>
      <c r="OK493" s="27" t="s">
        <v>8</v>
      </c>
      <c r="OL493" s="27" t="s">
        <v>7</v>
      </c>
      <c r="OS493" s="27" t="s">
        <v>8</v>
      </c>
      <c r="OT493" s="27" t="s">
        <v>7</v>
      </c>
      <c r="OU493" s="27" t="s">
        <v>8</v>
      </c>
      <c r="RX493" s="27" t="s">
        <v>7</v>
      </c>
    </row>
    <row r="494" spans="1:495" x14ac:dyDescent="0.25">
      <c r="A494" s="7">
        <v>6.3069004187003594</v>
      </c>
      <c r="B494"/>
      <c r="C494"/>
      <c r="D494"/>
      <c r="E494"/>
      <c r="LK494" s="27" t="s">
        <v>8</v>
      </c>
      <c r="LN494" s="27" t="s">
        <v>7</v>
      </c>
      <c r="LO494" s="27" t="s">
        <v>8</v>
      </c>
      <c r="LP494" s="27" t="s">
        <v>7</v>
      </c>
      <c r="LQ494" s="27" t="s">
        <v>8</v>
      </c>
      <c r="LT494" s="27" t="s">
        <v>7</v>
      </c>
      <c r="LY494" s="27" t="s">
        <v>8</v>
      </c>
      <c r="LZ494" s="27" t="s">
        <v>7</v>
      </c>
      <c r="MA494" s="27" t="s">
        <v>8</v>
      </c>
      <c r="MB494" s="27" t="s">
        <v>7</v>
      </c>
      <c r="MC494" s="27" t="s">
        <v>8</v>
      </c>
      <c r="MD494" s="27" t="s">
        <v>7</v>
      </c>
      <c r="ME494" s="27" t="s">
        <v>8</v>
      </c>
      <c r="MG494" s="27" t="s">
        <v>8</v>
      </c>
      <c r="MH494" s="27" t="s">
        <v>7</v>
      </c>
      <c r="MI494" s="27" t="s">
        <v>8</v>
      </c>
      <c r="ML494" s="27" t="s">
        <v>7</v>
      </c>
      <c r="OB494" s="27" t="s">
        <v>7</v>
      </c>
      <c r="OC494" s="27" t="s">
        <v>8</v>
      </c>
      <c r="OD494" s="27" t="s">
        <v>7</v>
      </c>
      <c r="OE494" s="27" t="s">
        <v>8</v>
      </c>
      <c r="OJ494" s="27" t="s">
        <v>7</v>
      </c>
      <c r="OK494" s="27" t="s">
        <v>8</v>
      </c>
      <c r="OL494" s="27" t="s">
        <v>7</v>
      </c>
      <c r="OM494" s="27" t="s">
        <v>8</v>
      </c>
      <c r="OQ494" s="27" t="s">
        <v>8</v>
      </c>
      <c r="OS494" s="27" t="s">
        <v>8</v>
      </c>
      <c r="OT494" s="27" t="s">
        <v>7</v>
      </c>
      <c r="OU494" s="27" t="s">
        <v>8</v>
      </c>
      <c r="RX494" s="27" t="s">
        <v>7</v>
      </c>
    </row>
    <row r="495" spans="1:495" x14ac:dyDescent="0.25">
      <c r="A495" s="7">
        <v>6.1832357046081956</v>
      </c>
      <c r="B495"/>
      <c r="C495"/>
      <c r="D495"/>
      <c r="E495"/>
      <c r="LK495" s="27" t="s">
        <v>8</v>
      </c>
      <c r="LN495" s="27" t="s">
        <v>7</v>
      </c>
      <c r="LO495" s="27" t="s">
        <v>8</v>
      </c>
      <c r="LP495" s="27" t="s">
        <v>7</v>
      </c>
      <c r="LQ495" s="27" t="s">
        <v>8</v>
      </c>
      <c r="LT495" s="27" t="s">
        <v>7</v>
      </c>
      <c r="LY495" s="27" t="s">
        <v>8</v>
      </c>
      <c r="LZ495" s="27" t="s">
        <v>7</v>
      </c>
      <c r="MA495" s="27" t="s">
        <v>8</v>
      </c>
      <c r="MB495" s="27" t="s">
        <v>7</v>
      </c>
      <c r="MC495" s="27" t="s">
        <v>8</v>
      </c>
      <c r="MD495" s="27" t="s">
        <v>7</v>
      </c>
      <c r="ME495" s="27" t="s">
        <v>8</v>
      </c>
      <c r="MF495" s="27" t="s">
        <v>7</v>
      </c>
      <c r="MG495" s="27" t="s">
        <v>8</v>
      </c>
      <c r="MH495" s="27" t="s">
        <v>7</v>
      </c>
      <c r="MI495" s="27" t="s">
        <v>8</v>
      </c>
      <c r="OB495" s="27" t="s">
        <v>7</v>
      </c>
      <c r="OC495" s="27" t="s">
        <v>8</v>
      </c>
      <c r="OD495" s="27" t="s">
        <v>7</v>
      </c>
      <c r="OE495" s="27" t="s">
        <v>8</v>
      </c>
      <c r="OJ495" s="27" t="s">
        <v>7</v>
      </c>
      <c r="OL495" s="27" t="s">
        <v>7</v>
      </c>
      <c r="OM495" s="27" t="s">
        <v>8</v>
      </c>
      <c r="ON495" s="27" t="s">
        <v>7</v>
      </c>
      <c r="OQ495" s="27" t="s">
        <v>8</v>
      </c>
      <c r="OR495" s="27" t="s">
        <v>7</v>
      </c>
      <c r="OS495" s="27" t="s">
        <v>8</v>
      </c>
      <c r="OT495" s="27" t="s">
        <v>7</v>
      </c>
      <c r="OU495" s="27" t="s">
        <v>8</v>
      </c>
      <c r="RX495" s="27" t="s">
        <v>7</v>
      </c>
    </row>
    <row r="496" spans="1:495" x14ac:dyDescent="0.25">
      <c r="A496" s="7">
        <v>6.0619957888315641</v>
      </c>
      <c r="B496"/>
      <c r="C496"/>
      <c r="D496"/>
      <c r="E496"/>
      <c r="LK496" s="27" t="s">
        <v>8</v>
      </c>
      <c r="LN496" s="27" t="s">
        <v>7</v>
      </c>
      <c r="LO496" s="27" t="s">
        <v>8</v>
      </c>
      <c r="LP496" s="27" t="s">
        <v>7</v>
      </c>
      <c r="LT496" s="27" t="s">
        <v>7</v>
      </c>
      <c r="LY496" s="27" t="s">
        <v>8</v>
      </c>
      <c r="LZ496" s="27" t="s">
        <v>7</v>
      </c>
      <c r="MA496" s="27" t="s">
        <v>8</v>
      </c>
      <c r="MB496" s="27" t="s">
        <v>7</v>
      </c>
      <c r="MD496" s="27" t="s">
        <v>7</v>
      </c>
      <c r="ME496" s="27" t="s">
        <v>8</v>
      </c>
      <c r="MF496" s="27" t="s">
        <v>7</v>
      </c>
      <c r="MG496" s="27" t="s">
        <v>8</v>
      </c>
      <c r="MH496" s="27" t="s">
        <v>7</v>
      </c>
      <c r="MI496" s="27" t="s">
        <v>8</v>
      </c>
      <c r="OB496" s="27" t="s">
        <v>7</v>
      </c>
      <c r="OC496" s="27" t="s">
        <v>8</v>
      </c>
      <c r="OD496" s="27" t="s">
        <v>7</v>
      </c>
      <c r="OE496" s="27" t="s">
        <v>8</v>
      </c>
      <c r="OL496" s="27" t="s">
        <v>7</v>
      </c>
      <c r="OM496" s="27" t="s">
        <v>8</v>
      </c>
      <c r="ON496" s="27" t="s">
        <v>7</v>
      </c>
      <c r="OQ496" s="27" t="s">
        <v>8</v>
      </c>
      <c r="OR496" s="27" t="s">
        <v>7</v>
      </c>
      <c r="OS496" s="27" t="s">
        <v>8</v>
      </c>
      <c r="OT496" s="27" t="s">
        <v>7</v>
      </c>
      <c r="RX496" s="27" t="s">
        <v>7</v>
      </c>
      <c r="SA496" s="27" t="s">
        <v>8</v>
      </c>
    </row>
    <row r="497" spans="1:496" x14ac:dyDescent="0.25">
      <c r="A497" s="7">
        <v>5.9431331263054545</v>
      </c>
      <c r="B497"/>
      <c r="C497"/>
      <c r="D497"/>
      <c r="E497"/>
      <c r="DC497" s="27" t="s">
        <v>8</v>
      </c>
      <c r="LK497" s="27" t="s">
        <v>8</v>
      </c>
      <c r="LN497" s="27" t="s">
        <v>7</v>
      </c>
      <c r="LO497" s="27" t="s">
        <v>8</v>
      </c>
      <c r="LT497" s="27" t="s">
        <v>7</v>
      </c>
      <c r="LY497" s="27" t="s">
        <v>8</v>
      </c>
      <c r="LZ497" s="27" t="s">
        <v>7</v>
      </c>
      <c r="MD497" s="27" t="s">
        <v>7</v>
      </c>
      <c r="ME497" s="27" t="s">
        <v>8</v>
      </c>
      <c r="MF497" s="27" t="s">
        <v>7</v>
      </c>
      <c r="MG497" s="27" t="s">
        <v>8</v>
      </c>
      <c r="MH497" s="27" t="s">
        <v>7</v>
      </c>
      <c r="OB497" s="27" t="s">
        <v>7</v>
      </c>
      <c r="OC497" s="27" t="s">
        <v>8</v>
      </c>
      <c r="OD497" s="27" t="s">
        <v>7</v>
      </c>
      <c r="OE497" s="27" t="s">
        <v>8</v>
      </c>
      <c r="OL497" s="27" t="s">
        <v>7</v>
      </c>
      <c r="OM497" s="27" t="s">
        <v>8</v>
      </c>
      <c r="ON497" s="27" t="s">
        <v>7</v>
      </c>
      <c r="OQ497" s="27" t="s">
        <v>8</v>
      </c>
      <c r="OR497" s="27" t="s">
        <v>7</v>
      </c>
      <c r="RX497" s="27" t="s">
        <v>7</v>
      </c>
      <c r="SA497" s="27" t="s">
        <v>8</v>
      </c>
      <c r="SB497" s="27" t="s">
        <v>7</v>
      </c>
    </row>
    <row r="498" spans="1:496" x14ac:dyDescent="0.25">
      <c r="A498" s="7">
        <v>5.8266011042210337</v>
      </c>
      <c r="B498"/>
      <c r="C498"/>
      <c r="D498"/>
      <c r="E498"/>
      <c r="DC498" s="27" t="s">
        <v>8</v>
      </c>
      <c r="DD498" s="27" t="s">
        <v>7</v>
      </c>
      <c r="DE498" s="27" t="s">
        <v>8</v>
      </c>
      <c r="LK498" s="27" t="s">
        <v>8</v>
      </c>
      <c r="LN498" s="27" t="s">
        <v>7</v>
      </c>
      <c r="LO498" s="27" t="s">
        <v>8</v>
      </c>
      <c r="LT498" s="27" t="s">
        <v>7</v>
      </c>
      <c r="LY498" s="27" t="s">
        <v>8</v>
      </c>
      <c r="MD498" s="27" t="s">
        <v>7</v>
      </c>
      <c r="ME498" s="27" t="s">
        <v>8</v>
      </c>
      <c r="MF498" s="27" t="s">
        <v>7</v>
      </c>
      <c r="MG498" s="27" t="s">
        <v>8</v>
      </c>
      <c r="OB498" s="27" t="s">
        <v>7</v>
      </c>
      <c r="OC498" s="27" t="s">
        <v>8</v>
      </c>
      <c r="OD498" s="27" t="s">
        <v>7</v>
      </c>
      <c r="OE498" s="27" t="s">
        <v>8</v>
      </c>
      <c r="OL498" s="27" t="s">
        <v>7</v>
      </c>
      <c r="ON498" s="27" t="s">
        <v>7</v>
      </c>
      <c r="OO498" s="27" t="s">
        <v>8</v>
      </c>
      <c r="OQ498" s="27" t="s">
        <v>8</v>
      </c>
      <c r="RX498" s="27" t="s">
        <v>7</v>
      </c>
      <c r="RY498" s="27" t="s">
        <v>8</v>
      </c>
      <c r="SA498" s="27" t="s">
        <v>8</v>
      </c>
      <c r="SB498" s="27" t="s">
        <v>7</v>
      </c>
    </row>
    <row r="499" spans="1:496" x14ac:dyDescent="0.25">
      <c r="A499" s="7">
        <v>5.7123540237461112</v>
      </c>
      <c r="B499"/>
      <c r="C499"/>
      <c r="D499"/>
      <c r="E499"/>
      <c r="DC499" s="27" t="s">
        <v>8</v>
      </c>
      <c r="DD499" s="27" t="s">
        <v>7</v>
      </c>
      <c r="DE499" s="27" t="s">
        <v>8</v>
      </c>
      <c r="DF499" s="27" t="s">
        <v>7</v>
      </c>
      <c r="LK499" s="27" t="s">
        <v>8</v>
      </c>
      <c r="LN499" s="27" t="s">
        <v>7</v>
      </c>
      <c r="LO499" s="27" t="s">
        <v>8</v>
      </c>
      <c r="LT499" s="27" t="s">
        <v>7</v>
      </c>
      <c r="LU499" s="27" t="s">
        <v>8</v>
      </c>
      <c r="LW499" s="27" t="s">
        <v>8</v>
      </c>
      <c r="LY499" s="27" t="s">
        <v>8</v>
      </c>
      <c r="MD499" s="27" t="s">
        <v>7</v>
      </c>
      <c r="ME499" s="27" t="s">
        <v>8</v>
      </c>
      <c r="MF499" s="27" t="s">
        <v>7</v>
      </c>
      <c r="MG499" s="27" t="s">
        <v>8</v>
      </c>
      <c r="OB499" s="27" t="s">
        <v>7</v>
      </c>
      <c r="OC499" s="27" t="s">
        <v>8</v>
      </c>
      <c r="OD499" s="27" t="s">
        <v>7</v>
      </c>
      <c r="OE499" s="27" t="s">
        <v>8</v>
      </c>
      <c r="ON499" s="27" t="s">
        <v>7</v>
      </c>
      <c r="OO499" s="27" t="s">
        <v>8</v>
      </c>
      <c r="OP499" s="27" t="s">
        <v>7</v>
      </c>
      <c r="OQ499" s="27" t="s">
        <v>8</v>
      </c>
      <c r="RX499" s="27" t="s">
        <v>7</v>
      </c>
      <c r="RY499" s="27" t="s">
        <v>8</v>
      </c>
      <c r="RZ499" s="27" t="s">
        <v>7</v>
      </c>
      <c r="SA499" s="27" t="s">
        <v>8</v>
      </c>
      <c r="SB499" s="27" t="s">
        <v>7</v>
      </c>
    </row>
    <row r="500" spans="1:496" x14ac:dyDescent="0.25">
      <c r="A500" s="7">
        <v>5.6003470821040304</v>
      </c>
      <c r="B500"/>
      <c r="C500"/>
      <c r="D500"/>
      <c r="E500"/>
      <c r="DC500" s="27" t="s">
        <v>8</v>
      </c>
      <c r="DD500" s="27" t="s">
        <v>7</v>
      </c>
      <c r="DE500" s="27" t="s">
        <v>8</v>
      </c>
      <c r="DF500" s="27" t="s">
        <v>7</v>
      </c>
      <c r="LK500" s="27" t="s">
        <v>8</v>
      </c>
      <c r="LN500" s="27" t="s">
        <v>7</v>
      </c>
      <c r="LO500" s="27" t="s">
        <v>8</v>
      </c>
      <c r="LT500" s="27" t="s">
        <v>7</v>
      </c>
      <c r="LU500" s="27" t="s">
        <v>8</v>
      </c>
      <c r="LV500" s="27" t="s">
        <v>7</v>
      </c>
      <c r="LW500" s="27" t="s">
        <v>8</v>
      </c>
      <c r="LX500" s="27" t="s">
        <v>7</v>
      </c>
      <c r="LY500" s="27" t="s">
        <v>8</v>
      </c>
      <c r="MD500" s="27" t="s">
        <v>7</v>
      </c>
      <c r="MF500" s="27" t="s">
        <v>7</v>
      </c>
      <c r="MG500" s="27" t="s">
        <v>8</v>
      </c>
      <c r="OB500" s="27" t="s">
        <v>7</v>
      </c>
      <c r="OC500" s="27" t="s">
        <v>8</v>
      </c>
      <c r="OD500" s="27" t="s">
        <v>7</v>
      </c>
      <c r="OE500" s="27" t="s">
        <v>8</v>
      </c>
      <c r="ON500" s="27" t="s">
        <v>7</v>
      </c>
      <c r="OO500" s="27" t="s">
        <v>8</v>
      </c>
      <c r="OP500" s="27" t="s">
        <v>7</v>
      </c>
      <c r="OQ500" s="27" t="s">
        <v>8</v>
      </c>
      <c r="RX500" s="27" t="s">
        <v>7</v>
      </c>
      <c r="RY500" s="27" t="s">
        <v>8</v>
      </c>
      <c r="RZ500" s="27" t="s">
        <v>7</v>
      </c>
      <c r="SA500" s="27" t="s">
        <v>8</v>
      </c>
      <c r="SB500" s="27" t="s">
        <v>7</v>
      </c>
    </row>
    <row r="501" spans="1:496" x14ac:dyDescent="0.25">
      <c r="A501" s="7">
        <v>5.4905363550039512</v>
      </c>
      <c r="B501"/>
      <c r="C501"/>
      <c r="D501"/>
      <c r="E501"/>
      <c r="DC501" s="27" t="s">
        <v>8</v>
      </c>
      <c r="DD501" s="27" t="s">
        <v>7</v>
      </c>
      <c r="DE501" s="27" t="s">
        <v>8</v>
      </c>
      <c r="DF501" s="27" t="s">
        <v>7</v>
      </c>
      <c r="LK501" s="27" t="s">
        <v>8</v>
      </c>
      <c r="LN501" s="27" t="s">
        <v>7</v>
      </c>
      <c r="LT501" s="27" t="s">
        <v>7</v>
      </c>
      <c r="LU501" s="27" t="s">
        <v>8</v>
      </c>
      <c r="LV501" s="27" t="s">
        <v>7</v>
      </c>
      <c r="LW501" s="27" t="s">
        <v>8</v>
      </c>
      <c r="LX501" s="27" t="s">
        <v>7</v>
      </c>
      <c r="LY501" s="27" t="s">
        <v>8</v>
      </c>
      <c r="MF501" s="27" t="s">
        <v>7</v>
      </c>
      <c r="OB501" s="27" t="s">
        <v>7</v>
      </c>
      <c r="OC501" s="27" t="s">
        <v>8</v>
      </c>
      <c r="OD501" s="27" t="s">
        <v>7</v>
      </c>
      <c r="OE501" s="27" t="s">
        <v>8</v>
      </c>
      <c r="ON501" s="27" t="s">
        <v>7</v>
      </c>
      <c r="OP501" s="27" t="s">
        <v>7</v>
      </c>
      <c r="OQ501" s="27" t="s">
        <v>8</v>
      </c>
      <c r="RX501" s="27" t="s">
        <v>7</v>
      </c>
      <c r="RY501" s="27" t="s">
        <v>8</v>
      </c>
      <c r="RZ501" s="27" t="s">
        <v>7</v>
      </c>
      <c r="SA501" s="27" t="s">
        <v>8</v>
      </c>
      <c r="SB501" s="27" t="s">
        <v>7</v>
      </c>
    </row>
    <row r="502" spans="1:496" x14ac:dyDescent="0.25">
      <c r="A502" s="7">
        <v>5.3828787794156385</v>
      </c>
      <c r="B502"/>
      <c r="C502"/>
      <c r="D502"/>
      <c r="E502"/>
      <c r="DC502" s="27" t="s">
        <v>8</v>
      </c>
      <c r="DD502" s="27" t="s">
        <v>7</v>
      </c>
      <c r="DE502" s="27" t="s">
        <v>8</v>
      </c>
      <c r="DF502" s="27" t="s">
        <v>7</v>
      </c>
      <c r="IM502" s="27" t="s">
        <v>8</v>
      </c>
      <c r="LK502" s="27" t="s">
        <v>8</v>
      </c>
      <c r="LT502" s="27" t="s">
        <v>7</v>
      </c>
      <c r="LU502" s="27" t="s">
        <v>8</v>
      </c>
      <c r="LV502" s="27" t="s">
        <v>7</v>
      </c>
      <c r="LW502" s="27" t="s">
        <v>8</v>
      </c>
      <c r="LX502" s="27" t="s">
        <v>7</v>
      </c>
      <c r="LY502" s="27" t="s">
        <v>8</v>
      </c>
      <c r="OB502" s="27" t="s">
        <v>7</v>
      </c>
      <c r="OC502" s="27" t="s">
        <v>8</v>
      </c>
      <c r="OD502" s="27" t="s">
        <v>7</v>
      </c>
      <c r="OE502" s="27" t="s">
        <v>8</v>
      </c>
      <c r="OP502" s="27" t="s">
        <v>7</v>
      </c>
      <c r="OQ502" s="27" t="s">
        <v>8</v>
      </c>
      <c r="RX502" s="27" t="s">
        <v>7</v>
      </c>
      <c r="RY502" s="27" t="s">
        <v>8</v>
      </c>
      <c r="RZ502" s="27" t="s">
        <v>7</v>
      </c>
      <c r="SA502" s="27" t="s">
        <v>8</v>
      </c>
    </row>
    <row r="503" spans="1:496" x14ac:dyDescent="0.25">
      <c r="A503" s="7">
        <v>5.2773321366819985</v>
      </c>
      <c r="B503"/>
      <c r="C503"/>
      <c r="D503"/>
      <c r="E503"/>
      <c r="DC503" s="27" t="s">
        <v>8</v>
      </c>
      <c r="DD503" s="27" t="s">
        <v>7</v>
      </c>
      <c r="DE503" s="27" t="s">
        <v>8</v>
      </c>
      <c r="DF503" s="27" t="s">
        <v>7</v>
      </c>
      <c r="DG503" s="27" t="s">
        <v>8</v>
      </c>
      <c r="IM503" s="27" t="s">
        <v>8</v>
      </c>
      <c r="IN503" s="27" t="s">
        <v>7</v>
      </c>
      <c r="LK503" s="27" t="s">
        <v>8</v>
      </c>
      <c r="LT503" s="27" t="s">
        <v>7</v>
      </c>
      <c r="LU503" s="27" t="s">
        <v>8</v>
      </c>
      <c r="LV503" s="27" t="s">
        <v>7</v>
      </c>
      <c r="LW503" s="27" t="s">
        <v>8</v>
      </c>
      <c r="LX503" s="27" t="s">
        <v>7</v>
      </c>
      <c r="LY503" s="27" t="s">
        <v>8</v>
      </c>
      <c r="OB503" s="27" t="s">
        <v>7</v>
      </c>
      <c r="OC503" s="27" t="s">
        <v>8</v>
      </c>
      <c r="OD503" s="27" t="s">
        <v>7</v>
      </c>
      <c r="OP503" s="18" t="s">
        <v>7</v>
      </c>
      <c r="OQ503" s="27" t="s">
        <v>8</v>
      </c>
      <c r="RX503" s="27" t="s">
        <v>7</v>
      </c>
      <c r="RY503" s="27" t="s">
        <v>8</v>
      </c>
      <c r="RZ503" s="27" t="s">
        <v>7</v>
      </c>
      <c r="SA503" s="27" t="s">
        <v>8</v>
      </c>
    </row>
    <row r="504" spans="1:496" x14ac:dyDescent="0.25">
      <c r="A504" s="7">
        <v>5.1738550359627435</v>
      </c>
      <c r="B504"/>
      <c r="C504"/>
      <c r="D504"/>
      <c r="E504"/>
      <c r="DC504" s="27" t="s">
        <v>8</v>
      </c>
      <c r="DD504" s="27" t="s">
        <v>7</v>
      </c>
      <c r="DE504" s="27" t="s">
        <v>8</v>
      </c>
      <c r="DF504" s="27" t="s">
        <v>7</v>
      </c>
      <c r="DG504" s="27" t="s">
        <v>8</v>
      </c>
      <c r="DH504" s="27" t="s">
        <v>7</v>
      </c>
      <c r="IM504" s="27" t="s">
        <v>8</v>
      </c>
      <c r="IN504" s="27" t="s">
        <v>7</v>
      </c>
      <c r="LK504" s="27" t="s">
        <v>8</v>
      </c>
      <c r="LT504" s="27" t="s">
        <v>7</v>
      </c>
      <c r="LU504" s="27" t="s">
        <v>8</v>
      </c>
      <c r="LV504" s="27" t="s">
        <v>7</v>
      </c>
      <c r="LW504" s="27" t="s">
        <v>8</v>
      </c>
      <c r="LX504" s="27" t="s">
        <v>7</v>
      </c>
      <c r="LY504" s="27" t="s">
        <v>8</v>
      </c>
      <c r="OB504" s="27" t="s">
        <v>7</v>
      </c>
      <c r="OC504" s="27" t="s">
        <v>8</v>
      </c>
      <c r="OP504" s="27" t="s">
        <v>7</v>
      </c>
      <c r="OQ504" s="27" t="s">
        <v>8</v>
      </c>
      <c r="RX504" s="27" t="s">
        <v>7</v>
      </c>
      <c r="RY504" s="27" t="s">
        <v>8</v>
      </c>
      <c r="RZ504" s="27" t="s">
        <v>7</v>
      </c>
      <c r="SA504" s="27" t="s">
        <v>8</v>
      </c>
    </row>
    <row r="505" spans="1:496" x14ac:dyDescent="0.25">
      <c r="A505" s="7">
        <v>5.07240689800269</v>
      </c>
      <c r="B505"/>
      <c r="C505"/>
      <c r="D505"/>
      <c r="E505"/>
      <c r="DC505" s="27" t="s">
        <v>8</v>
      </c>
      <c r="DD505" s="27" t="s">
        <v>7</v>
      </c>
      <c r="DE505" s="27" t="s">
        <v>8</v>
      </c>
      <c r="DF505" s="27" t="s">
        <v>7</v>
      </c>
      <c r="DG505" s="27" t="s">
        <v>8</v>
      </c>
      <c r="DH505" s="27" t="s">
        <v>7</v>
      </c>
      <c r="IM505" s="27" t="s">
        <v>8</v>
      </c>
      <c r="IN505" s="27" t="s">
        <v>7</v>
      </c>
      <c r="LK505" s="27" t="s">
        <v>8</v>
      </c>
      <c r="LT505" s="27" t="s">
        <v>7</v>
      </c>
      <c r="LU505" s="27" t="s">
        <v>8</v>
      </c>
      <c r="LV505" s="27" t="s">
        <v>7</v>
      </c>
      <c r="LW505" s="27" t="s">
        <v>8</v>
      </c>
      <c r="LX505" s="27" t="s">
        <v>7</v>
      </c>
      <c r="LY505" s="27" t="s">
        <v>8</v>
      </c>
      <c r="OB505" s="27" t="s">
        <v>7</v>
      </c>
      <c r="OC505" s="27" t="s">
        <v>8</v>
      </c>
      <c r="OP505" s="27" t="s">
        <v>7</v>
      </c>
      <c r="OQ505" s="27" t="s">
        <v>8</v>
      </c>
      <c r="RX505" s="27" t="s">
        <v>7</v>
      </c>
      <c r="RZ505" s="27" t="s">
        <v>7</v>
      </c>
      <c r="SA505" s="27" t="s">
        <v>8</v>
      </c>
    </row>
    <row r="506" spans="1:496" x14ac:dyDescent="0.25">
      <c r="A506" s="7">
        <v>4.9729479392183231</v>
      </c>
      <c r="B506"/>
      <c r="C506"/>
      <c r="D506"/>
      <c r="E506"/>
      <c r="DC506" s="27" t="s">
        <v>8</v>
      </c>
      <c r="DD506" s="27" t="s">
        <v>7</v>
      </c>
      <c r="DE506" s="27" t="s">
        <v>8</v>
      </c>
      <c r="DF506" s="27" t="s">
        <v>7</v>
      </c>
      <c r="DG506" s="27" t="s">
        <v>8</v>
      </c>
      <c r="DH506" s="27" t="s">
        <v>7</v>
      </c>
      <c r="IM506" s="27" t="s">
        <v>8</v>
      </c>
      <c r="IN506" s="27" t="s">
        <v>7</v>
      </c>
      <c r="LK506" s="27" t="s">
        <v>8</v>
      </c>
      <c r="LT506" s="27" t="s">
        <v>7</v>
      </c>
      <c r="LU506" s="27" t="s">
        <v>8</v>
      </c>
      <c r="LV506" s="27" t="s">
        <v>7</v>
      </c>
      <c r="LW506" s="27" t="s">
        <v>8</v>
      </c>
      <c r="LX506" s="27" t="s">
        <v>7</v>
      </c>
      <c r="LY506" s="27" t="s">
        <v>8</v>
      </c>
      <c r="OB506" s="27" t="s">
        <v>7</v>
      </c>
      <c r="OC506" s="27" t="s">
        <v>8</v>
      </c>
      <c r="OP506" s="27" t="s">
        <v>7</v>
      </c>
      <c r="OQ506" s="27" t="s">
        <v>8</v>
      </c>
      <c r="RZ506" s="27" t="s">
        <v>7</v>
      </c>
    </row>
    <row r="507" spans="1:496" x14ac:dyDescent="0.25">
      <c r="A507" s="7">
        <v>4.8754391560963954</v>
      </c>
      <c r="B507"/>
      <c r="C507"/>
      <c r="D507"/>
      <c r="E507"/>
      <c r="DC507" s="27" t="s">
        <v>8</v>
      </c>
      <c r="DD507" s="27" t="s">
        <v>7</v>
      </c>
      <c r="DE507" s="27" t="s">
        <v>8</v>
      </c>
      <c r="DF507" s="27" t="s">
        <v>7</v>
      </c>
      <c r="DG507" s="27" t="s">
        <v>8</v>
      </c>
      <c r="DH507" s="27" t="s">
        <v>7</v>
      </c>
      <c r="IM507" s="27" t="s">
        <v>8</v>
      </c>
      <c r="IN507" s="27" t="s">
        <v>7</v>
      </c>
      <c r="LK507" s="27" t="s">
        <v>8</v>
      </c>
      <c r="LT507" s="27" t="s">
        <v>7</v>
      </c>
      <c r="LU507" s="27" t="s">
        <v>8</v>
      </c>
      <c r="LV507" s="27" t="s">
        <v>7</v>
      </c>
      <c r="LW507" s="27" t="s">
        <v>8</v>
      </c>
      <c r="LX507" s="27" t="s">
        <v>7</v>
      </c>
      <c r="LY507" s="27" t="s">
        <v>8</v>
      </c>
      <c r="OB507" s="27" t="s">
        <v>7</v>
      </c>
      <c r="OC507" s="27" t="s">
        <v>8</v>
      </c>
      <c r="OP507" s="27" t="s">
        <v>7</v>
      </c>
    </row>
    <row r="508" spans="1:496" x14ac:dyDescent="0.25">
      <c r="A508" s="7">
        <v>4.7798423098984264</v>
      </c>
      <c r="B508"/>
      <c r="C508"/>
      <c r="D508"/>
      <c r="E508"/>
      <c r="DC508" s="27" t="s">
        <v>8</v>
      </c>
      <c r="DD508" s="27" t="s">
        <v>7</v>
      </c>
      <c r="DE508" s="27" t="s">
        <v>8</v>
      </c>
      <c r="DF508" s="27" t="s">
        <v>7</v>
      </c>
      <c r="DG508" s="27" t="s">
        <v>8</v>
      </c>
      <c r="DH508" s="27" t="s">
        <v>7</v>
      </c>
      <c r="IM508" s="27" t="s">
        <v>8</v>
      </c>
      <c r="IN508" s="27" t="s">
        <v>7</v>
      </c>
      <c r="LK508" s="27" t="s">
        <v>8</v>
      </c>
      <c r="LT508" s="27" t="s">
        <v>7</v>
      </c>
      <c r="LU508" s="27" t="s">
        <v>8</v>
      </c>
      <c r="LV508" s="27" t="s">
        <v>7</v>
      </c>
      <c r="LX508" s="27" t="s">
        <v>7</v>
      </c>
      <c r="LY508" s="27" t="s">
        <v>8</v>
      </c>
      <c r="OB508" s="27" t="s">
        <v>7</v>
      </c>
      <c r="OC508" s="27" t="s">
        <v>8</v>
      </c>
    </row>
    <row r="509" spans="1:496" x14ac:dyDescent="0.25">
      <c r="A509" s="7">
        <v>4.6861199116651235</v>
      </c>
      <c r="B509"/>
      <c r="C509"/>
      <c r="D509"/>
      <c r="E509"/>
      <c r="DC509" s="27" t="s">
        <v>8</v>
      </c>
      <c r="DD509" s="27" t="s">
        <v>7</v>
      </c>
      <c r="DE509" s="27" t="s">
        <v>8</v>
      </c>
      <c r="DF509" s="27" t="s">
        <v>7</v>
      </c>
      <c r="DG509" s="27" t="s">
        <v>8</v>
      </c>
      <c r="DH509" s="27" t="s">
        <v>7</v>
      </c>
      <c r="IM509" s="27" t="s">
        <v>8</v>
      </c>
      <c r="IN509" s="27" t="s">
        <v>7</v>
      </c>
      <c r="LK509" s="27" t="s">
        <v>8</v>
      </c>
      <c r="LT509" s="27" t="s">
        <v>7</v>
      </c>
      <c r="LU509" s="27" t="s">
        <v>8</v>
      </c>
      <c r="LX509" s="27" t="s">
        <v>7</v>
      </c>
      <c r="LY509" s="27" t="s">
        <v>8</v>
      </c>
      <c r="OB509" s="27" t="s">
        <v>7</v>
      </c>
      <c r="OC509" s="27" t="s">
        <v>8</v>
      </c>
    </row>
    <row r="510" spans="1:496" x14ac:dyDescent="0.25">
      <c r="A510" s="7">
        <v>4.5942352075148269</v>
      </c>
      <c r="B510"/>
      <c r="C510"/>
      <c r="D510"/>
      <c r="E510"/>
      <c r="DC510" s="27" t="s">
        <v>8</v>
      </c>
      <c r="DD510" s="27" t="s">
        <v>7</v>
      </c>
      <c r="DE510" s="27" t="s">
        <v>8</v>
      </c>
      <c r="DF510" s="27" t="s">
        <v>7</v>
      </c>
      <c r="DG510" s="27" t="s">
        <v>8</v>
      </c>
      <c r="DH510" s="27" t="s">
        <v>7</v>
      </c>
      <c r="IM510" s="27" t="s">
        <v>8</v>
      </c>
      <c r="IN510" s="27" t="s">
        <v>7</v>
      </c>
      <c r="LI510" s="27" t="s">
        <v>8</v>
      </c>
      <c r="LK510" s="27" t="s">
        <v>8</v>
      </c>
      <c r="LT510" s="27" t="s">
        <v>7</v>
      </c>
      <c r="LU510" s="27" t="s">
        <v>8</v>
      </c>
      <c r="LX510" s="27" t="s">
        <v>7</v>
      </c>
      <c r="OB510" s="27" t="s">
        <v>7</v>
      </c>
      <c r="OC510" s="27" t="s">
        <v>8</v>
      </c>
    </row>
    <row r="511" spans="1:496" x14ac:dyDescent="0.25">
      <c r="A511" s="7">
        <v>4.5041521642302227</v>
      </c>
      <c r="B511"/>
      <c r="C511"/>
      <c r="D511"/>
      <c r="E511"/>
      <c r="DC511" s="27" t="s">
        <v>8</v>
      </c>
      <c r="DD511" s="27" t="s">
        <v>7</v>
      </c>
      <c r="DE511" s="27" t="s">
        <v>8</v>
      </c>
      <c r="DF511" s="27" t="s">
        <v>7</v>
      </c>
      <c r="DG511" s="27" t="s">
        <v>8</v>
      </c>
      <c r="DH511" s="27" t="s">
        <v>7</v>
      </c>
      <c r="IM511" s="27" t="s">
        <v>8</v>
      </c>
      <c r="IN511" s="27" t="s">
        <v>7</v>
      </c>
      <c r="LI511" s="27" t="s">
        <v>8</v>
      </c>
      <c r="LJ511" s="27" t="s">
        <v>7</v>
      </c>
      <c r="LK511" s="27" t="s">
        <v>8</v>
      </c>
      <c r="LT511" s="27" t="s">
        <v>7</v>
      </c>
      <c r="LU511" s="27" t="s">
        <v>8</v>
      </c>
      <c r="OB511" s="27" t="s">
        <v>7</v>
      </c>
    </row>
    <row r="512" spans="1:496" x14ac:dyDescent="0.25">
      <c r="A512" s="7">
        <v>4.4158354551276693</v>
      </c>
      <c r="B512"/>
      <c r="C512"/>
      <c r="D512"/>
      <c r="E512"/>
      <c r="DC512" s="27" t="s">
        <v>8</v>
      </c>
      <c r="DD512" s="27" t="s">
        <v>7</v>
      </c>
      <c r="DE512" s="27" t="s">
        <v>8</v>
      </c>
      <c r="DF512" s="27" t="s">
        <v>7</v>
      </c>
      <c r="DH512" s="27" t="s">
        <v>7</v>
      </c>
      <c r="IM512" s="27" t="s">
        <v>8</v>
      </c>
      <c r="IN512" s="27" t="s">
        <v>7</v>
      </c>
      <c r="LI512" s="27" t="s">
        <v>8</v>
      </c>
      <c r="LJ512" s="27" t="s">
        <v>7</v>
      </c>
      <c r="LK512" s="27" t="s">
        <v>8</v>
      </c>
      <c r="LT512" s="27" t="s">
        <v>7</v>
      </c>
      <c r="LU512" s="27" t="s">
        <v>8</v>
      </c>
    </row>
    <row r="513" spans="1:332" x14ac:dyDescent="0.25">
      <c r="A513" s="7">
        <v>4.3292504462035977</v>
      </c>
      <c r="B513"/>
      <c r="C513"/>
      <c r="D513"/>
      <c r="E513"/>
      <c r="DC513" s="27" t="s">
        <v>8</v>
      </c>
      <c r="DD513" s="27" t="s">
        <v>7</v>
      </c>
      <c r="DE513" s="27" t="s">
        <v>8</v>
      </c>
      <c r="DH513" s="27" t="s">
        <v>7</v>
      </c>
      <c r="IM513" s="27" t="s">
        <v>8</v>
      </c>
      <c r="IN513" s="27" t="s">
        <v>7</v>
      </c>
      <c r="LI513" s="27" t="s">
        <v>8</v>
      </c>
      <c r="LJ513" s="27" t="s">
        <v>7</v>
      </c>
      <c r="LK513" s="27" t="s">
        <v>8</v>
      </c>
      <c r="LT513" s="27" t="s">
        <v>7</v>
      </c>
    </row>
    <row r="514" spans="1:332" x14ac:dyDescent="0.25">
      <c r="A514" s="7">
        <v>4.2443631825525463</v>
      </c>
      <c r="B514"/>
      <c r="C514"/>
      <c r="D514"/>
      <c r="E514"/>
      <c r="G514" s="27" t="s">
        <v>8</v>
      </c>
      <c r="DC514" s="27" t="s">
        <v>8</v>
      </c>
      <c r="DD514" s="27" t="s">
        <v>7</v>
      </c>
      <c r="DE514" s="27" t="s">
        <v>8</v>
      </c>
      <c r="DH514" s="27" t="s">
        <v>7</v>
      </c>
      <c r="IM514" s="27" t="s">
        <v>8</v>
      </c>
      <c r="IN514" s="27" t="s">
        <v>7</v>
      </c>
      <c r="IO514" s="27" t="s">
        <v>8</v>
      </c>
      <c r="LI514" s="27" t="s">
        <v>8</v>
      </c>
      <c r="LJ514" s="27" t="s">
        <v>7</v>
      </c>
      <c r="LK514" s="27" t="s">
        <v>8</v>
      </c>
    </row>
    <row r="515" spans="1:332" x14ac:dyDescent="0.25">
      <c r="A515" s="7">
        <v>4.1611403750515157</v>
      </c>
      <c r="B515"/>
      <c r="C515"/>
      <c r="D515"/>
      <c r="E515" t="s">
        <v>8</v>
      </c>
      <c r="G515" s="27" t="s">
        <v>8</v>
      </c>
      <c r="H515" s="27" t="s">
        <v>7</v>
      </c>
      <c r="DC515" s="27" t="s">
        <v>8</v>
      </c>
      <c r="DD515" s="27" t="s">
        <v>7</v>
      </c>
      <c r="DH515" s="27" t="s">
        <v>7</v>
      </c>
      <c r="IM515" s="27" t="s">
        <v>8</v>
      </c>
      <c r="IN515" s="27" t="s">
        <v>7</v>
      </c>
      <c r="IO515" s="27" t="s">
        <v>8</v>
      </c>
      <c r="IP515" s="27" t="s">
        <v>7</v>
      </c>
      <c r="LA515" s="27" t="s">
        <v>8</v>
      </c>
      <c r="LI515" s="27" t="s">
        <v>8</v>
      </c>
      <c r="LJ515" s="27" t="s">
        <v>7</v>
      </c>
      <c r="LK515" s="27" t="s">
        <v>8</v>
      </c>
    </row>
    <row r="516" spans="1:332" x14ac:dyDescent="0.25">
      <c r="A516" s="7">
        <v>4.0795493873054074</v>
      </c>
      <c r="B516"/>
      <c r="C516"/>
      <c r="D516"/>
      <c r="E516" t="s">
        <v>8</v>
      </c>
      <c r="F516" s="27" t="s">
        <v>7</v>
      </c>
      <c r="G516" s="27" t="s">
        <v>8</v>
      </c>
      <c r="H516" s="27" t="s">
        <v>7</v>
      </c>
      <c r="DC516" s="27" t="s">
        <v>8</v>
      </c>
      <c r="DH516" s="27" t="s">
        <v>7</v>
      </c>
      <c r="IM516" s="27" t="s">
        <v>8</v>
      </c>
      <c r="IN516" s="27" t="s">
        <v>7</v>
      </c>
      <c r="IO516" s="27" t="s">
        <v>8</v>
      </c>
      <c r="IP516" s="27" t="s">
        <v>7</v>
      </c>
      <c r="LA516" s="27" t="s">
        <v>8</v>
      </c>
      <c r="LB516" s="27" t="s">
        <v>7</v>
      </c>
      <c r="LI516" s="27" t="s">
        <v>8</v>
      </c>
      <c r="LJ516" s="27" t="s">
        <v>7</v>
      </c>
      <c r="LK516" s="27" t="s">
        <v>8</v>
      </c>
    </row>
    <row r="517" spans="1:332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G517" s="27" t="s">
        <v>8</v>
      </c>
      <c r="H517" s="27" t="s">
        <v>7</v>
      </c>
      <c r="DC517" s="27" t="s">
        <v>8</v>
      </c>
      <c r="DH517" s="27" t="s">
        <v>7</v>
      </c>
      <c r="IM517" s="27" t="s">
        <v>8</v>
      </c>
      <c r="IN517" s="27" t="s">
        <v>7</v>
      </c>
      <c r="IO517" s="27" t="s">
        <v>8</v>
      </c>
      <c r="IP517" s="27" t="s">
        <v>7</v>
      </c>
      <c r="LA517" s="27" t="s">
        <v>8</v>
      </c>
      <c r="LB517" s="27" t="s">
        <v>7</v>
      </c>
      <c r="LI517" s="27" t="s">
        <v>8</v>
      </c>
      <c r="LJ517" s="27" t="s">
        <v>7</v>
      </c>
    </row>
    <row r="518" spans="1:332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G518" s="27" t="s">
        <v>8</v>
      </c>
      <c r="H518" s="27" t="s">
        <v>7</v>
      </c>
      <c r="DC518" s="27" t="s">
        <v>8</v>
      </c>
      <c r="DH518" s="27" t="s">
        <v>7</v>
      </c>
      <c r="IM518" s="27" t="s">
        <v>8</v>
      </c>
      <c r="IN518" s="27" t="s">
        <v>7</v>
      </c>
      <c r="IO518" s="27" t="s">
        <v>8</v>
      </c>
      <c r="IP518" s="27" t="s">
        <v>7</v>
      </c>
      <c r="IQ518" s="27" t="s">
        <v>8</v>
      </c>
      <c r="LA518" s="27" t="s">
        <v>8</v>
      </c>
      <c r="LB518" s="27" t="s">
        <v>7</v>
      </c>
      <c r="LI518" s="27" t="s">
        <v>8</v>
      </c>
    </row>
    <row r="519" spans="1:332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G519" s="27" t="s">
        <v>8</v>
      </c>
      <c r="H519" s="27" t="s">
        <v>7</v>
      </c>
      <c r="DC519" s="27" t="s">
        <v>8</v>
      </c>
      <c r="DH519" s="27" t="s">
        <v>7</v>
      </c>
      <c r="DI519" s="27" t="s">
        <v>8</v>
      </c>
      <c r="IM519" s="27" t="s">
        <v>8</v>
      </c>
      <c r="IN519" s="27" t="s">
        <v>7</v>
      </c>
      <c r="IO519" s="27" t="s">
        <v>8</v>
      </c>
      <c r="IP519" s="27" t="s">
        <v>7</v>
      </c>
      <c r="IQ519" s="27" t="s">
        <v>8</v>
      </c>
      <c r="IR519" s="27" t="s">
        <v>7</v>
      </c>
      <c r="LA519" s="27" t="s">
        <v>8</v>
      </c>
      <c r="LB519" s="27" t="s">
        <v>7</v>
      </c>
      <c r="LI519" s="27" t="s">
        <v>8</v>
      </c>
    </row>
    <row r="520" spans="1:332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H520" s="27" t="s">
        <v>7</v>
      </c>
      <c r="CS520" s="27" t="s">
        <v>8</v>
      </c>
      <c r="DA520" s="27" t="s">
        <v>8</v>
      </c>
      <c r="DC520" s="27" t="s">
        <v>8</v>
      </c>
      <c r="DH520" s="27" t="s">
        <v>7</v>
      </c>
      <c r="DI520" s="27" t="s">
        <v>8</v>
      </c>
      <c r="DJ520" s="27" t="s">
        <v>7</v>
      </c>
      <c r="IM520" s="27" t="s">
        <v>8</v>
      </c>
      <c r="IN520" s="27" t="s">
        <v>7</v>
      </c>
      <c r="IO520" s="27" t="s">
        <v>8</v>
      </c>
      <c r="IP520" s="27" t="s">
        <v>7</v>
      </c>
      <c r="IQ520" s="27" t="s">
        <v>8</v>
      </c>
      <c r="IR520" s="27" t="s">
        <v>7</v>
      </c>
      <c r="IU520" s="27" t="s">
        <v>8</v>
      </c>
      <c r="LA520" s="27" t="s">
        <v>8</v>
      </c>
      <c r="LB520" s="27" t="s">
        <v>7</v>
      </c>
      <c r="LI520" s="27" t="s">
        <v>8</v>
      </c>
    </row>
    <row r="521" spans="1:332" x14ac:dyDescent="0.25">
      <c r="A521" s="7">
        <v>3.6949735703052635</v>
      </c>
      <c r="B521"/>
      <c r="C521"/>
      <c r="D521"/>
      <c r="E521" t="s">
        <v>8</v>
      </c>
      <c r="H521" s="27" t="s">
        <v>7</v>
      </c>
      <c r="CS521" s="27" t="s">
        <v>8</v>
      </c>
      <c r="CT521" s="27" t="s">
        <v>7</v>
      </c>
      <c r="DA521" s="27" t="s">
        <v>8</v>
      </c>
      <c r="DB521" s="27" t="s">
        <v>7</v>
      </c>
      <c r="DC521" s="27" t="s">
        <v>8</v>
      </c>
      <c r="DH521" s="27" t="s">
        <v>7</v>
      </c>
      <c r="DI521" s="27" t="s">
        <v>8</v>
      </c>
      <c r="DJ521" s="27" t="s">
        <v>7</v>
      </c>
      <c r="IM521" s="27" t="s">
        <v>8</v>
      </c>
      <c r="IN521" s="27" t="s">
        <v>7</v>
      </c>
      <c r="IO521" s="27" t="s">
        <v>8</v>
      </c>
      <c r="IP521" s="27" t="s">
        <v>7</v>
      </c>
      <c r="IQ521" s="27" t="s">
        <v>8</v>
      </c>
      <c r="IR521" s="27" t="s">
        <v>7</v>
      </c>
      <c r="IU521" s="27" t="s">
        <v>8</v>
      </c>
      <c r="IV521" s="27" t="s">
        <v>7</v>
      </c>
      <c r="KU521" s="27" t="s">
        <v>8</v>
      </c>
      <c r="LA521" s="27" t="s">
        <v>8</v>
      </c>
      <c r="LB521" s="27" t="s">
        <v>7</v>
      </c>
      <c r="LG521" s="27" t="s">
        <v>8</v>
      </c>
      <c r="LI521" s="27" t="s">
        <v>8</v>
      </c>
    </row>
    <row r="522" spans="1:332" x14ac:dyDescent="0.25">
      <c r="A522" s="7">
        <v>3.6225231081424152</v>
      </c>
      <c r="B522"/>
      <c r="C522"/>
      <c r="D522"/>
      <c r="E522" t="s">
        <v>8</v>
      </c>
      <c r="H522" s="27" t="s">
        <v>7</v>
      </c>
      <c r="BS522" s="27" t="s">
        <v>8</v>
      </c>
      <c r="CS522" s="27" t="s">
        <v>8</v>
      </c>
      <c r="CT522" s="27" t="s">
        <v>7</v>
      </c>
      <c r="DA522" s="27" t="s">
        <v>8</v>
      </c>
      <c r="DB522" s="27" t="s">
        <v>7</v>
      </c>
      <c r="DC522" s="27" t="s">
        <v>8</v>
      </c>
      <c r="DH522" s="27" t="s">
        <v>7</v>
      </c>
      <c r="DI522" s="27" t="s">
        <v>8</v>
      </c>
      <c r="DJ522" s="27" t="s">
        <v>7</v>
      </c>
      <c r="IM522" s="27" t="s">
        <v>8</v>
      </c>
      <c r="IN522" s="27" t="s">
        <v>7</v>
      </c>
      <c r="IO522" s="27" t="s">
        <v>8</v>
      </c>
      <c r="IP522" s="27" t="s">
        <v>7</v>
      </c>
      <c r="IQ522" s="27" t="s">
        <v>8</v>
      </c>
      <c r="IR522" s="27" t="s">
        <v>7</v>
      </c>
      <c r="IS522" s="27" t="s">
        <v>8</v>
      </c>
      <c r="IU522" s="27" t="s">
        <v>8</v>
      </c>
      <c r="IV522" s="27" t="s">
        <v>7</v>
      </c>
      <c r="KU522" s="27" t="s">
        <v>8</v>
      </c>
      <c r="KV522" s="27" t="s">
        <v>7</v>
      </c>
      <c r="LA522" s="27" t="s">
        <v>8</v>
      </c>
      <c r="LB522" s="27" t="s">
        <v>7</v>
      </c>
      <c r="LC522" s="27" t="s">
        <v>8</v>
      </c>
      <c r="LG522" s="27" t="s">
        <v>8</v>
      </c>
      <c r="LH522" s="27" t="s">
        <v>7</v>
      </c>
      <c r="LI522" s="27" t="s">
        <v>8</v>
      </c>
    </row>
    <row r="523" spans="1:332" x14ac:dyDescent="0.25">
      <c r="A523" s="7">
        <v>3.5514932432768775</v>
      </c>
      <c r="B523"/>
      <c r="C523"/>
      <c r="D523"/>
      <c r="E523" t="s">
        <v>8</v>
      </c>
      <c r="H523" s="27" t="s">
        <v>7</v>
      </c>
      <c r="BQ523" s="27" t="s">
        <v>8</v>
      </c>
      <c r="BS523" s="27" t="s">
        <v>8</v>
      </c>
      <c r="BT523" s="27" t="s">
        <v>7</v>
      </c>
      <c r="CQ523" s="27" t="s">
        <v>8</v>
      </c>
      <c r="CS523" s="27" t="s">
        <v>8</v>
      </c>
      <c r="CT523" s="27" t="s">
        <v>7</v>
      </c>
      <c r="DA523" s="27" t="s">
        <v>8</v>
      </c>
      <c r="DB523" s="27" t="s">
        <v>7</v>
      </c>
      <c r="DC523" s="27" t="s">
        <v>8</v>
      </c>
      <c r="DH523" s="27" t="s">
        <v>7</v>
      </c>
      <c r="DI523" s="27" t="s">
        <v>8</v>
      </c>
      <c r="DJ523" s="27" t="s">
        <v>7</v>
      </c>
      <c r="IK523" s="27" t="s">
        <v>8</v>
      </c>
      <c r="IM523" s="27" t="s">
        <v>8</v>
      </c>
      <c r="IN523" s="27" t="s">
        <v>7</v>
      </c>
      <c r="IO523" s="27" t="s">
        <v>8</v>
      </c>
      <c r="IP523" s="27" t="s">
        <v>7</v>
      </c>
      <c r="IQ523" s="27" t="s">
        <v>8</v>
      </c>
      <c r="IR523" s="27" t="s">
        <v>7</v>
      </c>
      <c r="IS523" s="27" t="s">
        <v>8</v>
      </c>
      <c r="IT523" s="27" t="s">
        <v>7</v>
      </c>
      <c r="IU523" s="27" t="s">
        <v>8</v>
      </c>
      <c r="IV523" s="27" t="s">
        <v>7</v>
      </c>
      <c r="KU523" s="27" t="s">
        <v>8</v>
      </c>
      <c r="KV523" s="27" t="s">
        <v>7</v>
      </c>
      <c r="LA523" s="27" t="s">
        <v>8</v>
      </c>
      <c r="LB523" s="27" t="s">
        <v>7</v>
      </c>
      <c r="LC523" s="27" t="s">
        <v>8</v>
      </c>
      <c r="LD523" s="27" t="s">
        <v>7</v>
      </c>
      <c r="LG523" s="27" t="s">
        <v>8</v>
      </c>
      <c r="LH523" s="27" t="s">
        <v>7</v>
      </c>
      <c r="LI523" s="27" t="s">
        <v>8</v>
      </c>
    </row>
    <row r="524" spans="1:332" x14ac:dyDescent="0.25">
      <c r="A524" s="7">
        <v>3.4818561208596837</v>
      </c>
      <c r="B524"/>
      <c r="C524"/>
      <c r="D524"/>
      <c r="E524" t="s">
        <v>8</v>
      </c>
      <c r="H524" s="27" t="s">
        <v>7</v>
      </c>
      <c r="BQ524" s="27" t="s">
        <v>8</v>
      </c>
      <c r="BR524" s="27" t="s">
        <v>7</v>
      </c>
      <c r="BS524" s="27" t="s">
        <v>8</v>
      </c>
      <c r="BT524" s="27" t="s">
        <v>7</v>
      </c>
      <c r="CI524" s="27" t="s">
        <v>8</v>
      </c>
      <c r="CQ524" s="27" t="s">
        <v>8</v>
      </c>
      <c r="CR524" s="27" t="s">
        <v>7</v>
      </c>
      <c r="CS524" s="27" t="s">
        <v>8</v>
      </c>
      <c r="CT524" s="27" t="s">
        <v>7</v>
      </c>
      <c r="CY524" s="27" t="s">
        <v>8</v>
      </c>
      <c r="DA524" s="27" t="s">
        <v>8</v>
      </c>
      <c r="DB524" s="27" t="s">
        <v>7</v>
      </c>
      <c r="DC524" s="27" t="s">
        <v>8</v>
      </c>
      <c r="DH524" s="27" t="s">
        <v>7</v>
      </c>
      <c r="DJ524" s="27" t="s">
        <v>7</v>
      </c>
      <c r="IK524" s="27" t="s">
        <v>8</v>
      </c>
      <c r="IL524" s="27" t="s">
        <v>7</v>
      </c>
      <c r="IM524" s="27" t="s">
        <v>8</v>
      </c>
      <c r="IN524" s="27" t="s">
        <v>7</v>
      </c>
      <c r="IP524" s="27" t="s">
        <v>7</v>
      </c>
      <c r="IQ524" s="27" t="s">
        <v>8</v>
      </c>
      <c r="IR524" s="27" t="s">
        <v>7</v>
      </c>
      <c r="IS524" s="27" t="s">
        <v>8</v>
      </c>
      <c r="IT524" s="27" t="s">
        <v>7</v>
      </c>
      <c r="IU524" s="27" t="s">
        <v>8</v>
      </c>
      <c r="IV524" s="27" t="s">
        <v>7</v>
      </c>
      <c r="KU524" s="27" t="s">
        <v>8</v>
      </c>
      <c r="KV524" s="27" t="s">
        <v>7</v>
      </c>
      <c r="LA524" s="27" t="s">
        <v>8</v>
      </c>
      <c r="LB524" s="27" t="s">
        <v>7</v>
      </c>
      <c r="LC524" s="27" t="s">
        <v>8</v>
      </c>
      <c r="LD524" s="27" t="s">
        <v>7</v>
      </c>
      <c r="LE524" s="27" t="s">
        <v>8</v>
      </c>
      <c r="LG524" s="27" t="s">
        <v>8</v>
      </c>
      <c r="LH524" s="27" t="s">
        <v>7</v>
      </c>
      <c r="LI524" s="27" t="s">
        <v>8</v>
      </c>
    </row>
    <row r="525" spans="1:332" x14ac:dyDescent="0.25">
      <c r="A525" s="7">
        <v>3.4135844322153761</v>
      </c>
      <c r="B525"/>
      <c r="C525"/>
      <c r="D525"/>
      <c r="E525" t="s">
        <v>8</v>
      </c>
      <c r="H525" s="27" t="s">
        <v>7</v>
      </c>
      <c r="BQ525" s="27" t="s">
        <v>8</v>
      </c>
      <c r="BR525" s="27" t="s">
        <v>7</v>
      </c>
      <c r="BS525" s="27" t="s">
        <v>8</v>
      </c>
      <c r="BT525" s="27" t="s">
        <v>7</v>
      </c>
      <c r="CI525" s="27" t="s">
        <v>8</v>
      </c>
      <c r="CJ525" s="27" t="s">
        <v>7</v>
      </c>
      <c r="CQ525" s="27" t="s">
        <v>8</v>
      </c>
      <c r="CR525" s="27" t="s">
        <v>7</v>
      </c>
      <c r="CS525" s="27" t="s">
        <v>8</v>
      </c>
      <c r="CT525" s="27" t="s">
        <v>7</v>
      </c>
      <c r="CY525" s="27" t="s">
        <v>8</v>
      </c>
      <c r="CZ525" s="27" t="s">
        <v>7</v>
      </c>
      <c r="DA525" s="27" t="s">
        <v>8</v>
      </c>
      <c r="DB525" s="27" t="s">
        <v>7</v>
      </c>
      <c r="DJ525" s="27" t="s">
        <v>7</v>
      </c>
      <c r="IK525" s="27" t="s">
        <v>8</v>
      </c>
      <c r="IL525" s="27" t="s">
        <v>7</v>
      </c>
      <c r="IM525" s="27" t="s">
        <v>8</v>
      </c>
      <c r="IP525" s="27" t="s">
        <v>7</v>
      </c>
      <c r="IQ525" s="27" t="s">
        <v>8</v>
      </c>
      <c r="IR525" s="27" t="s">
        <v>7</v>
      </c>
      <c r="IS525" s="27" t="s">
        <v>8</v>
      </c>
      <c r="IT525" s="27" t="s">
        <v>7</v>
      </c>
      <c r="IU525" s="27" t="s">
        <v>8</v>
      </c>
      <c r="IV525" s="27" t="s">
        <v>7</v>
      </c>
      <c r="KU525" s="27" t="s">
        <v>8</v>
      </c>
      <c r="KV525" s="27" t="s">
        <v>7</v>
      </c>
      <c r="KY525" s="27" t="s">
        <v>8</v>
      </c>
      <c r="LA525" s="27" t="s">
        <v>8</v>
      </c>
      <c r="LB525" s="27" t="s">
        <v>7</v>
      </c>
      <c r="LC525" s="27" t="s">
        <v>8</v>
      </c>
      <c r="LD525" s="27" t="s">
        <v>7</v>
      </c>
      <c r="LE525" s="27" t="s">
        <v>8</v>
      </c>
      <c r="LF525" s="27" t="s">
        <v>7</v>
      </c>
      <c r="LG525" s="27" t="s">
        <v>8</v>
      </c>
      <c r="LH525" s="27" t="s">
        <v>7</v>
      </c>
      <c r="LI525" s="27" t="s">
        <v>8</v>
      </c>
    </row>
    <row r="526" spans="1:332" x14ac:dyDescent="0.25">
      <c r="A526" s="7">
        <v>3.3466514041327216</v>
      </c>
      <c r="B526"/>
      <c r="C526"/>
      <c r="D526"/>
      <c r="E526" t="s">
        <v>8</v>
      </c>
      <c r="H526" s="27" t="s">
        <v>7</v>
      </c>
      <c r="BQ526" s="27" t="s">
        <v>8</v>
      </c>
      <c r="BR526" s="27" t="s">
        <v>7</v>
      </c>
      <c r="BS526" s="27" t="s">
        <v>8</v>
      </c>
      <c r="BT526" s="27" t="s">
        <v>7</v>
      </c>
      <c r="CI526" s="27" t="s">
        <v>8</v>
      </c>
      <c r="CJ526" s="27" t="s">
        <v>7</v>
      </c>
      <c r="CQ526" s="27" t="s">
        <v>8</v>
      </c>
      <c r="CR526" s="27" t="s">
        <v>7</v>
      </c>
      <c r="CS526" s="27" t="s">
        <v>8</v>
      </c>
      <c r="CT526" s="27" t="s">
        <v>7</v>
      </c>
      <c r="CW526" s="27" t="s">
        <v>8</v>
      </c>
      <c r="CY526" s="27" t="s">
        <v>8</v>
      </c>
      <c r="CZ526" s="27" t="s">
        <v>7</v>
      </c>
      <c r="DA526" s="27" t="s">
        <v>8</v>
      </c>
      <c r="DJ526" s="27" t="s">
        <v>7</v>
      </c>
      <c r="DM526" s="27" t="s">
        <v>8</v>
      </c>
      <c r="IK526" s="27" t="s">
        <v>8</v>
      </c>
      <c r="IL526" s="27" t="s">
        <v>7</v>
      </c>
      <c r="IM526" s="27" t="s">
        <v>8</v>
      </c>
      <c r="IP526" s="27" t="s">
        <v>7</v>
      </c>
      <c r="IR526" s="27" t="s">
        <v>7</v>
      </c>
      <c r="IS526" s="27" t="s">
        <v>8</v>
      </c>
      <c r="IT526" s="27" t="s">
        <v>7</v>
      </c>
      <c r="IV526" s="27" t="s">
        <v>7</v>
      </c>
      <c r="KU526" s="27" t="s">
        <v>8</v>
      </c>
      <c r="KV526" s="27" t="s">
        <v>7</v>
      </c>
      <c r="KY526" s="27" t="s">
        <v>8</v>
      </c>
      <c r="KZ526" s="27" t="s">
        <v>7</v>
      </c>
      <c r="LA526" s="27" t="s">
        <v>8</v>
      </c>
      <c r="LB526" s="27" t="s">
        <v>7</v>
      </c>
      <c r="LC526" s="27" t="s">
        <v>8</v>
      </c>
      <c r="LD526" s="27" t="s">
        <v>7</v>
      </c>
      <c r="LE526" s="27" t="s">
        <v>8</v>
      </c>
      <c r="LF526" s="27" t="s">
        <v>7</v>
      </c>
      <c r="LG526" s="27" t="s">
        <v>8</v>
      </c>
      <c r="LH526" s="27" t="s">
        <v>7</v>
      </c>
    </row>
    <row r="527" spans="1:332" x14ac:dyDescent="0.25">
      <c r="A527" s="7">
        <v>3.2810307883654133</v>
      </c>
      <c r="B527"/>
      <c r="C527"/>
      <c r="D527"/>
      <c r="E527" t="s">
        <v>8</v>
      </c>
      <c r="H527" s="27" t="s">
        <v>7</v>
      </c>
      <c r="BG527" s="27" t="s">
        <v>8</v>
      </c>
      <c r="BQ527" s="27" t="s">
        <v>8</v>
      </c>
      <c r="BR527" s="27" t="s">
        <v>7</v>
      </c>
      <c r="BS527" s="27" t="s">
        <v>8</v>
      </c>
      <c r="BT527" s="27" t="s">
        <v>7</v>
      </c>
      <c r="CI527" s="27" t="s">
        <v>8</v>
      </c>
      <c r="CJ527" s="27" t="s">
        <v>7</v>
      </c>
      <c r="CQ527" s="27" t="s">
        <v>8</v>
      </c>
      <c r="CR527" s="27" t="s">
        <v>7</v>
      </c>
      <c r="CS527" s="27" t="s">
        <v>8</v>
      </c>
      <c r="CT527" s="27" t="s">
        <v>7</v>
      </c>
      <c r="CW527" s="27" t="s">
        <v>8</v>
      </c>
      <c r="CX527" s="27" t="s">
        <v>7</v>
      </c>
      <c r="CY527" s="27" t="s">
        <v>8</v>
      </c>
      <c r="CZ527" s="27" t="s">
        <v>7</v>
      </c>
      <c r="DJ527" s="27" t="s">
        <v>7</v>
      </c>
      <c r="DM527" s="27" t="s">
        <v>8</v>
      </c>
      <c r="DN527" s="27" t="s">
        <v>7</v>
      </c>
      <c r="DQ527" s="27" t="s">
        <v>8</v>
      </c>
      <c r="IK527" s="27" t="s">
        <v>8</v>
      </c>
      <c r="IL527" s="27" t="s">
        <v>7</v>
      </c>
      <c r="IM527" s="27" t="s">
        <v>8</v>
      </c>
      <c r="IR527" s="27" t="s">
        <v>7</v>
      </c>
      <c r="IS527" s="27" t="s">
        <v>8</v>
      </c>
      <c r="IV527" s="27" t="s">
        <v>7</v>
      </c>
      <c r="JW527" s="27" t="s">
        <v>8</v>
      </c>
      <c r="KU527" s="27" t="s">
        <v>8</v>
      </c>
      <c r="KV527" s="27" t="s">
        <v>7</v>
      </c>
      <c r="KY527" s="27" t="s">
        <v>8</v>
      </c>
      <c r="KZ527" s="27" t="s">
        <v>7</v>
      </c>
      <c r="LA527" s="27" t="s">
        <v>8</v>
      </c>
      <c r="LB527" s="27" t="s">
        <v>7</v>
      </c>
      <c r="LC527" s="27" t="s">
        <v>8</v>
      </c>
      <c r="LD527" s="27" t="s">
        <v>7</v>
      </c>
      <c r="LE527" s="27" t="s">
        <v>8</v>
      </c>
      <c r="LF527" s="27" t="s">
        <v>7</v>
      </c>
      <c r="LG527" s="27" t="s">
        <v>8</v>
      </c>
    </row>
    <row r="528" spans="1:332" x14ac:dyDescent="0.25">
      <c r="A528" s="7">
        <v>3.2166968513386403</v>
      </c>
      <c r="B528"/>
      <c r="C528"/>
      <c r="D528"/>
      <c r="E528" t="s">
        <v>8</v>
      </c>
      <c r="H528" s="27" t="s">
        <v>7</v>
      </c>
      <c r="I528" s="27" t="s">
        <v>8</v>
      </c>
      <c r="BG528" s="27" t="s">
        <v>8</v>
      </c>
      <c r="BH528" s="27" t="s">
        <v>7</v>
      </c>
      <c r="BQ528" s="27" t="s">
        <v>8</v>
      </c>
      <c r="BR528" s="27" t="s">
        <v>7</v>
      </c>
      <c r="BS528" s="27" t="s">
        <v>8</v>
      </c>
      <c r="BT528" s="27" t="s">
        <v>7</v>
      </c>
      <c r="CI528" s="27" t="s">
        <v>8</v>
      </c>
      <c r="CJ528" s="27" t="s">
        <v>7</v>
      </c>
      <c r="CM528" s="27" t="s">
        <v>8</v>
      </c>
      <c r="CQ528" s="27" t="s">
        <v>8</v>
      </c>
      <c r="CR528" s="27" t="s">
        <v>7</v>
      </c>
      <c r="CS528" s="27" t="s">
        <v>8</v>
      </c>
      <c r="CT528" s="27" t="s">
        <v>7</v>
      </c>
      <c r="CU528" s="27" t="s">
        <v>8</v>
      </c>
      <c r="CW528" s="27" t="s">
        <v>8</v>
      </c>
      <c r="CX528" s="27" t="s">
        <v>7</v>
      </c>
      <c r="CY528" s="27" t="s">
        <v>8</v>
      </c>
      <c r="DJ528" s="27" t="s">
        <v>7</v>
      </c>
      <c r="DM528" s="27" t="s">
        <v>8</v>
      </c>
      <c r="DN528" s="27" t="s">
        <v>7</v>
      </c>
      <c r="DQ528" s="27" t="s">
        <v>8</v>
      </c>
      <c r="DR528" s="27" t="s">
        <v>7</v>
      </c>
      <c r="IK528" s="27" t="s">
        <v>8</v>
      </c>
      <c r="IL528" s="27" t="s">
        <v>7</v>
      </c>
      <c r="IM528" s="27" t="s">
        <v>8</v>
      </c>
      <c r="IR528" s="27" t="s">
        <v>7</v>
      </c>
      <c r="IV528" s="27" t="s">
        <v>7</v>
      </c>
      <c r="JW528" s="27" t="s">
        <v>8</v>
      </c>
      <c r="JX528" s="27" t="s">
        <v>7</v>
      </c>
      <c r="KU528" s="27" t="s">
        <v>8</v>
      </c>
      <c r="KV528" s="27" t="s">
        <v>7</v>
      </c>
      <c r="KW528" s="27" t="s">
        <v>8</v>
      </c>
      <c r="KY528" s="27" t="s">
        <v>8</v>
      </c>
      <c r="KZ528" s="27" t="s">
        <v>7</v>
      </c>
      <c r="LA528" s="27" t="s">
        <v>8</v>
      </c>
      <c r="LB528" s="27" t="s">
        <v>7</v>
      </c>
      <c r="LC528" s="27" t="s">
        <v>8</v>
      </c>
      <c r="LD528" s="27" t="s">
        <v>7</v>
      </c>
      <c r="LE528" s="27" t="s">
        <v>8</v>
      </c>
      <c r="LF528" s="27" t="s">
        <v>7</v>
      </c>
    </row>
    <row r="529" spans="1:316" x14ac:dyDescent="0.25">
      <c r="A529" s="7">
        <v>3.1536243640574906</v>
      </c>
      <c r="B529"/>
      <c r="C529"/>
      <c r="D529"/>
      <c r="E529" t="s">
        <v>8</v>
      </c>
      <c r="H529" s="27" t="s">
        <v>7</v>
      </c>
      <c r="I529" s="27" t="s">
        <v>8</v>
      </c>
      <c r="J529" s="27" t="s">
        <v>7</v>
      </c>
      <c r="BG529" s="27" t="s">
        <v>8</v>
      </c>
      <c r="BH529" s="27" t="s">
        <v>7</v>
      </c>
      <c r="BQ529" s="27" t="s">
        <v>8</v>
      </c>
      <c r="BR529" s="27" t="s">
        <v>7</v>
      </c>
      <c r="BS529" s="27" t="s">
        <v>8</v>
      </c>
      <c r="BT529" s="27" t="s">
        <v>7</v>
      </c>
      <c r="CI529" s="27" t="s">
        <v>8</v>
      </c>
      <c r="CJ529" s="27" t="s">
        <v>7</v>
      </c>
      <c r="CK529" s="27" t="s">
        <v>8</v>
      </c>
      <c r="CM529" s="27" t="s">
        <v>8</v>
      </c>
      <c r="CN529" s="27" t="s">
        <v>7</v>
      </c>
      <c r="CQ529" s="27" t="s">
        <v>8</v>
      </c>
      <c r="CR529" s="27" t="s">
        <v>7</v>
      </c>
      <c r="CS529" s="27" t="s">
        <v>8</v>
      </c>
      <c r="CT529" s="27" t="s">
        <v>7</v>
      </c>
      <c r="CU529" s="27" t="s">
        <v>8</v>
      </c>
      <c r="CV529" s="27" t="s">
        <v>7</v>
      </c>
      <c r="CW529" s="27" t="s">
        <v>8</v>
      </c>
      <c r="CX529" s="27" t="s">
        <v>7</v>
      </c>
      <c r="CY529" s="27" t="s">
        <v>8</v>
      </c>
      <c r="DJ529" s="27" t="s">
        <v>7</v>
      </c>
      <c r="DK529" s="27" t="s">
        <v>8</v>
      </c>
      <c r="DM529" s="27" t="s">
        <v>8</v>
      </c>
      <c r="DN529" s="27" t="s">
        <v>7</v>
      </c>
      <c r="DO529" s="27" t="s">
        <v>8</v>
      </c>
      <c r="DQ529" s="27" t="s">
        <v>8</v>
      </c>
      <c r="DR529" s="27" t="s">
        <v>7</v>
      </c>
      <c r="DS529" s="27" t="s">
        <v>8</v>
      </c>
      <c r="IK529" s="27" t="s">
        <v>8</v>
      </c>
      <c r="IL529" s="27" t="s">
        <v>7</v>
      </c>
      <c r="IM529" s="27" t="s">
        <v>8</v>
      </c>
      <c r="IV529" s="27" t="s">
        <v>7</v>
      </c>
      <c r="JW529" s="27" t="s">
        <v>8</v>
      </c>
      <c r="JX529" s="27" t="s">
        <v>7</v>
      </c>
      <c r="KS529" s="27" t="s">
        <v>8</v>
      </c>
      <c r="KU529" s="27" t="s">
        <v>8</v>
      </c>
      <c r="KV529" s="27" t="s">
        <v>7</v>
      </c>
      <c r="KW529" s="27" t="s">
        <v>8</v>
      </c>
      <c r="KX529" s="27" t="s">
        <v>7</v>
      </c>
      <c r="KY529" s="27" t="s">
        <v>8</v>
      </c>
      <c r="KZ529" s="27" t="s">
        <v>7</v>
      </c>
      <c r="LA529" s="27" t="s">
        <v>8</v>
      </c>
      <c r="LB529" s="27" t="s">
        <v>7</v>
      </c>
      <c r="LC529" s="27" t="s">
        <v>8</v>
      </c>
      <c r="LD529" s="27" t="s">
        <v>7</v>
      </c>
    </row>
    <row r="530" spans="1:316" x14ac:dyDescent="0.25">
      <c r="A530" s="7">
        <v>3.0917885922132262</v>
      </c>
      <c r="B530"/>
      <c r="C530"/>
      <c r="D530"/>
      <c r="E530" t="s">
        <v>8</v>
      </c>
      <c r="H530" s="27" t="s">
        <v>7</v>
      </c>
      <c r="I530" s="27" t="s">
        <v>8</v>
      </c>
      <c r="J530" s="27" t="s">
        <v>7</v>
      </c>
      <c r="BG530" s="27" t="s">
        <v>8</v>
      </c>
      <c r="BH530" s="27" t="s">
        <v>7</v>
      </c>
      <c r="BO530" s="27" t="s">
        <v>8</v>
      </c>
      <c r="BQ530" s="27" t="s">
        <v>8</v>
      </c>
      <c r="BR530" s="27" t="s">
        <v>7</v>
      </c>
      <c r="BT530" s="27" t="s">
        <v>7</v>
      </c>
      <c r="CI530" s="27" t="s">
        <v>8</v>
      </c>
      <c r="CJ530" s="27" t="s">
        <v>7</v>
      </c>
      <c r="CK530" s="27" t="s">
        <v>8</v>
      </c>
      <c r="CL530" s="27" t="s">
        <v>7</v>
      </c>
      <c r="CM530" s="27" t="s">
        <v>8</v>
      </c>
      <c r="CN530" s="27" t="s">
        <v>7</v>
      </c>
      <c r="CQ530" s="27" t="s">
        <v>8</v>
      </c>
      <c r="CR530" s="27" t="s">
        <v>7</v>
      </c>
      <c r="CS530" s="27" t="s">
        <v>8</v>
      </c>
      <c r="CT530" s="27" t="s">
        <v>7</v>
      </c>
      <c r="CU530" s="27" t="s">
        <v>8</v>
      </c>
      <c r="CV530" s="27" t="s">
        <v>7</v>
      </c>
      <c r="CW530" s="27" t="s">
        <v>8</v>
      </c>
      <c r="CX530" s="27" t="s">
        <v>7</v>
      </c>
      <c r="CY530" s="27" t="s">
        <v>8</v>
      </c>
      <c r="DJ530" s="27" t="s">
        <v>7</v>
      </c>
      <c r="DK530" s="27" t="s">
        <v>8</v>
      </c>
      <c r="DL530" s="27" t="s">
        <v>7</v>
      </c>
      <c r="DM530" s="27" t="s">
        <v>8</v>
      </c>
      <c r="DN530" s="27" t="s">
        <v>7</v>
      </c>
      <c r="DO530" s="27" t="s">
        <v>8</v>
      </c>
      <c r="DP530" s="27" t="s">
        <v>7</v>
      </c>
      <c r="DQ530" s="27" t="s">
        <v>8</v>
      </c>
      <c r="DR530" s="27" t="s">
        <v>7</v>
      </c>
      <c r="DS530" s="27" t="s">
        <v>8</v>
      </c>
      <c r="DT530" s="27" t="s">
        <v>7</v>
      </c>
      <c r="IK530" s="27" t="s">
        <v>8</v>
      </c>
      <c r="IL530" s="27" t="s">
        <v>7</v>
      </c>
      <c r="IM530" s="27" t="s">
        <v>8</v>
      </c>
      <c r="IV530" s="27" t="s">
        <v>7</v>
      </c>
      <c r="JW530" s="27" t="s">
        <v>8</v>
      </c>
      <c r="JX530" s="27" t="s">
        <v>7</v>
      </c>
      <c r="KS530" s="27" t="s">
        <v>8</v>
      </c>
      <c r="KT530" s="27" t="s">
        <v>7</v>
      </c>
      <c r="KU530" s="27" t="s">
        <v>8</v>
      </c>
      <c r="KV530" s="27" t="s">
        <v>7</v>
      </c>
      <c r="KW530" s="27" t="s">
        <v>8</v>
      </c>
      <c r="KX530" s="27" t="s">
        <v>7</v>
      </c>
      <c r="KY530" s="27" t="s">
        <v>8</v>
      </c>
      <c r="KZ530" s="27" t="s">
        <v>7</v>
      </c>
      <c r="LA530" s="27" t="s">
        <v>8</v>
      </c>
      <c r="LB530" s="27" t="s">
        <v>7</v>
      </c>
      <c r="LC530" s="27" t="s">
        <v>8</v>
      </c>
    </row>
    <row r="531" spans="1:316" x14ac:dyDescent="0.25">
      <c r="A531" s="7">
        <v>3.0311652864835552</v>
      </c>
      <c r="B531"/>
      <c r="C531"/>
      <c r="D531"/>
      <c r="E531" t="s">
        <v>8</v>
      </c>
      <c r="H531" s="27" t="s">
        <v>7</v>
      </c>
      <c r="J531" s="27" t="s">
        <v>7</v>
      </c>
      <c r="BG531" s="27" t="s">
        <v>8</v>
      </c>
      <c r="BH531" s="27" t="s">
        <v>7</v>
      </c>
      <c r="BO531" s="27" t="s">
        <v>8</v>
      </c>
      <c r="BP531" s="27" t="s">
        <v>7</v>
      </c>
      <c r="BQ531" s="27" t="s">
        <v>8</v>
      </c>
      <c r="BT531" s="27" t="s">
        <v>7</v>
      </c>
      <c r="CI531" s="27" t="s">
        <v>8</v>
      </c>
      <c r="CJ531" s="27" t="s">
        <v>7</v>
      </c>
      <c r="CK531" s="27" t="s">
        <v>8</v>
      </c>
      <c r="CL531" s="27" t="s">
        <v>7</v>
      </c>
      <c r="CM531" s="27" t="s">
        <v>8</v>
      </c>
      <c r="CN531" s="27" t="s">
        <v>7</v>
      </c>
      <c r="CO531" s="27" t="s">
        <v>8</v>
      </c>
      <c r="CQ531" s="27" t="s">
        <v>8</v>
      </c>
      <c r="CR531" s="27" t="s">
        <v>7</v>
      </c>
      <c r="CT531" s="27" t="s">
        <v>7</v>
      </c>
      <c r="CU531" s="27" t="s">
        <v>8</v>
      </c>
      <c r="CV531" s="27" t="s">
        <v>7</v>
      </c>
      <c r="CW531" s="27" t="s">
        <v>8</v>
      </c>
      <c r="CX531" s="27" t="s">
        <v>7</v>
      </c>
      <c r="DJ531" s="27" t="s">
        <v>7</v>
      </c>
      <c r="DK531" s="27" t="s">
        <v>8</v>
      </c>
      <c r="DL531" s="27" t="s">
        <v>7</v>
      </c>
      <c r="DM531" s="27" t="s">
        <v>8</v>
      </c>
      <c r="DN531" s="27" t="s">
        <v>7</v>
      </c>
      <c r="DO531" s="27" t="s">
        <v>8</v>
      </c>
      <c r="DP531" s="27" t="s">
        <v>7</v>
      </c>
      <c r="DQ531" s="27" t="s">
        <v>8</v>
      </c>
      <c r="DR531" s="27" t="s">
        <v>7</v>
      </c>
      <c r="DS531" s="27" t="s">
        <v>8</v>
      </c>
      <c r="DT531" s="27" t="s">
        <v>7</v>
      </c>
      <c r="FY531" s="27" t="s">
        <v>8</v>
      </c>
      <c r="IK531" s="27" t="s">
        <v>8</v>
      </c>
      <c r="IL531" s="27" t="s">
        <v>7</v>
      </c>
      <c r="IV531" s="27" t="s">
        <v>7</v>
      </c>
      <c r="JW531" s="27" t="s">
        <v>8</v>
      </c>
      <c r="JX531" s="27" t="s">
        <v>7</v>
      </c>
      <c r="JY531" s="27" t="s">
        <v>8</v>
      </c>
      <c r="KS531" s="27" t="s">
        <v>8</v>
      </c>
      <c r="KT531" s="27" t="s">
        <v>7</v>
      </c>
      <c r="KU531" s="27" t="s">
        <v>8</v>
      </c>
      <c r="KV531" s="27" t="s">
        <v>7</v>
      </c>
      <c r="KW531" s="27" t="s">
        <v>8</v>
      </c>
      <c r="KX531" s="27" t="s">
        <v>7</v>
      </c>
      <c r="KY531" s="27" t="s">
        <v>8</v>
      </c>
      <c r="KZ531" s="27" t="s">
        <v>7</v>
      </c>
      <c r="LA531" s="27" t="s">
        <v>8</v>
      </c>
      <c r="LB531" s="27" t="s">
        <v>7</v>
      </c>
    </row>
    <row r="532" spans="1:316" x14ac:dyDescent="0.25">
      <c r="A532" s="7">
        <v>2.9717306730230932</v>
      </c>
      <c r="B532"/>
      <c r="C532"/>
      <c r="D532"/>
      <c r="E532" t="s">
        <v>8</v>
      </c>
      <c r="J532" s="27" t="s">
        <v>7</v>
      </c>
      <c r="AE532" s="27" t="s">
        <v>8</v>
      </c>
      <c r="BG532" s="27" t="s">
        <v>8</v>
      </c>
      <c r="BH532" s="27" t="s">
        <v>7</v>
      </c>
      <c r="BM532" s="27" t="s">
        <v>8</v>
      </c>
      <c r="BO532" s="27" t="s">
        <v>8</v>
      </c>
      <c r="BP532" s="27" t="s">
        <v>7</v>
      </c>
      <c r="BQ532" s="27" t="s">
        <v>8</v>
      </c>
      <c r="BT532" s="27" t="s">
        <v>7</v>
      </c>
      <c r="BU532" s="27" t="s">
        <v>8</v>
      </c>
      <c r="BW532" s="27" t="s">
        <v>8</v>
      </c>
      <c r="CI532" s="27" t="s">
        <v>8</v>
      </c>
      <c r="CJ532" s="27" t="s">
        <v>7</v>
      </c>
      <c r="CK532" s="27" t="s">
        <v>8</v>
      </c>
      <c r="CL532" s="27" t="s">
        <v>7</v>
      </c>
      <c r="CM532" s="27" t="s">
        <v>8</v>
      </c>
      <c r="CN532" s="27" t="s">
        <v>7</v>
      </c>
      <c r="CO532" s="27" t="s">
        <v>8</v>
      </c>
      <c r="CP532" s="27" t="s">
        <v>7</v>
      </c>
      <c r="CQ532" s="27" t="s">
        <v>8</v>
      </c>
      <c r="CT532" s="27" t="s">
        <v>7</v>
      </c>
      <c r="CU532" s="27" t="s">
        <v>8</v>
      </c>
      <c r="CV532" s="27" t="s">
        <v>7</v>
      </c>
      <c r="CW532" s="27" t="s">
        <v>8</v>
      </c>
      <c r="DJ532" s="27" t="s">
        <v>7</v>
      </c>
      <c r="DK532" s="27" t="s">
        <v>8</v>
      </c>
      <c r="DL532" s="27" t="s">
        <v>7</v>
      </c>
      <c r="DN532" s="27" t="s">
        <v>7</v>
      </c>
      <c r="DO532" s="27" t="s">
        <v>8</v>
      </c>
      <c r="DP532" s="27" t="s">
        <v>7</v>
      </c>
      <c r="DQ532" s="27" t="s">
        <v>8</v>
      </c>
      <c r="DR532" s="27" t="s">
        <v>7</v>
      </c>
      <c r="DT532" s="27" t="s">
        <v>7</v>
      </c>
      <c r="FY532" s="27" t="s">
        <v>8</v>
      </c>
      <c r="FZ532" s="27" t="s">
        <v>7</v>
      </c>
      <c r="II532" s="27" t="s">
        <v>8</v>
      </c>
      <c r="IK532" s="27" t="s">
        <v>8</v>
      </c>
      <c r="IV532" s="27" t="s">
        <v>7</v>
      </c>
      <c r="JW532" s="27" t="s">
        <v>8</v>
      </c>
      <c r="JX532" s="27" t="s">
        <v>7</v>
      </c>
      <c r="JY532" s="27" t="s">
        <v>8</v>
      </c>
      <c r="JZ532" s="27" t="s">
        <v>7</v>
      </c>
      <c r="KA532" s="27" t="s">
        <v>8</v>
      </c>
      <c r="KS532" s="27" t="s">
        <v>8</v>
      </c>
      <c r="KT532" s="27" t="s">
        <v>7</v>
      </c>
      <c r="KU532" s="27" t="s">
        <v>8</v>
      </c>
      <c r="KV532" s="27" t="s">
        <v>7</v>
      </c>
      <c r="KW532" s="27" t="s">
        <v>8</v>
      </c>
      <c r="KX532" s="27" t="s">
        <v>7</v>
      </c>
      <c r="KY532" s="27" t="s">
        <v>8</v>
      </c>
      <c r="KZ532" s="27" t="s">
        <v>7</v>
      </c>
      <c r="LA532" s="27" t="s">
        <v>8</v>
      </c>
    </row>
    <row r="533" spans="1:316" x14ac:dyDescent="0.25">
      <c r="A533" s="7">
        <v>2.9134614441402875</v>
      </c>
      <c r="B533"/>
      <c r="C533"/>
      <c r="D533"/>
      <c r="E533" t="s">
        <v>8</v>
      </c>
      <c r="J533" s="27" t="s">
        <v>7</v>
      </c>
      <c r="AE533" s="27" t="s">
        <v>8</v>
      </c>
      <c r="AF533" s="27" t="s">
        <v>7</v>
      </c>
      <c r="BG533" s="27" t="s">
        <v>8</v>
      </c>
      <c r="BH533" s="27" t="s">
        <v>7</v>
      </c>
      <c r="BM533" s="27" t="s">
        <v>8</v>
      </c>
      <c r="BN533" s="27" t="s">
        <v>7</v>
      </c>
      <c r="BO533" s="27" t="s">
        <v>8</v>
      </c>
      <c r="BP533" s="27" t="s">
        <v>7</v>
      </c>
      <c r="BT533" s="27" t="s">
        <v>7</v>
      </c>
      <c r="BU533" s="27" t="s">
        <v>8</v>
      </c>
      <c r="BV533" s="27" t="s">
        <v>7</v>
      </c>
      <c r="BW533" s="27" t="s">
        <v>8</v>
      </c>
      <c r="BX533" s="27" t="s">
        <v>7</v>
      </c>
      <c r="CI533" s="27" t="s">
        <v>8</v>
      </c>
      <c r="CJ533" s="27" t="s">
        <v>7</v>
      </c>
      <c r="CK533" s="27" t="s">
        <v>8</v>
      </c>
      <c r="CL533" s="27" t="s">
        <v>7</v>
      </c>
      <c r="CM533" s="27" t="s">
        <v>8</v>
      </c>
      <c r="CN533" s="27" t="s">
        <v>7</v>
      </c>
      <c r="CO533" s="27" t="s">
        <v>8</v>
      </c>
      <c r="CP533" s="27" t="s">
        <v>7</v>
      </c>
      <c r="CQ533" s="27" t="s">
        <v>8</v>
      </c>
      <c r="CT533" s="27" t="s">
        <v>7</v>
      </c>
      <c r="CV533" s="27" t="s">
        <v>7</v>
      </c>
      <c r="CW533" s="27" t="s">
        <v>8</v>
      </c>
      <c r="DJ533" s="27" t="s">
        <v>7</v>
      </c>
      <c r="DK533" s="27" t="s">
        <v>8</v>
      </c>
      <c r="DN533" s="27" t="s">
        <v>7</v>
      </c>
      <c r="DO533" s="27" t="s">
        <v>8</v>
      </c>
      <c r="DP533" s="27" t="s">
        <v>7</v>
      </c>
      <c r="DQ533" s="27" t="s">
        <v>8</v>
      </c>
      <c r="DT533" s="27" t="s">
        <v>7</v>
      </c>
      <c r="FY533" s="27" t="s">
        <v>8</v>
      </c>
      <c r="FZ533" s="27" t="s">
        <v>7</v>
      </c>
      <c r="IG533" s="27" t="s">
        <v>8</v>
      </c>
      <c r="II533" s="27" t="s">
        <v>8</v>
      </c>
      <c r="IJ533" s="27" t="s">
        <v>7</v>
      </c>
      <c r="IK533" s="27" t="s">
        <v>8</v>
      </c>
      <c r="IV533" s="27" t="s">
        <v>7</v>
      </c>
      <c r="JA533" s="27" t="s">
        <v>8</v>
      </c>
      <c r="JC533" s="27" t="s">
        <v>8</v>
      </c>
      <c r="JW533" s="27" t="s">
        <v>8</v>
      </c>
      <c r="JX533" s="27" t="s">
        <v>7</v>
      </c>
      <c r="JY533" s="27" t="s">
        <v>8</v>
      </c>
      <c r="JZ533" s="27" t="s">
        <v>7</v>
      </c>
      <c r="KA533" s="27" t="s">
        <v>8</v>
      </c>
      <c r="KB533" s="27" t="s">
        <v>7</v>
      </c>
      <c r="KI533" s="27" t="s">
        <v>8</v>
      </c>
      <c r="KS533" s="27" t="s">
        <v>8</v>
      </c>
      <c r="KT533" s="27" t="s">
        <v>7</v>
      </c>
      <c r="KU533" s="27" t="s">
        <v>8</v>
      </c>
      <c r="KV533" s="27" t="s">
        <v>7</v>
      </c>
      <c r="KW533" s="27" t="s">
        <v>8</v>
      </c>
      <c r="KX533" s="27" t="s">
        <v>7</v>
      </c>
      <c r="KY533" s="27" t="s">
        <v>8</v>
      </c>
      <c r="KZ533" s="27" t="s">
        <v>7</v>
      </c>
      <c r="LA533" s="27" t="s">
        <v>8</v>
      </c>
    </row>
    <row r="534" spans="1:316" x14ac:dyDescent="0.25">
      <c r="A534" s="7">
        <v>2.8563347491571447</v>
      </c>
      <c r="B534"/>
      <c r="C534"/>
      <c r="D534"/>
      <c r="E534" t="s">
        <v>8</v>
      </c>
      <c r="J534" s="27" t="s">
        <v>7</v>
      </c>
      <c r="AE534" s="27" t="s">
        <v>8</v>
      </c>
      <c r="AF534" s="27" t="s">
        <v>7</v>
      </c>
      <c r="BG534" s="27" t="s">
        <v>8</v>
      </c>
      <c r="BH534" s="27" t="s">
        <v>7</v>
      </c>
      <c r="BM534" s="27" t="s">
        <v>8</v>
      </c>
      <c r="BN534" s="27" t="s">
        <v>7</v>
      </c>
      <c r="BO534" s="27" t="s">
        <v>8</v>
      </c>
      <c r="BT534" s="27" t="s">
        <v>7</v>
      </c>
      <c r="BU534" s="27" t="s">
        <v>8</v>
      </c>
      <c r="BV534" s="27" t="s">
        <v>7</v>
      </c>
      <c r="BW534" s="27" t="s">
        <v>8</v>
      </c>
      <c r="BX534" s="27" t="s">
        <v>7</v>
      </c>
      <c r="CI534" s="27" t="s">
        <v>8</v>
      </c>
      <c r="CJ534" s="27" t="s">
        <v>7</v>
      </c>
      <c r="CK534" s="27" t="s">
        <v>8</v>
      </c>
      <c r="CL534" s="27" t="s">
        <v>7</v>
      </c>
      <c r="CM534" s="27" t="s">
        <v>8</v>
      </c>
      <c r="CN534" s="27" t="s">
        <v>7</v>
      </c>
      <c r="CO534" s="27" t="s">
        <v>8</v>
      </c>
      <c r="CP534" s="27" t="s">
        <v>7</v>
      </c>
      <c r="CV534" s="27" t="s">
        <v>7</v>
      </c>
      <c r="DJ534" s="27" t="s">
        <v>7</v>
      </c>
      <c r="DK534" s="27" t="s">
        <v>8</v>
      </c>
      <c r="DN534" s="27" t="s">
        <v>7</v>
      </c>
      <c r="DO534" s="27" t="s">
        <v>8</v>
      </c>
      <c r="DP534" s="27" t="s">
        <v>7</v>
      </c>
      <c r="DQ534" s="27" t="s">
        <v>8</v>
      </c>
      <c r="DT534" s="27" t="s">
        <v>7</v>
      </c>
      <c r="FY534" s="27" t="s">
        <v>8</v>
      </c>
      <c r="FZ534" s="27" t="s">
        <v>7</v>
      </c>
      <c r="IG534" s="27" t="s">
        <v>8</v>
      </c>
      <c r="IH534" s="27" t="s">
        <v>7</v>
      </c>
      <c r="II534" s="27" t="s">
        <v>8</v>
      </c>
      <c r="IJ534" s="27" t="s">
        <v>7</v>
      </c>
      <c r="IK534" s="27" t="s">
        <v>8</v>
      </c>
      <c r="IV534" s="27" t="s">
        <v>7</v>
      </c>
      <c r="JA534" s="27" t="s">
        <v>8</v>
      </c>
      <c r="JB534" s="27" t="s">
        <v>7</v>
      </c>
      <c r="JC534" s="27" t="s">
        <v>8</v>
      </c>
      <c r="JD534" s="27" t="s">
        <v>7</v>
      </c>
      <c r="JW534" s="27" t="s">
        <v>8</v>
      </c>
      <c r="JX534" s="27" t="s">
        <v>7</v>
      </c>
      <c r="JY534" s="27" t="s">
        <v>8</v>
      </c>
      <c r="JZ534" s="27" t="s">
        <v>7</v>
      </c>
      <c r="KA534" s="27" t="s">
        <v>8</v>
      </c>
      <c r="KB534" s="27" t="s">
        <v>7</v>
      </c>
      <c r="KI534" s="27" t="s">
        <v>8</v>
      </c>
      <c r="KJ534" s="27" t="s">
        <v>7</v>
      </c>
      <c r="KS534" s="27" t="s">
        <v>8</v>
      </c>
      <c r="KT534" s="27" t="s">
        <v>7</v>
      </c>
      <c r="KU534" s="27" t="s">
        <v>8</v>
      </c>
      <c r="KV534" s="27" t="s">
        <v>7</v>
      </c>
      <c r="KW534" s="27" t="s">
        <v>8</v>
      </c>
      <c r="KX534" s="27" t="s">
        <v>7</v>
      </c>
      <c r="KZ534" s="27" t="s">
        <v>7</v>
      </c>
      <c r="LA534" s="27" t="s">
        <v>8</v>
      </c>
    </row>
    <row r="535" spans="1:316" x14ac:dyDescent="0.25">
      <c r="A535" s="7">
        <v>2.8003281854481812</v>
      </c>
      <c r="B535"/>
      <c r="C535"/>
      <c r="D535"/>
      <c r="E535" t="s">
        <v>8</v>
      </c>
      <c r="J535" s="27" t="s">
        <v>7</v>
      </c>
      <c r="AE535" s="27" t="s">
        <v>8</v>
      </c>
      <c r="AF535" s="27" t="s">
        <v>7</v>
      </c>
      <c r="BG535" s="27" t="s">
        <v>8</v>
      </c>
      <c r="BH535" s="27" t="s">
        <v>7</v>
      </c>
      <c r="BM535" s="27" t="s">
        <v>8</v>
      </c>
      <c r="BN535" s="27" t="s">
        <v>7</v>
      </c>
      <c r="BO535" s="27" t="s">
        <v>8</v>
      </c>
      <c r="BT535" s="27" t="s">
        <v>7</v>
      </c>
      <c r="BV535" s="27" t="s">
        <v>7</v>
      </c>
      <c r="BX535" s="27" t="s">
        <v>7</v>
      </c>
      <c r="BY535" s="27" t="s">
        <v>8</v>
      </c>
      <c r="CC535" s="27" t="s">
        <v>8</v>
      </c>
      <c r="CI535" s="27" t="s">
        <v>8</v>
      </c>
      <c r="CJ535" s="27" t="s">
        <v>7</v>
      </c>
      <c r="CK535" s="27" t="s">
        <v>8</v>
      </c>
      <c r="CL535" s="27" t="s">
        <v>7</v>
      </c>
      <c r="CN535" s="27" t="s">
        <v>7</v>
      </c>
      <c r="CO535" s="27" t="s">
        <v>8</v>
      </c>
      <c r="DJ535" s="27" t="s">
        <v>7</v>
      </c>
      <c r="DK535" s="27" t="s">
        <v>8</v>
      </c>
      <c r="DN535" s="27" t="s">
        <v>7</v>
      </c>
      <c r="DO535" s="27" t="s">
        <v>8</v>
      </c>
      <c r="DP535" s="27" t="s">
        <v>7</v>
      </c>
      <c r="DT535" s="27" t="s">
        <v>7</v>
      </c>
      <c r="DU535" s="27" t="s">
        <v>8</v>
      </c>
      <c r="FY535" s="27" t="s">
        <v>8</v>
      </c>
      <c r="FZ535" s="27" t="s">
        <v>7</v>
      </c>
      <c r="IG535" s="27" t="s">
        <v>8</v>
      </c>
      <c r="IH535" s="27" t="s">
        <v>7</v>
      </c>
      <c r="II535" s="27" t="s">
        <v>8</v>
      </c>
      <c r="IJ535" s="27" t="s">
        <v>7</v>
      </c>
      <c r="IK535" s="27" t="s">
        <v>8</v>
      </c>
      <c r="IV535" s="27" t="s">
        <v>7</v>
      </c>
      <c r="JA535" s="27" t="s">
        <v>8</v>
      </c>
      <c r="JB535" s="27" t="s">
        <v>7</v>
      </c>
      <c r="JC535" s="27" t="s">
        <v>8</v>
      </c>
      <c r="JD535" s="27" t="s">
        <v>7</v>
      </c>
      <c r="JW535" s="27" t="s">
        <v>8</v>
      </c>
      <c r="JX535" s="27" t="s">
        <v>7</v>
      </c>
      <c r="JY535" s="27" t="s">
        <v>8</v>
      </c>
      <c r="JZ535" s="27" t="s">
        <v>7</v>
      </c>
      <c r="KA535" s="27" t="s">
        <v>8</v>
      </c>
      <c r="KB535" s="27" t="s">
        <v>7</v>
      </c>
      <c r="KG535" s="27" t="s">
        <v>8</v>
      </c>
      <c r="KI535" s="27" t="s">
        <v>8</v>
      </c>
      <c r="KJ535" s="27" t="s">
        <v>7</v>
      </c>
      <c r="KS535" s="27" t="s">
        <v>8</v>
      </c>
      <c r="KT535" s="27" t="s">
        <v>7</v>
      </c>
      <c r="KU535" s="27" t="s">
        <v>8</v>
      </c>
      <c r="KV535" s="27" t="s">
        <v>7</v>
      </c>
      <c r="KW535" s="27" t="s">
        <v>8</v>
      </c>
      <c r="KZ535" s="27" t="s">
        <v>7</v>
      </c>
      <c r="LA535" s="27" t="s">
        <v>8</v>
      </c>
    </row>
    <row r="536" spans="1:316" x14ac:dyDescent="0.25">
      <c r="A536" s="7">
        <v>2.7454197896550796</v>
      </c>
      <c r="B536"/>
      <c r="C536"/>
      <c r="D536"/>
      <c r="E536" t="s">
        <v>8</v>
      </c>
      <c r="J536" s="27" t="s">
        <v>7</v>
      </c>
      <c r="AE536" s="27" t="s">
        <v>8</v>
      </c>
      <c r="AF536" s="27" t="s">
        <v>7</v>
      </c>
      <c r="BG536" s="27" t="s">
        <v>8</v>
      </c>
      <c r="BH536" s="27" t="s">
        <v>7</v>
      </c>
      <c r="BM536" s="27" t="s">
        <v>8</v>
      </c>
      <c r="BN536" s="27" t="s">
        <v>7</v>
      </c>
      <c r="BO536" s="27" t="s">
        <v>8</v>
      </c>
      <c r="BX536" s="27" t="s">
        <v>7</v>
      </c>
      <c r="BY536" s="27" t="s">
        <v>8</v>
      </c>
      <c r="BZ536" s="27" t="s">
        <v>7</v>
      </c>
      <c r="CC536" s="27" t="s">
        <v>8</v>
      </c>
      <c r="CD536" s="27" t="s">
        <v>7</v>
      </c>
      <c r="CI536" s="27" t="s">
        <v>8</v>
      </c>
      <c r="CJ536" s="27" t="s">
        <v>7</v>
      </c>
      <c r="CN536" s="27" t="s">
        <v>7</v>
      </c>
      <c r="DJ536" s="27" t="s">
        <v>7</v>
      </c>
      <c r="DK536" s="27" t="s">
        <v>8</v>
      </c>
      <c r="DN536" s="27" t="s">
        <v>7</v>
      </c>
      <c r="DT536" s="27" t="s">
        <v>7</v>
      </c>
      <c r="DU536" s="27" t="s">
        <v>8</v>
      </c>
      <c r="DV536" s="27" t="s">
        <v>7</v>
      </c>
      <c r="DW536" s="27" t="s">
        <v>8</v>
      </c>
      <c r="ES536" s="27" t="s">
        <v>8</v>
      </c>
      <c r="FY536" s="27" t="s">
        <v>8</v>
      </c>
      <c r="FZ536" s="27" t="s">
        <v>7</v>
      </c>
      <c r="IG536" s="27" t="s">
        <v>8</v>
      </c>
      <c r="IH536" s="27" t="s">
        <v>7</v>
      </c>
      <c r="II536" s="27" t="s">
        <v>8</v>
      </c>
      <c r="IJ536" s="27" t="s">
        <v>7</v>
      </c>
      <c r="IK536" s="27" t="s">
        <v>8</v>
      </c>
      <c r="IV536" s="27" t="s">
        <v>7</v>
      </c>
      <c r="JA536" s="27" t="s">
        <v>8</v>
      </c>
      <c r="JB536" s="27" t="s">
        <v>7</v>
      </c>
      <c r="JC536" s="27" t="s">
        <v>8</v>
      </c>
      <c r="JD536" s="27" t="s">
        <v>7</v>
      </c>
      <c r="JW536" s="27" t="s">
        <v>8</v>
      </c>
      <c r="JX536" s="27" t="s">
        <v>7</v>
      </c>
      <c r="JY536" s="27" t="s">
        <v>8</v>
      </c>
      <c r="JZ536" s="27" t="s">
        <v>7</v>
      </c>
      <c r="KA536" s="27" t="s">
        <v>8</v>
      </c>
      <c r="KB536" s="27" t="s">
        <v>7</v>
      </c>
      <c r="KC536" s="27" t="s">
        <v>8</v>
      </c>
      <c r="KG536" s="27" t="s">
        <v>8</v>
      </c>
      <c r="KH536" s="27" t="s">
        <v>7</v>
      </c>
      <c r="KI536" s="27" t="s">
        <v>8</v>
      </c>
      <c r="KJ536" s="27" t="s">
        <v>7</v>
      </c>
      <c r="KS536" s="27" t="s">
        <v>8</v>
      </c>
      <c r="KT536" s="27" t="s">
        <v>7</v>
      </c>
      <c r="KU536" s="27" t="s">
        <v>8</v>
      </c>
      <c r="KV536" s="27" t="s">
        <v>7</v>
      </c>
      <c r="KW536" s="27" t="s">
        <v>8</v>
      </c>
      <c r="KZ536" s="27" t="s">
        <v>7</v>
      </c>
      <c r="LA536" s="27" t="s">
        <v>8</v>
      </c>
    </row>
    <row r="537" spans="1:316" x14ac:dyDescent="0.25">
      <c r="A537" s="7">
        <v>2.6915880290736074</v>
      </c>
      <c r="B537"/>
      <c r="C537"/>
      <c r="D537"/>
      <c r="E537" t="s">
        <v>8</v>
      </c>
      <c r="J537" s="27" t="s">
        <v>7</v>
      </c>
      <c r="AE537" s="27" t="s">
        <v>8</v>
      </c>
      <c r="AF537" s="27" t="s">
        <v>7</v>
      </c>
      <c r="BG537" s="27" t="s">
        <v>8</v>
      </c>
      <c r="BH537" s="27" t="s">
        <v>7</v>
      </c>
      <c r="BK537" s="27" t="s">
        <v>8</v>
      </c>
      <c r="BM537" s="27" t="s">
        <v>8</v>
      </c>
      <c r="BN537" s="27" t="s">
        <v>7</v>
      </c>
      <c r="BO537" s="27" t="s">
        <v>8</v>
      </c>
      <c r="BX537" s="27" t="s">
        <v>7</v>
      </c>
      <c r="BY537" s="27" t="s">
        <v>8</v>
      </c>
      <c r="BZ537" s="27" t="s">
        <v>7</v>
      </c>
      <c r="CC537" s="27" t="s">
        <v>8</v>
      </c>
      <c r="CD537" s="27" t="s">
        <v>7</v>
      </c>
      <c r="CI537" s="27" t="s">
        <v>8</v>
      </c>
      <c r="DJ537" s="27" t="s">
        <v>7</v>
      </c>
      <c r="DK537" s="27" t="s">
        <v>8</v>
      </c>
      <c r="DT537" s="27" t="s">
        <v>7</v>
      </c>
      <c r="DU537" s="27" t="s">
        <v>8</v>
      </c>
      <c r="DV537" s="27" t="s">
        <v>7</v>
      </c>
      <c r="DW537" s="27" t="s">
        <v>8</v>
      </c>
      <c r="DX537" s="27" t="s">
        <v>7</v>
      </c>
      <c r="ES537" s="27" t="s">
        <v>8</v>
      </c>
      <c r="ET537" s="27" t="s">
        <v>7</v>
      </c>
      <c r="FW537" s="27" t="s">
        <v>8</v>
      </c>
      <c r="FY537" s="27" t="s">
        <v>8</v>
      </c>
      <c r="FZ537" s="27" t="s">
        <v>7</v>
      </c>
      <c r="GA537" s="27" t="s">
        <v>8</v>
      </c>
      <c r="IE537" s="27" t="s">
        <v>8</v>
      </c>
      <c r="IG537" s="27" t="s">
        <v>8</v>
      </c>
      <c r="IH537" s="27" t="s">
        <v>7</v>
      </c>
      <c r="II537" s="27" t="s">
        <v>8</v>
      </c>
      <c r="IJ537" s="27" t="s">
        <v>7</v>
      </c>
      <c r="IK537" s="27" t="s">
        <v>8</v>
      </c>
      <c r="IV537" s="27" t="s">
        <v>7</v>
      </c>
      <c r="JA537" s="27" t="s">
        <v>8</v>
      </c>
      <c r="JB537" s="27" t="s">
        <v>7</v>
      </c>
      <c r="JC537" s="27" t="s">
        <v>8</v>
      </c>
      <c r="JD537" s="27" t="s">
        <v>7</v>
      </c>
      <c r="JU537" s="27" t="s">
        <v>8</v>
      </c>
      <c r="JW537" s="27" t="s">
        <v>8</v>
      </c>
      <c r="JX537" s="27" t="s">
        <v>7</v>
      </c>
      <c r="JY537" s="27" t="s">
        <v>8</v>
      </c>
      <c r="JZ537" s="27" t="s">
        <v>7</v>
      </c>
      <c r="KB537" s="27" t="s">
        <v>7</v>
      </c>
      <c r="KC537" s="27" t="s">
        <v>8</v>
      </c>
      <c r="KD537" s="27" t="s">
        <v>7</v>
      </c>
      <c r="KG537" s="27" t="s">
        <v>8</v>
      </c>
      <c r="KH537" s="27" t="s">
        <v>7</v>
      </c>
      <c r="KI537" s="27" t="s">
        <v>8</v>
      </c>
      <c r="KJ537" s="27" t="s">
        <v>7</v>
      </c>
      <c r="KQ537" s="27" t="s">
        <v>8</v>
      </c>
      <c r="KS537" s="27" t="s">
        <v>8</v>
      </c>
      <c r="KT537" s="27" t="s">
        <v>7</v>
      </c>
      <c r="KU537" s="27" t="s">
        <v>8</v>
      </c>
      <c r="KV537" s="27" t="s">
        <v>7</v>
      </c>
      <c r="KW537" s="27" t="s">
        <v>8</v>
      </c>
      <c r="KZ537" s="27" t="s">
        <v>7</v>
      </c>
      <c r="LA537" s="27" t="s">
        <v>8</v>
      </c>
    </row>
    <row r="538" spans="1:316" x14ac:dyDescent="0.25">
      <c r="A538" s="7">
        <v>2.6388117932094191</v>
      </c>
      <c r="B538"/>
      <c r="C538"/>
      <c r="D538"/>
      <c r="E538" t="s">
        <v>8</v>
      </c>
      <c r="J538" s="27" t="s">
        <v>7</v>
      </c>
      <c r="AE538" s="27" t="s">
        <v>8</v>
      </c>
      <c r="AF538" s="27" t="s">
        <v>7</v>
      </c>
      <c r="BG538" s="27" t="s">
        <v>8</v>
      </c>
      <c r="BH538" s="27" t="s">
        <v>7</v>
      </c>
      <c r="BI538" s="27" t="s">
        <v>8</v>
      </c>
      <c r="BK538" s="27" t="s">
        <v>8</v>
      </c>
      <c r="BL538" s="27" t="s">
        <v>7</v>
      </c>
      <c r="BM538" s="27" t="s">
        <v>8</v>
      </c>
      <c r="BN538" s="27" t="s">
        <v>7</v>
      </c>
      <c r="BX538" s="27" t="s">
        <v>7</v>
      </c>
      <c r="BZ538" s="27" t="s">
        <v>7</v>
      </c>
      <c r="CC538" s="27" t="s">
        <v>8</v>
      </c>
      <c r="CD538" s="27" t="s">
        <v>7</v>
      </c>
      <c r="CG538" s="27" t="s">
        <v>8</v>
      </c>
      <c r="CI538" s="27" t="s">
        <v>8</v>
      </c>
      <c r="DJ538" s="27" t="s">
        <v>7</v>
      </c>
      <c r="DK538" s="27" t="s">
        <v>8</v>
      </c>
      <c r="DT538" s="27" t="s">
        <v>7</v>
      </c>
      <c r="DU538" s="27" t="s">
        <v>8</v>
      </c>
      <c r="DV538" s="27" t="s">
        <v>7</v>
      </c>
      <c r="DW538" s="27" t="s">
        <v>8</v>
      </c>
      <c r="DX538" s="27" t="s">
        <v>7</v>
      </c>
      <c r="DY538" s="27" t="s">
        <v>8</v>
      </c>
      <c r="ES538" s="27" t="s">
        <v>8</v>
      </c>
      <c r="ET538" s="27" t="s">
        <v>7</v>
      </c>
      <c r="FU538" s="27" t="s">
        <v>8</v>
      </c>
      <c r="FW538" s="27" t="s">
        <v>8</v>
      </c>
      <c r="FX538" s="27" t="s">
        <v>7</v>
      </c>
      <c r="FY538" s="27" t="s">
        <v>8</v>
      </c>
      <c r="FZ538" s="27" t="s">
        <v>7</v>
      </c>
      <c r="GA538" s="27" t="s">
        <v>8</v>
      </c>
      <c r="GB538" s="27" t="s">
        <v>7</v>
      </c>
      <c r="IE538" s="27" t="s">
        <v>8</v>
      </c>
      <c r="IF538" s="27" t="s">
        <v>7</v>
      </c>
      <c r="IG538" s="27" t="s">
        <v>8</v>
      </c>
      <c r="IH538" s="27" t="s">
        <v>7</v>
      </c>
      <c r="II538" s="27" t="s">
        <v>8</v>
      </c>
      <c r="IJ538" s="27" t="s">
        <v>7</v>
      </c>
      <c r="IK538" s="27" t="s">
        <v>8</v>
      </c>
      <c r="IV538" s="27" t="s">
        <v>7</v>
      </c>
      <c r="IW538" s="27" t="s">
        <v>8</v>
      </c>
      <c r="JA538" s="27" t="s">
        <v>8</v>
      </c>
      <c r="JB538" s="27" t="s">
        <v>7</v>
      </c>
      <c r="JC538" s="27" t="s">
        <v>8</v>
      </c>
      <c r="JD538" s="27" t="s">
        <v>7</v>
      </c>
      <c r="JU538" s="27" t="s">
        <v>8</v>
      </c>
      <c r="JV538" s="27" t="s">
        <v>7</v>
      </c>
      <c r="JW538" s="27" t="s">
        <v>8</v>
      </c>
      <c r="JX538" s="27" t="s">
        <v>7</v>
      </c>
      <c r="JY538" s="27" t="s">
        <v>8</v>
      </c>
      <c r="KB538" s="27" t="s">
        <v>7</v>
      </c>
      <c r="KC538" s="27" t="s">
        <v>8</v>
      </c>
      <c r="KD538" s="27" t="s">
        <v>7</v>
      </c>
      <c r="KG538" s="27" t="s">
        <v>8</v>
      </c>
      <c r="KH538" s="27" t="s">
        <v>7</v>
      </c>
      <c r="KJ538" s="27" t="s">
        <v>7</v>
      </c>
      <c r="KQ538" s="27" t="s">
        <v>8</v>
      </c>
      <c r="KR538" s="27" t="s">
        <v>7</v>
      </c>
      <c r="KS538" s="27" t="s">
        <v>8</v>
      </c>
      <c r="KT538" s="27" t="s">
        <v>7</v>
      </c>
      <c r="KV538" s="27" t="s">
        <v>7</v>
      </c>
      <c r="KW538" s="27" t="s">
        <v>8</v>
      </c>
      <c r="KZ538" s="27" t="s">
        <v>7</v>
      </c>
      <c r="LA538" s="27" t="s">
        <v>8</v>
      </c>
    </row>
    <row r="539" spans="1:316" x14ac:dyDescent="0.25">
      <c r="A539" s="7">
        <v>2.5870703854994304</v>
      </c>
      <c r="B539"/>
      <c r="C539"/>
      <c r="D539"/>
      <c r="E539" t="s">
        <v>8</v>
      </c>
      <c r="J539" s="27" t="s">
        <v>7</v>
      </c>
      <c r="AE539" s="27" t="s">
        <v>8</v>
      </c>
      <c r="AF539" s="27" t="s">
        <v>7</v>
      </c>
      <c r="BG539" s="27" t="s">
        <v>8</v>
      </c>
      <c r="BH539" s="27" t="s">
        <v>7</v>
      </c>
      <c r="BI539" s="27" t="s">
        <v>8</v>
      </c>
      <c r="BJ539" s="27" t="s">
        <v>7</v>
      </c>
      <c r="BK539" s="27" t="s">
        <v>8</v>
      </c>
      <c r="BL539" s="27" t="s">
        <v>7</v>
      </c>
      <c r="BM539" s="27" t="s">
        <v>8</v>
      </c>
      <c r="BZ539" s="27" t="s">
        <v>7</v>
      </c>
      <c r="CC539" s="27" t="s">
        <v>8</v>
      </c>
      <c r="CD539" s="27" t="s">
        <v>7</v>
      </c>
      <c r="CG539" s="27" t="s">
        <v>8</v>
      </c>
      <c r="CH539" s="27" t="s">
        <v>7</v>
      </c>
      <c r="CI539" s="27" t="s">
        <v>8</v>
      </c>
      <c r="DJ539" s="27" t="s">
        <v>7</v>
      </c>
      <c r="DK539" s="27" t="s">
        <v>8</v>
      </c>
      <c r="DT539" s="27" t="s">
        <v>7</v>
      </c>
      <c r="DV539" s="27" t="s">
        <v>7</v>
      </c>
      <c r="DW539" s="27" t="s">
        <v>8</v>
      </c>
      <c r="DX539" s="27" t="s">
        <v>7</v>
      </c>
      <c r="DY539" s="27" t="s">
        <v>8</v>
      </c>
      <c r="DZ539" s="27" t="s">
        <v>7</v>
      </c>
      <c r="ES539" s="27" t="s">
        <v>8</v>
      </c>
      <c r="ET539" s="27" t="s">
        <v>7</v>
      </c>
      <c r="FU539" s="27" t="s">
        <v>8</v>
      </c>
      <c r="FV539" s="27" t="s">
        <v>7</v>
      </c>
      <c r="FW539" s="27" t="s">
        <v>8</v>
      </c>
      <c r="FX539" s="27" t="s">
        <v>7</v>
      </c>
      <c r="FY539" s="27" t="s">
        <v>8</v>
      </c>
      <c r="FZ539" s="27" t="s">
        <v>7</v>
      </c>
      <c r="GA539" s="27" t="s">
        <v>8</v>
      </c>
      <c r="GB539" s="27" t="s">
        <v>7</v>
      </c>
      <c r="GE539" s="27" t="s">
        <v>8</v>
      </c>
      <c r="IE539" s="27" t="s">
        <v>8</v>
      </c>
      <c r="IF539" s="27" t="s">
        <v>7</v>
      </c>
      <c r="IG539" s="27" t="s">
        <v>8</v>
      </c>
      <c r="IH539" s="27" t="s">
        <v>7</v>
      </c>
      <c r="II539" s="27" t="s">
        <v>8</v>
      </c>
      <c r="IJ539" s="27" t="s">
        <v>7</v>
      </c>
      <c r="IV539" s="27" t="s">
        <v>7</v>
      </c>
      <c r="IW539" s="27" t="s">
        <v>8</v>
      </c>
      <c r="IX539" s="27" t="s">
        <v>7</v>
      </c>
      <c r="JA539" s="27" t="s">
        <v>8</v>
      </c>
      <c r="JB539" s="27" t="s">
        <v>7</v>
      </c>
      <c r="JC539" s="27" t="s">
        <v>8</v>
      </c>
      <c r="JD539" s="27" t="s">
        <v>7</v>
      </c>
      <c r="JE539" s="27" t="s">
        <v>8</v>
      </c>
      <c r="JU539" s="27" t="s">
        <v>8</v>
      </c>
      <c r="JV539" s="27" t="s">
        <v>7</v>
      </c>
      <c r="JW539" s="27" t="s">
        <v>8</v>
      </c>
      <c r="JX539" s="27" t="s">
        <v>7</v>
      </c>
      <c r="JY539" s="27" t="s">
        <v>8</v>
      </c>
      <c r="KB539" s="27" t="s">
        <v>7</v>
      </c>
      <c r="KD539" s="27" t="s">
        <v>7</v>
      </c>
      <c r="KG539" s="27" t="s">
        <v>8</v>
      </c>
      <c r="KJ539" s="27" t="s">
        <v>7</v>
      </c>
      <c r="KQ539" s="27" t="s">
        <v>8</v>
      </c>
      <c r="KR539" s="27" t="s">
        <v>7</v>
      </c>
      <c r="KS539" s="27" t="s">
        <v>8</v>
      </c>
      <c r="KV539" s="27" t="s">
        <v>7</v>
      </c>
      <c r="KZ539" s="27" t="s">
        <v>7</v>
      </c>
    </row>
    <row r="540" spans="1:316" x14ac:dyDescent="0.25">
      <c r="A540" s="7">
        <v>2.53634351519552</v>
      </c>
      <c r="B540"/>
      <c r="C540"/>
      <c r="D540"/>
      <c r="E540" t="s">
        <v>8</v>
      </c>
      <c r="J540" s="27" t="s">
        <v>7</v>
      </c>
      <c r="K540" s="27" t="s">
        <v>8</v>
      </c>
      <c r="AE540" s="27" t="s">
        <v>8</v>
      </c>
      <c r="AF540" s="27" t="s">
        <v>7</v>
      </c>
      <c r="AO540" s="27" t="s">
        <v>8</v>
      </c>
      <c r="BG540" s="27" t="s">
        <v>8</v>
      </c>
      <c r="BH540" s="27" t="s">
        <v>7</v>
      </c>
      <c r="BI540" s="27" t="s">
        <v>8</v>
      </c>
      <c r="BJ540" s="27" t="s">
        <v>7</v>
      </c>
      <c r="BK540" s="27" t="s">
        <v>8</v>
      </c>
      <c r="BL540" s="27" t="s">
        <v>7</v>
      </c>
      <c r="BM540" s="27" t="s">
        <v>8</v>
      </c>
      <c r="BZ540" s="27" t="s">
        <v>7</v>
      </c>
      <c r="CC540" s="27" t="s">
        <v>8</v>
      </c>
      <c r="CD540" s="27" t="s">
        <v>7</v>
      </c>
      <c r="CG540" s="27" t="s">
        <v>8</v>
      </c>
      <c r="CH540" s="27" t="s">
        <v>7</v>
      </c>
      <c r="CI540" s="27" t="s">
        <v>8</v>
      </c>
      <c r="DJ540" s="27" t="s">
        <v>7</v>
      </c>
      <c r="DV540" s="27" t="s">
        <v>7</v>
      </c>
      <c r="DW540" s="27" t="s">
        <v>8</v>
      </c>
      <c r="DX540" s="27" t="s">
        <v>7</v>
      </c>
      <c r="DY540" s="27" t="s">
        <v>8</v>
      </c>
      <c r="DZ540" s="27" t="s">
        <v>7</v>
      </c>
      <c r="ES540" s="27" t="s">
        <v>8</v>
      </c>
      <c r="ET540" s="27" t="s">
        <v>7</v>
      </c>
      <c r="FU540" s="27" t="s">
        <v>8</v>
      </c>
      <c r="FV540" s="27" t="s">
        <v>7</v>
      </c>
      <c r="FW540" s="27" t="s">
        <v>8</v>
      </c>
      <c r="FX540" s="27" t="s">
        <v>7</v>
      </c>
      <c r="FZ540" s="27" t="s">
        <v>7</v>
      </c>
      <c r="GA540" s="27" t="s">
        <v>8</v>
      </c>
      <c r="GB540" s="27" t="s">
        <v>7</v>
      </c>
      <c r="GE540" s="27" t="s">
        <v>8</v>
      </c>
      <c r="GF540" s="27" t="s">
        <v>7</v>
      </c>
      <c r="IE540" s="27" t="s">
        <v>8</v>
      </c>
      <c r="IF540" s="27" t="s">
        <v>7</v>
      </c>
      <c r="IG540" s="27" t="s">
        <v>8</v>
      </c>
      <c r="IH540" s="27" t="s">
        <v>7</v>
      </c>
      <c r="IV540" s="27" t="s">
        <v>7</v>
      </c>
      <c r="IW540" s="27" t="s">
        <v>8</v>
      </c>
      <c r="IX540" s="27" t="s">
        <v>7</v>
      </c>
      <c r="JA540" s="27" t="s">
        <v>8</v>
      </c>
      <c r="JB540" s="27" t="s">
        <v>7</v>
      </c>
      <c r="JC540" s="27" t="s">
        <v>8</v>
      </c>
      <c r="JD540" s="27" t="s">
        <v>7</v>
      </c>
      <c r="JE540" s="27" t="s">
        <v>8</v>
      </c>
      <c r="JF540" s="27" t="s">
        <v>7</v>
      </c>
      <c r="JU540" s="27" t="s">
        <v>8</v>
      </c>
      <c r="JV540" s="27" t="s">
        <v>7</v>
      </c>
      <c r="JW540" s="27" t="s">
        <v>8</v>
      </c>
      <c r="JX540" s="27" t="s">
        <v>7</v>
      </c>
      <c r="JY540" s="27" t="s">
        <v>8</v>
      </c>
      <c r="KD540" s="27" t="s">
        <v>7</v>
      </c>
      <c r="KG540" s="27" t="s">
        <v>8</v>
      </c>
      <c r="KJ540" s="27" t="s">
        <v>7</v>
      </c>
      <c r="KQ540" s="27" t="s">
        <v>8</v>
      </c>
      <c r="KR540" s="27" t="s">
        <v>7</v>
      </c>
      <c r="KS540" s="27" t="s">
        <v>8</v>
      </c>
    </row>
    <row r="541" spans="1:316" x14ac:dyDescent="0.25">
      <c r="A541" s="7">
        <v>2.4866112894073726</v>
      </c>
      <c r="B541"/>
      <c r="C541"/>
      <c r="D541"/>
      <c r="E541" t="s">
        <v>8</v>
      </c>
      <c r="J541" s="27" t="s">
        <v>7</v>
      </c>
      <c r="K541" s="27" t="s">
        <v>8</v>
      </c>
      <c r="L541" s="27" t="s">
        <v>7</v>
      </c>
      <c r="AA541" s="27" t="s">
        <v>8</v>
      </c>
      <c r="AE541" s="27" t="s">
        <v>8</v>
      </c>
      <c r="AF541" s="27" t="s">
        <v>7</v>
      </c>
      <c r="AO541" s="27" t="s">
        <v>8</v>
      </c>
      <c r="AP541" s="27" t="s">
        <v>7</v>
      </c>
      <c r="BG541" s="27" t="s">
        <v>8</v>
      </c>
      <c r="BH541" s="27" t="s">
        <v>7</v>
      </c>
      <c r="BI541" s="27" t="s">
        <v>8</v>
      </c>
      <c r="BJ541" s="27" t="s">
        <v>7</v>
      </c>
      <c r="BK541" s="27" t="s">
        <v>8</v>
      </c>
      <c r="BL541" s="27" t="s">
        <v>7</v>
      </c>
      <c r="BM541" s="27" t="s">
        <v>8</v>
      </c>
      <c r="BZ541" s="27" t="s">
        <v>7</v>
      </c>
      <c r="CC541" s="27" t="s">
        <v>8</v>
      </c>
      <c r="CD541" s="27" t="s">
        <v>7</v>
      </c>
      <c r="CE541" s="27" t="s">
        <v>8</v>
      </c>
      <c r="CG541" s="27" t="s">
        <v>8</v>
      </c>
      <c r="CH541" s="27" t="s">
        <v>7</v>
      </c>
      <c r="CI541" s="27" t="s">
        <v>8</v>
      </c>
      <c r="DV541" s="27" t="s">
        <v>7</v>
      </c>
      <c r="DW541" s="27" t="s">
        <v>8</v>
      </c>
      <c r="DX541" s="27" t="s">
        <v>7</v>
      </c>
      <c r="DY541" s="27" t="s">
        <v>8</v>
      </c>
      <c r="DZ541" s="27" t="s">
        <v>7</v>
      </c>
      <c r="ES541" s="27" t="s">
        <v>8</v>
      </c>
      <c r="ET541" s="27" t="s">
        <v>7</v>
      </c>
      <c r="FU541" s="27" t="s">
        <v>8</v>
      </c>
      <c r="FV541" s="27" t="s">
        <v>7</v>
      </c>
      <c r="FW541" s="27" t="s">
        <v>8</v>
      </c>
      <c r="FZ541" s="27" t="s">
        <v>7</v>
      </c>
      <c r="GA541" s="27" t="s">
        <v>8</v>
      </c>
      <c r="GB541" s="27" t="s">
        <v>7</v>
      </c>
      <c r="GC541" s="27" t="s">
        <v>8</v>
      </c>
      <c r="GE541" s="27" t="s">
        <v>8</v>
      </c>
      <c r="GF541" s="27" t="s">
        <v>7</v>
      </c>
      <c r="IE541" s="27" t="s">
        <v>8</v>
      </c>
      <c r="IF541" s="27" t="s">
        <v>7</v>
      </c>
      <c r="IG541" s="27" t="s">
        <v>8</v>
      </c>
      <c r="IV541" s="27" t="s">
        <v>7</v>
      </c>
      <c r="IW541" s="27" t="s">
        <v>8</v>
      </c>
      <c r="IX541" s="27" t="s">
        <v>7</v>
      </c>
      <c r="IY541" s="27" t="s">
        <v>8</v>
      </c>
      <c r="JA541" s="27" t="s">
        <v>8</v>
      </c>
      <c r="JB541" s="27" t="s">
        <v>7</v>
      </c>
      <c r="JC541" s="27" t="s">
        <v>8</v>
      </c>
      <c r="JD541" s="27" t="s">
        <v>7</v>
      </c>
      <c r="JE541" s="27" t="s">
        <v>8</v>
      </c>
      <c r="JF541" s="27" t="s">
        <v>7</v>
      </c>
      <c r="JU541" s="27" t="s">
        <v>8</v>
      </c>
      <c r="JV541" s="27" t="s">
        <v>7</v>
      </c>
      <c r="JW541" s="27" t="s">
        <v>8</v>
      </c>
      <c r="JX541" s="27" t="s">
        <v>7</v>
      </c>
      <c r="JY541" s="27" t="s">
        <v>8</v>
      </c>
      <c r="KD541" s="27" t="s">
        <v>7</v>
      </c>
      <c r="KE541" s="27" t="s">
        <v>8</v>
      </c>
      <c r="KG541" s="27" t="s">
        <v>8</v>
      </c>
      <c r="KJ541" s="27" t="s">
        <v>7</v>
      </c>
      <c r="KQ541" s="27" t="s">
        <v>8</v>
      </c>
      <c r="KR541" s="27" t="s">
        <v>7</v>
      </c>
      <c r="KS541" s="27" t="s">
        <v>8</v>
      </c>
    </row>
    <row r="542" spans="1:316" x14ac:dyDescent="0.25">
      <c r="A542" s="7">
        <v>2.4378542053013459</v>
      </c>
      <c r="B542"/>
      <c r="C542"/>
      <c r="D542"/>
      <c r="E542" t="s">
        <v>8</v>
      </c>
      <c r="J542" s="27" t="s">
        <v>7</v>
      </c>
      <c r="K542" s="27" t="s">
        <v>8</v>
      </c>
      <c r="L542" s="27" t="s">
        <v>7</v>
      </c>
      <c r="AA542" s="27" t="s">
        <v>8</v>
      </c>
      <c r="AB542" s="27" t="s">
        <v>7</v>
      </c>
      <c r="AC542" s="27" t="s">
        <v>8</v>
      </c>
      <c r="AE542" s="27" t="s">
        <v>8</v>
      </c>
      <c r="AF542" s="27" t="s">
        <v>7</v>
      </c>
      <c r="AG542" s="27" t="s">
        <v>8</v>
      </c>
      <c r="AO542" s="27" t="s">
        <v>8</v>
      </c>
      <c r="AP542" s="27" t="s">
        <v>7</v>
      </c>
      <c r="AY542" s="27" t="s">
        <v>8</v>
      </c>
      <c r="BG542" s="27" t="s">
        <v>8</v>
      </c>
      <c r="BH542" s="27" t="s">
        <v>7</v>
      </c>
      <c r="BJ542" s="27" t="s">
        <v>7</v>
      </c>
      <c r="BK542" s="27" t="s">
        <v>8</v>
      </c>
      <c r="BL542" s="27" t="s">
        <v>7</v>
      </c>
      <c r="BM542" s="27" t="s">
        <v>8</v>
      </c>
      <c r="BZ542" s="27" t="s">
        <v>7</v>
      </c>
      <c r="CA542" s="27" t="s">
        <v>8</v>
      </c>
      <c r="CC542" s="27" t="s">
        <v>8</v>
      </c>
      <c r="CD542" s="27" t="s">
        <v>7</v>
      </c>
      <c r="CE542" s="27" t="s">
        <v>8</v>
      </c>
      <c r="CF542" s="27" t="s">
        <v>7</v>
      </c>
      <c r="CG542" s="27" t="s">
        <v>8</v>
      </c>
      <c r="CH542" s="27" t="s">
        <v>7</v>
      </c>
      <c r="CI542" s="27" t="s">
        <v>8</v>
      </c>
      <c r="DV542" s="27" t="s">
        <v>7</v>
      </c>
      <c r="DW542" s="27" t="s">
        <v>8</v>
      </c>
      <c r="DX542" s="27" t="s">
        <v>7</v>
      </c>
      <c r="DZ542" s="27" t="s">
        <v>7</v>
      </c>
      <c r="ES542" s="27" t="s">
        <v>8</v>
      </c>
      <c r="ET542" s="27" t="s">
        <v>7</v>
      </c>
      <c r="FU542" s="27" t="s">
        <v>8</v>
      </c>
      <c r="FV542" s="27" t="s">
        <v>7</v>
      </c>
      <c r="FZ542" s="27" t="s">
        <v>7</v>
      </c>
      <c r="GA542" s="27" t="s">
        <v>8</v>
      </c>
      <c r="GB542" s="27" t="s">
        <v>7</v>
      </c>
      <c r="GC542" s="27" t="s">
        <v>8</v>
      </c>
      <c r="GD542" s="27" t="s">
        <v>7</v>
      </c>
      <c r="GE542" s="27" t="s">
        <v>8</v>
      </c>
      <c r="GF542" s="27" t="s">
        <v>7</v>
      </c>
      <c r="HY542" s="27" t="s">
        <v>8</v>
      </c>
      <c r="IC542" s="27" t="s">
        <v>8</v>
      </c>
      <c r="IE542" s="27" t="s">
        <v>8</v>
      </c>
      <c r="IF542" s="27" t="s">
        <v>7</v>
      </c>
      <c r="IG542" s="27" t="s">
        <v>8</v>
      </c>
      <c r="IV542" s="27" t="s">
        <v>7</v>
      </c>
      <c r="IW542" s="27" t="s">
        <v>8</v>
      </c>
      <c r="IX542" s="27" t="s">
        <v>7</v>
      </c>
      <c r="IY542" s="27" t="s">
        <v>8</v>
      </c>
      <c r="IZ542" s="27" t="s">
        <v>7</v>
      </c>
      <c r="JA542" s="27" t="s">
        <v>8</v>
      </c>
      <c r="JB542" s="27" t="s">
        <v>7</v>
      </c>
      <c r="JC542" s="27" t="s">
        <v>8</v>
      </c>
      <c r="JD542" s="27" t="s">
        <v>7</v>
      </c>
      <c r="JE542" s="27" t="s">
        <v>8</v>
      </c>
      <c r="JF542" s="27" t="s">
        <v>7</v>
      </c>
      <c r="JU542" s="27" t="s">
        <v>8</v>
      </c>
      <c r="JV542" s="27" t="s">
        <v>7</v>
      </c>
      <c r="JW542" s="27" t="s">
        <v>8</v>
      </c>
      <c r="JX542" s="27" t="s">
        <v>7</v>
      </c>
      <c r="JY542" s="27" t="s">
        <v>8</v>
      </c>
      <c r="KD542" s="27" t="s">
        <v>7</v>
      </c>
      <c r="KE542" s="27" t="s">
        <v>8</v>
      </c>
      <c r="KF542" s="27" t="s">
        <v>7</v>
      </c>
      <c r="KG542" s="27" t="s">
        <v>8</v>
      </c>
      <c r="KJ542" s="27" t="s">
        <v>7</v>
      </c>
      <c r="KM542" s="27" t="s">
        <v>8</v>
      </c>
      <c r="KQ542" s="27" t="s">
        <v>8</v>
      </c>
      <c r="KR542" s="27" t="s">
        <v>7</v>
      </c>
      <c r="KS542" s="27" t="s">
        <v>8</v>
      </c>
    </row>
    <row r="543" spans="1:316" x14ac:dyDescent="0.25">
      <c r="A543" s="7">
        <v>2.3900531424522997</v>
      </c>
      <c r="B543"/>
      <c r="C543"/>
      <c r="D543"/>
      <c r="E543" t="s">
        <v>8</v>
      </c>
      <c r="J543" s="27" t="s">
        <v>7</v>
      </c>
      <c r="K543" s="27" t="s">
        <v>8</v>
      </c>
      <c r="L543" s="27" t="s">
        <v>7</v>
      </c>
      <c r="AA543" s="27" t="s">
        <v>8</v>
      </c>
      <c r="AB543" s="27" t="s">
        <v>7</v>
      </c>
      <c r="AC543" s="27" t="s">
        <v>8</v>
      </c>
      <c r="AD543" s="27" t="s">
        <v>7</v>
      </c>
      <c r="AE543" s="27" t="s">
        <v>8</v>
      </c>
      <c r="AF543" s="27" t="s">
        <v>7</v>
      </c>
      <c r="AG543" s="27" t="s">
        <v>8</v>
      </c>
      <c r="AH543" s="27" t="s">
        <v>7</v>
      </c>
      <c r="AO543" s="27" t="s">
        <v>8</v>
      </c>
      <c r="AP543" s="27" t="s">
        <v>7</v>
      </c>
      <c r="AQ543" s="27" t="s">
        <v>8</v>
      </c>
      <c r="AY543" s="27" t="s">
        <v>8</v>
      </c>
      <c r="AZ543" s="27" t="s">
        <v>7</v>
      </c>
      <c r="BG543" s="27" t="s">
        <v>8</v>
      </c>
      <c r="BJ543" s="27" t="s">
        <v>7</v>
      </c>
      <c r="BL543" s="27" t="s">
        <v>7</v>
      </c>
      <c r="BZ543" s="27" t="s">
        <v>7</v>
      </c>
      <c r="CA543" s="27" t="s">
        <v>8</v>
      </c>
      <c r="CB543" s="27" t="s">
        <v>7</v>
      </c>
      <c r="CC543" s="27" t="s">
        <v>8</v>
      </c>
      <c r="CD543" s="27" t="s">
        <v>7</v>
      </c>
      <c r="CE543" s="27" t="s">
        <v>8</v>
      </c>
      <c r="CF543" s="27" t="s">
        <v>7</v>
      </c>
      <c r="CG543" s="27" t="s">
        <v>8</v>
      </c>
      <c r="CH543" s="27" t="s">
        <v>7</v>
      </c>
      <c r="DV543" s="27" t="s">
        <v>7</v>
      </c>
      <c r="DW543" s="27" t="s">
        <v>8</v>
      </c>
      <c r="DZ543" s="27" t="s">
        <v>7</v>
      </c>
      <c r="ES543" s="27" t="s">
        <v>8</v>
      </c>
      <c r="ET543" s="27" t="s">
        <v>7</v>
      </c>
      <c r="FU543" s="27" t="s">
        <v>8</v>
      </c>
      <c r="FZ543" s="27" t="s">
        <v>7</v>
      </c>
      <c r="GA543" s="27" t="s">
        <v>8</v>
      </c>
      <c r="GB543" s="27" t="s">
        <v>7</v>
      </c>
      <c r="GC543" s="27" t="s">
        <v>8</v>
      </c>
      <c r="GD543" s="27" t="s">
        <v>7</v>
      </c>
      <c r="GE543" s="27" t="s">
        <v>8</v>
      </c>
      <c r="GF543" s="27" t="s">
        <v>7</v>
      </c>
      <c r="HY543" s="27" t="s">
        <v>8</v>
      </c>
      <c r="HZ543" s="27" t="s">
        <v>7</v>
      </c>
      <c r="IA543" s="27" t="s">
        <v>8</v>
      </c>
      <c r="IC543" s="27" t="s">
        <v>8</v>
      </c>
      <c r="ID543" s="27" t="s">
        <v>7</v>
      </c>
      <c r="IE543" s="27" t="s">
        <v>8</v>
      </c>
      <c r="IF543" s="27" t="s">
        <v>7</v>
      </c>
      <c r="IV543" s="27" t="s">
        <v>7</v>
      </c>
      <c r="IW543" s="27" t="s">
        <v>8</v>
      </c>
      <c r="IX543" s="27" t="s">
        <v>7</v>
      </c>
      <c r="IY543" s="27" t="s">
        <v>8</v>
      </c>
      <c r="IZ543" s="27" t="s">
        <v>7</v>
      </c>
      <c r="JA543" s="27" t="s">
        <v>8</v>
      </c>
      <c r="JB543" s="27" t="s">
        <v>7</v>
      </c>
      <c r="JD543" s="27" t="s">
        <v>7</v>
      </c>
      <c r="JE543" s="27" t="s">
        <v>8</v>
      </c>
      <c r="JF543" s="27" t="s">
        <v>7</v>
      </c>
      <c r="JI543" s="27" t="s">
        <v>8</v>
      </c>
      <c r="JK543" s="27" t="s">
        <v>8</v>
      </c>
      <c r="JU543" s="27" t="s">
        <v>8</v>
      </c>
      <c r="JV543" s="27" t="s">
        <v>7</v>
      </c>
      <c r="JX543" s="27" t="s">
        <v>7</v>
      </c>
      <c r="JY543" s="27" t="s">
        <v>8</v>
      </c>
      <c r="KD543" s="27" t="s">
        <v>7</v>
      </c>
      <c r="KE543" s="27" t="s">
        <v>8</v>
      </c>
      <c r="KF543" s="27" t="s">
        <v>7</v>
      </c>
      <c r="KG543" s="27" t="s">
        <v>8</v>
      </c>
      <c r="KJ543" s="27" t="s">
        <v>7</v>
      </c>
      <c r="KK543" s="27" t="s">
        <v>8</v>
      </c>
      <c r="KM543" s="27" t="s">
        <v>8</v>
      </c>
      <c r="KN543" s="27" t="s">
        <v>7</v>
      </c>
      <c r="KQ543" s="27" t="s">
        <v>8</v>
      </c>
      <c r="KR543" s="27" t="s">
        <v>7</v>
      </c>
    </row>
    <row r="544" spans="1:316" x14ac:dyDescent="0.25">
      <c r="A544" s="7">
        <v>2.343189355345392</v>
      </c>
      <c r="B544"/>
      <c r="C544"/>
      <c r="D544"/>
      <c r="E544" t="s">
        <v>8</v>
      </c>
      <c r="J544" s="27" t="s">
        <v>7</v>
      </c>
      <c r="K544" s="27" t="s">
        <v>8</v>
      </c>
      <c r="L544" s="27" t="s">
        <v>7</v>
      </c>
      <c r="AA544" s="27" t="s">
        <v>8</v>
      </c>
      <c r="AB544" s="27" t="s">
        <v>7</v>
      </c>
      <c r="AC544" s="27" t="s">
        <v>8</v>
      </c>
      <c r="AD544" s="27" t="s">
        <v>7</v>
      </c>
      <c r="AE544" s="27" t="s">
        <v>8</v>
      </c>
      <c r="AF544" s="27" t="s">
        <v>7</v>
      </c>
      <c r="AG544" s="27" t="s">
        <v>8</v>
      </c>
      <c r="AH544" s="27" t="s">
        <v>7</v>
      </c>
      <c r="AI544" s="27" t="s">
        <v>8</v>
      </c>
      <c r="AM544" s="27" t="s">
        <v>8</v>
      </c>
      <c r="AO544" s="27" t="s">
        <v>8</v>
      </c>
      <c r="AP544" s="27" t="s">
        <v>7</v>
      </c>
      <c r="AQ544" s="27" t="s">
        <v>8</v>
      </c>
      <c r="AR544" s="27" t="s">
        <v>7</v>
      </c>
      <c r="AY544" s="27" t="s">
        <v>8</v>
      </c>
      <c r="AZ544" s="27" t="s">
        <v>7</v>
      </c>
      <c r="BG544" s="27" t="s">
        <v>8</v>
      </c>
      <c r="BZ544" s="27" t="s">
        <v>7</v>
      </c>
      <c r="CA544" s="27" t="s">
        <v>8</v>
      </c>
      <c r="CB544" s="27" t="s">
        <v>7</v>
      </c>
      <c r="CC544" s="27" t="s">
        <v>8</v>
      </c>
      <c r="CD544" s="27" t="s">
        <v>7</v>
      </c>
      <c r="CF544" s="27" t="s">
        <v>7</v>
      </c>
      <c r="CG544" s="27" t="s">
        <v>8</v>
      </c>
      <c r="DV544" s="27" t="s">
        <v>7</v>
      </c>
      <c r="DW544" s="27" t="s">
        <v>8</v>
      </c>
      <c r="DZ544" s="27" t="s">
        <v>7</v>
      </c>
      <c r="ES544" s="27" t="s">
        <v>8</v>
      </c>
      <c r="ET544" s="27" t="s">
        <v>7</v>
      </c>
      <c r="EU544" s="27" t="s">
        <v>8</v>
      </c>
      <c r="EW544" s="27" t="s">
        <v>8</v>
      </c>
      <c r="FS544" s="27" t="s">
        <v>8</v>
      </c>
      <c r="FU544" s="27" t="s">
        <v>8</v>
      </c>
      <c r="FZ544" s="27" t="s">
        <v>7</v>
      </c>
      <c r="GA544" s="27" t="s">
        <v>8</v>
      </c>
      <c r="GB544" s="27" t="s">
        <v>7</v>
      </c>
      <c r="GC544" s="27" t="s">
        <v>8</v>
      </c>
      <c r="GD544" s="27" t="s">
        <v>7</v>
      </c>
      <c r="GE544" s="27" t="s">
        <v>8</v>
      </c>
      <c r="GF544" s="27" t="s">
        <v>7</v>
      </c>
      <c r="HY544" s="27" t="s">
        <v>8</v>
      </c>
      <c r="HZ544" s="27" t="s">
        <v>7</v>
      </c>
      <c r="IA544" s="27" t="s">
        <v>8</v>
      </c>
      <c r="IB544" s="27" t="s">
        <v>7</v>
      </c>
      <c r="IC544" s="27" t="s">
        <v>8</v>
      </c>
      <c r="ID544" s="27" t="s">
        <v>7</v>
      </c>
      <c r="IE544" s="27" t="s">
        <v>8</v>
      </c>
      <c r="IV544" s="27" t="s">
        <v>7</v>
      </c>
      <c r="IW544" s="27" t="s">
        <v>8</v>
      </c>
      <c r="IX544" s="27" t="s">
        <v>7</v>
      </c>
      <c r="IY544" s="27" t="s">
        <v>8</v>
      </c>
      <c r="IZ544" s="27" t="s">
        <v>7</v>
      </c>
      <c r="JA544" s="27" t="s">
        <v>8</v>
      </c>
      <c r="JD544" s="27" t="s">
        <v>7</v>
      </c>
      <c r="JE544" s="27" t="s">
        <v>8</v>
      </c>
      <c r="JF544" s="27" t="s">
        <v>7</v>
      </c>
      <c r="JG544" s="27" t="s">
        <v>8</v>
      </c>
      <c r="JI544" s="27" t="s">
        <v>8</v>
      </c>
      <c r="JJ544" s="27" t="s">
        <v>7</v>
      </c>
      <c r="JK544" s="27" t="s">
        <v>8</v>
      </c>
      <c r="JL544" s="27" t="s">
        <v>7</v>
      </c>
      <c r="JU544" s="27" t="s">
        <v>8</v>
      </c>
      <c r="JX544" s="27" t="s">
        <v>7</v>
      </c>
      <c r="JY544" s="27" t="s">
        <v>8</v>
      </c>
      <c r="KD544" s="27" t="s">
        <v>7</v>
      </c>
      <c r="KE544" s="27" t="s">
        <v>8</v>
      </c>
      <c r="KF544" s="27" t="s">
        <v>7</v>
      </c>
      <c r="KJ544" s="27" t="s">
        <v>7</v>
      </c>
      <c r="KK544" s="27" t="s">
        <v>8</v>
      </c>
      <c r="KL544" s="27" t="s">
        <v>7</v>
      </c>
      <c r="KM544" s="27" t="s">
        <v>8</v>
      </c>
      <c r="KN544" s="27" t="s">
        <v>7</v>
      </c>
      <c r="KO544" s="27" t="s">
        <v>8</v>
      </c>
      <c r="KQ544" s="27" t="s">
        <v>8</v>
      </c>
    </row>
    <row r="545" spans="1:303" x14ac:dyDescent="0.25">
      <c r="A545" s="7">
        <v>2.2972444660248938</v>
      </c>
      <c r="B545"/>
      <c r="C545"/>
      <c r="D545"/>
      <c r="E545" t="s">
        <v>8</v>
      </c>
      <c r="J545" s="27" t="s">
        <v>7</v>
      </c>
      <c r="K545" s="27" t="s">
        <v>8</v>
      </c>
      <c r="L545" s="27" t="s">
        <v>7</v>
      </c>
      <c r="O545" s="27" t="s">
        <v>8</v>
      </c>
      <c r="AA545" s="27" t="s">
        <v>8</v>
      </c>
      <c r="AB545" s="27" t="s">
        <v>7</v>
      </c>
      <c r="AC545" s="27" t="s">
        <v>8</v>
      </c>
      <c r="AD545" s="27" t="s">
        <v>7</v>
      </c>
      <c r="AE545" s="27" t="s">
        <v>8</v>
      </c>
      <c r="AF545" s="27" t="s">
        <v>7</v>
      </c>
      <c r="AH545" s="27" t="s">
        <v>7</v>
      </c>
      <c r="AI545" s="27" t="s">
        <v>8</v>
      </c>
      <c r="AJ545" s="27" t="s">
        <v>7</v>
      </c>
      <c r="AK545" s="27" t="s">
        <v>8</v>
      </c>
      <c r="AM545" s="27" t="s">
        <v>8</v>
      </c>
      <c r="AN545" s="27" t="s">
        <v>7</v>
      </c>
      <c r="AO545" s="27" t="s">
        <v>8</v>
      </c>
      <c r="AP545" s="27" t="s">
        <v>7</v>
      </c>
      <c r="AQ545" s="27" t="s">
        <v>8</v>
      </c>
      <c r="AR545" s="27" t="s">
        <v>7</v>
      </c>
      <c r="AY545" s="27" t="s">
        <v>8</v>
      </c>
      <c r="AZ545" s="27" t="s">
        <v>7</v>
      </c>
      <c r="BG545" s="27" t="s">
        <v>8</v>
      </c>
      <c r="BZ545" s="27" t="s">
        <v>7</v>
      </c>
      <c r="CB545" s="27" t="s">
        <v>7</v>
      </c>
      <c r="CC545" s="27" t="s">
        <v>8</v>
      </c>
      <c r="CF545" s="27" t="s">
        <v>7</v>
      </c>
      <c r="DV545" s="27" t="s">
        <v>7</v>
      </c>
      <c r="DW545" s="27" t="s">
        <v>8</v>
      </c>
      <c r="DZ545" s="27" t="s">
        <v>7</v>
      </c>
      <c r="EG545" s="27" t="s">
        <v>8</v>
      </c>
      <c r="ES545" s="27" t="s">
        <v>8</v>
      </c>
      <c r="ET545" s="27" t="s">
        <v>7</v>
      </c>
      <c r="EU545" s="27" t="s">
        <v>8</v>
      </c>
      <c r="EV545" s="27" t="s">
        <v>7</v>
      </c>
      <c r="EW545" s="27" t="s">
        <v>8</v>
      </c>
      <c r="EX545" s="27" t="s">
        <v>7</v>
      </c>
      <c r="FS545" s="27" t="s">
        <v>8</v>
      </c>
      <c r="FT545" s="27" t="s">
        <v>7</v>
      </c>
      <c r="FU545" s="27" t="s">
        <v>8</v>
      </c>
      <c r="FZ545" s="27" t="s">
        <v>7</v>
      </c>
      <c r="GA545" s="27" t="s">
        <v>8</v>
      </c>
      <c r="GB545" s="27" t="s">
        <v>7</v>
      </c>
      <c r="GD545" s="27" t="s">
        <v>7</v>
      </c>
      <c r="GF545" s="27" t="s">
        <v>7</v>
      </c>
      <c r="GI545" s="27" t="s">
        <v>8</v>
      </c>
      <c r="HW545" s="27" t="s">
        <v>8</v>
      </c>
      <c r="HY545" s="27" t="s">
        <v>8</v>
      </c>
      <c r="HZ545" s="27" t="s">
        <v>7</v>
      </c>
      <c r="IA545" s="27" t="s">
        <v>8</v>
      </c>
      <c r="IB545" s="27" t="s">
        <v>7</v>
      </c>
      <c r="IC545" s="27" t="s">
        <v>8</v>
      </c>
      <c r="ID545" s="27" t="s">
        <v>7</v>
      </c>
      <c r="IE545" s="27" t="s">
        <v>8</v>
      </c>
      <c r="IV545" s="27" t="s">
        <v>7</v>
      </c>
      <c r="IW545" s="27" t="s">
        <v>8</v>
      </c>
      <c r="IX545" s="27" t="s">
        <v>7</v>
      </c>
      <c r="IY545" s="27" t="s">
        <v>8</v>
      </c>
      <c r="IZ545" s="27" t="s">
        <v>7</v>
      </c>
      <c r="JA545" s="27" t="s">
        <v>8</v>
      </c>
      <c r="JD545" s="27" t="s">
        <v>7</v>
      </c>
      <c r="JE545" s="27" t="s">
        <v>8</v>
      </c>
      <c r="JF545" s="27" t="s">
        <v>7</v>
      </c>
      <c r="JG545" s="27" t="s">
        <v>8</v>
      </c>
      <c r="JH545" s="27" t="s">
        <v>7</v>
      </c>
      <c r="JI545" s="27" t="s">
        <v>8</v>
      </c>
      <c r="JJ545" s="27" t="s">
        <v>7</v>
      </c>
      <c r="JK545" s="27" t="s">
        <v>8</v>
      </c>
      <c r="JL545" s="27" t="s">
        <v>7</v>
      </c>
      <c r="JU545" s="27" t="s">
        <v>8</v>
      </c>
      <c r="JX545" s="27" t="s">
        <v>7</v>
      </c>
      <c r="KD545" s="27" t="s">
        <v>7</v>
      </c>
      <c r="KJ545" s="27" t="s">
        <v>7</v>
      </c>
      <c r="KK545" s="27" t="s">
        <v>8</v>
      </c>
      <c r="KL545" s="27" t="s">
        <v>7</v>
      </c>
      <c r="KM545" s="27" t="s">
        <v>8</v>
      </c>
      <c r="KN545" s="27" t="s">
        <v>7</v>
      </c>
      <c r="KO545" s="27" t="s">
        <v>8</v>
      </c>
      <c r="KP545" s="27" t="s">
        <v>7</v>
      </c>
      <c r="KQ545" s="27" t="s">
        <v>8</v>
      </c>
    </row>
    <row r="546" spans="1:303" x14ac:dyDescent="0.25">
      <c r="A546" s="7">
        <v>2.252200456887151</v>
      </c>
      <c r="B546"/>
      <c r="C546"/>
      <c r="D546"/>
      <c r="E546" t="s">
        <v>8</v>
      </c>
      <c r="J546" s="27" t="s">
        <v>7</v>
      </c>
      <c r="K546" s="27" t="s">
        <v>8</v>
      </c>
      <c r="L546" s="27" t="s">
        <v>7</v>
      </c>
      <c r="O546" s="27" t="s">
        <v>8</v>
      </c>
      <c r="P546" s="27" t="s">
        <v>7</v>
      </c>
      <c r="AA546" s="27" t="s">
        <v>8</v>
      </c>
      <c r="AB546" s="27" t="s">
        <v>7</v>
      </c>
      <c r="AC546" s="27" t="s">
        <v>8</v>
      </c>
      <c r="AD546" s="27" t="s">
        <v>7</v>
      </c>
      <c r="AE546" s="27" t="s">
        <v>8</v>
      </c>
      <c r="AH546" s="27" t="s">
        <v>7</v>
      </c>
      <c r="AI546" s="27" t="s">
        <v>8</v>
      </c>
      <c r="AJ546" s="27" t="s">
        <v>7</v>
      </c>
      <c r="AK546" s="27" t="s">
        <v>8</v>
      </c>
      <c r="AL546" s="27" t="s">
        <v>7</v>
      </c>
      <c r="AM546" s="27" t="s">
        <v>8</v>
      </c>
      <c r="AN546" s="27" t="s">
        <v>7</v>
      </c>
      <c r="AO546" s="27" t="s">
        <v>8</v>
      </c>
      <c r="AP546" s="27" t="s">
        <v>7</v>
      </c>
      <c r="AQ546" s="27" t="s">
        <v>8</v>
      </c>
      <c r="AR546" s="27" t="s">
        <v>7</v>
      </c>
      <c r="AY546" s="27" t="s">
        <v>8</v>
      </c>
      <c r="AZ546" s="27" t="s">
        <v>7</v>
      </c>
      <c r="BE546" s="27" t="s">
        <v>8</v>
      </c>
      <c r="BG546" s="27" t="s">
        <v>8</v>
      </c>
      <c r="CB546" s="27" t="s">
        <v>7</v>
      </c>
      <c r="DV546" s="27" t="s">
        <v>7</v>
      </c>
      <c r="DZ546" s="27" t="s">
        <v>7</v>
      </c>
      <c r="EG546" s="27" t="s">
        <v>8</v>
      </c>
      <c r="EH546" s="27" t="s">
        <v>7</v>
      </c>
      <c r="ES546" s="27" t="s">
        <v>8</v>
      </c>
      <c r="ET546" s="27" t="s">
        <v>7</v>
      </c>
      <c r="EU546" s="27" t="s">
        <v>8</v>
      </c>
      <c r="EV546" s="27" t="s">
        <v>7</v>
      </c>
      <c r="EW546" s="27" t="s">
        <v>8</v>
      </c>
      <c r="EX546" s="27" t="s">
        <v>7</v>
      </c>
      <c r="FS546" s="27" t="s">
        <v>8</v>
      </c>
      <c r="FT546" s="27" t="s">
        <v>7</v>
      </c>
      <c r="FU546" s="27" t="s">
        <v>8</v>
      </c>
      <c r="FZ546" s="27" t="s">
        <v>7</v>
      </c>
      <c r="GF546" s="27" t="s">
        <v>7</v>
      </c>
      <c r="GI546" s="27" t="s">
        <v>8</v>
      </c>
      <c r="GJ546" s="27" t="s">
        <v>7</v>
      </c>
      <c r="HW546" s="27" t="s">
        <v>8</v>
      </c>
      <c r="HX546" s="27" t="s">
        <v>7</v>
      </c>
      <c r="HY546" s="27" t="s">
        <v>8</v>
      </c>
      <c r="HZ546" s="27" t="s">
        <v>7</v>
      </c>
      <c r="IA546" s="27" t="s">
        <v>8</v>
      </c>
      <c r="IB546" s="27" t="s">
        <v>7</v>
      </c>
      <c r="IC546" s="27" t="s">
        <v>8</v>
      </c>
      <c r="ID546" s="27" t="s">
        <v>7</v>
      </c>
      <c r="IE546" s="27" t="s">
        <v>8</v>
      </c>
      <c r="IV546" s="27" t="s">
        <v>7</v>
      </c>
      <c r="IW546" s="27" t="s">
        <v>8</v>
      </c>
      <c r="IX546" s="27" t="s">
        <v>7</v>
      </c>
      <c r="IY546" s="27" t="s">
        <v>8</v>
      </c>
      <c r="IZ546" s="27" t="s">
        <v>7</v>
      </c>
      <c r="JD546" s="27" t="s">
        <v>7</v>
      </c>
      <c r="JE546" s="27" t="s">
        <v>8</v>
      </c>
      <c r="JF546" s="27" t="s">
        <v>7</v>
      </c>
      <c r="JG546" s="27" t="s">
        <v>8</v>
      </c>
      <c r="JH546" s="27" t="s">
        <v>7</v>
      </c>
      <c r="JI546" s="27" t="s">
        <v>8</v>
      </c>
      <c r="JJ546" s="27" t="s">
        <v>7</v>
      </c>
      <c r="JK546" s="27" t="s">
        <v>8</v>
      </c>
      <c r="JL546" s="27" t="s">
        <v>7</v>
      </c>
      <c r="JU546" s="27" t="s">
        <v>8</v>
      </c>
      <c r="KJ546" s="27" t="s">
        <v>7</v>
      </c>
      <c r="KK546" s="27" t="s">
        <v>8</v>
      </c>
      <c r="KL546" s="27" t="s">
        <v>7</v>
      </c>
      <c r="KM546" s="27" t="s">
        <v>8</v>
      </c>
      <c r="KN546" s="27" t="s">
        <v>7</v>
      </c>
      <c r="KO546" s="27" t="s">
        <v>8</v>
      </c>
      <c r="KP546" s="27" t="s">
        <v>7</v>
      </c>
      <c r="KQ546" s="27" t="s">
        <v>8</v>
      </c>
    </row>
    <row r="547" spans="1:303" x14ac:dyDescent="0.25">
      <c r="A547" s="7">
        <v>2.208039663614854</v>
      </c>
      <c r="B547"/>
      <c r="C547"/>
      <c r="D547"/>
      <c r="E547" t="s">
        <v>8</v>
      </c>
      <c r="J547" s="27" t="s">
        <v>7</v>
      </c>
      <c r="L547" s="27" t="s">
        <v>7</v>
      </c>
      <c r="O547" s="27" t="s">
        <v>8</v>
      </c>
      <c r="P547" s="27" t="s">
        <v>7</v>
      </c>
      <c r="AA547" s="27" t="s">
        <v>8</v>
      </c>
      <c r="AB547" s="27" t="s">
        <v>7</v>
      </c>
      <c r="AC547" s="27" t="s">
        <v>8</v>
      </c>
      <c r="AD547" s="27" t="s">
        <v>7</v>
      </c>
      <c r="AE547" s="27" t="s">
        <v>8</v>
      </c>
      <c r="AH547" s="27" t="s">
        <v>7</v>
      </c>
      <c r="AI547" s="27" t="s">
        <v>8</v>
      </c>
      <c r="AJ547" s="27" t="s">
        <v>7</v>
      </c>
      <c r="AK547" s="27" t="s">
        <v>8</v>
      </c>
      <c r="AL547" s="27" t="s">
        <v>7</v>
      </c>
      <c r="AM547" s="27" t="s">
        <v>8</v>
      </c>
      <c r="AN547" s="27" t="s">
        <v>7</v>
      </c>
      <c r="AP547" s="27" t="s">
        <v>7</v>
      </c>
      <c r="AQ547" s="27" t="s">
        <v>8</v>
      </c>
      <c r="AR547" s="27" t="s">
        <v>7</v>
      </c>
      <c r="AY547" s="27" t="s">
        <v>8</v>
      </c>
      <c r="AZ547" s="27" t="s">
        <v>7</v>
      </c>
      <c r="BC547" s="27" t="s">
        <v>8</v>
      </c>
      <c r="BE547" s="27" t="s">
        <v>8</v>
      </c>
      <c r="BF547" s="27" t="s">
        <v>7</v>
      </c>
      <c r="BG547" s="27" t="s">
        <v>8</v>
      </c>
      <c r="DZ547" s="27" t="s">
        <v>7</v>
      </c>
      <c r="EG547" s="27" t="s">
        <v>8</v>
      </c>
      <c r="EH547" s="27" t="s">
        <v>7</v>
      </c>
      <c r="EI547" s="27" t="s">
        <v>8</v>
      </c>
      <c r="ES547" s="27" t="s">
        <v>8</v>
      </c>
      <c r="ET547" s="27" t="s">
        <v>7</v>
      </c>
      <c r="EU547" s="27" t="s">
        <v>8</v>
      </c>
      <c r="EV547" s="27" t="s">
        <v>7</v>
      </c>
      <c r="EW547" s="27" t="s">
        <v>8</v>
      </c>
      <c r="EX547" s="27" t="s">
        <v>7</v>
      </c>
      <c r="FO547" s="27" t="s">
        <v>8</v>
      </c>
      <c r="FS547" s="27" t="s">
        <v>8</v>
      </c>
      <c r="FT547" s="27" t="s">
        <v>7</v>
      </c>
      <c r="GF547" s="27" t="s">
        <v>7</v>
      </c>
      <c r="GI547" s="27" t="s">
        <v>8</v>
      </c>
      <c r="GJ547" s="27" t="s">
        <v>7</v>
      </c>
      <c r="HW547" s="27" t="s">
        <v>8</v>
      </c>
      <c r="HX547" s="27" t="s">
        <v>7</v>
      </c>
      <c r="HY547" s="27" t="s">
        <v>8</v>
      </c>
      <c r="HZ547" s="27" t="s">
        <v>7</v>
      </c>
      <c r="IA547" s="27" t="s">
        <v>8</v>
      </c>
      <c r="IB547" s="27" t="s">
        <v>7</v>
      </c>
      <c r="ID547" s="27" t="s">
        <v>7</v>
      </c>
      <c r="IV547" s="27" t="s">
        <v>7</v>
      </c>
      <c r="IW547" s="27" t="s">
        <v>8</v>
      </c>
      <c r="IX547" s="27" t="s">
        <v>7</v>
      </c>
      <c r="JD547" s="27" t="s">
        <v>7</v>
      </c>
      <c r="JE547" s="27" t="s">
        <v>8</v>
      </c>
      <c r="JF547" s="27" t="s">
        <v>7</v>
      </c>
      <c r="JH547" s="27" t="s">
        <v>7</v>
      </c>
      <c r="JI547" s="27" t="s">
        <v>8</v>
      </c>
      <c r="JJ547" s="27" t="s">
        <v>7</v>
      </c>
      <c r="JK547" s="27" t="s">
        <v>8</v>
      </c>
      <c r="JL547" s="27" t="s">
        <v>7</v>
      </c>
      <c r="JS547" s="27" t="s">
        <v>8</v>
      </c>
      <c r="JU547" s="27" t="s">
        <v>8</v>
      </c>
      <c r="KJ547" s="27" t="s">
        <v>7</v>
      </c>
      <c r="KK547" s="27" t="s">
        <v>8</v>
      </c>
      <c r="KL547" s="27" t="s">
        <v>7</v>
      </c>
      <c r="KM547" s="27" t="s">
        <v>8</v>
      </c>
      <c r="KN547" s="27" t="s">
        <v>7</v>
      </c>
      <c r="KO547" s="27" t="s">
        <v>8</v>
      </c>
      <c r="KP547" s="27" t="s">
        <v>7</v>
      </c>
    </row>
    <row r="548" spans="1:303" x14ac:dyDescent="0.25">
      <c r="A548" s="7">
        <v>2.1647447682498568</v>
      </c>
      <c r="B548"/>
      <c r="C548"/>
      <c r="D548"/>
      <c r="E548" t="s">
        <v>8</v>
      </c>
      <c r="L548" s="27" t="s">
        <v>7</v>
      </c>
      <c r="M548" s="27" t="s">
        <v>8</v>
      </c>
      <c r="O548" s="27" t="s">
        <v>8</v>
      </c>
      <c r="P548" s="27" t="s">
        <v>7</v>
      </c>
      <c r="Q548" s="27" t="s">
        <v>8</v>
      </c>
      <c r="Y548" s="27" t="s">
        <v>8</v>
      </c>
      <c r="AA548" s="27" t="s">
        <v>8</v>
      </c>
      <c r="AB548" s="27" t="s">
        <v>7</v>
      </c>
      <c r="AD548" s="27" t="s">
        <v>7</v>
      </c>
      <c r="AH548" s="27" t="s">
        <v>7</v>
      </c>
      <c r="AI548" s="27" t="s">
        <v>8</v>
      </c>
      <c r="AJ548" s="27" t="s">
        <v>7</v>
      </c>
      <c r="AK548" s="27" t="s">
        <v>8</v>
      </c>
      <c r="AL548" s="27" t="s">
        <v>7</v>
      </c>
      <c r="AP548" s="27" t="s">
        <v>7</v>
      </c>
      <c r="AQ548" s="27" t="s">
        <v>8</v>
      </c>
      <c r="AR548" s="27" t="s">
        <v>7</v>
      </c>
      <c r="AS548" s="27" t="s">
        <v>8</v>
      </c>
      <c r="AY548" s="27" t="s">
        <v>8</v>
      </c>
      <c r="AZ548" s="27" t="s">
        <v>7</v>
      </c>
      <c r="BA548" s="27" t="s">
        <v>8</v>
      </c>
      <c r="BC548" s="27" t="s">
        <v>8</v>
      </c>
      <c r="BD548" s="27" t="s">
        <v>7</v>
      </c>
      <c r="BE548" s="27" t="s">
        <v>8</v>
      </c>
      <c r="BF548" s="27" t="s">
        <v>7</v>
      </c>
      <c r="BG548" s="27" t="s">
        <v>8</v>
      </c>
      <c r="DZ548" s="27" t="s">
        <v>7</v>
      </c>
      <c r="EA548" s="27" t="s">
        <v>8</v>
      </c>
      <c r="EG548" s="27" t="s">
        <v>8</v>
      </c>
      <c r="EH548" s="27" t="s">
        <v>7</v>
      </c>
      <c r="EI548" s="27" t="s">
        <v>8</v>
      </c>
      <c r="EJ548" s="27" t="s">
        <v>7</v>
      </c>
      <c r="ES548" s="27" t="s">
        <v>8</v>
      </c>
      <c r="ET548" s="27" t="s">
        <v>7</v>
      </c>
      <c r="EU548" s="27" t="s">
        <v>8</v>
      </c>
      <c r="EV548" s="27" t="s">
        <v>7</v>
      </c>
      <c r="EW548" s="27" t="s">
        <v>8</v>
      </c>
      <c r="EX548" s="27" t="s">
        <v>7</v>
      </c>
      <c r="FO548" s="27" t="s">
        <v>8</v>
      </c>
      <c r="FP548" s="27" t="s">
        <v>7</v>
      </c>
      <c r="FS548" s="27" t="s">
        <v>8</v>
      </c>
      <c r="GF548" s="27" t="s">
        <v>7</v>
      </c>
      <c r="GG548" s="27" t="s">
        <v>8</v>
      </c>
      <c r="GI548" s="27" t="s">
        <v>8</v>
      </c>
      <c r="GJ548" s="27" t="s">
        <v>7</v>
      </c>
      <c r="HW548" s="27" t="s">
        <v>8</v>
      </c>
      <c r="HX548" s="27" t="s">
        <v>7</v>
      </c>
      <c r="HY548" s="27" t="s">
        <v>8</v>
      </c>
      <c r="HZ548" s="27" t="s">
        <v>7</v>
      </c>
      <c r="IA548" s="27" t="s">
        <v>8</v>
      </c>
      <c r="IV548" s="27" t="s">
        <v>7</v>
      </c>
      <c r="JD548" s="27" t="s">
        <v>7</v>
      </c>
      <c r="JH548" s="27" t="s">
        <v>7</v>
      </c>
      <c r="JI548" s="27" t="s">
        <v>8</v>
      </c>
      <c r="JJ548" s="27" t="s">
        <v>7</v>
      </c>
      <c r="JK548" s="27" t="s">
        <v>8</v>
      </c>
      <c r="JL548" s="27" t="s">
        <v>7</v>
      </c>
      <c r="JO548" s="27" t="s">
        <v>8</v>
      </c>
      <c r="JS548" s="27" t="s">
        <v>8</v>
      </c>
      <c r="JT548" s="27" t="s">
        <v>7</v>
      </c>
      <c r="JU548" s="27" t="s">
        <v>8</v>
      </c>
      <c r="KJ548" s="27" t="s">
        <v>7</v>
      </c>
      <c r="KK548" s="27" t="s">
        <v>8</v>
      </c>
      <c r="KL548" s="27" t="s">
        <v>7</v>
      </c>
      <c r="KN548" s="27" t="s">
        <v>7</v>
      </c>
    </row>
    <row r="549" spans="1:303" x14ac:dyDescent="0.25">
      <c r="A549" s="7">
        <v>2.1222987924018204</v>
      </c>
      <c r="B549"/>
      <c r="C549"/>
      <c r="D549"/>
      <c r="E549" t="s">
        <v>8</v>
      </c>
      <c r="L549" s="27" t="s">
        <v>7</v>
      </c>
      <c r="M549" s="27" t="s">
        <v>8</v>
      </c>
      <c r="N549" s="27" t="s">
        <v>7</v>
      </c>
      <c r="O549" s="27" t="s">
        <v>8</v>
      </c>
      <c r="P549" s="27" t="s">
        <v>7</v>
      </c>
      <c r="Q549" s="27" t="s">
        <v>8</v>
      </c>
      <c r="R549" s="27" t="s">
        <v>7</v>
      </c>
      <c r="Y549" s="27" t="s">
        <v>8</v>
      </c>
      <c r="Z549" s="27" t="s">
        <v>7</v>
      </c>
      <c r="AA549" s="27" t="s">
        <v>8</v>
      </c>
      <c r="AH549" s="27" t="s">
        <v>7</v>
      </c>
      <c r="AI549" s="27" t="s">
        <v>8</v>
      </c>
      <c r="AJ549" s="27" t="s">
        <v>7</v>
      </c>
      <c r="AP549" s="27" t="s">
        <v>7</v>
      </c>
      <c r="AQ549" s="27" t="s">
        <v>8</v>
      </c>
      <c r="AR549" s="27" t="s">
        <v>7</v>
      </c>
      <c r="AS549" s="27" t="s">
        <v>8</v>
      </c>
      <c r="AT549" s="27" t="s">
        <v>7</v>
      </c>
      <c r="AY549" s="27" t="s">
        <v>8</v>
      </c>
      <c r="AZ549" s="27" t="s">
        <v>7</v>
      </c>
      <c r="BA549" s="27" t="s">
        <v>8</v>
      </c>
      <c r="BB549" s="27" t="s">
        <v>7</v>
      </c>
      <c r="BC549" s="27" t="s">
        <v>8</v>
      </c>
      <c r="BD549" s="27" t="s">
        <v>7</v>
      </c>
      <c r="BE549" s="27" t="s">
        <v>8</v>
      </c>
      <c r="BF549" s="27" t="s">
        <v>7</v>
      </c>
      <c r="BG549" s="27" t="s">
        <v>8</v>
      </c>
      <c r="DZ549" s="27" t="s">
        <v>7</v>
      </c>
      <c r="EA549" s="27" t="s">
        <v>8</v>
      </c>
      <c r="EB549" s="27" t="s">
        <v>7</v>
      </c>
      <c r="EC549" s="27" t="s">
        <v>8</v>
      </c>
      <c r="EE549" s="27" t="s">
        <v>8</v>
      </c>
      <c r="EG549" s="27" t="s">
        <v>8</v>
      </c>
      <c r="EH549" s="27" t="s">
        <v>7</v>
      </c>
      <c r="EI549" s="27" t="s">
        <v>8</v>
      </c>
      <c r="EJ549" s="27" t="s">
        <v>7</v>
      </c>
      <c r="ES549" s="27" t="s">
        <v>8</v>
      </c>
      <c r="ET549" s="27" t="s">
        <v>7</v>
      </c>
      <c r="EU549" s="27" t="s">
        <v>8</v>
      </c>
      <c r="EV549" s="27" t="s">
        <v>7</v>
      </c>
      <c r="EW549" s="27" t="s">
        <v>8</v>
      </c>
      <c r="EX549" s="27" t="s">
        <v>7</v>
      </c>
      <c r="FO549" s="27" t="s">
        <v>8</v>
      </c>
      <c r="FP549" s="27" t="s">
        <v>7</v>
      </c>
      <c r="FS549" s="27" t="s">
        <v>8</v>
      </c>
      <c r="GF549" s="27" t="s">
        <v>7</v>
      </c>
      <c r="GG549" s="27" t="s">
        <v>8</v>
      </c>
      <c r="GH549" s="27" t="s">
        <v>7</v>
      </c>
      <c r="GI549" s="27" t="s">
        <v>8</v>
      </c>
      <c r="GJ549" s="27" t="s">
        <v>7</v>
      </c>
      <c r="HW549" s="27" t="s">
        <v>8</v>
      </c>
      <c r="HX549" s="27" t="s">
        <v>7</v>
      </c>
      <c r="HY549" s="27" t="s">
        <v>8</v>
      </c>
      <c r="HZ549" s="27" t="s">
        <v>7</v>
      </c>
      <c r="JH549" s="27" t="s">
        <v>7</v>
      </c>
      <c r="JI549" s="27" t="s">
        <v>8</v>
      </c>
      <c r="JJ549" s="27" t="s">
        <v>7</v>
      </c>
      <c r="JL549" s="27" t="s">
        <v>7</v>
      </c>
      <c r="JO549" s="27" t="s">
        <v>8</v>
      </c>
      <c r="JP549" s="27" t="s">
        <v>7</v>
      </c>
      <c r="JQ549" s="27" t="s">
        <v>8</v>
      </c>
      <c r="JS549" s="27" t="s">
        <v>8</v>
      </c>
      <c r="JT549" s="27" t="s">
        <v>7</v>
      </c>
      <c r="JU549" s="27" t="s">
        <v>8</v>
      </c>
      <c r="KJ549" s="27" t="s">
        <v>7</v>
      </c>
      <c r="KK549" s="27" t="s">
        <v>8</v>
      </c>
    </row>
    <row r="550" spans="1:303" x14ac:dyDescent="0.25">
      <c r="A550" s="7">
        <v>2.0806850905900198</v>
      </c>
      <c r="B550"/>
      <c r="C550"/>
      <c r="D550"/>
      <c r="E550" t="s">
        <v>8</v>
      </c>
      <c r="L550" s="27" t="s">
        <v>7</v>
      </c>
      <c r="M550" s="27" t="s">
        <v>8</v>
      </c>
      <c r="N550" s="27" t="s">
        <v>7</v>
      </c>
      <c r="O550" s="27" t="s">
        <v>8</v>
      </c>
      <c r="P550" s="27" t="s">
        <v>7</v>
      </c>
      <c r="Q550" s="27" t="s">
        <v>8</v>
      </c>
      <c r="R550" s="27" t="s">
        <v>7</v>
      </c>
      <c r="Y550" s="27" t="s">
        <v>8</v>
      </c>
      <c r="Z550" s="27" t="s">
        <v>7</v>
      </c>
      <c r="AA550" s="27" t="s">
        <v>8</v>
      </c>
      <c r="AH550" s="27" t="s">
        <v>7</v>
      </c>
      <c r="AI550" s="27" t="s">
        <v>8</v>
      </c>
      <c r="AP550" s="27" t="s">
        <v>7</v>
      </c>
      <c r="AQ550" s="27" t="s">
        <v>8</v>
      </c>
      <c r="AR550" s="27" t="s">
        <v>7</v>
      </c>
      <c r="AS550" s="27" t="s">
        <v>8</v>
      </c>
      <c r="AT550" s="27" t="s">
        <v>7</v>
      </c>
      <c r="AU550" s="27" t="s">
        <v>8</v>
      </c>
      <c r="AY550" s="27" t="s">
        <v>8</v>
      </c>
      <c r="AZ550" s="27" t="s">
        <v>7</v>
      </c>
      <c r="BA550" s="27" t="s">
        <v>8</v>
      </c>
      <c r="BB550" s="27" t="s">
        <v>7</v>
      </c>
      <c r="BC550" s="27" t="s">
        <v>8</v>
      </c>
      <c r="BD550" s="27" t="s">
        <v>7</v>
      </c>
      <c r="BE550" s="27" t="s">
        <v>8</v>
      </c>
      <c r="BF550" s="27" t="s">
        <v>7</v>
      </c>
      <c r="DZ550" s="27" t="s">
        <v>7</v>
      </c>
      <c r="EA550" s="27" t="s">
        <v>8</v>
      </c>
      <c r="EB550" s="27" t="s">
        <v>7</v>
      </c>
      <c r="EC550" s="27" t="s">
        <v>8</v>
      </c>
      <c r="ED550" s="27" t="s">
        <v>7</v>
      </c>
      <c r="EE550" s="27" t="s">
        <v>8</v>
      </c>
      <c r="EF550" s="27" t="s">
        <v>7</v>
      </c>
      <c r="EG550" s="27" t="s">
        <v>8</v>
      </c>
      <c r="EH550" s="27" t="s">
        <v>7</v>
      </c>
      <c r="EJ550" s="27" t="s">
        <v>7</v>
      </c>
      <c r="ES550" s="27" t="s">
        <v>8</v>
      </c>
      <c r="ET550" s="27" t="s">
        <v>7</v>
      </c>
      <c r="EV550" s="27" t="s">
        <v>7</v>
      </c>
      <c r="EX550" s="27" t="s">
        <v>7</v>
      </c>
      <c r="FM550" s="27" t="s">
        <v>8</v>
      </c>
      <c r="FO550" s="27" t="s">
        <v>8</v>
      </c>
      <c r="FP550" s="27" t="s">
        <v>7</v>
      </c>
      <c r="FS550" s="27" t="s">
        <v>8</v>
      </c>
      <c r="GF550" s="27" t="s">
        <v>7</v>
      </c>
      <c r="GG550" s="27" t="s">
        <v>8</v>
      </c>
      <c r="GH550" s="27" t="s">
        <v>7</v>
      </c>
      <c r="GI550" s="27" t="s">
        <v>8</v>
      </c>
      <c r="GJ550" s="27" t="s">
        <v>7</v>
      </c>
      <c r="HW550" s="27" t="s">
        <v>8</v>
      </c>
      <c r="HX550" s="27" t="s">
        <v>7</v>
      </c>
      <c r="HY550" s="27" t="s">
        <v>8</v>
      </c>
      <c r="JH550" s="27" t="s">
        <v>7</v>
      </c>
      <c r="JL550" s="27" t="s">
        <v>7</v>
      </c>
      <c r="JO550" s="27" t="s">
        <v>8</v>
      </c>
      <c r="JP550" s="27" t="s">
        <v>7</v>
      </c>
      <c r="JQ550" s="27" t="s">
        <v>8</v>
      </c>
      <c r="JR550" s="27" t="s">
        <v>7</v>
      </c>
      <c r="JS550" s="27" t="s">
        <v>8</v>
      </c>
      <c r="JT550" s="27" t="s">
        <v>7</v>
      </c>
      <c r="KJ550" s="27" t="s">
        <v>7</v>
      </c>
      <c r="KK550" s="27" t="s">
        <v>8</v>
      </c>
    </row>
    <row r="551" spans="1:303" x14ac:dyDescent="0.25">
      <c r="A551" s="7">
        <v>2.0398873437157055</v>
      </c>
      <c r="B551"/>
      <c r="C551"/>
      <c r="D551"/>
      <c r="E551" t="s">
        <v>8</v>
      </c>
      <c r="L551" s="27" t="s">
        <v>7</v>
      </c>
      <c r="M551" s="27" t="s">
        <v>8</v>
      </c>
      <c r="N551" s="27" t="s">
        <v>7</v>
      </c>
      <c r="O551" s="27" t="s">
        <v>8</v>
      </c>
      <c r="P551" s="27" t="s">
        <v>7</v>
      </c>
      <c r="Q551" s="27" t="s">
        <v>8</v>
      </c>
      <c r="R551" s="27" t="s">
        <v>7</v>
      </c>
      <c r="W551" s="27" t="s">
        <v>8</v>
      </c>
      <c r="Y551" s="27" t="s">
        <v>8</v>
      </c>
      <c r="Z551" s="27" t="s">
        <v>7</v>
      </c>
      <c r="AA551" s="27" t="s">
        <v>8</v>
      </c>
      <c r="AH551" s="27" t="s">
        <v>7</v>
      </c>
      <c r="AP551" s="27" t="s">
        <v>7</v>
      </c>
      <c r="AQ551" s="27" t="s">
        <v>8</v>
      </c>
      <c r="AR551" s="27" t="s">
        <v>7</v>
      </c>
      <c r="AT551" s="27" t="s">
        <v>7</v>
      </c>
      <c r="AU551" s="27" t="s">
        <v>8</v>
      </c>
      <c r="AV551" s="27" t="s">
        <v>7</v>
      </c>
      <c r="AY551" s="27" t="s">
        <v>8</v>
      </c>
      <c r="AZ551" s="27" t="s">
        <v>7</v>
      </c>
      <c r="BA551" s="27" t="s">
        <v>8</v>
      </c>
      <c r="BB551" s="27" t="s">
        <v>7</v>
      </c>
      <c r="BC551" s="27" t="s">
        <v>8</v>
      </c>
      <c r="BD551" s="27" t="s">
        <v>7</v>
      </c>
      <c r="DZ551" s="27" t="s">
        <v>7</v>
      </c>
      <c r="EB551" s="27" t="s">
        <v>7</v>
      </c>
      <c r="EC551" s="27" t="s">
        <v>8</v>
      </c>
      <c r="ED551" s="27" t="s">
        <v>7</v>
      </c>
      <c r="EE551" s="27" t="s">
        <v>8</v>
      </c>
      <c r="EF551" s="27" t="s">
        <v>7</v>
      </c>
      <c r="EG551" s="27" t="s">
        <v>8</v>
      </c>
      <c r="EJ551" s="27" t="s">
        <v>7</v>
      </c>
      <c r="ES551" s="27" t="s">
        <v>8</v>
      </c>
      <c r="EX551" s="27" t="s">
        <v>7</v>
      </c>
      <c r="FM551" s="27" t="s">
        <v>8</v>
      </c>
      <c r="FN551" s="27" t="s">
        <v>7</v>
      </c>
      <c r="FO551" s="27" t="s">
        <v>8</v>
      </c>
      <c r="FP551" s="27" t="s">
        <v>7</v>
      </c>
      <c r="FS551" s="27" t="s">
        <v>8</v>
      </c>
      <c r="GF551" s="27" t="s">
        <v>7</v>
      </c>
      <c r="GG551" s="27" t="s">
        <v>8</v>
      </c>
      <c r="GH551" s="27" t="s">
        <v>7</v>
      </c>
      <c r="GI551" s="27" t="s">
        <v>8</v>
      </c>
      <c r="GJ551" s="27" t="s">
        <v>7</v>
      </c>
      <c r="HW551" s="27" t="s">
        <v>8</v>
      </c>
      <c r="HX551" s="27" t="s">
        <v>7</v>
      </c>
      <c r="HY551" s="27" t="s">
        <v>8</v>
      </c>
      <c r="JL551" s="27" t="s">
        <v>7</v>
      </c>
      <c r="JM551" s="27" t="s">
        <v>8</v>
      </c>
      <c r="JO551" s="27" t="s">
        <v>8</v>
      </c>
      <c r="JP551" s="27" t="s">
        <v>7</v>
      </c>
      <c r="JQ551" s="27" t="s">
        <v>8</v>
      </c>
      <c r="JR551" s="27" t="s">
        <v>7</v>
      </c>
      <c r="JS551" s="27" t="s">
        <v>8</v>
      </c>
      <c r="KJ551" s="27" t="s">
        <v>7</v>
      </c>
      <c r="KK551" s="27" t="s">
        <v>8</v>
      </c>
    </row>
    <row r="552" spans="1:303" x14ac:dyDescent="0.25">
      <c r="A552" s="7">
        <v>1.9998895526624565</v>
      </c>
      <c r="B552"/>
      <c r="C552"/>
      <c r="D552"/>
      <c r="E552" t="s">
        <v>8</v>
      </c>
      <c r="L552" s="27" t="s">
        <v>7</v>
      </c>
      <c r="M552" s="27" t="s">
        <v>8</v>
      </c>
      <c r="N552" s="27" t="s">
        <v>7</v>
      </c>
      <c r="O552" s="27" t="s">
        <v>8</v>
      </c>
      <c r="P552" s="27" t="s">
        <v>7</v>
      </c>
      <c r="Q552" s="27" t="s">
        <v>8</v>
      </c>
      <c r="R552" s="27" t="s">
        <v>7</v>
      </c>
      <c r="W552" s="27" t="s">
        <v>8</v>
      </c>
      <c r="X552" s="27" t="s">
        <v>7</v>
      </c>
      <c r="Y552" s="27" t="s">
        <v>8</v>
      </c>
      <c r="Z552" s="27" t="s">
        <v>7</v>
      </c>
      <c r="AP552" s="27" t="s">
        <v>7</v>
      </c>
      <c r="AT552" s="27" t="s">
        <v>7</v>
      </c>
      <c r="AU552" s="27" t="s">
        <v>8</v>
      </c>
      <c r="AV552" s="27" t="s">
        <v>7</v>
      </c>
      <c r="AY552" s="27" t="s">
        <v>8</v>
      </c>
      <c r="AZ552" s="27" t="s">
        <v>7</v>
      </c>
      <c r="BB552" s="27" t="s">
        <v>7</v>
      </c>
      <c r="BC552" s="27" t="s">
        <v>8</v>
      </c>
      <c r="EB552" s="27" t="s">
        <v>7</v>
      </c>
      <c r="EC552" s="27" t="s">
        <v>8</v>
      </c>
      <c r="ED552" s="27" t="s">
        <v>7</v>
      </c>
      <c r="EF552" s="27" t="s">
        <v>7</v>
      </c>
      <c r="EG552" s="27" t="s">
        <v>8</v>
      </c>
      <c r="EJ552" s="27" t="s">
        <v>7</v>
      </c>
      <c r="ES552" s="27" t="s">
        <v>8</v>
      </c>
      <c r="EX552" s="27" t="s">
        <v>7</v>
      </c>
      <c r="FM552" s="27" t="s">
        <v>8</v>
      </c>
      <c r="FN552" s="27" t="s">
        <v>7</v>
      </c>
      <c r="FO552" s="27" t="s">
        <v>8</v>
      </c>
      <c r="FP552" s="27" t="s">
        <v>7</v>
      </c>
      <c r="FQ552" s="27" t="s">
        <v>8</v>
      </c>
      <c r="FS552" s="27" t="s">
        <v>8</v>
      </c>
      <c r="GF552" s="27" t="s">
        <v>7</v>
      </c>
      <c r="GH552" s="27" t="s">
        <v>7</v>
      </c>
      <c r="GJ552" s="27" t="s">
        <v>7</v>
      </c>
      <c r="HW552" s="27" t="s">
        <v>8</v>
      </c>
      <c r="HX552" s="27" t="s">
        <v>7</v>
      </c>
      <c r="HY552" s="27" t="s">
        <v>8</v>
      </c>
      <c r="JL552" s="27" t="s">
        <v>7</v>
      </c>
      <c r="JM552" s="27" t="s">
        <v>8</v>
      </c>
      <c r="JN552" s="27" t="s">
        <v>7</v>
      </c>
      <c r="JO552" s="27" t="s">
        <v>8</v>
      </c>
      <c r="JP552" s="27" t="s">
        <v>7</v>
      </c>
      <c r="JQ552" s="27" t="s">
        <v>8</v>
      </c>
      <c r="JR552" s="27" t="s">
        <v>7</v>
      </c>
      <c r="JS552" s="27" t="s">
        <v>8</v>
      </c>
      <c r="KJ552" s="27" t="s">
        <v>7</v>
      </c>
      <c r="KK552" s="27" t="s">
        <v>8</v>
      </c>
    </row>
    <row r="553" spans="1:303" x14ac:dyDescent="0.25">
      <c r="A553" s="7">
        <v>1.9606760320220162</v>
      </c>
      <c r="B553"/>
      <c r="C553"/>
      <c r="D553"/>
      <c r="E553" t="s">
        <v>8</v>
      </c>
      <c r="L553" s="27" t="s">
        <v>7</v>
      </c>
      <c r="M553" s="27" t="s">
        <v>8</v>
      </c>
      <c r="N553" s="27" t="s">
        <v>7</v>
      </c>
      <c r="O553" s="27" t="s">
        <v>8</v>
      </c>
      <c r="P553" s="27" t="s">
        <v>7</v>
      </c>
      <c r="R553" s="27" t="s">
        <v>7</v>
      </c>
      <c r="W553" s="27" t="s">
        <v>8</v>
      </c>
      <c r="X553" s="27" t="s">
        <v>7</v>
      </c>
      <c r="Y553" s="27" t="s">
        <v>8</v>
      </c>
      <c r="AT553" s="27" t="s">
        <v>7</v>
      </c>
      <c r="AV553" s="27" t="s">
        <v>7</v>
      </c>
      <c r="AY553" s="27" t="s">
        <v>8</v>
      </c>
      <c r="BB553" s="27" t="s">
        <v>7</v>
      </c>
      <c r="BC553" s="27" t="s">
        <v>8</v>
      </c>
      <c r="EB553" s="27" t="s">
        <v>7</v>
      </c>
      <c r="EC553" s="27" t="s">
        <v>8</v>
      </c>
      <c r="EF553" s="27" t="s">
        <v>7</v>
      </c>
      <c r="EJ553" s="27" t="s">
        <v>7</v>
      </c>
      <c r="ES553" s="27" t="s">
        <v>8</v>
      </c>
      <c r="EX553" s="27" t="s">
        <v>7</v>
      </c>
      <c r="EY553" s="27" t="s">
        <v>8</v>
      </c>
      <c r="FM553" s="27" t="s">
        <v>8</v>
      </c>
      <c r="FN553" s="27" t="s">
        <v>7</v>
      </c>
      <c r="FO553" s="27" t="s">
        <v>8</v>
      </c>
      <c r="FP553" s="27" t="s">
        <v>7</v>
      </c>
      <c r="FQ553" s="27" t="s">
        <v>8</v>
      </c>
      <c r="FR553" s="27" t="s">
        <v>7</v>
      </c>
      <c r="FS553" s="27" t="s">
        <v>8</v>
      </c>
      <c r="GJ553" s="27" t="s">
        <v>7</v>
      </c>
      <c r="GK553" s="27" t="s">
        <v>8</v>
      </c>
      <c r="HW553" s="27" t="s">
        <v>8</v>
      </c>
      <c r="HX553" s="27" t="s">
        <v>7</v>
      </c>
      <c r="JL553" s="27" t="s">
        <v>7</v>
      </c>
      <c r="JM553" s="27" t="s">
        <v>8</v>
      </c>
      <c r="JN553" s="27" t="s">
        <v>7</v>
      </c>
      <c r="JO553" s="27" t="s">
        <v>8</v>
      </c>
      <c r="JP553" s="27" t="s">
        <v>7</v>
      </c>
      <c r="JR553" s="27" t="s">
        <v>7</v>
      </c>
      <c r="KJ553" s="27" t="s">
        <v>7</v>
      </c>
      <c r="KK553" s="27" t="s">
        <v>8</v>
      </c>
    </row>
    <row r="554" spans="1:303" x14ac:dyDescent="0.25">
      <c r="A554" s="7">
        <v>1.9222314039431532</v>
      </c>
      <c r="B554"/>
      <c r="C554"/>
      <c r="D554"/>
      <c r="E554" t="s">
        <v>8</v>
      </c>
      <c r="L554" s="27" t="s">
        <v>7</v>
      </c>
      <c r="M554" s="27" t="s">
        <v>8</v>
      </c>
      <c r="N554" s="27" t="s">
        <v>7</v>
      </c>
      <c r="O554" s="27" t="s">
        <v>8</v>
      </c>
      <c r="R554" s="27" t="s">
        <v>7</v>
      </c>
      <c r="W554" s="27" t="s">
        <v>8</v>
      </c>
      <c r="X554" s="27" t="s">
        <v>7</v>
      </c>
      <c r="Y554" s="27" t="s">
        <v>8</v>
      </c>
      <c r="AV554" s="27" t="s">
        <v>7</v>
      </c>
      <c r="AY554" s="27" t="s">
        <v>8</v>
      </c>
      <c r="BB554" s="27" t="s">
        <v>7</v>
      </c>
      <c r="EB554" s="27" t="s">
        <v>7</v>
      </c>
      <c r="EC554" s="27" t="s">
        <v>8</v>
      </c>
      <c r="EJ554" s="27" t="s">
        <v>7</v>
      </c>
      <c r="ES554" s="27" t="s">
        <v>8</v>
      </c>
      <c r="EX554" s="27" t="s">
        <v>7</v>
      </c>
      <c r="EY554" s="27" t="s">
        <v>8</v>
      </c>
      <c r="EZ554" s="27" t="s">
        <v>7</v>
      </c>
      <c r="FE554" s="27" t="s">
        <v>8</v>
      </c>
      <c r="FM554" s="27" t="s">
        <v>8</v>
      </c>
      <c r="FN554" s="27" t="s">
        <v>7</v>
      </c>
      <c r="FO554" s="27" t="s">
        <v>8</v>
      </c>
      <c r="FP554" s="27" t="s">
        <v>7</v>
      </c>
      <c r="FQ554" s="27" t="s">
        <v>8</v>
      </c>
      <c r="FR554" s="27" t="s">
        <v>7</v>
      </c>
      <c r="FS554" s="27" t="s">
        <v>8</v>
      </c>
      <c r="GJ554" s="27" t="s">
        <v>7</v>
      </c>
      <c r="GK554" s="27" t="s">
        <v>8</v>
      </c>
      <c r="GL554" s="27" t="s">
        <v>7</v>
      </c>
      <c r="HO554" s="27" t="s">
        <v>8</v>
      </c>
      <c r="HW554" s="27" t="s">
        <v>8</v>
      </c>
      <c r="JL554" s="27" t="s">
        <v>7</v>
      </c>
      <c r="JM554" s="27" t="s">
        <v>8</v>
      </c>
      <c r="JN554" s="27" t="s">
        <v>7</v>
      </c>
      <c r="JO554" s="27" t="s">
        <v>8</v>
      </c>
      <c r="KJ554" s="27" t="s">
        <v>7</v>
      </c>
      <c r="KK554" s="27" t="s">
        <v>8</v>
      </c>
    </row>
    <row r="555" spans="1:303" x14ac:dyDescent="0.25">
      <c r="A555" s="7">
        <v>1.8845405921011305</v>
      </c>
      <c r="B555"/>
      <c r="C555"/>
      <c r="D555"/>
      <c r="E555" t="s">
        <v>8</v>
      </c>
      <c r="L555" s="27" t="s">
        <v>7</v>
      </c>
      <c r="N555" s="27" t="s">
        <v>7</v>
      </c>
      <c r="O555" s="27" t="s">
        <v>8</v>
      </c>
      <c r="R555" s="27" t="s">
        <v>7</v>
      </c>
      <c r="W555" s="27" t="s">
        <v>8</v>
      </c>
      <c r="X555" s="27" t="s">
        <v>7</v>
      </c>
      <c r="Y555" s="27" t="s">
        <v>8</v>
      </c>
      <c r="AV555" s="27" t="s">
        <v>7</v>
      </c>
      <c r="AW555" s="27" t="s">
        <v>8</v>
      </c>
      <c r="AY555" s="27" t="s">
        <v>8</v>
      </c>
      <c r="EB555" s="27" t="s">
        <v>7</v>
      </c>
      <c r="EJ555" s="27" t="s">
        <v>7</v>
      </c>
      <c r="EO555" s="27" t="s">
        <v>8</v>
      </c>
      <c r="ES555" s="27" t="s">
        <v>8</v>
      </c>
      <c r="EX555" s="27" t="s">
        <v>7</v>
      </c>
      <c r="EY555" s="27" t="s">
        <v>8</v>
      </c>
      <c r="EZ555" s="27" t="s">
        <v>7</v>
      </c>
      <c r="FC555" s="27" t="s">
        <v>8</v>
      </c>
      <c r="FE555" s="27" t="s">
        <v>8</v>
      </c>
      <c r="FF555" s="27" t="s">
        <v>7</v>
      </c>
      <c r="FM555" s="27" t="s">
        <v>8</v>
      </c>
      <c r="FN555" s="27" t="s">
        <v>7</v>
      </c>
      <c r="FP555" s="27" t="s">
        <v>7</v>
      </c>
      <c r="FR555" s="27" t="s">
        <v>7</v>
      </c>
      <c r="FS555" s="27" t="s">
        <v>8</v>
      </c>
      <c r="GJ555" s="27" t="s">
        <v>7</v>
      </c>
      <c r="GK555" s="27" t="s">
        <v>8</v>
      </c>
      <c r="GL555" s="27" t="s">
        <v>7</v>
      </c>
      <c r="HO555" s="27" t="s">
        <v>8</v>
      </c>
      <c r="HP555" s="27" t="s">
        <v>7</v>
      </c>
      <c r="HW555" s="27" t="s">
        <v>8</v>
      </c>
      <c r="JL555" s="27" t="s">
        <v>7</v>
      </c>
      <c r="JN555" s="27" t="s">
        <v>7</v>
      </c>
      <c r="JO555" s="27" t="s">
        <v>8</v>
      </c>
      <c r="KJ555" s="27" t="s">
        <v>7</v>
      </c>
    </row>
    <row r="556" spans="1:303" x14ac:dyDescent="0.25">
      <c r="A556" s="7">
        <v>1.8475888157854219</v>
      </c>
      <c r="B556"/>
      <c r="C556"/>
      <c r="D556"/>
      <c r="E556" t="s">
        <v>8</v>
      </c>
      <c r="N556" s="27" t="s">
        <v>7</v>
      </c>
      <c r="R556" s="27" t="s">
        <v>7</v>
      </c>
      <c r="W556" s="27" t="s">
        <v>8</v>
      </c>
      <c r="X556" s="27" t="s">
        <v>7</v>
      </c>
      <c r="Y556" s="27" t="s">
        <v>8</v>
      </c>
      <c r="AV556" s="27" t="s">
        <v>7</v>
      </c>
      <c r="AW556" s="27" t="s">
        <v>8</v>
      </c>
      <c r="AX556" s="27" t="s">
        <v>7</v>
      </c>
      <c r="AY556" s="27" t="s">
        <v>8</v>
      </c>
      <c r="EJ556" s="27" t="s">
        <v>7</v>
      </c>
      <c r="EO556" s="27" t="s">
        <v>8</v>
      </c>
      <c r="EP556" s="27" t="s">
        <v>7</v>
      </c>
      <c r="ES556" s="27" t="s">
        <v>8</v>
      </c>
      <c r="EX556" s="27" t="s">
        <v>7</v>
      </c>
      <c r="EZ556" s="27" t="s">
        <v>7</v>
      </c>
      <c r="FC556" s="27" t="s">
        <v>8</v>
      </c>
      <c r="FD556" s="27" t="s">
        <v>7</v>
      </c>
      <c r="FE556" s="27" t="s">
        <v>8</v>
      </c>
      <c r="FF556" s="27" t="s">
        <v>7</v>
      </c>
      <c r="FM556" s="27" t="s">
        <v>8</v>
      </c>
      <c r="FR556" s="27" t="s">
        <v>7</v>
      </c>
      <c r="FS556" s="27" t="s">
        <v>8</v>
      </c>
      <c r="GJ556" s="27" t="s">
        <v>7</v>
      </c>
      <c r="GK556" s="27" t="s">
        <v>8</v>
      </c>
      <c r="GL556" s="27" t="s">
        <v>7</v>
      </c>
      <c r="HO556" s="27" t="s">
        <v>8</v>
      </c>
      <c r="HP556" s="27" t="s">
        <v>7</v>
      </c>
      <c r="HU556" s="27" t="s">
        <v>8</v>
      </c>
      <c r="HW556" s="27" t="s">
        <v>8</v>
      </c>
      <c r="JN556" s="27" t="s">
        <v>7</v>
      </c>
      <c r="JO556" s="27" t="s">
        <v>8</v>
      </c>
    </row>
    <row r="557" spans="1:303" x14ac:dyDescent="0.25">
      <c r="A557" s="7">
        <v>1.8113615841033548</v>
      </c>
      <c r="B557"/>
      <c r="C557"/>
      <c r="D557"/>
      <c r="E557" t="s">
        <v>8</v>
      </c>
      <c r="R557" s="27" t="s">
        <v>7</v>
      </c>
      <c r="W557" s="27" t="s">
        <v>8</v>
      </c>
      <c r="X557" s="27" t="s">
        <v>7</v>
      </c>
      <c r="Y557" s="27" t="s">
        <v>8</v>
      </c>
      <c r="AV557" s="27" t="s">
        <v>7</v>
      </c>
      <c r="AW557" s="27" t="s">
        <v>8</v>
      </c>
      <c r="AX557" s="27" t="s">
        <v>7</v>
      </c>
      <c r="AY557" s="27" t="s">
        <v>8</v>
      </c>
      <c r="EJ557" s="27" t="s">
        <v>7</v>
      </c>
      <c r="EO557" s="27" t="s">
        <v>8</v>
      </c>
      <c r="EP557" s="27" t="s">
        <v>7</v>
      </c>
      <c r="ES557" s="27" t="s">
        <v>8</v>
      </c>
      <c r="EZ557" s="27" t="s">
        <v>7</v>
      </c>
      <c r="FC557" s="27" t="s">
        <v>8</v>
      </c>
      <c r="FD557" s="27" t="s">
        <v>7</v>
      </c>
      <c r="FE557" s="27" t="s">
        <v>8</v>
      </c>
      <c r="FF557" s="27" t="s">
        <v>7</v>
      </c>
      <c r="FM557" s="27" t="s">
        <v>8</v>
      </c>
      <c r="FR557" s="27" t="s">
        <v>7</v>
      </c>
      <c r="GJ557" s="27" t="s">
        <v>7</v>
      </c>
      <c r="GL557" s="27" t="s">
        <v>7</v>
      </c>
      <c r="HM557" s="27" t="s">
        <v>8</v>
      </c>
      <c r="HO557" s="27" t="s">
        <v>8</v>
      </c>
      <c r="HP557" s="27" t="s">
        <v>7</v>
      </c>
      <c r="HU557" s="27" t="s">
        <v>8</v>
      </c>
      <c r="HV557" s="27" t="s">
        <v>7</v>
      </c>
      <c r="HW557" s="27" t="s">
        <v>8</v>
      </c>
      <c r="JN557" s="27" t="s">
        <v>7</v>
      </c>
      <c r="JO557" s="27" t="s">
        <v>8</v>
      </c>
    </row>
    <row r="558" spans="1:303" x14ac:dyDescent="0.25">
      <c r="A558" s="7">
        <v>1.7758446902974065</v>
      </c>
      <c r="B558"/>
      <c r="C558"/>
      <c r="D558"/>
      <c r="E558" t="s">
        <v>8</v>
      </c>
      <c r="R558" s="27" t="s">
        <v>7</v>
      </c>
      <c r="W558" s="27" t="s">
        <v>8</v>
      </c>
      <c r="X558" s="27" t="s">
        <v>7</v>
      </c>
      <c r="Y558" s="27" t="s">
        <v>8</v>
      </c>
      <c r="AV558" s="27" t="s">
        <v>7</v>
      </c>
      <c r="AX558" s="27" t="s">
        <v>7</v>
      </c>
      <c r="AY558" s="27" t="s">
        <v>8</v>
      </c>
      <c r="EJ558" s="27" t="s">
        <v>7</v>
      </c>
      <c r="EO558" s="27" t="s">
        <v>8</v>
      </c>
      <c r="EP558" s="27" t="s">
        <v>7</v>
      </c>
      <c r="ES558" s="27" t="s">
        <v>8</v>
      </c>
      <c r="EZ558" s="27" t="s">
        <v>7</v>
      </c>
      <c r="FC558" s="27" t="s">
        <v>8</v>
      </c>
      <c r="FD558" s="27" t="s">
        <v>7</v>
      </c>
      <c r="FE558" s="27" t="s">
        <v>8</v>
      </c>
      <c r="FF558" s="27" t="s">
        <v>7</v>
      </c>
      <c r="FK558" s="27" t="s">
        <v>8</v>
      </c>
      <c r="FM558" s="27" t="s">
        <v>8</v>
      </c>
      <c r="GL558" s="27" t="s">
        <v>7</v>
      </c>
      <c r="HM558" s="27" t="s">
        <v>8</v>
      </c>
      <c r="HN558" s="27" t="s">
        <v>7</v>
      </c>
      <c r="HO558" s="27" t="s">
        <v>8</v>
      </c>
      <c r="HP558" s="27" t="s">
        <v>7</v>
      </c>
      <c r="HQ558" s="27" t="s">
        <v>8</v>
      </c>
      <c r="HU558" s="27" t="s">
        <v>8</v>
      </c>
      <c r="HV558" s="27" t="s">
        <v>7</v>
      </c>
      <c r="HW558" s="27" t="s">
        <v>8</v>
      </c>
      <c r="JN558" s="27" t="s">
        <v>7</v>
      </c>
    </row>
    <row r="559" spans="1:303" x14ac:dyDescent="0.25">
      <c r="A559" s="7">
        <v>1.7410242061739281</v>
      </c>
      <c r="B559"/>
      <c r="C559"/>
      <c r="D559"/>
      <c r="E559" t="s">
        <v>8</v>
      </c>
      <c r="R559" s="27" t="s">
        <v>7</v>
      </c>
      <c r="U559" s="27" t="s">
        <v>8</v>
      </c>
      <c r="W559" s="27" t="s">
        <v>8</v>
      </c>
      <c r="X559" s="27" t="s">
        <v>7</v>
      </c>
      <c r="Y559" s="27" t="s">
        <v>8</v>
      </c>
      <c r="AX559" s="27" t="s">
        <v>7</v>
      </c>
      <c r="AY559" s="27" t="s">
        <v>8</v>
      </c>
      <c r="EJ559" s="27" t="s">
        <v>7</v>
      </c>
      <c r="EO559" s="27" t="s">
        <v>8</v>
      </c>
      <c r="EP559" s="27" t="s">
        <v>7</v>
      </c>
      <c r="EQ559" s="27" t="s">
        <v>8</v>
      </c>
      <c r="ES559" s="27" t="s">
        <v>8</v>
      </c>
      <c r="EZ559" s="27" t="s">
        <v>7</v>
      </c>
      <c r="FA559" s="27" t="s">
        <v>8</v>
      </c>
      <c r="FC559" s="27" t="s">
        <v>8</v>
      </c>
      <c r="FD559" s="27" t="s">
        <v>7</v>
      </c>
      <c r="FE559" s="27" t="s">
        <v>8</v>
      </c>
      <c r="FF559" s="27" t="s">
        <v>7</v>
      </c>
      <c r="FK559" s="27" t="s">
        <v>8</v>
      </c>
      <c r="FL559" s="27" t="s">
        <v>7</v>
      </c>
      <c r="FM559" s="27" t="s">
        <v>8</v>
      </c>
      <c r="GL559" s="27" t="s">
        <v>7</v>
      </c>
      <c r="HM559" s="27" t="s">
        <v>8</v>
      </c>
      <c r="HN559" s="27" t="s">
        <v>7</v>
      </c>
      <c r="HO559" s="27" t="s">
        <v>8</v>
      </c>
      <c r="HP559" s="27" t="s">
        <v>7</v>
      </c>
      <c r="HQ559" s="27" t="s">
        <v>8</v>
      </c>
      <c r="HR559" s="27" t="s">
        <v>7</v>
      </c>
      <c r="HS559" s="27" t="s">
        <v>8</v>
      </c>
      <c r="HU559" s="27" t="s">
        <v>8</v>
      </c>
      <c r="HV559" s="27" t="s">
        <v>7</v>
      </c>
      <c r="HW559" s="27" t="s">
        <v>8</v>
      </c>
    </row>
    <row r="560" spans="1:303" x14ac:dyDescent="0.25">
      <c r="A560" s="7">
        <v>1.7068864766411058</v>
      </c>
      <c r="B560"/>
      <c r="C560"/>
      <c r="D560"/>
      <c r="E560" t="s">
        <v>8</v>
      </c>
      <c r="R560" s="27" t="s">
        <v>7</v>
      </c>
      <c r="U560" s="27" t="s">
        <v>8</v>
      </c>
      <c r="V560" s="27" t="s">
        <v>7</v>
      </c>
      <c r="W560" s="27" t="s">
        <v>8</v>
      </c>
      <c r="X560" s="27" t="s">
        <v>7</v>
      </c>
      <c r="Y560" s="27" t="s">
        <v>8</v>
      </c>
      <c r="AX560" s="27" t="s">
        <v>7</v>
      </c>
      <c r="EJ560" s="27" t="s">
        <v>7</v>
      </c>
      <c r="EO560" s="27" t="s">
        <v>8</v>
      </c>
      <c r="EP560" s="27" t="s">
        <v>7</v>
      </c>
      <c r="EQ560" s="27" t="s">
        <v>8</v>
      </c>
      <c r="ER560" s="27" t="s">
        <v>7</v>
      </c>
      <c r="ES560" s="27" t="s">
        <v>8</v>
      </c>
      <c r="EZ560" s="27" t="s">
        <v>7</v>
      </c>
      <c r="FA560" s="27" t="s">
        <v>8</v>
      </c>
      <c r="FB560" s="27" t="s">
        <v>7</v>
      </c>
      <c r="FC560" s="27" t="s">
        <v>8</v>
      </c>
      <c r="FD560" s="27" t="s">
        <v>7</v>
      </c>
      <c r="FE560" s="27" t="s">
        <v>8</v>
      </c>
      <c r="FF560" s="27" t="s">
        <v>7</v>
      </c>
      <c r="FG560" s="27" t="s">
        <v>8</v>
      </c>
      <c r="FI560" s="27" t="s">
        <v>8</v>
      </c>
      <c r="FK560" s="27" t="s">
        <v>8</v>
      </c>
      <c r="FL560" s="27" t="s">
        <v>7</v>
      </c>
      <c r="FM560" s="27" t="s">
        <v>8</v>
      </c>
      <c r="GL560" s="27" t="s">
        <v>7</v>
      </c>
      <c r="HE560" s="27" t="s">
        <v>8</v>
      </c>
      <c r="HI560" s="27" t="s">
        <v>8</v>
      </c>
      <c r="HM560" s="27" t="s">
        <v>8</v>
      </c>
      <c r="HN560" s="27" t="s">
        <v>7</v>
      </c>
      <c r="HO560" s="27" t="s">
        <v>8</v>
      </c>
      <c r="HP560" s="27" t="s">
        <v>7</v>
      </c>
      <c r="HQ560" s="27" t="s">
        <v>8</v>
      </c>
      <c r="HR560" s="27" t="s">
        <v>7</v>
      </c>
      <c r="HS560" s="27" t="s">
        <v>8</v>
      </c>
      <c r="HT560" s="27" t="s">
        <v>7</v>
      </c>
      <c r="HU560" s="27" t="s">
        <v>8</v>
      </c>
      <c r="HV560" s="27" t="s">
        <v>7</v>
      </c>
      <c r="HW560" s="27" t="s">
        <v>8</v>
      </c>
    </row>
    <row r="561" spans="1:231" x14ac:dyDescent="0.25">
      <c r="A561" s="7">
        <v>1.6734181143540252</v>
      </c>
      <c r="B561"/>
      <c r="C561"/>
      <c r="D561"/>
      <c r="E561" t="s">
        <v>8</v>
      </c>
      <c r="R561" s="27" t="s">
        <v>7</v>
      </c>
      <c r="S561" s="27" t="s">
        <v>8</v>
      </c>
      <c r="U561" s="27" t="s">
        <v>8</v>
      </c>
      <c r="V561" s="27" t="s">
        <v>7</v>
      </c>
      <c r="W561" s="27" t="s">
        <v>8</v>
      </c>
      <c r="X561" s="27" t="s">
        <v>7</v>
      </c>
      <c r="Y561" s="27" t="s">
        <v>8</v>
      </c>
      <c r="EJ561" s="27" t="s">
        <v>7</v>
      </c>
      <c r="EK561" s="27" t="s">
        <v>8</v>
      </c>
      <c r="EM561" s="27" t="s">
        <v>8</v>
      </c>
      <c r="EO561" s="27" t="s">
        <v>8</v>
      </c>
      <c r="EP561" s="27" t="s">
        <v>7</v>
      </c>
      <c r="EQ561" s="27" t="s">
        <v>8</v>
      </c>
      <c r="ER561" s="27" t="s">
        <v>7</v>
      </c>
      <c r="ES561" s="27" t="s">
        <v>8</v>
      </c>
      <c r="EZ561" s="27" t="s">
        <v>7</v>
      </c>
      <c r="FA561" s="27" t="s">
        <v>8</v>
      </c>
      <c r="FB561" s="27" t="s">
        <v>7</v>
      </c>
      <c r="FC561" s="27" t="s">
        <v>8</v>
      </c>
      <c r="FD561" s="27" t="s">
        <v>7</v>
      </c>
      <c r="FF561" s="27" t="s">
        <v>7</v>
      </c>
      <c r="FG561" s="27" t="s">
        <v>8</v>
      </c>
      <c r="FH561" s="27" t="s">
        <v>7</v>
      </c>
      <c r="FI561" s="27" t="s">
        <v>8</v>
      </c>
      <c r="FJ561" s="27" t="s">
        <v>7</v>
      </c>
      <c r="FK561" s="27" t="s">
        <v>8</v>
      </c>
      <c r="FL561" s="27" t="s">
        <v>7</v>
      </c>
      <c r="FM561" s="27" t="s">
        <v>8</v>
      </c>
      <c r="GL561" s="27" t="s">
        <v>7</v>
      </c>
      <c r="HE561" s="27" t="s">
        <v>8</v>
      </c>
      <c r="HF561" s="27" t="s">
        <v>7</v>
      </c>
      <c r="HI561" s="27" t="s">
        <v>8</v>
      </c>
      <c r="HJ561" s="27" t="s">
        <v>7</v>
      </c>
      <c r="HM561" s="27" t="s">
        <v>8</v>
      </c>
      <c r="HN561" s="27" t="s">
        <v>7</v>
      </c>
      <c r="HO561" s="27" t="s">
        <v>8</v>
      </c>
      <c r="HP561" s="27" t="s">
        <v>7</v>
      </c>
      <c r="HR561" s="27" t="s">
        <v>7</v>
      </c>
      <c r="HS561" s="27" t="s">
        <v>8</v>
      </c>
      <c r="HT561" s="27" t="s">
        <v>7</v>
      </c>
      <c r="HU561" s="27" t="s">
        <v>8</v>
      </c>
      <c r="HV561" s="27" t="s">
        <v>7</v>
      </c>
      <c r="HW561" s="27" t="s">
        <v>8</v>
      </c>
    </row>
    <row r="562" spans="1:231" x14ac:dyDescent="0.25">
      <c r="A562" s="7">
        <v>1.6406059944647307</v>
      </c>
      <c r="B562"/>
      <c r="C562"/>
      <c r="D562"/>
      <c r="E562" t="s">
        <v>8</v>
      </c>
      <c r="R562" s="27" t="s">
        <v>7</v>
      </c>
      <c r="S562" s="27" t="s">
        <v>8</v>
      </c>
      <c r="T562" s="27" t="s">
        <v>7</v>
      </c>
      <c r="U562" s="27" t="s">
        <v>8</v>
      </c>
      <c r="V562" s="27" t="s">
        <v>7</v>
      </c>
      <c r="W562" s="27" t="s">
        <v>8</v>
      </c>
      <c r="X562" s="27" t="s">
        <v>7</v>
      </c>
      <c r="EJ562" s="27" t="s">
        <v>7</v>
      </c>
      <c r="EK562" s="27" t="s">
        <v>8</v>
      </c>
      <c r="EL562" s="27" t="s">
        <v>7</v>
      </c>
      <c r="EM562" s="27" t="s">
        <v>8</v>
      </c>
      <c r="EN562" s="27" t="s">
        <v>7</v>
      </c>
      <c r="EO562" s="27" t="s">
        <v>8</v>
      </c>
      <c r="EP562" s="27" t="s">
        <v>7</v>
      </c>
      <c r="EQ562" s="27" t="s">
        <v>8</v>
      </c>
      <c r="ER562" s="27" t="s">
        <v>7</v>
      </c>
      <c r="ES562" s="27" t="s">
        <v>8</v>
      </c>
      <c r="EZ562" s="27" t="s">
        <v>7</v>
      </c>
      <c r="FA562" s="27" t="s">
        <v>8</v>
      </c>
      <c r="FB562" s="27" t="s">
        <v>7</v>
      </c>
      <c r="FC562" s="27" t="s">
        <v>8</v>
      </c>
      <c r="FF562" s="27" t="s">
        <v>7</v>
      </c>
      <c r="FG562" s="27" t="s">
        <v>8</v>
      </c>
      <c r="FH562" s="27" t="s">
        <v>7</v>
      </c>
      <c r="FI562" s="27" t="s">
        <v>8</v>
      </c>
      <c r="FJ562" s="27" t="s">
        <v>7</v>
      </c>
      <c r="FK562" s="27" t="s">
        <v>8</v>
      </c>
      <c r="FL562" s="27" t="s">
        <v>7</v>
      </c>
      <c r="GL562" s="27" t="s">
        <v>7</v>
      </c>
      <c r="HE562" s="27" t="s">
        <v>8</v>
      </c>
      <c r="HF562" s="27" t="s">
        <v>7</v>
      </c>
      <c r="HG562" s="27" t="s">
        <v>8</v>
      </c>
      <c r="HI562" s="27" t="s">
        <v>8</v>
      </c>
      <c r="HJ562" s="27" t="s">
        <v>7</v>
      </c>
      <c r="HM562" s="27" t="s">
        <v>8</v>
      </c>
      <c r="HN562" s="27" t="s">
        <v>7</v>
      </c>
      <c r="HO562" s="27" t="s">
        <v>8</v>
      </c>
      <c r="HR562" s="27" t="s">
        <v>7</v>
      </c>
      <c r="HS562" s="27" t="s">
        <v>8</v>
      </c>
      <c r="HT562" s="27" t="s">
        <v>7</v>
      </c>
      <c r="HV562" s="27" t="s">
        <v>7</v>
      </c>
      <c r="HW562" s="27" t="s">
        <v>8</v>
      </c>
    </row>
    <row r="563" spans="1:231" x14ac:dyDescent="0.25">
      <c r="A563" s="7">
        <v>1.6084372494752261</v>
      </c>
      <c r="B563"/>
      <c r="C563"/>
      <c r="D563"/>
      <c r="E563" t="s">
        <v>8</v>
      </c>
      <c r="R563" s="27" t="s">
        <v>7</v>
      </c>
      <c r="S563" s="27" t="s">
        <v>8</v>
      </c>
      <c r="T563" s="27" t="s">
        <v>7</v>
      </c>
      <c r="U563" s="27" t="s">
        <v>8</v>
      </c>
      <c r="V563" s="27" t="s">
        <v>7</v>
      </c>
      <c r="EJ563" s="27" t="s">
        <v>7</v>
      </c>
      <c r="EK563" s="27" t="s">
        <v>8</v>
      </c>
      <c r="EL563" s="27" t="s">
        <v>7</v>
      </c>
      <c r="EM563" s="27" t="s">
        <v>8</v>
      </c>
      <c r="EN563" s="27" t="s">
        <v>7</v>
      </c>
      <c r="EO563" s="27" t="s">
        <v>8</v>
      </c>
      <c r="EP563" s="27" t="s">
        <v>7</v>
      </c>
      <c r="ER563" s="27" t="s">
        <v>7</v>
      </c>
      <c r="ES563" s="27" t="s">
        <v>8</v>
      </c>
      <c r="EZ563" s="27" t="s">
        <v>7</v>
      </c>
      <c r="FA563" s="27" t="s">
        <v>8</v>
      </c>
      <c r="FB563" s="27" t="s">
        <v>7</v>
      </c>
      <c r="FC563" s="27" t="s">
        <v>8</v>
      </c>
      <c r="FF563" s="27" t="s">
        <v>7</v>
      </c>
      <c r="FG563" s="27" t="s">
        <v>8</v>
      </c>
      <c r="FH563" s="27" t="s">
        <v>7</v>
      </c>
      <c r="FI563" s="27" t="s">
        <v>8</v>
      </c>
      <c r="FJ563" s="27" t="s">
        <v>7</v>
      </c>
      <c r="FK563" s="27" t="s">
        <v>8</v>
      </c>
      <c r="GL563" s="27" t="s">
        <v>7</v>
      </c>
      <c r="HE563" s="27" t="s">
        <v>8</v>
      </c>
      <c r="HF563" s="27" t="s">
        <v>7</v>
      </c>
      <c r="HG563" s="27" t="s">
        <v>8</v>
      </c>
      <c r="HH563" s="27" t="s">
        <v>7</v>
      </c>
      <c r="HI563" s="27" t="s">
        <v>8</v>
      </c>
      <c r="HJ563" s="27" t="s">
        <v>7</v>
      </c>
      <c r="HK563" s="27" t="s">
        <v>8</v>
      </c>
      <c r="HM563" s="27" t="s">
        <v>8</v>
      </c>
      <c r="HN563" s="27" t="s">
        <v>7</v>
      </c>
      <c r="HO563" s="27" t="s">
        <v>8</v>
      </c>
      <c r="HR563" s="27" t="s">
        <v>7</v>
      </c>
      <c r="HS563" s="27" t="s">
        <v>8</v>
      </c>
      <c r="HV563" s="27" t="s">
        <v>7</v>
      </c>
      <c r="HW563" s="27" t="s">
        <v>8</v>
      </c>
    </row>
    <row r="564" spans="1:231" x14ac:dyDescent="0.25">
      <c r="A564" s="7">
        <v>1.5768992641913981</v>
      </c>
      <c r="B564"/>
      <c r="C564"/>
      <c r="D564"/>
      <c r="E564" t="s">
        <v>8</v>
      </c>
      <c r="R564" s="27" t="s">
        <v>7</v>
      </c>
      <c r="S564" s="27" t="s">
        <v>8</v>
      </c>
      <c r="T564" s="27" t="s">
        <v>7</v>
      </c>
      <c r="U564" s="27" t="s">
        <v>8</v>
      </c>
      <c r="EJ564" s="27" t="s">
        <v>7</v>
      </c>
      <c r="EK564" s="27" t="s">
        <v>8</v>
      </c>
      <c r="EL564" s="27" t="s">
        <v>7</v>
      </c>
      <c r="EM564" s="27" t="s">
        <v>8</v>
      </c>
      <c r="EN564" s="27" t="s">
        <v>7</v>
      </c>
      <c r="ER564" s="27" t="s">
        <v>7</v>
      </c>
      <c r="ES564" s="27" t="s">
        <v>8</v>
      </c>
      <c r="EZ564" s="27" t="s">
        <v>7</v>
      </c>
      <c r="FA564" s="27" t="s">
        <v>8</v>
      </c>
      <c r="FB564" s="27" t="s">
        <v>7</v>
      </c>
      <c r="FC564" s="27" t="s">
        <v>8</v>
      </c>
      <c r="FF564" s="27" t="s">
        <v>7</v>
      </c>
      <c r="FG564" s="27" t="s">
        <v>8</v>
      </c>
      <c r="FH564" s="27" t="s">
        <v>7</v>
      </c>
      <c r="FJ564" s="27" t="s">
        <v>7</v>
      </c>
      <c r="FK564" s="27" t="s">
        <v>8</v>
      </c>
      <c r="GL564" s="27" t="s">
        <v>7</v>
      </c>
      <c r="HE564" s="27" t="s">
        <v>8</v>
      </c>
      <c r="HF564" s="27" t="s">
        <v>7</v>
      </c>
      <c r="HG564" s="27" t="s">
        <v>8</v>
      </c>
      <c r="HH564" s="27" t="s">
        <v>7</v>
      </c>
      <c r="HI564" s="27" t="s">
        <v>8</v>
      </c>
      <c r="HJ564" s="27" t="s">
        <v>7</v>
      </c>
      <c r="HK564" s="27" t="s">
        <v>8</v>
      </c>
      <c r="HL564" s="27" t="s">
        <v>7</v>
      </c>
      <c r="HM564" s="27" t="s">
        <v>8</v>
      </c>
      <c r="HN564" s="27" t="s">
        <v>7</v>
      </c>
      <c r="HR564" s="27" t="s">
        <v>7</v>
      </c>
      <c r="HV564" s="27" t="s">
        <v>7</v>
      </c>
      <c r="HW564" s="27" t="s">
        <v>8</v>
      </c>
    </row>
    <row r="565" spans="1:231" x14ac:dyDescent="0.25">
      <c r="A565" s="7">
        <v>1.5459796707758806</v>
      </c>
      <c r="B565"/>
      <c r="C565"/>
      <c r="D565"/>
      <c r="E565" t="s">
        <v>8</v>
      </c>
      <c r="R565" s="27" t="s">
        <v>7</v>
      </c>
      <c r="S565" s="27" t="s">
        <v>8</v>
      </c>
      <c r="T565" s="27" t="s">
        <v>7</v>
      </c>
      <c r="EJ565" s="27" t="s">
        <v>7</v>
      </c>
      <c r="EK565" s="27" t="s">
        <v>8</v>
      </c>
      <c r="EL565" s="27" t="s">
        <v>7</v>
      </c>
      <c r="EM565" s="27" t="s">
        <v>8</v>
      </c>
      <c r="ER565" s="27" t="s">
        <v>7</v>
      </c>
      <c r="ES565" s="27" t="s">
        <v>8</v>
      </c>
      <c r="EZ565" s="27" t="s">
        <v>7</v>
      </c>
      <c r="FB565" s="27" t="s">
        <v>7</v>
      </c>
      <c r="FC565" s="27" t="s">
        <v>8</v>
      </c>
      <c r="FF565" s="27" t="s">
        <v>7</v>
      </c>
      <c r="FG565" s="27" t="s">
        <v>8</v>
      </c>
      <c r="FJ565" s="27" t="s">
        <v>7</v>
      </c>
      <c r="FK565" s="27" t="s">
        <v>8</v>
      </c>
      <c r="GL565" s="27" t="s">
        <v>7</v>
      </c>
      <c r="HC565" s="27" t="s">
        <v>8</v>
      </c>
      <c r="HE565" s="27" t="s">
        <v>8</v>
      </c>
      <c r="HF565" s="27" t="s">
        <v>7</v>
      </c>
      <c r="HH565" s="27" t="s">
        <v>7</v>
      </c>
      <c r="HI565" s="27" t="s">
        <v>8</v>
      </c>
      <c r="HJ565" s="27" t="s">
        <v>7</v>
      </c>
      <c r="HK565" s="27" t="s">
        <v>8</v>
      </c>
      <c r="HL565" s="27" t="s">
        <v>7</v>
      </c>
      <c r="HM565" s="27" t="s">
        <v>8</v>
      </c>
      <c r="HV565" s="27" t="s">
        <v>7</v>
      </c>
      <c r="HW565" s="27" t="s">
        <v>8</v>
      </c>
    </row>
    <row r="566" spans="1:231" x14ac:dyDescent="0.25">
      <c r="A566" s="7">
        <v>1.5156663438979221</v>
      </c>
      <c r="B566"/>
      <c r="C566"/>
      <c r="D566"/>
      <c r="E566" t="s">
        <v>8</v>
      </c>
      <c r="R566" s="27" t="s">
        <v>7</v>
      </c>
      <c r="S566" s="27" t="s">
        <v>8</v>
      </c>
      <c r="EJ566" s="27" t="s">
        <v>7</v>
      </c>
      <c r="EK566" s="27" t="s">
        <v>8</v>
      </c>
      <c r="EL566" s="27" t="s">
        <v>7</v>
      </c>
      <c r="ER566" s="27" t="s">
        <v>7</v>
      </c>
      <c r="FB566" s="27" t="s">
        <v>7</v>
      </c>
      <c r="FC566" s="27" t="s">
        <v>8</v>
      </c>
      <c r="FF566" s="27" t="s">
        <v>7</v>
      </c>
      <c r="FJ566" s="27" t="s">
        <v>7</v>
      </c>
      <c r="GL566" s="27" t="s">
        <v>7</v>
      </c>
      <c r="GW566" s="27" t="s">
        <v>8</v>
      </c>
      <c r="HC566" s="27" t="s">
        <v>8</v>
      </c>
      <c r="HD566" s="27" t="s">
        <v>7</v>
      </c>
      <c r="HE566" s="27" t="s">
        <v>8</v>
      </c>
      <c r="HH566" s="27" t="s">
        <v>7</v>
      </c>
      <c r="HI566" s="27" t="s">
        <v>8</v>
      </c>
      <c r="HJ566" s="27" t="s">
        <v>7</v>
      </c>
      <c r="HK566" s="27" t="s">
        <v>8</v>
      </c>
      <c r="HL566" s="27" t="s">
        <v>7</v>
      </c>
      <c r="HM566" s="27" t="s">
        <v>8</v>
      </c>
      <c r="HV566" s="27" t="s">
        <v>7</v>
      </c>
      <c r="HW566" s="27" t="s">
        <v>8</v>
      </c>
    </row>
    <row r="567" spans="1:231" x14ac:dyDescent="0.25">
      <c r="A567" s="7">
        <v>1.4859473959783549</v>
      </c>
      <c r="B567"/>
      <c r="C567"/>
      <c r="D567"/>
      <c r="E567" t="s">
        <v>8</v>
      </c>
      <c r="R567" s="27" t="s">
        <v>7</v>
      </c>
      <c r="S567" s="27" t="s">
        <v>8</v>
      </c>
      <c r="EJ567" s="27" t="s">
        <v>7</v>
      </c>
      <c r="EK567" s="27" t="s">
        <v>8</v>
      </c>
      <c r="FB567" s="27" t="s">
        <v>7</v>
      </c>
      <c r="GL567" s="27" t="s">
        <v>7</v>
      </c>
      <c r="GW567" s="27" t="s">
        <v>8</v>
      </c>
      <c r="GX567" s="27" t="s">
        <v>7</v>
      </c>
      <c r="HC567" s="27" t="s">
        <v>8</v>
      </c>
      <c r="HD567" s="27" t="s">
        <v>7</v>
      </c>
      <c r="HE567" s="27" t="s">
        <v>8</v>
      </c>
      <c r="HH567" s="27" t="s">
        <v>7</v>
      </c>
      <c r="HI567" s="27" t="s">
        <v>8</v>
      </c>
      <c r="HJ567" s="27" t="s">
        <v>7</v>
      </c>
      <c r="HK567" s="27" t="s">
        <v>8</v>
      </c>
      <c r="HL567" s="27" t="s">
        <v>7</v>
      </c>
      <c r="HV567" s="27" t="s">
        <v>7</v>
      </c>
    </row>
    <row r="568" spans="1:231" x14ac:dyDescent="0.25">
      <c r="A568" s="7">
        <v>1.4568111725277988</v>
      </c>
      <c r="B568"/>
      <c r="C568"/>
      <c r="D568"/>
      <c r="E568" t="s">
        <v>8</v>
      </c>
      <c r="R568" s="27" t="s">
        <v>7</v>
      </c>
      <c r="EJ568" s="27" t="s">
        <v>7</v>
      </c>
      <c r="GL568" s="27" t="s">
        <v>7</v>
      </c>
      <c r="GW568" s="27" t="s">
        <v>8</v>
      </c>
      <c r="GX568" s="27" t="s">
        <v>7</v>
      </c>
      <c r="HC568" s="27" t="s">
        <v>8</v>
      </c>
      <c r="HD568" s="27" t="s">
        <v>7</v>
      </c>
      <c r="HH568" s="27" t="s">
        <v>7</v>
      </c>
      <c r="HJ568" s="27" t="s">
        <v>7</v>
      </c>
      <c r="HK568" s="27" t="s">
        <v>8</v>
      </c>
    </row>
    <row r="569" spans="1:231" x14ac:dyDescent="0.25">
      <c r="A569" s="7">
        <v>1.4282462475762734</v>
      </c>
      <c r="B569"/>
      <c r="C569"/>
      <c r="D569"/>
      <c r="E569" t="s">
        <v>8</v>
      </c>
      <c r="GL569" s="27" t="s">
        <v>7</v>
      </c>
      <c r="GW569" s="27" t="s">
        <v>8</v>
      </c>
      <c r="GX569" s="27" t="s">
        <v>7</v>
      </c>
      <c r="HA569" s="27" t="s">
        <v>8</v>
      </c>
      <c r="HC569" s="27" t="s">
        <v>8</v>
      </c>
      <c r="HJ569" s="27" t="s">
        <v>7</v>
      </c>
      <c r="HK569" s="27" t="s">
        <v>8</v>
      </c>
    </row>
    <row r="570" spans="1:231" x14ac:dyDescent="0.25">
      <c r="A570" s="7">
        <v>1.4002414191924248</v>
      </c>
      <c r="B570"/>
      <c r="C570"/>
      <c r="D570"/>
      <c r="E570" t="s">
        <v>8</v>
      </c>
      <c r="GL570" s="27" t="s">
        <v>7</v>
      </c>
      <c r="GW570" s="27" t="s">
        <v>8</v>
      </c>
      <c r="GX570" s="27" t="s">
        <v>7</v>
      </c>
      <c r="GY570" s="27" t="s">
        <v>8</v>
      </c>
      <c r="HA570" s="27" t="s">
        <v>8</v>
      </c>
      <c r="HB570" s="27" t="s">
        <v>7</v>
      </c>
      <c r="HC570" s="27" t="s">
        <v>8</v>
      </c>
      <c r="HJ570" s="27" t="s">
        <v>7</v>
      </c>
      <c r="HK570" s="27" t="s">
        <v>8</v>
      </c>
    </row>
    <row r="571" spans="1:231" x14ac:dyDescent="0.25">
      <c r="A571" s="7">
        <v>1.3727857050906125</v>
      </c>
      <c r="B571"/>
      <c r="C571"/>
      <c r="D571"/>
      <c r="E571" t="s">
        <v>8</v>
      </c>
      <c r="GL571" s="27" t="s">
        <v>7</v>
      </c>
      <c r="GQ571" s="27" t="s">
        <v>8</v>
      </c>
      <c r="GW571" s="27" t="s">
        <v>8</v>
      </c>
      <c r="GX571" s="27" t="s">
        <v>7</v>
      </c>
      <c r="GY571" s="27" t="s">
        <v>8</v>
      </c>
      <c r="GZ571" s="27" t="s">
        <v>7</v>
      </c>
      <c r="HA571" s="27" t="s">
        <v>8</v>
      </c>
      <c r="HB571" s="27" t="s">
        <v>7</v>
      </c>
      <c r="HC571" s="27" t="s">
        <v>8</v>
      </c>
      <c r="HJ571" s="27" t="s">
        <v>7</v>
      </c>
    </row>
    <row r="572" spans="1:231" x14ac:dyDescent="0.25">
      <c r="A572" s="7">
        <v>1.3458683383241299</v>
      </c>
      <c r="B572"/>
      <c r="C572"/>
      <c r="D572"/>
      <c r="E572" t="s">
        <v>8</v>
      </c>
      <c r="GL572" s="27" t="s">
        <v>7</v>
      </c>
      <c r="GQ572" s="27" t="s">
        <v>8</v>
      </c>
      <c r="GR572" s="27" t="s">
        <v>7</v>
      </c>
      <c r="GW572" s="27" t="s">
        <v>8</v>
      </c>
      <c r="GX572" s="27" t="s">
        <v>7</v>
      </c>
      <c r="GY572" s="27" t="s">
        <v>8</v>
      </c>
      <c r="GZ572" s="27" t="s">
        <v>7</v>
      </c>
      <c r="HA572" s="27" t="s">
        <v>8</v>
      </c>
      <c r="HB572" s="27" t="s">
        <v>7</v>
      </c>
      <c r="HC572" s="27" t="s">
        <v>8</v>
      </c>
    </row>
    <row r="573" spans="1:231" x14ac:dyDescent="0.25">
      <c r="A573" s="7">
        <v>1.3194787630628724</v>
      </c>
      <c r="B573"/>
      <c r="C573"/>
      <c r="D573"/>
      <c r="E573" t="s">
        <v>8</v>
      </c>
      <c r="GL573" s="27" t="s">
        <v>7</v>
      </c>
      <c r="GQ573" s="27" t="s">
        <v>8</v>
      </c>
      <c r="GR573" s="27" t="s">
        <v>7</v>
      </c>
      <c r="GW573" s="27" t="s">
        <v>8</v>
      </c>
      <c r="GX573" s="27" t="s">
        <v>7</v>
      </c>
      <c r="GY573" s="27" t="s">
        <v>8</v>
      </c>
      <c r="GZ573" s="27" t="s">
        <v>7</v>
      </c>
      <c r="HA573" s="27" t="s">
        <v>8</v>
      </c>
      <c r="HB573" s="27" t="s">
        <v>7</v>
      </c>
    </row>
    <row r="574" spans="1:231" x14ac:dyDescent="0.25">
      <c r="A574" s="7">
        <v>1.2936066304537963</v>
      </c>
      <c r="B574"/>
      <c r="C574"/>
      <c r="D574"/>
      <c r="E574" t="s">
        <v>8</v>
      </c>
      <c r="GL574" s="27" t="s">
        <v>7</v>
      </c>
      <c r="GQ574" s="27" t="s">
        <v>8</v>
      </c>
      <c r="GR574" s="27" t="s">
        <v>7</v>
      </c>
      <c r="GS574" s="27" t="s">
        <v>8</v>
      </c>
      <c r="GW574" s="27" t="s">
        <v>8</v>
      </c>
      <c r="GX574" s="27" t="s">
        <v>7</v>
      </c>
      <c r="GZ574" s="27" t="s">
        <v>7</v>
      </c>
      <c r="HA574" s="27" t="s">
        <v>8</v>
      </c>
    </row>
    <row r="575" spans="1:231" x14ac:dyDescent="0.25">
      <c r="A575" s="7">
        <v>1.2682417945625455</v>
      </c>
      <c r="B575"/>
      <c r="C575"/>
      <c r="D575"/>
      <c r="E575" t="s">
        <v>8</v>
      </c>
      <c r="GL575" s="27" t="s">
        <v>7</v>
      </c>
      <c r="GM575" s="27" t="s">
        <v>8</v>
      </c>
      <c r="GQ575" s="27" t="s">
        <v>8</v>
      </c>
      <c r="GR575" s="27" t="s">
        <v>7</v>
      </c>
      <c r="GS575" s="27" t="s">
        <v>8</v>
      </c>
      <c r="GT575" s="27" t="s">
        <v>7</v>
      </c>
      <c r="GW575" s="27" t="s">
        <v>8</v>
      </c>
      <c r="GZ575" s="27" t="s">
        <v>7</v>
      </c>
    </row>
    <row r="576" spans="1:231" x14ac:dyDescent="0.25">
      <c r="A576" s="7">
        <v>1.2433743083946525</v>
      </c>
      <c r="B576"/>
      <c r="C576"/>
      <c r="D576"/>
      <c r="E576" t="s">
        <v>8</v>
      </c>
      <c r="GL576" s="27" t="s">
        <v>7</v>
      </c>
      <c r="GM576" s="27" t="s">
        <v>8</v>
      </c>
      <c r="GN576" s="27" t="s">
        <v>7</v>
      </c>
      <c r="GQ576" s="27" t="s">
        <v>8</v>
      </c>
      <c r="GR576" s="27" t="s">
        <v>7</v>
      </c>
      <c r="GS576" s="27" t="s">
        <v>8</v>
      </c>
      <c r="GT576" s="27" t="s">
        <v>7</v>
      </c>
      <c r="GW576" s="27" t="s">
        <v>8</v>
      </c>
    </row>
    <row r="577" spans="1:205" x14ac:dyDescent="0.25">
      <c r="A577" s="7">
        <v>1.2189944199947573</v>
      </c>
      <c r="B577"/>
      <c r="C577"/>
      <c r="D577"/>
      <c r="E577" t="s">
        <v>8</v>
      </c>
      <c r="GL577" s="27" t="s">
        <v>7</v>
      </c>
      <c r="GM577" s="27" t="s">
        <v>8</v>
      </c>
      <c r="GN577" s="27" t="s">
        <v>7</v>
      </c>
      <c r="GQ577" s="27" t="s">
        <v>8</v>
      </c>
      <c r="GR577" s="27" t="s">
        <v>7</v>
      </c>
      <c r="GS577" s="27" t="s">
        <v>8</v>
      </c>
      <c r="GT577" s="27" t="s">
        <v>7</v>
      </c>
      <c r="GU577" s="27" t="s">
        <v>8</v>
      </c>
      <c r="GW577" s="27" t="s">
        <v>8</v>
      </c>
    </row>
    <row r="578" spans="1:205" x14ac:dyDescent="0.25">
      <c r="A578" s="7">
        <v>1.1950925686223111</v>
      </c>
      <c r="B578"/>
      <c r="C578"/>
      <c r="D578"/>
      <c r="E578" t="s">
        <v>8</v>
      </c>
      <c r="GL578" s="27" t="s">
        <v>7</v>
      </c>
      <c r="GM578" s="27" t="s">
        <v>8</v>
      </c>
      <c r="GN578" s="27" t="s">
        <v>7</v>
      </c>
      <c r="GQ578" s="27" t="s">
        <v>8</v>
      </c>
      <c r="GR578" s="27" t="s">
        <v>7</v>
      </c>
      <c r="GS578" s="27" t="s">
        <v>8</v>
      </c>
      <c r="GT578" s="27" t="s">
        <v>7</v>
      </c>
      <c r="GU578" s="27" t="s">
        <v>8</v>
      </c>
      <c r="GV578" s="27" t="s">
        <v>7</v>
      </c>
      <c r="GW578" s="27" t="s">
        <v>8</v>
      </c>
    </row>
    <row r="579" spans="1:205" x14ac:dyDescent="0.25">
      <c r="A579" s="7">
        <v>1.1716593810022657</v>
      </c>
      <c r="B579"/>
      <c r="C579"/>
      <c r="D579"/>
      <c r="E579" t="s">
        <v>8</v>
      </c>
      <c r="GL579" s="27" t="s">
        <v>7</v>
      </c>
      <c r="GM579" s="27" t="s">
        <v>8</v>
      </c>
      <c r="GN579" s="27" t="s">
        <v>7</v>
      </c>
      <c r="GQ579" s="27" t="s">
        <v>8</v>
      </c>
      <c r="GR579" s="27" t="s">
        <v>7</v>
      </c>
      <c r="GS579" s="27" t="s">
        <v>8</v>
      </c>
      <c r="GT579" s="27" t="s">
        <v>7</v>
      </c>
      <c r="GU579" s="27" t="s">
        <v>8</v>
      </c>
      <c r="GV579" s="27" t="s">
        <v>7</v>
      </c>
      <c r="GW579" s="27" t="s">
        <v>8</v>
      </c>
    </row>
    <row r="580" spans="1:205" x14ac:dyDescent="0.25">
      <c r="A580" s="7">
        <v>1.14868566764928</v>
      </c>
      <c r="B580"/>
      <c r="C580"/>
      <c r="D580"/>
      <c r="E580" t="s">
        <v>8</v>
      </c>
      <c r="GL580" s="27" t="s">
        <v>7</v>
      </c>
      <c r="GM580" s="27" t="s">
        <v>8</v>
      </c>
      <c r="GN580" s="27" t="s">
        <v>7</v>
      </c>
      <c r="GO580" s="27" t="s">
        <v>8</v>
      </c>
      <c r="GQ580" s="27" t="s">
        <v>8</v>
      </c>
      <c r="GR580" s="27" t="s">
        <v>7</v>
      </c>
      <c r="GT580" s="27" t="s">
        <v>7</v>
      </c>
      <c r="GV580" s="27" t="s">
        <v>7</v>
      </c>
    </row>
    <row r="581" spans="1:205" x14ac:dyDescent="0.25">
      <c r="A581" s="7">
        <v>1.1261624192640001</v>
      </c>
      <c r="B581"/>
      <c r="C581"/>
      <c r="D581"/>
      <c r="E581" t="s">
        <v>8</v>
      </c>
      <c r="GL581" s="27" t="s">
        <v>7</v>
      </c>
      <c r="GM581" s="27" t="s">
        <v>8</v>
      </c>
      <c r="GN581" s="27" t="s">
        <v>7</v>
      </c>
      <c r="GO581" s="27" t="s">
        <v>8</v>
      </c>
      <c r="GP581" s="27" t="s">
        <v>7</v>
      </c>
      <c r="GQ581" s="27" t="s">
        <v>8</v>
      </c>
    </row>
    <row r="582" spans="1:205" x14ac:dyDescent="0.25">
      <c r="A582" s="7">
        <v>1.1040808032</v>
      </c>
      <c r="B582"/>
      <c r="C582"/>
      <c r="D582"/>
      <c r="E582" t="s">
        <v>8</v>
      </c>
      <c r="GL582" s="27" t="s">
        <v>7</v>
      </c>
      <c r="GM582" s="27" t="s">
        <v>8</v>
      </c>
      <c r="GN582" s="27" t="s">
        <v>7</v>
      </c>
      <c r="GO582" s="27" t="s">
        <v>8</v>
      </c>
      <c r="GP582" s="27" t="s">
        <v>7</v>
      </c>
      <c r="GQ582" s="27" t="s">
        <v>8</v>
      </c>
    </row>
    <row r="583" spans="1:205" x14ac:dyDescent="0.25">
      <c r="A583" s="7">
        <v>1.08243216</v>
      </c>
      <c r="B583"/>
      <c r="C583"/>
      <c r="D583"/>
      <c r="E583" t="s">
        <v>8</v>
      </c>
      <c r="GL583" s="27" t="s">
        <v>7</v>
      </c>
      <c r="GM583" s="27" t="s">
        <v>8</v>
      </c>
      <c r="GN583" s="27" t="s">
        <v>7</v>
      </c>
      <c r="GO583" s="27" t="s">
        <v>8</v>
      </c>
      <c r="GP583" s="27" t="s">
        <v>7</v>
      </c>
      <c r="GQ583" s="27" t="s">
        <v>8</v>
      </c>
    </row>
    <row r="584" spans="1:205" x14ac:dyDescent="0.25">
      <c r="A584" s="7">
        <v>1.0612079999999999</v>
      </c>
      <c r="B584"/>
      <c r="C584"/>
      <c r="D584"/>
      <c r="E584" t="s">
        <v>8</v>
      </c>
      <c r="GL584" s="27" t="s">
        <v>7</v>
      </c>
      <c r="GM584" s="27" t="s">
        <v>8</v>
      </c>
      <c r="GN584" s="27" t="s">
        <v>7</v>
      </c>
      <c r="GO584" s="27" t="s">
        <v>8</v>
      </c>
      <c r="GP584" s="27" t="s">
        <v>7</v>
      </c>
      <c r="GQ584" s="27" t="s">
        <v>8</v>
      </c>
    </row>
    <row r="585" spans="1:205" x14ac:dyDescent="0.25">
      <c r="A585" s="7">
        <v>1.0404</v>
      </c>
      <c r="B585"/>
      <c r="C585"/>
      <c r="D585"/>
      <c r="E585" t="s">
        <v>8</v>
      </c>
      <c r="GL585" s="27" t="s">
        <v>7</v>
      </c>
      <c r="GM585" s="27" t="s">
        <v>8</v>
      </c>
      <c r="GN585" s="27" t="s">
        <v>7</v>
      </c>
      <c r="GO585" s="27" t="s">
        <v>8</v>
      </c>
      <c r="GP585" s="27" t="s">
        <v>7</v>
      </c>
      <c r="GQ585" s="27" t="s">
        <v>8</v>
      </c>
    </row>
    <row r="586" spans="1:205" x14ac:dyDescent="0.25">
      <c r="A586" s="7">
        <v>1.02</v>
      </c>
      <c r="B586"/>
      <c r="C586"/>
      <c r="D586"/>
      <c r="E586" t="s">
        <v>8</v>
      </c>
      <c r="GL586" s="27" t="s">
        <v>7</v>
      </c>
      <c r="GM586" s="27" t="s">
        <v>8</v>
      </c>
      <c r="GN586" s="27" t="s">
        <v>7</v>
      </c>
      <c r="GO586" s="27" t="s">
        <v>8</v>
      </c>
      <c r="GP586" s="27" t="s">
        <v>7</v>
      </c>
    </row>
    <row r="587" spans="1:205" x14ac:dyDescent="0.25">
      <c r="A587" s="7">
        <v>1</v>
      </c>
      <c r="B587"/>
      <c r="C587"/>
      <c r="D587"/>
      <c r="E587" s="29" t="s">
        <v>8</v>
      </c>
      <c r="GL587" s="27" t="s">
        <v>7</v>
      </c>
      <c r="GM587" s="27" t="s">
        <v>8</v>
      </c>
      <c r="GN587" s="27" t="s">
        <v>7</v>
      </c>
      <c r="GO587" s="27" t="s">
        <v>8</v>
      </c>
    </row>
    <row r="588" spans="1:205" x14ac:dyDescent="0.25">
      <c r="A588" s="7">
        <v>0.98039215686274506</v>
      </c>
      <c r="B588"/>
      <c r="C588"/>
      <c r="D588"/>
      <c r="E588"/>
      <c r="GL588" s="27" t="s">
        <v>7</v>
      </c>
      <c r="GM588" s="27" t="s">
        <v>8</v>
      </c>
      <c r="GN588" s="27" t="s">
        <v>7</v>
      </c>
      <c r="GO588" s="27" t="s">
        <v>8</v>
      </c>
    </row>
    <row r="589" spans="1:205" x14ac:dyDescent="0.25">
      <c r="A589" s="7">
        <v>0.96116878123798544</v>
      </c>
      <c r="B589"/>
      <c r="C589"/>
      <c r="D589"/>
      <c r="E589"/>
      <c r="GL589" s="27" t="s">
        <v>7</v>
      </c>
      <c r="GM589" s="27" t="s">
        <v>8</v>
      </c>
      <c r="GN589" s="27" t="s">
        <v>7</v>
      </c>
      <c r="GO589" s="27" t="s">
        <v>8</v>
      </c>
    </row>
    <row r="590" spans="1:205" x14ac:dyDescent="0.25">
      <c r="A590" s="7">
        <v>0.94232233454704462</v>
      </c>
      <c r="B590"/>
      <c r="C590"/>
      <c r="D590"/>
      <c r="E590"/>
      <c r="GL590" s="27" t="s">
        <v>7</v>
      </c>
      <c r="GM590" s="27" t="s">
        <v>8</v>
      </c>
      <c r="GN590" s="27" t="s">
        <v>7</v>
      </c>
      <c r="GO590" s="27" t="s">
        <v>8</v>
      </c>
    </row>
    <row r="591" spans="1:205" x14ac:dyDescent="0.25">
      <c r="A591" s="7">
        <v>0.92384542602651432</v>
      </c>
      <c r="B591"/>
      <c r="C591"/>
      <c r="D591"/>
      <c r="E591"/>
      <c r="GL591" s="27" t="s">
        <v>7</v>
      </c>
      <c r="GM591" s="27" t="s">
        <v>8</v>
      </c>
      <c r="GN591" s="27" t="s">
        <v>7</v>
      </c>
      <c r="GO591" s="27" t="s">
        <v>8</v>
      </c>
    </row>
    <row r="592" spans="1:205" x14ac:dyDescent="0.25">
      <c r="A592" s="7">
        <v>0.90573080982991594</v>
      </c>
      <c r="B592"/>
      <c r="C592"/>
      <c r="D592"/>
      <c r="E592"/>
      <c r="GL592" s="27" t="s">
        <v>7</v>
      </c>
      <c r="GM592" s="27" t="s">
        <v>8</v>
      </c>
      <c r="GN592" s="27" t="s">
        <v>7</v>
      </c>
    </row>
    <row r="593" spans="1:195" x14ac:dyDescent="0.25">
      <c r="A593" s="7">
        <v>0.8879713821861922</v>
      </c>
      <c r="B593"/>
      <c r="C593"/>
      <c r="D593"/>
      <c r="E593"/>
      <c r="GL593" s="27" t="s">
        <v>7</v>
      </c>
      <c r="GM593" s="27" t="s">
        <v>8</v>
      </c>
    </row>
    <row r="594" spans="1:195" x14ac:dyDescent="0.25">
      <c r="A594" s="7">
        <v>0.87056017861391399</v>
      </c>
      <c r="B594"/>
      <c r="C594"/>
      <c r="D594"/>
      <c r="E594"/>
      <c r="GL594" s="27" t="s">
        <v>7</v>
      </c>
      <c r="GM594" s="27" t="s">
        <v>8</v>
      </c>
    </row>
    <row r="595" spans="1:195" x14ac:dyDescent="0.25">
      <c r="A595" s="7">
        <v>0.85349037119011173</v>
      </c>
      <c r="B595"/>
      <c r="C595"/>
      <c r="D595"/>
      <c r="E595"/>
      <c r="GL595" s="27" t="s">
        <v>7</v>
      </c>
      <c r="GM595" s="27" t="s">
        <v>8</v>
      </c>
    </row>
    <row r="596" spans="1:195" x14ac:dyDescent="0.25">
      <c r="A596" s="7">
        <v>0.83675526587265858</v>
      </c>
      <c r="B596"/>
      <c r="C596"/>
      <c r="D596"/>
      <c r="E596"/>
      <c r="GL596" s="27" t="s">
        <v>7</v>
      </c>
      <c r="GM596" s="27" t="s">
        <v>8</v>
      </c>
    </row>
    <row r="597" spans="1:195" x14ac:dyDescent="0.25">
      <c r="A597" s="7">
        <v>0.82034829987515545</v>
      </c>
      <c r="B597"/>
      <c r="C597"/>
      <c r="D597"/>
      <c r="E597"/>
      <c r="GL597" s="27" t="s">
        <v>7</v>
      </c>
      <c r="GM597" s="27" t="s">
        <v>8</v>
      </c>
    </row>
    <row r="598" spans="1:195" x14ac:dyDescent="0.25">
      <c r="A598" s="7">
        <v>0.80426303909328967</v>
      </c>
      <c r="B598"/>
      <c r="C598"/>
      <c r="D598"/>
      <c r="E598"/>
      <c r="GL598" s="27" t="s">
        <v>7</v>
      </c>
      <c r="GM598" s="27" t="s">
        <v>8</v>
      </c>
    </row>
    <row r="599" spans="1:195" x14ac:dyDescent="0.25">
      <c r="A599" s="7">
        <v>0.78849317558165644</v>
      </c>
      <c r="B599"/>
      <c r="C599"/>
      <c r="D599"/>
      <c r="E599"/>
      <c r="GL599" s="27" t="s">
        <v>7</v>
      </c>
      <c r="GM599" s="27" t="s">
        <v>8</v>
      </c>
    </row>
    <row r="600" spans="1:195" x14ac:dyDescent="0.25">
      <c r="A600" s="7">
        <v>0.77303252508005538</v>
      </c>
      <c r="B600"/>
      <c r="C600"/>
      <c r="D600"/>
      <c r="E600"/>
      <c r="GL600" s="27" t="s">
        <v>7</v>
      </c>
      <c r="GM600" s="27" t="s">
        <v>8</v>
      </c>
    </row>
    <row r="601" spans="1:195" x14ac:dyDescent="0.25">
      <c r="A601" s="7">
        <v>0.75787502458828959</v>
      </c>
      <c r="B601"/>
      <c r="C601"/>
      <c r="D601"/>
      <c r="E601"/>
      <c r="GL601" s="27" t="s">
        <v>7</v>
      </c>
      <c r="GM601" s="27" t="s">
        <v>8</v>
      </c>
    </row>
    <row r="602" spans="1:195" x14ac:dyDescent="0.25">
      <c r="A602" s="7">
        <v>0.74301472998851925</v>
      </c>
      <c r="B602"/>
      <c r="C602"/>
      <c r="D602"/>
      <c r="E602"/>
      <c r="GL602" s="27" t="s">
        <v>7</v>
      </c>
      <c r="GM602" s="27" t="s">
        <v>8</v>
      </c>
    </row>
    <row r="603" spans="1:195" x14ac:dyDescent="0.25">
      <c r="A603" s="7">
        <v>0.72844581371423456</v>
      </c>
      <c r="B603"/>
      <c r="C603"/>
      <c r="D603"/>
      <c r="E603"/>
      <c r="GL603" s="27" t="s">
        <v>7</v>
      </c>
      <c r="GM603" s="27" t="s">
        <v>8</v>
      </c>
    </row>
    <row r="604" spans="1:195" x14ac:dyDescent="0.25">
      <c r="A604" s="7">
        <v>0.71416256246493581</v>
      </c>
      <c r="B604"/>
      <c r="C604"/>
      <c r="D604"/>
      <c r="E604"/>
      <c r="GL604" s="27" t="s">
        <v>7</v>
      </c>
    </row>
    <row r="605" spans="1:195" x14ac:dyDescent="0.25">
      <c r="A605" s="7">
        <v>0.7001593749656233</v>
      </c>
      <c r="B605"/>
      <c r="C605"/>
      <c r="D605"/>
      <c r="E605"/>
    </row>
    <row r="606" spans="1:195" x14ac:dyDescent="0.25">
      <c r="A606" s="7">
        <v>0.68643075977021883</v>
      </c>
      <c r="B606"/>
      <c r="C606"/>
      <c r="D606"/>
      <c r="E606"/>
    </row>
    <row r="607" spans="1:195" x14ac:dyDescent="0.25">
      <c r="A607" s="7">
        <v>0.67297133310805768</v>
      </c>
      <c r="B607"/>
      <c r="C607"/>
      <c r="D607"/>
      <c r="E607"/>
    </row>
    <row r="608" spans="1:19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596" operator="equal">
      <formula>$U$1</formula>
    </cfRule>
    <cfRule type="cellIs" dxfId="89" priority="1597" operator="equal">
      <formula>$S$1</formula>
    </cfRule>
  </conditionalFormatting>
  <conditionalFormatting sqref="D27">
    <cfRule type="cellIs" dxfId="88" priority="1594" operator="equal">
      <formula>$S$1</formula>
    </cfRule>
    <cfRule type="cellIs" dxfId="87" priority="1595" operator="equal">
      <formula>$U$1</formula>
    </cfRule>
  </conditionalFormatting>
  <conditionalFormatting sqref="C164">
    <cfRule type="cellIs" dxfId="86" priority="1592" operator="equal">
      <formula>$U$1</formula>
    </cfRule>
    <cfRule type="cellIs" dxfId="85" priority="1593" operator="equal">
      <formula>$S$1</formula>
    </cfRule>
  </conditionalFormatting>
  <conditionalFormatting sqref="D164">
    <cfRule type="cellIs" dxfId="84" priority="1590" operator="equal">
      <formula>$S$1</formula>
    </cfRule>
    <cfRule type="cellIs" dxfId="83" priority="1591" operator="equal">
      <formula>$U$1</formula>
    </cfRule>
  </conditionalFormatting>
  <conditionalFormatting sqref="C55">
    <cfRule type="cellIs" dxfId="82" priority="1588" operator="equal">
      <formula>$U$1</formula>
    </cfRule>
    <cfRule type="cellIs" dxfId="81" priority="1589" operator="equal">
      <formula>$S$1</formula>
    </cfRule>
  </conditionalFormatting>
  <conditionalFormatting sqref="D55">
    <cfRule type="cellIs" dxfId="80" priority="1586" operator="equal">
      <formula>$S$1</formula>
    </cfRule>
    <cfRule type="cellIs" dxfId="79" priority="1587" operator="equal">
      <formula>$U$1</formula>
    </cfRule>
  </conditionalFormatting>
  <conditionalFormatting sqref="C89">
    <cfRule type="cellIs" dxfId="78" priority="1584" operator="equal">
      <formula>$U$1</formula>
    </cfRule>
    <cfRule type="cellIs" dxfId="77" priority="1585" operator="equal">
      <formula>$S$1</formula>
    </cfRule>
  </conditionalFormatting>
  <conditionalFormatting sqref="D89">
    <cfRule type="cellIs" dxfId="76" priority="1582" operator="equal">
      <formula>$S$1</formula>
    </cfRule>
    <cfRule type="cellIs" dxfId="75" priority="1583" operator="equal">
      <formula>$U$1</formula>
    </cfRule>
  </conditionalFormatting>
  <conditionalFormatting sqref="C136">
    <cfRule type="cellIs" dxfId="74" priority="1580" operator="equal">
      <formula>$U$1</formula>
    </cfRule>
    <cfRule type="cellIs" dxfId="73" priority="1581" operator="equal">
      <formula>$S$1</formula>
    </cfRule>
  </conditionalFormatting>
  <conditionalFormatting sqref="D136">
    <cfRule type="cellIs" dxfId="72" priority="1578" operator="equal">
      <formula>$S$1</formula>
    </cfRule>
    <cfRule type="cellIs" dxfId="71" priority="1579" operator="equal">
      <formula>$U$1</formula>
    </cfRule>
  </conditionalFormatting>
  <conditionalFormatting sqref="C1">
    <cfRule type="cellIs" dxfId="70" priority="15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63" zoomScale="90" zoomScaleNormal="90" workbookViewId="0">
      <pane xSplit="4" topLeftCell="DO1" activePane="topRight" state="frozen"/>
      <selection activeCell="A109" sqref="A109"/>
      <selection pane="topRight" activeCell="GK204" sqref="GK20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$A$203</v>
      </c>
      <c r="D111" s="1" t="str">
        <f>ADDRESS(C121-1,D121,1,1)</f>
        <v>$GK$203</v>
      </c>
      <c r="E111"/>
    </row>
    <row r="112" spans="1:5" x14ac:dyDescent="0.25">
      <c r="A112" s="30">
        <v>515.50191262726139</v>
      </c>
      <c r="C112" s="1" t="str">
        <f>ADDRESS(C121,1,1,1)</f>
        <v>$A$204</v>
      </c>
      <c r="D112" s="1" t="str">
        <f>ADDRESS(C121,D121-1,1,1)</f>
        <v>$GJ$204</v>
      </c>
      <c r="E112"/>
    </row>
    <row r="113" spans="1:5" x14ac:dyDescent="0.25">
      <c r="A113" s="30">
        <v>490.95420250215363</v>
      </c>
      <c r="C113" s="1" t="str">
        <f>ADDRESS(C121+1,1,1,1)</f>
        <v>$A$205</v>
      </c>
      <c r="D113" s="1" t="str">
        <f>ADDRESS(C121-1,D121+1,1,1)</f>
        <v>$GL$203</v>
      </c>
    </row>
    <row r="114" spans="1:5" x14ac:dyDescent="0.25">
      <c r="A114" s="30">
        <v>467.57543095443202</v>
      </c>
      <c r="C114" s="1" t="str">
        <f>ADDRESS(C121,D121,1,1)</f>
        <v>$GK$204</v>
      </c>
      <c r="D114" s="1" t="str">
        <f>ADDRESS(C121+1,D121+1,1,1)</f>
        <v>$GL$205</v>
      </c>
    </row>
    <row r="115" spans="1:5" x14ac:dyDescent="0.25">
      <c r="A115" s="30">
        <v>445.30993424231622</v>
      </c>
      <c r="C115" s="1" t="str">
        <f>ADDRESS(C121+1,D121,1,1)</f>
        <v>$GK$205</v>
      </c>
    </row>
    <row r="116" spans="1:5" x14ac:dyDescent="0.25">
      <c r="A116" s="30">
        <v>424.10469927839637</v>
      </c>
      <c r="C116" s="1">
        <f>C117-1</f>
        <v>203</v>
      </c>
    </row>
    <row r="117" spans="1:5" x14ac:dyDescent="0.25">
      <c r="A117" s="30">
        <v>403.9092374079965</v>
      </c>
      <c r="C117" s="1">
        <f>C121</f>
        <v>204</v>
      </c>
      <c r="D117" s="1">
        <f>D121</f>
        <v>193</v>
      </c>
    </row>
    <row r="118" spans="1:5" x14ac:dyDescent="0.25">
      <c r="A118" s="30">
        <v>384.6754641980919</v>
      </c>
      <c r="C118" s="1">
        <f>C117+1</f>
        <v>205</v>
      </c>
      <c r="D118" s="1">
        <f>D117+1</f>
        <v>194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204</v>
      </c>
      <c r="D121" s="19">
        <v>193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R204</v>
      </c>
      <c r="D123" s="1" t="str">
        <f>"C"&amp;D121</f>
        <v>C193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5.7918161359718709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144" x14ac:dyDescent="0.25">
      <c r="A161" s="30">
        <v>47.201372444612005</v>
      </c>
      <c r="E161"/>
    </row>
    <row r="162" spans="1:144" x14ac:dyDescent="0.25">
      <c r="A162" s="30">
        <v>44.95368804248762</v>
      </c>
      <c r="E162"/>
    </row>
    <row r="163" spans="1:144" x14ac:dyDescent="0.25">
      <c r="A163" s="30">
        <v>42.81303623094059</v>
      </c>
      <c r="E163"/>
    </row>
    <row r="164" spans="1:144" x14ac:dyDescent="0.25">
      <c r="A164" s="30">
        <v>40.774320219943419</v>
      </c>
      <c r="E164"/>
    </row>
    <row r="165" spans="1:144" x14ac:dyDescent="0.25">
      <c r="A165" s="30">
        <v>38.832685923755633</v>
      </c>
      <c r="E165"/>
    </row>
    <row r="166" spans="1:144" x14ac:dyDescent="0.25">
      <c r="A166" s="30">
        <v>36.983510403576794</v>
      </c>
      <c r="E166"/>
    </row>
    <row r="167" spans="1:144" x14ac:dyDescent="0.25">
      <c r="A167" s="30">
        <v>35.222390860549325</v>
      </c>
      <c r="E167"/>
      <c r="EE167" s="31" t="s">
        <v>8</v>
      </c>
    </row>
    <row r="168" spans="1:144" x14ac:dyDescent="0.25">
      <c r="A168" s="30">
        <v>33.545134152904119</v>
      </c>
      <c r="E168"/>
      <c r="EE168" s="27" t="s">
        <v>8</v>
      </c>
      <c r="EF168" s="31" t="s">
        <v>7</v>
      </c>
    </row>
    <row r="169" spans="1:144" x14ac:dyDescent="0.25">
      <c r="A169" s="30">
        <v>31.947746812289637</v>
      </c>
      <c r="E169"/>
      <c r="EE169" s="27" t="s">
        <v>8</v>
      </c>
      <c r="EF169" s="27" t="s">
        <v>7</v>
      </c>
      <c r="EG169" s="31"/>
    </row>
    <row r="170" spans="1:144" x14ac:dyDescent="0.25">
      <c r="A170" s="30">
        <v>30.426425535513939</v>
      </c>
      <c r="E170"/>
      <c r="EE170" s="27" t="s">
        <v>8</v>
      </c>
      <c r="EF170" s="27" t="s">
        <v>7</v>
      </c>
      <c r="EG170" s="27" t="s">
        <v>8</v>
      </c>
      <c r="EH170" s="31"/>
    </row>
    <row r="171" spans="1:144" x14ac:dyDescent="0.25">
      <c r="A171" s="30">
        <v>28.977548129060892</v>
      </c>
      <c r="E171"/>
      <c r="EE171" s="27" t="s">
        <v>8</v>
      </c>
      <c r="EF171" s="27" t="s">
        <v>7</v>
      </c>
      <c r="EG171" s="27" t="s">
        <v>8</v>
      </c>
      <c r="EH171" s="27" t="s">
        <v>7</v>
      </c>
      <c r="EI171" s="31"/>
    </row>
    <row r="172" spans="1:144" x14ac:dyDescent="0.25">
      <c r="A172" s="30">
        <v>27.597664884819896</v>
      </c>
      <c r="E172"/>
      <c r="EE172" s="27" t="s">
        <v>8</v>
      </c>
      <c r="EF172" s="27" t="s">
        <v>7</v>
      </c>
      <c r="EG172" s="27" t="s">
        <v>8</v>
      </c>
      <c r="EH172" s="27" t="s">
        <v>7</v>
      </c>
      <c r="EJ172" s="31"/>
    </row>
    <row r="173" spans="1:144" x14ac:dyDescent="0.25">
      <c r="A173" s="30">
        <v>26.283490366495137</v>
      </c>
      <c r="E173"/>
      <c r="EE173" s="27" t="s">
        <v>8</v>
      </c>
      <c r="EF173" s="27" t="s">
        <v>7</v>
      </c>
      <c r="EG173" s="27" t="s">
        <v>8</v>
      </c>
      <c r="EH173" s="27" t="s">
        <v>7</v>
      </c>
      <c r="EI173" s="27" t="s">
        <v>8</v>
      </c>
      <c r="EK173" s="31"/>
    </row>
    <row r="174" spans="1:144" x14ac:dyDescent="0.25">
      <c r="A174" s="30">
        <v>25.031895587138223</v>
      </c>
      <c r="E174"/>
      <c r="EE174" s="27" t="s">
        <v>8</v>
      </c>
      <c r="EF174" s="27" t="s">
        <v>7</v>
      </c>
      <c r="EG174" s="27" t="s">
        <v>8</v>
      </c>
      <c r="EH174" s="27" t="s">
        <v>7</v>
      </c>
      <c r="EI174" s="27" t="s">
        <v>8</v>
      </c>
      <c r="EJ174" s="27" t="s">
        <v>7</v>
      </c>
      <c r="EL174" s="31"/>
    </row>
    <row r="175" spans="1:144" x14ac:dyDescent="0.25">
      <c r="A175" s="30">
        <v>23.839900559179259</v>
      </c>
      <c r="E175"/>
      <c r="EE175" s="27" t="s">
        <v>8</v>
      </c>
      <c r="EF175" s="27" t="s">
        <v>7</v>
      </c>
      <c r="EH175" s="27" t="s">
        <v>7</v>
      </c>
      <c r="EI175" s="27" t="s">
        <v>8</v>
      </c>
      <c r="EJ175" s="27" t="s">
        <v>7</v>
      </c>
      <c r="EM175" s="31"/>
    </row>
    <row r="176" spans="1:144" x14ac:dyDescent="0.25">
      <c r="A176" s="30">
        <v>22.704667199218342</v>
      </c>
      <c r="E176"/>
      <c r="EE176" s="27" t="s">
        <v>8</v>
      </c>
      <c r="EH176" s="27" t="s">
        <v>7</v>
      </c>
      <c r="EI176" s="27" t="s">
        <v>8</v>
      </c>
      <c r="EJ176" s="27" t="s">
        <v>7</v>
      </c>
      <c r="EK176" s="27" t="s">
        <v>8</v>
      </c>
      <c r="EN176" s="31"/>
    </row>
    <row r="177" spans="1:187" x14ac:dyDescent="0.25">
      <c r="A177" s="30">
        <v>21.623492570684135</v>
      </c>
      <c r="E177"/>
      <c r="EE177" s="27" t="s">
        <v>8</v>
      </c>
      <c r="EH177" s="27" t="s">
        <v>7</v>
      </c>
      <c r="EJ177" s="27" t="s">
        <v>7</v>
      </c>
      <c r="EK177" s="27" t="s">
        <v>8</v>
      </c>
      <c r="EL177" s="27" t="s">
        <v>7</v>
      </c>
      <c r="EO177" s="31"/>
    </row>
    <row r="178" spans="1:187" x14ac:dyDescent="0.25">
      <c r="A178" s="30">
        <v>20.593802448270605</v>
      </c>
      <c r="C178" s="7"/>
      <c r="D178"/>
      <c r="E178"/>
      <c r="DY178" s="27" t="s">
        <v>8</v>
      </c>
      <c r="EE178" s="27" t="s">
        <v>8</v>
      </c>
      <c r="EJ178" s="27" t="s">
        <v>7</v>
      </c>
      <c r="EK178" s="27" t="s">
        <v>8</v>
      </c>
      <c r="EL178" s="27" t="s">
        <v>7</v>
      </c>
      <c r="EP178" s="31"/>
    </row>
    <row r="179" spans="1:187" x14ac:dyDescent="0.25">
      <c r="A179" s="30">
        <v>19.613145188829147</v>
      </c>
      <c r="E179"/>
      <c r="DY179" s="27" t="s">
        <v>8</v>
      </c>
      <c r="DZ179" s="27" t="s">
        <v>7</v>
      </c>
      <c r="EE179" s="27" t="s">
        <v>8</v>
      </c>
      <c r="EJ179" s="27" t="s">
        <v>7</v>
      </c>
      <c r="EK179" s="27" t="s">
        <v>8</v>
      </c>
      <c r="EL179" s="27" t="s">
        <v>7</v>
      </c>
      <c r="EQ179" s="31"/>
    </row>
    <row r="180" spans="1:187" x14ac:dyDescent="0.25">
      <c r="A180" s="30">
        <v>18.679185894122998</v>
      </c>
      <c r="E180"/>
      <c r="DW180" s="27" t="s">
        <v>8</v>
      </c>
      <c r="DY180" s="27" t="s">
        <v>8</v>
      </c>
      <c r="DZ180" s="27" t="s">
        <v>7</v>
      </c>
      <c r="EE180" s="27" t="s">
        <v>8</v>
      </c>
      <c r="EJ180" s="27" t="s">
        <v>7</v>
      </c>
      <c r="EL180" s="27" t="s">
        <v>7</v>
      </c>
      <c r="ER180" s="31"/>
      <c r="FQ180" s="27" t="s">
        <v>8</v>
      </c>
    </row>
    <row r="181" spans="1:187" x14ac:dyDescent="0.25">
      <c r="A181" s="30">
        <v>17.78970085154571</v>
      </c>
      <c r="C181"/>
      <c r="D181"/>
      <c r="E181"/>
      <c r="DU181" s="27" t="s">
        <v>8</v>
      </c>
      <c r="DW181" s="27" t="s">
        <v>8</v>
      </c>
      <c r="DX181" s="27" t="s">
        <v>7</v>
      </c>
      <c r="DY181" s="27" t="s">
        <v>8</v>
      </c>
      <c r="DZ181" s="27" t="s">
        <v>7</v>
      </c>
      <c r="EE181" s="27" t="s">
        <v>8</v>
      </c>
      <c r="EL181" s="27" t="s">
        <v>7</v>
      </c>
      <c r="ES181" s="31"/>
      <c r="FQ181" s="27" t="s">
        <v>8</v>
      </c>
      <c r="FR181" s="27" t="s">
        <v>7</v>
      </c>
      <c r="FS181" s="27" t="s">
        <v>8</v>
      </c>
      <c r="FU181" s="27" t="s">
        <v>8</v>
      </c>
    </row>
    <row r="182" spans="1:187" x14ac:dyDescent="0.25">
      <c r="A182" s="30">
        <v>16.942572239567344</v>
      </c>
      <c r="E182"/>
      <c r="DU182" s="27" t="s">
        <v>8</v>
      </c>
      <c r="DV182" s="27" t="s">
        <v>7</v>
      </c>
      <c r="DW182" s="27" t="s">
        <v>8</v>
      </c>
      <c r="DX182" s="27" t="s">
        <v>7</v>
      </c>
      <c r="DY182" s="27" t="s">
        <v>8</v>
      </c>
      <c r="DZ182" s="27" t="s">
        <v>7</v>
      </c>
      <c r="EE182" s="27" t="s">
        <v>8</v>
      </c>
      <c r="EL182" s="27" t="s">
        <v>7</v>
      </c>
      <c r="ET182" s="31"/>
      <c r="FE182" s="27" t="s">
        <v>8</v>
      </c>
      <c r="FQ182" s="27" t="s">
        <v>8</v>
      </c>
      <c r="FR182" s="27" t="s">
        <v>7</v>
      </c>
      <c r="FS182" s="27" t="s">
        <v>8</v>
      </c>
      <c r="FT182" s="27" t="s">
        <v>7</v>
      </c>
      <c r="FU182" s="27" t="s">
        <v>8</v>
      </c>
      <c r="FV182" s="27" t="s">
        <v>7</v>
      </c>
      <c r="FW182" s="27" t="s">
        <v>8</v>
      </c>
      <c r="FY182" s="27" t="s">
        <v>8</v>
      </c>
    </row>
    <row r="183" spans="1:187" x14ac:dyDescent="0.25">
      <c r="A183" s="30">
        <v>16.135783085302233</v>
      </c>
      <c r="E183"/>
      <c r="DU183" s="27" t="s">
        <v>8</v>
      </c>
      <c r="DV183" s="27" t="s">
        <v>7</v>
      </c>
      <c r="DW183" s="27" t="s">
        <v>8</v>
      </c>
      <c r="DX183" s="27" t="s">
        <v>7</v>
      </c>
      <c r="DY183" s="27" t="s">
        <v>8</v>
      </c>
      <c r="DZ183" s="27" t="s">
        <v>7</v>
      </c>
      <c r="EC183" s="27" t="s">
        <v>8</v>
      </c>
      <c r="EE183" s="27" t="s">
        <v>8</v>
      </c>
      <c r="EL183" s="27" t="s">
        <v>7</v>
      </c>
      <c r="EU183" s="31"/>
      <c r="FE183" s="27" t="s">
        <v>8</v>
      </c>
      <c r="FF183" s="27" t="s">
        <v>7</v>
      </c>
      <c r="FQ183" s="27" t="s">
        <v>8</v>
      </c>
      <c r="FR183" s="27" t="s">
        <v>7</v>
      </c>
      <c r="FS183" s="27" t="s">
        <v>8</v>
      </c>
      <c r="FT183" s="27" t="s">
        <v>7</v>
      </c>
      <c r="FU183" s="27" t="s">
        <v>8</v>
      </c>
      <c r="FV183" s="27" t="s">
        <v>7</v>
      </c>
      <c r="FW183" s="27" t="s">
        <v>8</v>
      </c>
      <c r="FX183" s="27" t="s">
        <v>7</v>
      </c>
      <c r="FY183" s="27" t="s">
        <v>8</v>
      </c>
      <c r="FZ183" s="27" t="s">
        <v>7</v>
      </c>
    </row>
    <row r="184" spans="1:187" x14ac:dyDescent="0.25">
      <c r="A184" s="30">
        <v>15.367412462192602</v>
      </c>
      <c r="E184"/>
      <c r="DU184" s="27" t="s">
        <v>8</v>
      </c>
      <c r="DV184" s="27" t="s">
        <v>7</v>
      </c>
      <c r="DW184" s="27" t="s">
        <v>8</v>
      </c>
      <c r="DX184" s="27" t="s">
        <v>7</v>
      </c>
      <c r="DY184" s="27" t="s">
        <v>8</v>
      </c>
      <c r="DZ184" s="27" t="s">
        <v>7</v>
      </c>
      <c r="EC184" s="27" t="s">
        <v>8</v>
      </c>
      <c r="ED184" s="27" t="s">
        <v>7</v>
      </c>
      <c r="EE184" s="27" t="s">
        <v>8</v>
      </c>
      <c r="EL184" s="27" t="s">
        <v>7</v>
      </c>
      <c r="EV184" s="31"/>
      <c r="FE184" s="27" t="s">
        <v>8</v>
      </c>
      <c r="FF184" s="27" t="s">
        <v>7</v>
      </c>
      <c r="FQ184" s="27" t="s">
        <v>8</v>
      </c>
      <c r="FR184" s="27" t="s">
        <v>7</v>
      </c>
      <c r="FT184" s="27" t="s">
        <v>7</v>
      </c>
      <c r="FV184" s="27" t="s">
        <v>7</v>
      </c>
      <c r="FW184" s="27" t="s">
        <v>8</v>
      </c>
      <c r="FX184" s="27" t="s">
        <v>7</v>
      </c>
      <c r="FY184" s="27" t="s">
        <v>8</v>
      </c>
      <c r="FZ184" s="27" t="s">
        <v>7</v>
      </c>
    </row>
    <row r="185" spans="1:187" x14ac:dyDescent="0.25">
      <c r="A185" s="30">
        <v>14.635630916373906</v>
      </c>
      <c r="C185"/>
      <c r="E185"/>
      <c r="DU185" s="27" t="s">
        <v>8</v>
      </c>
      <c r="DV185" s="27" t="s">
        <v>7</v>
      </c>
      <c r="DX185" s="27" t="s">
        <v>7</v>
      </c>
      <c r="DY185" s="27" t="s">
        <v>8</v>
      </c>
      <c r="DZ185" s="27" t="s">
        <v>7</v>
      </c>
      <c r="EC185" s="27" t="s">
        <v>8</v>
      </c>
      <c r="ED185" s="27" t="s">
        <v>7</v>
      </c>
      <c r="EE185" s="27" t="s">
        <v>8</v>
      </c>
      <c r="EL185" s="27" t="s">
        <v>7</v>
      </c>
      <c r="EO185" s="27" t="s">
        <v>8</v>
      </c>
      <c r="EW185" s="31"/>
      <c r="FC185" s="27" t="s">
        <v>8</v>
      </c>
      <c r="FE185" s="27" t="s">
        <v>8</v>
      </c>
      <c r="FF185" s="27" t="s">
        <v>7</v>
      </c>
      <c r="FK185" s="27" t="s">
        <v>8</v>
      </c>
      <c r="FM185" s="27" t="s">
        <v>8</v>
      </c>
      <c r="FQ185" s="27" t="s">
        <v>8</v>
      </c>
      <c r="FV185" s="27" t="s">
        <v>7</v>
      </c>
      <c r="FW185" s="27" t="s">
        <v>8</v>
      </c>
      <c r="FX185" s="27" t="s">
        <v>7</v>
      </c>
      <c r="FY185" s="27" t="s">
        <v>8</v>
      </c>
      <c r="FZ185" s="27" t="s">
        <v>7</v>
      </c>
    </row>
    <row r="186" spans="1:187" x14ac:dyDescent="0.25">
      <c r="A186" s="30">
        <v>13.938696110832291</v>
      </c>
      <c r="E186"/>
      <c r="DU186" s="27" t="s">
        <v>8</v>
      </c>
      <c r="DX186" s="27" t="s">
        <v>7</v>
      </c>
      <c r="DY186" s="27" t="s">
        <v>8</v>
      </c>
      <c r="DZ186" s="27" t="s">
        <v>7</v>
      </c>
      <c r="EC186" s="27" t="s">
        <v>8</v>
      </c>
      <c r="ED186" s="27" t="s">
        <v>7</v>
      </c>
      <c r="EL186" s="27" t="s">
        <v>7</v>
      </c>
      <c r="EM186" s="27" t="s">
        <v>8</v>
      </c>
      <c r="EO186" s="27" t="s">
        <v>8</v>
      </c>
      <c r="EP186" s="27" t="s">
        <v>7</v>
      </c>
      <c r="EX186" s="31"/>
      <c r="FC186" s="27" t="s">
        <v>8</v>
      </c>
      <c r="FD186" s="27" t="s">
        <v>7</v>
      </c>
      <c r="FE186" s="27" t="s">
        <v>8</v>
      </c>
      <c r="FF186" s="27" t="s">
        <v>7</v>
      </c>
      <c r="FG186" s="27" t="s">
        <v>8</v>
      </c>
      <c r="FK186" s="27" t="s">
        <v>8</v>
      </c>
      <c r="FL186" s="27" t="s">
        <v>7</v>
      </c>
      <c r="FM186" s="27" t="s">
        <v>8</v>
      </c>
      <c r="FN186" s="27" t="s">
        <v>7</v>
      </c>
      <c r="FO186" s="27" t="s">
        <v>8</v>
      </c>
      <c r="FQ186" s="27" t="s">
        <v>8</v>
      </c>
      <c r="FV186" s="27" t="s">
        <v>7</v>
      </c>
      <c r="FW186" s="27" t="s">
        <v>8</v>
      </c>
      <c r="FX186" s="27" t="s">
        <v>7</v>
      </c>
      <c r="FZ186" s="27" t="s">
        <v>7</v>
      </c>
    </row>
    <row r="187" spans="1:187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DU187" s="27" t="s">
        <v>8</v>
      </c>
      <c r="DX187" s="27" t="s">
        <v>7</v>
      </c>
      <c r="DY187" s="27" t="s">
        <v>8</v>
      </c>
      <c r="DZ187" s="27" t="s">
        <v>7</v>
      </c>
      <c r="EA187" s="27" t="s">
        <v>8</v>
      </c>
      <c r="EC187" s="27" t="s">
        <v>8</v>
      </c>
      <c r="EL187" s="27" t="s">
        <v>7</v>
      </c>
      <c r="EM187" s="27" t="s">
        <v>8</v>
      </c>
      <c r="EN187" s="27" t="s">
        <v>7</v>
      </c>
      <c r="EO187" s="27" t="s">
        <v>8</v>
      </c>
      <c r="EP187" s="27" t="s">
        <v>7</v>
      </c>
      <c r="EY187" s="31"/>
      <c r="FC187" s="27" t="s">
        <v>8</v>
      </c>
      <c r="FD187" s="27" t="s">
        <v>7</v>
      </c>
      <c r="FE187" s="27" t="s">
        <v>8</v>
      </c>
      <c r="FF187" s="27" t="s">
        <v>7</v>
      </c>
      <c r="FG187" s="27" t="s">
        <v>8</v>
      </c>
      <c r="FH187" s="27" t="s">
        <v>7</v>
      </c>
      <c r="FK187" s="27" t="s">
        <v>8</v>
      </c>
      <c r="FL187" s="27" t="s">
        <v>7</v>
      </c>
      <c r="FM187" s="27" t="s">
        <v>8</v>
      </c>
      <c r="FN187" s="27" t="s">
        <v>7</v>
      </c>
      <c r="FO187" s="27" t="s">
        <v>8</v>
      </c>
      <c r="FP187" s="27" t="s">
        <v>7</v>
      </c>
      <c r="FQ187" s="27" t="s">
        <v>8</v>
      </c>
      <c r="FV187" s="27" t="s">
        <v>7</v>
      </c>
      <c r="FZ187" s="27" t="s">
        <v>7</v>
      </c>
    </row>
    <row r="188" spans="1:187" x14ac:dyDescent="0.25">
      <c r="A188" s="30">
        <v>12.64280826379346</v>
      </c>
      <c r="E188"/>
      <c r="DU188" s="27" t="s">
        <v>8</v>
      </c>
      <c r="DX188" s="27" t="s">
        <v>7</v>
      </c>
      <c r="DY188" s="27" t="s">
        <v>8</v>
      </c>
      <c r="DZ188" s="27" t="s">
        <v>7</v>
      </c>
      <c r="EA188" s="27" t="s">
        <v>8</v>
      </c>
      <c r="EB188" s="27" t="s">
        <v>7</v>
      </c>
      <c r="EC188" s="27" t="s">
        <v>8</v>
      </c>
      <c r="EL188" s="27" t="s">
        <v>7</v>
      </c>
      <c r="EM188" s="27" t="s">
        <v>8</v>
      </c>
      <c r="EN188" s="27" t="s">
        <v>7</v>
      </c>
      <c r="EO188" s="27" t="s">
        <v>8</v>
      </c>
      <c r="EP188" s="27" t="s">
        <v>7</v>
      </c>
      <c r="EQ188" s="27" t="s">
        <v>8</v>
      </c>
      <c r="EZ188" s="31"/>
      <c r="FC188" s="27" t="s">
        <v>8</v>
      </c>
      <c r="FD188" s="27" t="s">
        <v>7</v>
      </c>
      <c r="FE188" s="27" t="s">
        <v>8</v>
      </c>
      <c r="FF188" s="27" t="s">
        <v>7</v>
      </c>
      <c r="FG188" s="27" t="s">
        <v>8</v>
      </c>
      <c r="FH188" s="27" t="s">
        <v>7</v>
      </c>
      <c r="FK188" s="27" t="s">
        <v>8</v>
      </c>
      <c r="FL188" s="27" t="s">
        <v>7</v>
      </c>
      <c r="FN188" s="27" t="s">
        <v>7</v>
      </c>
      <c r="FO188" s="27" t="s">
        <v>8</v>
      </c>
      <c r="FP188" s="27" t="s">
        <v>7</v>
      </c>
      <c r="FQ188" s="27" t="s">
        <v>8</v>
      </c>
      <c r="FZ188" s="27" t="s">
        <v>7</v>
      </c>
    </row>
    <row r="189" spans="1:187" x14ac:dyDescent="0.25">
      <c r="A189" s="30">
        <v>12.04076977504139</v>
      </c>
      <c r="E189"/>
      <c r="DU189" s="27" t="s">
        <v>8</v>
      </c>
      <c r="DX189" s="27" t="s">
        <v>7</v>
      </c>
      <c r="DZ189" s="27" t="s">
        <v>7</v>
      </c>
      <c r="EA189" s="27" t="s">
        <v>8</v>
      </c>
      <c r="EB189" s="27" t="s">
        <v>7</v>
      </c>
      <c r="EC189" s="27" t="s">
        <v>8</v>
      </c>
      <c r="EL189" s="27" t="s">
        <v>7</v>
      </c>
      <c r="EM189" s="27" t="s">
        <v>8</v>
      </c>
      <c r="EN189" s="27" t="s">
        <v>7</v>
      </c>
      <c r="EO189" s="27" t="s">
        <v>8</v>
      </c>
      <c r="EP189" s="27" t="s">
        <v>7</v>
      </c>
      <c r="EQ189" s="27" t="s">
        <v>8</v>
      </c>
      <c r="ER189" s="27" t="s">
        <v>7</v>
      </c>
      <c r="FA189" s="31"/>
      <c r="FC189" s="27" t="s">
        <v>8</v>
      </c>
      <c r="FD189" s="27" t="s">
        <v>7</v>
      </c>
      <c r="FE189" s="27" t="s">
        <v>8</v>
      </c>
      <c r="FF189" s="27" t="s">
        <v>7</v>
      </c>
      <c r="FG189" s="27" t="s">
        <v>8</v>
      </c>
      <c r="FH189" s="27" t="s">
        <v>7</v>
      </c>
      <c r="FK189" s="27" t="s">
        <v>8</v>
      </c>
      <c r="FN189" s="27" t="s">
        <v>7</v>
      </c>
      <c r="FP189" s="27" t="s">
        <v>7</v>
      </c>
      <c r="FQ189" s="27" t="s">
        <v>8</v>
      </c>
      <c r="FZ189" s="27" t="s">
        <v>7</v>
      </c>
    </row>
    <row r="190" spans="1:187" x14ac:dyDescent="0.25">
      <c r="A190" s="30">
        <v>11.467399785753704</v>
      </c>
      <c r="E190"/>
      <c r="DU190" s="27" t="s">
        <v>8</v>
      </c>
      <c r="DZ190" s="27" t="s">
        <v>7</v>
      </c>
      <c r="EA190" s="27" t="s">
        <v>8</v>
      </c>
      <c r="EB190" s="27" t="s">
        <v>7</v>
      </c>
      <c r="EL190" s="27" t="s">
        <v>7</v>
      </c>
      <c r="EM190" s="27" t="s">
        <v>8</v>
      </c>
      <c r="EN190" s="27" t="s">
        <v>7</v>
      </c>
      <c r="EO190" s="27" t="s">
        <v>8</v>
      </c>
      <c r="EP190" s="27" t="s">
        <v>7</v>
      </c>
      <c r="EQ190" s="27" t="s">
        <v>8</v>
      </c>
      <c r="ER190" s="27" t="s">
        <v>7</v>
      </c>
      <c r="FA190" s="27" t="s">
        <v>8</v>
      </c>
      <c r="FB190" s="31"/>
      <c r="FC190" s="27" t="s">
        <v>8</v>
      </c>
      <c r="FD190" s="27" t="s">
        <v>7</v>
      </c>
      <c r="FF190" s="27" t="s">
        <v>7</v>
      </c>
      <c r="FG190" s="27" t="s">
        <v>8</v>
      </c>
      <c r="FH190" s="27" t="s">
        <v>7</v>
      </c>
      <c r="FK190" s="27" t="s">
        <v>8</v>
      </c>
      <c r="FP190" s="27" t="s">
        <v>7</v>
      </c>
      <c r="FQ190" s="27" t="s">
        <v>8</v>
      </c>
      <c r="FZ190" s="27" t="s">
        <v>7</v>
      </c>
      <c r="GA190" s="27" t="s">
        <v>8</v>
      </c>
      <c r="GC190" s="27" t="s">
        <v>8</v>
      </c>
    </row>
    <row r="191" spans="1:187" x14ac:dyDescent="0.25">
      <c r="A191" s="30">
        <v>10.921333129289241</v>
      </c>
      <c r="E191"/>
      <c r="DU191" s="27" t="s">
        <v>8</v>
      </c>
      <c r="DZ191" s="27" t="s">
        <v>7</v>
      </c>
      <c r="EA191" s="27" t="s">
        <v>8</v>
      </c>
      <c r="EL191" s="27" t="s">
        <v>7</v>
      </c>
      <c r="EM191" s="27" t="s">
        <v>8</v>
      </c>
      <c r="EN191" s="27" t="s">
        <v>7</v>
      </c>
      <c r="EO191" s="27" t="s">
        <v>8</v>
      </c>
      <c r="EP191" s="27" t="s">
        <v>7</v>
      </c>
      <c r="EQ191" s="27" t="s">
        <v>8</v>
      </c>
      <c r="ER191" s="27" t="s">
        <v>7</v>
      </c>
      <c r="FA191" s="27" t="s">
        <v>8</v>
      </c>
      <c r="FB191" s="27" t="s">
        <v>7</v>
      </c>
      <c r="FC191" s="31" t="s">
        <v>8</v>
      </c>
      <c r="FF191" s="27" t="s">
        <v>7</v>
      </c>
      <c r="FG191" s="27" t="s">
        <v>8</v>
      </c>
      <c r="FH191" s="27" t="s">
        <v>7</v>
      </c>
      <c r="FI191" s="27" t="s">
        <v>8</v>
      </c>
      <c r="FK191" s="27" t="s">
        <v>8</v>
      </c>
      <c r="FP191" s="27" t="s">
        <v>7</v>
      </c>
      <c r="FZ191" s="27" t="s">
        <v>7</v>
      </c>
      <c r="GA191" s="27" t="s">
        <v>8</v>
      </c>
      <c r="GB191" s="27" t="s">
        <v>7</v>
      </c>
      <c r="GC191" s="27" t="s">
        <v>8</v>
      </c>
      <c r="GD191" s="27" t="s">
        <v>7</v>
      </c>
    </row>
    <row r="192" spans="1:187" x14ac:dyDescent="0.25">
      <c r="A192" s="30">
        <v>10.401269646942135</v>
      </c>
      <c r="E192"/>
      <c r="DU192" s="27" t="s">
        <v>8</v>
      </c>
      <c r="DZ192" s="27" t="s">
        <v>7</v>
      </c>
      <c r="EL192" s="27" t="s">
        <v>7</v>
      </c>
      <c r="EM192" s="27" t="s">
        <v>8</v>
      </c>
      <c r="EN192" s="27" t="s">
        <v>7</v>
      </c>
      <c r="EO192" s="27" t="s">
        <v>8</v>
      </c>
      <c r="EP192" s="27" t="s">
        <v>7</v>
      </c>
      <c r="ER192" s="27" t="s">
        <v>7</v>
      </c>
      <c r="ES192" s="27" t="s">
        <v>8</v>
      </c>
      <c r="FA192" s="27" t="s">
        <v>8</v>
      </c>
      <c r="FB192" s="27" t="s">
        <v>7</v>
      </c>
      <c r="FC192" s="27" t="s">
        <v>8</v>
      </c>
      <c r="FF192" s="27" t="s">
        <v>7</v>
      </c>
      <c r="FH192" s="27" t="s">
        <v>7</v>
      </c>
      <c r="FI192" s="27" t="s">
        <v>8</v>
      </c>
      <c r="FJ192" s="27" t="s">
        <v>7</v>
      </c>
      <c r="FK192" s="27" t="s">
        <v>8</v>
      </c>
      <c r="FZ192" s="27" t="s">
        <v>7</v>
      </c>
      <c r="GA192" s="27" t="s">
        <v>8</v>
      </c>
      <c r="GB192" s="27" t="s">
        <v>7</v>
      </c>
      <c r="GC192" s="27" t="s">
        <v>8</v>
      </c>
      <c r="GD192" s="27" t="s">
        <v>7</v>
      </c>
      <c r="GE192" s="27" t="s">
        <v>8</v>
      </c>
    </row>
    <row r="193" spans="1:193" x14ac:dyDescent="0.25">
      <c r="A193" s="30">
        <v>9.9059710923258422</v>
      </c>
      <c r="E193"/>
      <c r="DU193" s="27" t="s">
        <v>8</v>
      </c>
      <c r="EL193" s="27" t="s">
        <v>7</v>
      </c>
      <c r="EM193" s="27" t="s">
        <v>8</v>
      </c>
      <c r="EN193" s="27" t="s">
        <v>7</v>
      </c>
      <c r="EO193" s="27" t="s">
        <v>8</v>
      </c>
      <c r="ER193" s="27" t="s">
        <v>7</v>
      </c>
      <c r="ES193" s="27" t="s">
        <v>8</v>
      </c>
      <c r="ET193" s="27" t="s">
        <v>7</v>
      </c>
      <c r="FA193" s="27" t="s">
        <v>8</v>
      </c>
      <c r="FB193" s="27" t="s">
        <v>7</v>
      </c>
      <c r="FH193" s="27" t="s">
        <v>7</v>
      </c>
      <c r="FI193" s="27" t="s">
        <v>8</v>
      </c>
      <c r="FJ193" s="27" t="s">
        <v>7</v>
      </c>
      <c r="FK193" s="27" t="s">
        <v>8</v>
      </c>
      <c r="FZ193" s="27" t="s">
        <v>7</v>
      </c>
      <c r="GA193" s="27" t="s">
        <v>8</v>
      </c>
      <c r="GB193" s="27" t="s">
        <v>7</v>
      </c>
      <c r="GC193" s="27" t="s">
        <v>8</v>
      </c>
      <c r="GD193" s="27" t="s">
        <v>7</v>
      </c>
      <c r="GE193" s="27" t="s">
        <v>8</v>
      </c>
      <c r="GF193" s="27" t="s">
        <v>7</v>
      </c>
      <c r="GG193" s="27" t="s">
        <v>8</v>
      </c>
    </row>
    <row r="194" spans="1:193" x14ac:dyDescent="0.25">
      <c r="A194" s="30">
        <v>9.4342581831674686</v>
      </c>
      <c r="E194"/>
      <c r="DS194" s="27" t="s">
        <v>8</v>
      </c>
      <c r="DU194" s="27" t="s">
        <v>8</v>
      </c>
      <c r="EL194" s="27" t="s">
        <v>7</v>
      </c>
      <c r="EM194" s="27" t="s">
        <v>8</v>
      </c>
      <c r="EN194" s="27" t="s">
        <v>7</v>
      </c>
      <c r="EO194" s="27" t="s">
        <v>8</v>
      </c>
      <c r="ER194" s="27" t="s">
        <v>7</v>
      </c>
      <c r="ES194" s="27" t="s">
        <v>8</v>
      </c>
      <c r="ET194" s="27" t="s">
        <v>7</v>
      </c>
      <c r="FA194" s="27" t="s">
        <v>8</v>
      </c>
      <c r="FH194" s="27" t="s">
        <v>7</v>
      </c>
      <c r="FJ194" s="27" t="s">
        <v>7</v>
      </c>
      <c r="FK194" s="27" t="s">
        <v>8</v>
      </c>
      <c r="FZ194" s="27" t="s">
        <v>7</v>
      </c>
      <c r="GA194" s="27" t="s">
        <v>8</v>
      </c>
      <c r="GB194" s="27" t="s">
        <v>7</v>
      </c>
      <c r="GC194" s="27" t="s">
        <v>8</v>
      </c>
      <c r="GD194" s="27" t="s">
        <v>7</v>
      </c>
      <c r="GE194" s="27" t="s">
        <v>8</v>
      </c>
      <c r="GF194" s="27" t="s">
        <v>7</v>
      </c>
      <c r="GG194" s="27" t="s">
        <v>8</v>
      </c>
      <c r="GH194" s="27" t="s">
        <v>7</v>
      </c>
    </row>
    <row r="195" spans="1:193" x14ac:dyDescent="0.25">
      <c r="A195" s="30">
        <v>8.9850077934928265</v>
      </c>
      <c r="E195"/>
      <c r="DS195" s="27" t="s">
        <v>8</v>
      </c>
      <c r="DT195" s="27" t="s">
        <v>7</v>
      </c>
      <c r="DU195" s="27" t="s">
        <v>8</v>
      </c>
      <c r="EL195" s="27" t="s">
        <v>7</v>
      </c>
      <c r="EM195" s="27" t="s">
        <v>8</v>
      </c>
      <c r="EN195" s="27" t="s">
        <v>7</v>
      </c>
      <c r="EO195" s="27" t="s">
        <v>8</v>
      </c>
      <c r="ER195" s="27" t="s">
        <v>7</v>
      </c>
      <c r="ES195" s="27" t="s">
        <v>8</v>
      </c>
      <c r="ET195" s="27" t="s">
        <v>7</v>
      </c>
      <c r="FA195" s="27" t="s">
        <v>8</v>
      </c>
      <c r="FJ195" s="27" t="s">
        <v>7</v>
      </c>
      <c r="FK195" s="27" t="s">
        <v>8</v>
      </c>
      <c r="FZ195" s="27" t="s">
        <v>7</v>
      </c>
      <c r="GA195" s="27" t="s">
        <v>8</v>
      </c>
      <c r="GB195" s="27" t="s">
        <v>7</v>
      </c>
      <c r="GD195" s="27" t="s">
        <v>7</v>
      </c>
      <c r="GF195" s="27" t="s">
        <v>7</v>
      </c>
      <c r="GG195" s="27" t="s">
        <v>8</v>
      </c>
      <c r="GH195" s="27" t="s">
        <v>7</v>
      </c>
      <c r="GI195" s="27" t="s">
        <v>8</v>
      </c>
    </row>
    <row r="196" spans="1:193" x14ac:dyDescent="0.25">
      <c r="A196" s="30">
        <v>8.5571502795169767</v>
      </c>
      <c r="E196"/>
      <c r="DE196" s="27" t="s">
        <v>8</v>
      </c>
      <c r="DQ196" s="27" t="s">
        <v>8</v>
      </c>
      <c r="DS196" s="27" t="s">
        <v>8</v>
      </c>
      <c r="DT196" s="27" t="s">
        <v>7</v>
      </c>
      <c r="DU196" s="27" t="s">
        <v>8</v>
      </c>
      <c r="EL196" s="27" t="s">
        <v>7</v>
      </c>
      <c r="EM196" s="27" t="s">
        <v>8</v>
      </c>
      <c r="EN196" s="27" t="s">
        <v>7</v>
      </c>
      <c r="EO196" s="27" t="s">
        <v>8</v>
      </c>
      <c r="ER196" s="27" t="s">
        <v>7</v>
      </c>
      <c r="ET196" s="27" t="s">
        <v>7</v>
      </c>
      <c r="FA196" s="27" t="s">
        <v>8</v>
      </c>
      <c r="FJ196" s="27" t="s">
        <v>7</v>
      </c>
      <c r="FZ196" s="27" t="s">
        <v>7</v>
      </c>
      <c r="GA196" s="27" t="s">
        <v>8</v>
      </c>
      <c r="GF196" s="27" t="s">
        <v>7</v>
      </c>
      <c r="GH196" s="27" t="s">
        <v>7</v>
      </c>
      <c r="GI196" s="27" t="s">
        <v>8</v>
      </c>
      <c r="GJ196" s="27" t="s">
        <v>7</v>
      </c>
    </row>
    <row r="197" spans="1:193" x14ac:dyDescent="0.25">
      <c r="A197" s="30">
        <v>8.1496669328733109</v>
      </c>
      <c r="E197"/>
      <c r="DE197" s="27" t="s">
        <v>8</v>
      </c>
      <c r="DF197" s="27" t="s">
        <v>7</v>
      </c>
      <c r="DQ197" s="27" t="s">
        <v>8</v>
      </c>
      <c r="DR197" s="27" t="s">
        <v>7</v>
      </c>
      <c r="DS197" s="27" t="s">
        <v>8</v>
      </c>
      <c r="DT197" s="27" t="s">
        <v>7</v>
      </c>
      <c r="EL197" s="27" t="s">
        <v>7</v>
      </c>
      <c r="EM197" s="27" t="s">
        <v>8</v>
      </c>
      <c r="EN197" s="27" t="s">
        <v>7</v>
      </c>
      <c r="EO197" s="27" t="s">
        <v>8</v>
      </c>
      <c r="ET197" s="27" t="s">
        <v>7</v>
      </c>
      <c r="FA197" s="27" t="s">
        <v>8</v>
      </c>
      <c r="FZ197" s="27" t="s">
        <v>7</v>
      </c>
      <c r="GH197" s="27" t="s">
        <v>7</v>
      </c>
      <c r="GI197" s="27" t="s">
        <v>8</v>
      </c>
      <c r="GJ197" s="27" t="s">
        <v>7</v>
      </c>
    </row>
    <row r="198" spans="1:193" x14ac:dyDescent="0.25">
      <c r="A198" s="30">
        <v>7.7615875551174378</v>
      </c>
      <c r="E198"/>
      <c r="DE198" s="27" t="s">
        <v>8</v>
      </c>
      <c r="DF198" s="27" t="s">
        <v>7</v>
      </c>
      <c r="DQ198" s="27" t="s">
        <v>8</v>
      </c>
      <c r="DR198" s="27" t="s">
        <v>7</v>
      </c>
      <c r="DS198" s="27" t="s">
        <v>8</v>
      </c>
      <c r="EL198" s="27" t="s">
        <v>7</v>
      </c>
      <c r="EM198" s="27" t="s">
        <v>8</v>
      </c>
      <c r="EN198" s="27" t="s">
        <v>7</v>
      </c>
      <c r="EO198" s="27" t="s">
        <v>8</v>
      </c>
      <c r="ET198" s="27" t="s">
        <v>7</v>
      </c>
      <c r="EW198" s="27" t="s">
        <v>8</v>
      </c>
      <c r="FA198" s="27" t="s">
        <v>8</v>
      </c>
      <c r="FG198" s="31"/>
      <c r="GH198" s="27" t="s">
        <v>7</v>
      </c>
      <c r="GI198" s="27" t="s">
        <v>8</v>
      </c>
      <c r="GJ198" s="27" t="s">
        <v>7</v>
      </c>
    </row>
    <row r="199" spans="1:193" x14ac:dyDescent="0.25">
      <c r="A199" s="30">
        <v>7.3919881477308929</v>
      </c>
      <c r="E199"/>
      <c r="DE199" s="27" t="s">
        <v>8</v>
      </c>
      <c r="DF199" s="27" t="s">
        <v>7</v>
      </c>
      <c r="DG199" s="27" t="s">
        <v>8</v>
      </c>
      <c r="DO199" s="27" t="s">
        <v>8</v>
      </c>
      <c r="DQ199" s="27" t="s">
        <v>8</v>
      </c>
      <c r="DR199" s="27" t="s">
        <v>7</v>
      </c>
      <c r="DS199" s="27" t="s">
        <v>8</v>
      </c>
      <c r="EL199" s="27" t="s">
        <v>7</v>
      </c>
      <c r="EN199" s="27" t="s">
        <v>7</v>
      </c>
      <c r="EO199" s="27" t="s">
        <v>8</v>
      </c>
      <c r="ET199" s="27" t="s">
        <v>7</v>
      </c>
      <c r="EW199" s="27" t="s">
        <v>8</v>
      </c>
      <c r="EX199" s="27" t="s">
        <v>7</v>
      </c>
      <c r="FA199" s="27" t="s">
        <v>8</v>
      </c>
      <c r="FF199" s="31"/>
      <c r="GH199" s="27" t="s">
        <v>7</v>
      </c>
      <c r="GI199" s="27" t="s">
        <v>8</v>
      </c>
      <c r="GJ199" s="27" t="s">
        <v>7</v>
      </c>
    </row>
    <row r="200" spans="1:193" x14ac:dyDescent="0.25">
      <c r="A200" s="30">
        <v>7.0399887121246598</v>
      </c>
      <c r="E200"/>
      <c r="DE200" s="27" t="s">
        <v>8</v>
      </c>
      <c r="DF200" s="27" t="s">
        <v>7</v>
      </c>
      <c r="DG200" s="27" t="s">
        <v>8</v>
      </c>
      <c r="DH200" s="27" t="s">
        <v>7</v>
      </c>
      <c r="DO200" s="27" t="s">
        <v>8</v>
      </c>
      <c r="DP200" s="27" t="s">
        <v>7</v>
      </c>
      <c r="DQ200" s="27" t="s">
        <v>8</v>
      </c>
      <c r="DR200" s="27" t="s">
        <v>7</v>
      </c>
      <c r="EN200" s="27" t="s">
        <v>7</v>
      </c>
      <c r="EO200" s="27" t="s">
        <v>8</v>
      </c>
      <c r="ET200" s="27" t="s">
        <v>7</v>
      </c>
      <c r="EW200" s="27" t="s">
        <v>8</v>
      </c>
      <c r="EX200" s="27" t="s">
        <v>7</v>
      </c>
      <c r="EY200" s="27" t="s">
        <v>8</v>
      </c>
      <c r="FA200" s="27" t="s">
        <v>8</v>
      </c>
      <c r="FE200" s="31"/>
      <c r="GH200" s="27" t="s">
        <v>7</v>
      </c>
      <c r="GJ200" s="27" t="s">
        <v>7</v>
      </c>
    </row>
    <row r="201" spans="1:193" x14ac:dyDescent="0.25">
      <c r="A201" s="30">
        <v>6.7047511544044376</v>
      </c>
      <c r="E201"/>
      <c r="DE201" s="27" t="s">
        <v>8</v>
      </c>
      <c r="DF201" s="27" t="s">
        <v>7</v>
      </c>
      <c r="DG201" s="27" t="s">
        <v>8</v>
      </c>
      <c r="DH201" s="27" t="s">
        <v>7</v>
      </c>
      <c r="DO201" s="27" t="s">
        <v>8</v>
      </c>
      <c r="DP201" s="27" t="s">
        <v>7</v>
      </c>
      <c r="DQ201" s="27" t="s">
        <v>8</v>
      </c>
      <c r="EN201" s="27" t="s">
        <v>7</v>
      </c>
      <c r="EO201" s="27" t="s">
        <v>8</v>
      </c>
      <c r="ET201" s="27" t="s">
        <v>7</v>
      </c>
      <c r="EW201" s="27" t="s">
        <v>8</v>
      </c>
      <c r="EX201" s="27" t="s">
        <v>7</v>
      </c>
      <c r="EY201" s="27" t="s">
        <v>8</v>
      </c>
      <c r="EZ201" s="27" t="s">
        <v>7</v>
      </c>
      <c r="FA201" s="27" t="s">
        <v>8</v>
      </c>
      <c r="FD201" s="31"/>
      <c r="GJ201" s="27" t="s">
        <v>7</v>
      </c>
    </row>
    <row r="202" spans="1:193" x14ac:dyDescent="0.25">
      <c r="A202" s="30">
        <v>6.3854772899089882</v>
      </c>
      <c r="E202"/>
      <c r="DE202" s="27" t="s">
        <v>8</v>
      </c>
      <c r="DF202" s="27" t="s">
        <v>7</v>
      </c>
      <c r="DG202" s="27" t="s">
        <v>8</v>
      </c>
      <c r="DH202" s="27" t="s">
        <v>7</v>
      </c>
      <c r="DM202" s="27" t="s">
        <v>8</v>
      </c>
      <c r="DO202" s="27" t="s">
        <v>8</v>
      </c>
      <c r="DP202" s="27" t="s">
        <v>7</v>
      </c>
      <c r="EN202" s="27" t="s">
        <v>7</v>
      </c>
      <c r="ET202" s="27" t="s">
        <v>7</v>
      </c>
      <c r="EU202" s="27" t="s">
        <v>8</v>
      </c>
      <c r="EW202" s="27" t="s">
        <v>8</v>
      </c>
      <c r="EX202" s="27" t="s">
        <v>7</v>
      </c>
      <c r="EY202" s="27" t="s">
        <v>8</v>
      </c>
      <c r="EZ202" s="27" t="s">
        <v>7</v>
      </c>
      <c r="FA202" s="27" t="s">
        <v>8</v>
      </c>
      <c r="FC202" s="31"/>
      <c r="GJ202" s="27" t="s">
        <v>7</v>
      </c>
    </row>
    <row r="203" spans="1:193" x14ac:dyDescent="0.25">
      <c r="A203" s="30">
        <v>6.0814069427704647</v>
      </c>
      <c r="C203" s="7"/>
      <c r="D203"/>
      <c r="E203"/>
      <c r="DE203" s="27" t="s">
        <v>8</v>
      </c>
      <c r="DF203" s="27" t="s">
        <v>7</v>
      </c>
      <c r="DG203" s="27" t="s">
        <v>8</v>
      </c>
      <c r="DH203" s="27" t="s">
        <v>7</v>
      </c>
      <c r="DM203" s="27" t="s">
        <v>8</v>
      </c>
      <c r="DN203" s="27" t="s">
        <v>7</v>
      </c>
      <c r="DO203" s="27" t="s">
        <v>8</v>
      </c>
      <c r="ET203" s="27" t="s">
        <v>7</v>
      </c>
      <c r="EU203" s="27" t="s">
        <v>8</v>
      </c>
      <c r="EV203" s="27" t="s">
        <v>7</v>
      </c>
      <c r="EW203" s="27" t="s">
        <v>8</v>
      </c>
      <c r="EX203" s="27" t="s">
        <v>7</v>
      </c>
      <c r="EY203" s="27" t="s">
        <v>8</v>
      </c>
      <c r="EZ203" s="27" t="s">
        <v>7</v>
      </c>
      <c r="FB203" s="31"/>
      <c r="GJ203" s="27" t="s">
        <v>7</v>
      </c>
    </row>
    <row r="204" spans="1:193" x14ac:dyDescent="0.25">
      <c r="A204" s="30">
        <v>5.7918161359718709</v>
      </c>
      <c r="E204"/>
      <c r="AI204" s="27" t="s">
        <v>8</v>
      </c>
      <c r="AK204" s="27" t="s">
        <v>8</v>
      </c>
      <c r="DE204" s="27" t="s">
        <v>8</v>
      </c>
      <c r="DF204" s="27" t="s">
        <v>7</v>
      </c>
      <c r="DG204" s="27" t="s">
        <v>8</v>
      </c>
      <c r="DH204" s="27" t="s">
        <v>7</v>
      </c>
      <c r="DI204" s="27" t="s">
        <v>8</v>
      </c>
      <c r="DM204" s="27" t="s">
        <v>8</v>
      </c>
      <c r="DN204" s="27" t="s">
        <v>7</v>
      </c>
      <c r="DO204" s="27" t="s">
        <v>8</v>
      </c>
      <c r="ET204" s="27" t="s">
        <v>7</v>
      </c>
      <c r="EU204" s="27" t="s">
        <v>8</v>
      </c>
      <c r="EV204" s="27" t="s">
        <v>7</v>
      </c>
      <c r="EW204" s="27" t="s">
        <v>8</v>
      </c>
      <c r="EX204" s="27" t="s">
        <v>7</v>
      </c>
      <c r="EY204" s="27" t="s">
        <v>8</v>
      </c>
      <c r="FA204" s="31"/>
      <c r="GJ204" s="27" t="s">
        <v>7</v>
      </c>
      <c r="GK204" s="27" t="s">
        <v>8</v>
      </c>
    </row>
    <row r="205" spans="1:193" x14ac:dyDescent="0.25">
      <c r="A205" s="30">
        <v>5.5160153675922574</v>
      </c>
      <c r="E205"/>
      <c r="AI205" s="27" t="s">
        <v>8</v>
      </c>
      <c r="AJ205" s="27" t="s">
        <v>7</v>
      </c>
      <c r="AK205" s="27" t="s">
        <v>8</v>
      </c>
      <c r="AL205" s="27" t="s">
        <v>7</v>
      </c>
      <c r="DE205" s="27" t="s">
        <v>8</v>
      </c>
      <c r="DF205" s="27" t="s">
        <v>7</v>
      </c>
      <c r="DH205" s="27" t="s">
        <v>7</v>
      </c>
      <c r="DI205" s="27" t="s">
        <v>8</v>
      </c>
      <c r="DJ205" s="27" t="s">
        <v>7</v>
      </c>
      <c r="DK205" s="27" t="s">
        <v>8</v>
      </c>
      <c r="DM205" s="27" t="s">
        <v>8</v>
      </c>
      <c r="DN205" s="27" t="s">
        <v>7</v>
      </c>
      <c r="ET205" s="27" t="s">
        <v>7</v>
      </c>
      <c r="EU205" s="27" t="s">
        <v>8</v>
      </c>
      <c r="EV205" s="27" t="s">
        <v>7</v>
      </c>
      <c r="EW205" s="27" t="s">
        <v>8</v>
      </c>
      <c r="EX205" s="27" t="s">
        <v>7</v>
      </c>
      <c r="EY205" s="27" t="s">
        <v>8</v>
      </c>
      <c r="EZ205" s="31"/>
      <c r="GJ205" s="27" t="s">
        <v>7</v>
      </c>
      <c r="GK205" s="27" t="s">
        <v>8</v>
      </c>
    </row>
    <row r="206" spans="1:193" x14ac:dyDescent="0.25">
      <c r="A206" s="30">
        <v>5.2533479691354827</v>
      </c>
      <c r="C206"/>
      <c r="D206"/>
      <c r="E206"/>
      <c r="AI206" s="27" t="s">
        <v>8</v>
      </c>
      <c r="AJ206" s="27" t="s">
        <v>7</v>
      </c>
      <c r="AK206" s="27" t="s">
        <v>8</v>
      </c>
      <c r="AL206" s="27" t="s">
        <v>7</v>
      </c>
      <c r="AM206" s="27" t="s">
        <v>8</v>
      </c>
      <c r="CA206" s="27" t="s">
        <v>8</v>
      </c>
      <c r="DE206" s="27" t="s">
        <v>8</v>
      </c>
      <c r="DH206" s="27" t="s">
        <v>7</v>
      </c>
      <c r="DI206" s="27" t="s">
        <v>8</v>
      </c>
      <c r="DJ206" s="27" t="s">
        <v>7</v>
      </c>
      <c r="DK206" s="27" t="s">
        <v>8</v>
      </c>
      <c r="DL206" s="27" t="s">
        <v>7</v>
      </c>
      <c r="DM206" s="27" t="s">
        <v>8</v>
      </c>
      <c r="ET206" s="27" t="s">
        <v>7</v>
      </c>
      <c r="EU206" s="27" t="s">
        <v>8</v>
      </c>
      <c r="EV206" s="27" t="s">
        <v>7</v>
      </c>
      <c r="EX206" s="18" t="s">
        <v>7</v>
      </c>
      <c r="EY206" s="31" t="s">
        <v>8</v>
      </c>
      <c r="GJ206" s="27" t="s">
        <v>7</v>
      </c>
      <c r="GK206" s="27" t="s">
        <v>8</v>
      </c>
    </row>
    <row r="207" spans="1:193" x14ac:dyDescent="0.25">
      <c r="A207" s="30">
        <v>5.0031885420337927</v>
      </c>
      <c r="E207"/>
      <c r="AI207" s="27" t="s">
        <v>8</v>
      </c>
      <c r="AJ207" s="27" t="s">
        <v>7</v>
      </c>
      <c r="AK207" s="27" t="s">
        <v>8</v>
      </c>
      <c r="AL207" s="27" t="s">
        <v>7</v>
      </c>
      <c r="AM207" s="27" t="s">
        <v>8</v>
      </c>
      <c r="AN207" s="27" t="s">
        <v>7</v>
      </c>
      <c r="CA207" s="27" t="s">
        <v>8</v>
      </c>
      <c r="CB207" s="27" t="s">
        <v>7</v>
      </c>
      <c r="DE207" s="27" t="s">
        <v>8</v>
      </c>
      <c r="DH207" s="27" t="s">
        <v>7</v>
      </c>
      <c r="DI207" s="27" t="s">
        <v>8</v>
      </c>
      <c r="DJ207" s="27" t="s">
        <v>7</v>
      </c>
      <c r="DK207" s="27" t="s">
        <v>8</v>
      </c>
      <c r="DL207" s="27" t="s">
        <v>7</v>
      </c>
      <c r="DM207" s="27" t="s">
        <v>8</v>
      </c>
      <c r="ET207" s="27" t="s">
        <v>7</v>
      </c>
      <c r="EU207" s="27" t="s">
        <v>8</v>
      </c>
      <c r="EX207" s="31" t="s">
        <v>7</v>
      </c>
      <c r="GJ207" s="27" t="s">
        <v>7</v>
      </c>
    </row>
    <row r="208" spans="1:193" x14ac:dyDescent="0.25">
      <c r="A208" s="30">
        <v>4.7649414686036122</v>
      </c>
      <c r="E208"/>
      <c r="AI208" s="27" t="s">
        <v>8</v>
      </c>
      <c r="AJ208" s="27" t="s">
        <v>7</v>
      </c>
      <c r="AK208" s="27" t="s">
        <v>8</v>
      </c>
      <c r="AL208" s="27" t="s">
        <v>7</v>
      </c>
      <c r="AM208" s="27" t="s">
        <v>8</v>
      </c>
      <c r="AN208" s="27" t="s">
        <v>7</v>
      </c>
      <c r="CA208" s="27" t="s">
        <v>8</v>
      </c>
      <c r="CB208" s="27" t="s">
        <v>7</v>
      </c>
      <c r="DE208" s="27" t="s">
        <v>8</v>
      </c>
      <c r="DH208" s="27" t="s">
        <v>7</v>
      </c>
      <c r="DI208" s="27" t="s">
        <v>8</v>
      </c>
      <c r="DJ208" s="27" t="s">
        <v>7</v>
      </c>
      <c r="DL208" s="27" t="s">
        <v>7</v>
      </c>
      <c r="DM208" s="27" t="s">
        <v>8</v>
      </c>
      <c r="ET208" s="27" t="s">
        <v>7</v>
      </c>
      <c r="EU208" s="27" t="s">
        <v>8</v>
      </c>
    </row>
    <row r="209" spans="1:150" x14ac:dyDescent="0.25">
      <c r="A209" s="30">
        <v>4.5380394939082018</v>
      </c>
      <c r="E209"/>
      <c r="AI209" s="27" t="s">
        <v>8</v>
      </c>
      <c r="AJ209" s="27" t="s">
        <v>7</v>
      </c>
      <c r="AK209" s="27" t="s">
        <v>8</v>
      </c>
      <c r="AL209" s="27" t="s">
        <v>7</v>
      </c>
      <c r="AN209" s="27" t="s">
        <v>7</v>
      </c>
      <c r="CA209" s="27" t="s">
        <v>8</v>
      </c>
      <c r="CB209" s="27" t="s">
        <v>7</v>
      </c>
      <c r="DE209" s="27" t="s">
        <v>8</v>
      </c>
      <c r="DH209" s="27" t="s">
        <v>7</v>
      </c>
      <c r="DI209" s="27" t="s">
        <v>8</v>
      </c>
      <c r="DL209" s="27" t="s">
        <v>7</v>
      </c>
      <c r="ET209" s="27" t="s">
        <v>7</v>
      </c>
    </row>
    <row r="210" spans="1:150" x14ac:dyDescent="0.25">
      <c r="A210" s="30">
        <v>4.3219423751506678</v>
      </c>
      <c r="C210"/>
      <c r="E210"/>
      <c r="AI210" s="27" t="s">
        <v>8</v>
      </c>
      <c r="AJ210" s="27" t="s">
        <v>7</v>
      </c>
      <c r="AN210" s="27" t="s">
        <v>7</v>
      </c>
      <c r="CA210" s="27" t="s">
        <v>8</v>
      </c>
      <c r="CB210" s="27" t="s">
        <v>7</v>
      </c>
      <c r="DE210" s="27" t="s">
        <v>8</v>
      </c>
      <c r="DH210" s="27" t="s">
        <v>7</v>
      </c>
    </row>
    <row r="211" spans="1:150" x14ac:dyDescent="0.25">
      <c r="A211" s="30">
        <v>4.1161355953815884</v>
      </c>
      <c r="E211" t="s">
        <v>8</v>
      </c>
      <c r="AI211" s="27" t="s">
        <v>8</v>
      </c>
      <c r="AN211" s="27" t="s">
        <v>7</v>
      </c>
      <c r="CA211" s="27" t="s">
        <v>8</v>
      </c>
      <c r="CB211" s="27" t="s">
        <v>7</v>
      </c>
      <c r="CC211" s="27" t="s">
        <v>8</v>
      </c>
      <c r="DC211" s="27" t="s">
        <v>8</v>
      </c>
      <c r="DE211" s="27" t="s">
        <v>8</v>
      </c>
    </row>
    <row r="212" spans="1:150" x14ac:dyDescent="0.25">
      <c r="A212" s="30">
        <v>3.9201291384586554</v>
      </c>
      <c r="E212" t="s">
        <v>8</v>
      </c>
      <c r="F212" s="27" t="s">
        <v>7</v>
      </c>
      <c r="AI212" s="27" t="s">
        <v>8</v>
      </c>
      <c r="AN212" s="27" t="s">
        <v>7</v>
      </c>
      <c r="CA212" s="27" t="s">
        <v>8</v>
      </c>
      <c r="CB212" s="27" t="s">
        <v>7</v>
      </c>
      <c r="CC212" s="27" t="s">
        <v>8</v>
      </c>
      <c r="CD212" s="27" t="s">
        <v>7</v>
      </c>
      <c r="CE212" s="27" t="s">
        <v>8</v>
      </c>
      <c r="DC212" s="27" t="s">
        <v>8</v>
      </c>
      <c r="DD212" s="27" t="s">
        <v>7</v>
      </c>
      <c r="DE212" s="27" t="s">
        <v>8</v>
      </c>
    </row>
    <row r="213" spans="1:150" x14ac:dyDescent="0.25">
      <c r="A213" s="30">
        <v>3.7334563223415764</v>
      </c>
      <c r="E213" t="s">
        <v>8</v>
      </c>
      <c r="F213" s="27" t="s">
        <v>7</v>
      </c>
      <c r="AG213" s="27" t="s">
        <v>8</v>
      </c>
      <c r="AI213" s="27" t="s">
        <v>8</v>
      </c>
      <c r="AN213" s="27" t="s">
        <v>7</v>
      </c>
      <c r="CA213" s="27" t="s">
        <v>8</v>
      </c>
      <c r="CB213" s="27" t="s">
        <v>7</v>
      </c>
      <c r="CC213" s="27" t="s">
        <v>8</v>
      </c>
      <c r="CD213" s="27" t="s">
        <v>7</v>
      </c>
      <c r="CE213" s="27" t="s">
        <v>8</v>
      </c>
      <c r="CF213" s="27" t="s">
        <v>7</v>
      </c>
      <c r="CG213" s="27" t="s">
        <v>8</v>
      </c>
      <c r="DC213" s="27" t="s">
        <v>8</v>
      </c>
      <c r="DD213" s="27" t="s">
        <v>7</v>
      </c>
      <c r="DE213" s="27" t="s">
        <v>8</v>
      </c>
    </row>
    <row r="214" spans="1:150" x14ac:dyDescent="0.25">
      <c r="A214" s="30">
        <v>3.5556726879443583</v>
      </c>
      <c r="E214" t="s">
        <v>8</v>
      </c>
      <c r="F214" s="27" t="s">
        <v>7</v>
      </c>
      <c r="U214" s="27" t="s">
        <v>8</v>
      </c>
      <c r="W214" s="27" t="s">
        <v>8</v>
      </c>
      <c r="AE214" s="27" t="s">
        <v>8</v>
      </c>
      <c r="AG214" s="27" t="s">
        <v>8</v>
      </c>
      <c r="AH214" s="27" t="s">
        <v>7</v>
      </c>
      <c r="AI214" s="27" t="s">
        <v>8</v>
      </c>
      <c r="AN214" s="27" t="s">
        <v>7</v>
      </c>
      <c r="BY214" s="27" t="s">
        <v>8</v>
      </c>
      <c r="CA214" s="27" t="s">
        <v>8</v>
      </c>
      <c r="CB214" s="27" t="s">
        <v>7</v>
      </c>
      <c r="CD214" s="27" t="s">
        <v>7</v>
      </c>
      <c r="CE214" s="27" t="s">
        <v>8</v>
      </c>
      <c r="CF214" s="27" t="s">
        <v>7</v>
      </c>
      <c r="CG214" s="27" t="s">
        <v>8</v>
      </c>
      <c r="CH214" s="27" t="s">
        <v>7</v>
      </c>
      <c r="CY214" s="27" t="s">
        <v>8</v>
      </c>
      <c r="DC214" s="27" t="s">
        <v>8</v>
      </c>
      <c r="DD214" s="27" t="s">
        <v>7</v>
      </c>
      <c r="DE214" s="27" t="s">
        <v>8</v>
      </c>
    </row>
    <row r="215" spans="1:150" x14ac:dyDescent="0.25">
      <c r="A215" s="30">
        <v>3.3863549408993889</v>
      </c>
      <c r="E215" t="s">
        <v>8</v>
      </c>
      <c r="F215" s="27" t="s">
        <v>7</v>
      </c>
      <c r="U215" s="27" t="s">
        <v>8</v>
      </c>
      <c r="V215" s="27" t="s">
        <v>7</v>
      </c>
      <c r="W215" s="27" t="s">
        <v>8</v>
      </c>
      <c r="X215" s="27" t="s">
        <v>7</v>
      </c>
      <c r="AA215" s="27" t="s">
        <v>8</v>
      </c>
      <c r="AE215" s="27" t="s">
        <v>8</v>
      </c>
      <c r="AF215" s="27" t="s">
        <v>7</v>
      </c>
      <c r="AG215" s="27" t="s">
        <v>8</v>
      </c>
      <c r="AH215" s="27" t="s">
        <v>7</v>
      </c>
      <c r="AI215" s="27" t="s">
        <v>8</v>
      </c>
      <c r="AN215" s="27" t="s">
        <v>7</v>
      </c>
      <c r="AO215" s="27" t="s">
        <v>8</v>
      </c>
      <c r="BY215" s="27" t="s">
        <v>8</v>
      </c>
      <c r="BZ215" s="27" t="s">
        <v>7</v>
      </c>
      <c r="CA215" s="27" t="s">
        <v>8</v>
      </c>
      <c r="CD215" s="27" t="s">
        <v>7</v>
      </c>
      <c r="CF215" s="27" t="s">
        <v>7</v>
      </c>
      <c r="CG215" s="27" t="s">
        <v>8</v>
      </c>
      <c r="CH215" s="27" t="s">
        <v>7</v>
      </c>
      <c r="CY215" s="27" t="s">
        <v>8</v>
      </c>
      <c r="CZ215" s="27" t="s">
        <v>7</v>
      </c>
      <c r="DA215" s="27" t="s">
        <v>8</v>
      </c>
      <c r="DC215" s="27" t="s">
        <v>8</v>
      </c>
      <c r="DD215" s="27" t="s">
        <v>7</v>
      </c>
      <c r="DE215" s="27" t="s">
        <v>8</v>
      </c>
    </row>
    <row r="216" spans="1:150" x14ac:dyDescent="0.25">
      <c r="A216" s="30">
        <v>3.2250999437137038</v>
      </c>
      <c r="E216" t="s">
        <v>8</v>
      </c>
      <c r="F216" s="27" t="s">
        <v>7</v>
      </c>
      <c r="S216" s="27" t="s">
        <v>8</v>
      </c>
      <c r="U216" s="27" t="s">
        <v>8</v>
      </c>
      <c r="V216" s="27" t="s">
        <v>7</v>
      </c>
      <c r="W216" s="27" t="s">
        <v>8</v>
      </c>
      <c r="X216" s="27" t="s">
        <v>7</v>
      </c>
      <c r="AA216" s="27" t="s">
        <v>8</v>
      </c>
      <c r="AB216" s="27" t="s">
        <v>7</v>
      </c>
      <c r="AC216" s="27" t="s">
        <v>8</v>
      </c>
      <c r="AE216" s="27" t="s">
        <v>8</v>
      </c>
      <c r="AF216" s="27" t="s">
        <v>7</v>
      </c>
      <c r="AG216" s="27" t="s">
        <v>8</v>
      </c>
      <c r="AH216" s="27" t="s">
        <v>7</v>
      </c>
      <c r="AI216" s="27" t="s">
        <v>8</v>
      </c>
      <c r="AN216" s="27" t="s">
        <v>7</v>
      </c>
      <c r="AO216" s="27" t="s">
        <v>8</v>
      </c>
      <c r="AP216" s="27" t="s">
        <v>7</v>
      </c>
      <c r="AQ216" s="27" t="s">
        <v>8</v>
      </c>
      <c r="BY216" s="27" t="s">
        <v>8</v>
      </c>
      <c r="BZ216" s="27" t="s">
        <v>7</v>
      </c>
      <c r="CA216" s="27" t="s">
        <v>8</v>
      </c>
      <c r="CF216" s="27" t="s">
        <v>7</v>
      </c>
      <c r="CH216" s="27" t="s">
        <v>7</v>
      </c>
      <c r="CQ216" s="27" t="s">
        <v>8</v>
      </c>
      <c r="CY216" s="27" t="s">
        <v>8</v>
      </c>
      <c r="CZ216" s="27" t="s">
        <v>7</v>
      </c>
      <c r="DA216" s="27" t="s">
        <v>8</v>
      </c>
      <c r="DB216" s="27" t="s">
        <v>7</v>
      </c>
      <c r="DC216" s="27" t="s">
        <v>8</v>
      </c>
      <c r="DD216" s="27" t="s">
        <v>7</v>
      </c>
      <c r="DE216" s="27" t="s">
        <v>8</v>
      </c>
    </row>
    <row r="217" spans="1:150" x14ac:dyDescent="0.25">
      <c r="A217" s="30">
        <v>3.0715237559178128</v>
      </c>
      <c r="E217" t="s">
        <v>8</v>
      </c>
      <c r="F217" s="27" t="s">
        <v>7</v>
      </c>
      <c r="S217" s="27" t="s">
        <v>8</v>
      </c>
      <c r="T217" s="27" t="s">
        <v>7</v>
      </c>
      <c r="U217" s="27" t="s">
        <v>8</v>
      </c>
      <c r="V217" s="27" t="s">
        <v>7</v>
      </c>
      <c r="X217" s="27" t="s">
        <v>7</v>
      </c>
      <c r="AA217" s="27" t="s">
        <v>8</v>
      </c>
      <c r="AB217" s="27" t="s">
        <v>7</v>
      </c>
      <c r="AC217" s="27" t="s">
        <v>8</v>
      </c>
      <c r="AD217" s="27" t="s">
        <v>7</v>
      </c>
      <c r="AE217" s="27" t="s">
        <v>8</v>
      </c>
      <c r="AF217" s="27" t="s">
        <v>7</v>
      </c>
      <c r="AH217" s="27" t="s">
        <v>7</v>
      </c>
      <c r="AI217" s="27" t="s">
        <v>8</v>
      </c>
      <c r="AN217" s="27" t="s">
        <v>7</v>
      </c>
      <c r="AO217" s="27" t="s">
        <v>8</v>
      </c>
      <c r="AP217" s="27" t="s">
        <v>7</v>
      </c>
      <c r="AQ217" s="27" t="s">
        <v>8</v>
      </c>
      <c r="AR217" s="27" t="s">
        <v>7</v>
      </c>
      <c r="BY217" s="27" t="s">
        <v>8</v>
      </c>
      <c r="BZ217" s="27" t="s">
        <v>7</v>
      </c>
      <c r="CH217" s="27" t="s">
        <v>7</v>
      </c>
      <c r="CQ217" s="27" t="s">
        <v>8</v>
      </c>
      <c r="CR217" s="27" t="s">
        <v>7</v>
      </c>
      <c r="CW217" s="27" t="s">
        <v>8</v>
      </c>
      <c r="CY217" s="27" t="s">
        <v>8</v>
      </c>
      <c r="CZ217" s="27" t="s">
        <v>7</v>
      </c>
      <c r="DA217" s="27" t="s">
        <v>8</v>
      </c>
      <c r="DB217" s="27" t="s">
        <v>7</v>
      </c>
      <c r="DC217" s="27" t="s">
        <v>8</v>
      </c>
      <c r="DD217" s="27" t="s">
        <v>7</v>
      </c>
    </row>
    <row r="218" spans="1:150" x14ac:dyDescent="0.25">
      <c r="A218" s="30">
        <v>2.9252607199217264</v>
      </c>
      <c r="E218" t="s">
        <v>8</v>
      </c>
      <c r="F218" s="27" t="s">
        <v>7</v>
      </c>
      <c r="M218" s="27" t="s">
        <v>8</v>
      </c>
      <c r="S218" s="27" t="s">
        <v>8</v>
      </c>
      <c r="T218" s="27" t="s">
        <v>7</v>
      </c>
      <c r="U218" s="27" t="s">
        <v>8</v>
      </c>
      <c r="X218" s="27" t="s">
        <v>7</v>
      </c>
      <c r="AA218" s="27" t="s">
        <v>8</v>
      </c>
      <c r="AB218" s="27" t="s">
        <v>7</v>
      </c>
      <c r="AC218" s="27" t="s">
        <v>8</v>
      </c>
      <c r="AD218" s="27" t="s">
        <v>7</v>
      </c>
      <c r="AE218" s="27" t="s">
        <v>8</v>
      </c>
      <c r="AH218" s="27" t="s">
        <v>7</v>
      </c>
      <c r="AN218" s="27" t="s">
        <v>7</v>
      </c>
      <c r="AO218" s="27" t="s">
        <v>8</v>
      </c>
      <c r="AP218" s="27" t="s">
        <v>7</v>
      </c>
      <c r="AQ218" s="27" t="s">
        <v>8</v>
      </c>
      <c r="AR218" s="27" t="s">
        <v>7</v>
      </c>
      <c r="BE218" s="27" t="s">
        <v>8</v>
      </c>
      <c r="BY218" s="27" t="s">
        <v>8</v>
      </c>
      <c r="CH218" s="27" t="s">
        <v>7</v>
      </c>
      <c r="CK218" s="27" t="s">
        <v>8</v>
      </c>
      <c r="CM218" s="27" t="s">
        <v>8</v>
      </c>
      <c r="CQ218" s="27" t="s">
        <v>8</v>
      </c>
      <c r="CR218" s="27" t="s">
        <v>7</v>
      </c>
      <c r="CS218" s="27" t="s">
        <v>8</v>
      </c>
      <c r="CU218" s="27" t="s">
        <v>8</v>
      </c>
      <c r="CW218" s="27" t="s">
        <v>8</v>
      </c>
      <c r="CX218" s="27" t="s">
        <v>7</v>
      </c>
      <c r="CY218" s="27" t="s">
        <v>8</v>
      </c>
      <c r="CZ218" s="27" t="s">
        <v>7</v>
      </c>
      <c r="DA218" s="27" t="s">
        <v>8</v>
      </c>
      <c r="DB218" s="27" t="s">
        <v>7</v>
      </c>
      <c r="DC218" s="27" t="s">
        <v>8</v>
      </c>
    </row>
    <row r="219" spans="1:150" x14ac:dyDescent="0.25">
      <c r="A219" s="30">
        <v>2.7859625904016441</v>
      </c>
      <c r="E219" t="s">
        <v>8</v>
      </c>
      <c r="F219" s="27" t="s">
        <v>7</v>
      </c>
      <c r="M219" s="27" t="s">
        <v>8</v>
      </c>
      <c r="N219" s="27" t="s">
        <v>7</v>
      </c>
      <c r="S219" s="27" t="s">
        <v>8</v>
      </c>
      <c r="T219" s="27" t="s">
        <v>7</v>
      </c>
      <c r="U219" s="27" t="s">
        <v>8</v>
      </c>
      <c r="X219" s="27" t="s">
        <v>7</v>
      </c>
      <c r="Y219" s="27" t="s">
        <v>8</v>
      </c>
      <c r="AA219" s="27" t="s">
        <v>8</v>
      </c>
      <c r="AB219" s="27" t="s">
        <v>7</v>
      </c>
      <c r="AD219" s="27" t="s">
        <v>7</v>
      </c>
      <c r="AN219" s="27" t="s">
        <v>7</v>
      </c>
      <c r="AO219" s="27" t="s">
        <v>8</v>
      </c>
      <c r="AP219" s="27" t="s">
        <v>7</v>
      </c>
      <c r="AR219" s="27" t="s">
        <v>7</v>
      </c>
      <c r="BE219" s="27" t="s">
        <v>8</v>
      </c>
      <c r="BF219" s="27" t="s">
        <v>7</v>
      </c>
      <c r="BY219" s="27" t="s">
        <v>8</v>
      </c>
      <c r="CH219" s="27" t="s">
        <v>7</v>
      </c>
      <c r="CK219" s="27" t="s">
        <v>8</v>
      </c>
      <c r="CL219" s="27" t="s">
        <v>7</v>
      </c>
      <c r="CM219" s="27" t="s">
        <v>8</v>
      </c>
      <c r="CN219" s="27" t="s">
        <v>7</v>
      </c>
      <c r="CQ219" s="27" t="s">
        <v>8</v>
      </c>
      <c r="CR219" s="27" t="s">
        <v>7</v>
      </c>
      <c r="CS219" s="27" t="s">
        <v>8</v>
      </c>
      <c r="CT219" s="27" t="s">
        <v>7</v>
      </c>
      <c r="CU219" s="27" t="s">
        <v>8</v>
      </c>
      <c r="CV219" s="27" t="s">
        <v>7</v>
      </c>
      <c r="CW219" s="27" t="s">
        <v>8</v>
      </c>
      <c r="CX219" s="27" t="s">
        <v>7</v>
      </c>
      <c r="CY219" s="27" t="s">
        <v>8</v>
      </c>
      <c r="CZ219" s="27" t="s">
        <v>7</v>
      </c>
      <c r="DA219" s="27" t="s">
        <v>8</v>
      </c>
      <c r="DB219" s="27" t="s">
        <v>7</v>
      </c>
      <c r="DC219" s="27" t="s">
        <v>8</v>
      </c>
    </row>
    <row r="220" spans="1:150" x14ac:dyDescent="0.25">
      <c r="A220" s="30">
        <v>2.6532977051444226</v>
      </c>
      <c r="E220" t="s">
        <v>8</v>
      </c>
      <c r="F220" s="27" t="s">
        <v>7</v>
      </c>
      <c r="M220" s="27" t="s">
        <v>8</v>
      </c>
      <c r="N220" s="27" t="s">
        <v>7</v>
      </c>
      <c r="S220" s="27" t="s">
        <v>8</v>
      </c>
      <c r="T220" s="27" t="s">
        <v>7</v>
      </c>
      <c r="U220" s="27" t="s">
        <v>8</v>
      </c>
      <c r="X220" s="27" t="s">
        <v>7</v>
      </c>
      <c r="Y220" s="27" t="s">
        <v>8</v>
      </c>
      <c r="Z220" s="27" t="s">
        <v>7</v>
      </c>
      <c r="AA220" s="27" t="s">
        <v>8</v>
      </c>
      <c r="AN220" s="27" t="s">
        <v>7</v>
      </c>
      <c r="AR220" s="27" t="s">
        <v>7</v>
      </c>
      <c r="AS220" s="27" t="s">
        <v>8</v>
      </c>
      <c r="AY220" s="27" t="s">
        <v>8</v>
      </c>
      <c r="BE220" s="27" t="s">
        <v>8</v>
      </c>
      <c r="BF220" s="27" t="s">
        <v>7</v>
      </c>
      <c r="BG220" s="27" t="s">
        <v>8</v>
      </c>
      <c r="BW220" s="27" t="s">
        <v>8</v>
      </c>
      <c r="BY220" s="27" t="s">
        <v>8</v>
      </c>
      <c r="CH220" s="27" t="s">
        <v>7</v>
      </c>
      <c r="CI220" s="27" t="s">
        <v>8</v>
      </c>
      <c r="CK220" s="27" t="s">
        <v>8</v>
      </c>
      <c r="CL220" s="27" t="s">
        <v>7</v>
      </c>
      <c r="CM220" s="27" t="s">
        <v>8</v>
      </c>
      <c r="CN220" s="27" t="s">
        <v>7</v>
      </c>
      <c r="CQ220" s="27" t="s">
        <v>8</v>
      </c>
      <c r="CR220" s="27" t="s">
        <v>7</v>
      </c>
      <c r="CS220" s="27" t="s">
        <v>8</v>
      </c>
      <c r="CT220" s="27" t="s">
        <v>7</v>
      </c>
      <c r="CU220" s="27" t="s">
        <v>8</v>
      </c>
      <c r="CV220" s="27" t="s">
        <v>7</v>
      </c>
      <c r="CW220" s="27" t="s">
        <v>8</v>
      </c>
      <c r="CX220" s="27" t="s">
        <v>7</v>
      </c>
      <c r="CZ220" s="27" t="s">
        <v>7</v>
      </c>
      <c r="DB220" s="27" t="s">
        <v>7</v>
      </c>
    </row>
    <row r="221" spans="1:150" x14ac:dyDescent="0.25">
      <c r="A221" s="30">
        <v>2.5269501953756404</v>
      </c>
      <c r="E221" t="s">
        <v>8</v>
      </c>
      <c r="F221" s="27" t="s">
        <v>7</v>
      </c>
      <c r="G221" s="27" t="s">
        <v>8</v>
      </c>
      <c r="M221" s="27" t="s">
        <v>8</v>
      </c>
      <c r="N221" s="27" t="s">
        <v>7</v>
      </c>
      <c r="O221" s="27" t="s">
        <v>8</v>
      </c>
      <c r="S221" s="27" t="s">
        <v>8</v>
      </c>
      <c r="T221" s="27" t="s">
        <v>7</v>
      </c>
      <c r="U221" s="27" t="s">
        <v>8</v>
      </c>
      <c r="X221" s="27" t="s">
        <v>7</v>
      </c>
      <c r="Y221" s="27" t="s">
        <v>8</v>
      </c>
      <c r="Z221" s="27" t="s">
        <v>7</v>
      </c>
      <c r="AA221" s="27" t="s">
        <v>8</v>
      </c>
      <c r="AR221" s="27" t="s">
        <v>7</v>
      </c>
      <c r="AS221" s="27" t="s">
        <v>8</v>
      </c>
      <c r="AT221" s="27" t="s">
        <v>7</v>
      </c>
      <c r="AY221" s="27" t="s">
        <v>8</v>
      </c>
      <c r="AZ221" s="27" t="s">
        <v>7</v>
      </c>
      <c r="BE221" s="27" t="s">
        <v>8</v>
      </c>
      <c r="BF221" s="27" t="s">
        <v>7</v>
      </c>
      <c r="BG221" s="27" t="s">
        <v>8</v>
      </c>
      <c r="BH221" s="27" t="s">
        <v>7</v>
      </c>
      <c r="BW221" s="27" t="s">
        <v>8</v>
      </c>
      <c r="BX221" s="27" t="s">
        <v>7</v>
      </c>
      <c r="BY221" s="27" t="s">
        <v>8</v>
      </c>
      <c r="CH221" s="27" t="s">
        <v>7</v>
      </c>
      <c r="CI221" s="27" t="s">
        <v>8</v>
      </c>
      <c r="CJ221" s="27" t="s">
        <v>7</v>
      </c>
      <c r="CK221" s="27" t="s">
        <v>8</v>
      </c>
      <c r="CL221" s="27" t="s">
        <v>7</v>
      </c>
      <c r="CM221" s="27" t="s">
        <v>8</v>
      </c>
      <c r="CN221" s="27" t="s">
        <v>7</v>
      </c>
      <c r="CO221" s="27" t="s">
        <v>8</v>
      </c>
      <c r="CQ221" s="27" t="s">
        <v>8</v>
      </c>
      <c r="CR221" s="27" t="s">
        <v>7</v>
      </c>
      <c r="CS221" s="27" t="s">
        <v>8</v>
      </c>
      <c r="CT221" s="27" t="s">
        <v>7</v>
      </c>
      <c r="CU221" s="27" t="s">
        <v>8</v>
      </c>
      <c r="CV221" s="27" t="s">
        <v>7</v>
      </c>
      <c r="CW221" s="27" t="s">
        <v>8</v>
      </c>
    </row>
    <row r="222" spans="1:150" x14ac:dyDescent="0.25">
      <c r="A222" s="30">
        <v>2.4066192336910861</v>
      </c>
      <c r="E222" t="s">
        <v>8</v>
      </c>
      <c r="F222" s="27" t="s">
        <v>7</v>
      </c>
      <c r="G222" s="27" t="s">
        <v>8</v>
      </c>
      <c r="H222" s="27" t="s">
        <v>7</v>
      </c>
      <c r="M222" s="27" t="s">
        <v>8</v>
      </c>
      <c r="N222" s="27" t="s">
        <v>7</v>
      </c>
      <c r="O222" s="27" t="s">
        <v>8</v>
      </c>
      <c r="P222" s="27" t="s">
        <v>7</v>
      </c>
      <c r="Q222" s="27" t="s">
        <v>8</v>
      </c>
      <c r="S222" s="27" t="s">
        <v>8</v>
      </c>
      <c r="T222" s="27" t="s">
        <v>7</v>
      </c>
      <c r="X222" s="27" t="s">
        <v>7</v>
      </c>
      <c r="Y222" s="27" t="s">
        <v>8</v>
      </c>
      <c r="Z222" s="27" t="s">
        <v>7</v>
      </c>
      <c r="AA222" s="27" t="s">
        <v>8</v>
      </c>
      <c r="AR222" s="27" t="s">
        <v>7</v>
      </c>
      <c r="AS222" s="27" t="s">
        <v>8</v>
      </c>
      <c r="AT222" s="27" t="s">
        <v>7</v>
      </c>
      <c r="AY222" s="27" t="s">
        <v>8</v>
      </c>
      <c r="AZ222" s="27" t="s">
        <v>7</v>
      </c>
      <c r="BE222" s="27" t="s">
        <v>8</v>
      </c>
      <c r="BF222" s="27" t="s">
        <v>7</v>
      </c>
      <c r="BG222" s="27" t="s">
        <v>8</v>
      </c>
      <c r="BH222" s="27" t="s">
        <v>7</v>
      </c>
      <c r="BW222" s="27" t="s">
        <v>8</v>
      </c>
      <c r="BX222" s="27" t="s">
        <v>7</v>
      </c>
      <c r="BY222" s="27" t="s">
        <v>8</v>
      </c>
      <c r="CH222" s="27" t="s">
        <v>7</v>
      </c>
      <c r="CI222" s="27" t="s">
        <v>8</v>
      </c>
      <c r="CJ222" s="27" t="s">
        <v>7</v>
      </c>
      <c r="CK222" s="27" t="s">
        <v>8</v>
      </c>
      <c r="CL222" s="27" t="s">
        <v>7</v>
      </c>
      <c r="CN222" s="27" t="s">
        <v>7</v>
      </c>
      <c r="CO222" s="27" t="s">
        <v>8</v>
      </c>
      <c r="CP222" s="27" t="s">
        <v>7</v>
      </c>
      <c r="CQ222" s="27" t="s">
        <v>8</v>
      </c>
      <c r="CR222" s="27" t="s">
        <v>7</v>
      </c>
      <c r="CT222" s="27" t="s">
        <v>7</v>
      </c>
      <c r="CU222" s="27" t="s">
        <v>8</v>
      </c>
      <c r="CV222" s="27" t="s">
        <v>7</v>
      </c>
      <c r="CW222" s="27" t="s">
        <v>8</v>
      </c>
    </row>
    <row r="223" spans="1:150" x14ac:dyDescent="0.25">
      <c r="A223" s="30">
        <v>2.2920183178010345</v>
      </c>
      <c r="E223" t="s">
        <v>8</v>
      </c>
      <c r="F223" s="27" t="s">
        <v>7</v>
      </c>
      <c r="G223" s="27" t="s">
        <v>8</v>
      </c>
      <c r="H223" s="27" t="s">
        <v>7</v>
      </c>
      <c r="I223" s="27" t="s">
        <v>8</v>
      </c>
      <c r="M223" s="27" t="s">
        <v>8</v>
      </c>
      <c r="N223" s="27" t="s">
        <v>7</v>
      </c>
      <c r="O223" s="27" t="s">
        <v>8</v>
      </c>
      <c r="P223" s="27" t="s">
        <v>7</v>
      </c>
      <c r="Q223" s="27" t="s">
        <v>8</v>
      </c>
      <c r="R223" s="27" t="s">
        <v>7</v>
      </c>
      <c r="S223" s="27" t="s">
        <v>8</v>
      </c>
      <c r="X223" s="27" t="s">
        <v>7</v>
      </c>
      <c r="Z223" s="27" t="s">
        <v>7</v>
      </c>
      <c r="AR223" s="27" t="s">
        <v>7</v>
      </c>
      <c r="AT223" s="27" t="s">
        <v>7</v>
      </c>
      <c r="AU223" s="27" t="s">
        <v>8</v>
      </c>
      <c r="AY223" s="27" t="s">
        <v>8</v>
      </c>
      <c r="AZ223" s="27" t="s">
        <v>7</v>
      </c>
      <c r="BE223" s="27" t="s">
        <v>8</v>
      </c>
      <c r="BF223" s="27" t="s">
        <v>7</v>
      </c>
      <c r="BH223" s="27" t="s">
        <v>7</v>
      </c>
      <c r="BU223" s="27" t="s">
        <v>8</v>
      </c>
      <c r="BW223" s="27" t="s">
        <v>8</v>
      </c>
      <c r="BX223" s="27" t="s">
        <v>7</v>
      </c>
      <c r="CH223" s="27" t="s">
        <v>7</v>
      </c>
      <c r="CI223" s="27" t="s">
        <v>8</v>
      </c>
      <c r="CJ223" s="27" t="s">
        <v>7</v>
      </c>
      <c r="CN223" s="27" t="s">
        <v>7</v>
      </c>
      <c r="CO223" s="27" t="s">
        <v>8</v>
      </c>
      <c r="CP223" s="27" t="s">
        <v>7</v>
      </c>
      <c r="CQ223" s="27" t="s">
        <v>8</v>
      </c>
      <c r="CT223" s="27" t="s">
        <v>7</v>
      </c>
      <c r="CV223" s="27" t="s">
        <v>7</v>
      </c>
      <c r="CW223" s="27" t="s">
        <v>8</v>
      </c>
    </row>
    <row r="224" spans="1:150" x14ac:dyDescent="0.25">
      <c r="A224" s="30">
        <v>2.1828745883819374</v>
      </c>
      <c r="E224" t="s">
        <v>8</v>
      </c>
      <c r="F224" s="27" t="s">
        <v>7</v>
      </c>
      <c r="H224" s="27" t="s">
        <v>7</v>
      </c>
      <c r="I224" s="27" t="s">
        <v>8</v>
      </c>
      <c r="J224" s="27" t="s">
        <v>7</v>
      </c>
      <c r="M224" s="27" t="s">
        <v>8</v>
      </c>
      <c r="N224" s="27" t="s">
        <v>7</v>
      </c>
      <c r="O224" s="27" t="s">
        <v>8</v>
      </c>
      <c r="P224" s="27" t="s">
        <v>7</v>
      </c>
      <c r="Q224" s="27" t="s">
        <v>8</v>
      </c>
      <c r="R224" s="27" t="s">
        <v>7</v>
      </c>
      <c r="S224" s="27" t="s">
        <v>8</v>
      </c>
      <c r="AT224" s="27" t="s">
        <v>7</v>
      </c>
      <c r="AU224" s="27" t="s">
        <v>8</v>
      </c>
      <c r="AV224" s="27" t="s">
        <v>7</v>
      </c>
      <c r="AY224" s="27" t="s">
        <v>8</v>
      </c>
      <c r="AZ224" s="27" t="s">
        <v>7</v>
      </c>
      <c r="BC224" s="27" t="s">
        <v>8</v>
      </c>
      <c r="BE224" s="27" t="s">
        <v>8</v>
      </c>
      <c r="BH224" s="27" t="s">
        <v>7</v>
      </c>
      <c r="BU224" s="27" t="s">
        <v>8</v>
      </c>
      <c r="BV224" s="27" t="s">
        <v>7</v>
      </c>
      <c r="BW224" s="27" t="s">
        <v>8</v>
      </c>
      <c r="CH224" s="27" t="s">
        <v>7</v>
      </c>
      <c r="CN224" s="27" t="s">
        <v>7</v>
      </c>
      <c r="CP224" s="27" t="s">
        <v>7</v>
      </c>
      <c r="CQ224" s="27" t="s">
        <v>8</v>
      </c>
      <c r="CV224" s="27" t="s">
        <v>7</v>
      </c>
      <c r="CW224" s="27" t="s">
        <v>8</v>
      </c>
    </row>
    <row r="225" spans="1:101" x14ac:dyDescent="0.25">
      <c r="A225" s="30">
        <v>2.0789281794113688</v>
      </c>
      <c r="E225" t="s">
        <v>8</v>
      </c>
      <c r="H225" s="27" t="s">
        <v>7</v>
      </c>
      <c r="I225" s="27" t="s">
        <v>8</v>
      </c>
      <c r="J225" s="27" t="s">
        <v>7</v>
      </c>
      <c r="M225" s="27" t="s">
        <v>8</v>
      </c>
      <c r="N225" s="27" t="s">
        <v>7</v>
      </c>
      <c r="P225" s="27" t="s">
        <v>7</v>
      </c>
      <c r="Q225" s="27" t="s">
        <v>8</v>
      </c>
      <c r="R225" s="27" t="s">
        <v>7</v>
      </c>
      <c r="S225" s="27" t="s">
        <v>8</v>
      </c>
      <c r="AT225" s="27" t="s">
        <v>7</v>
      </c>
      <c r="AU225" s="27" t="s">
        <v>8</v>
      </c>
      <c r="AV225" s="27" t="s">
        <v>7</v>
      </c>
      <c r="AY225" s="27" t="s">
        <v>8</v>
      </c>
      <c r="AZ225" s="27" t="s">
        <v>7</v>
      </c>
      <c r="BC225" s="27" t="s">
        <v>8</v>
      </c>
      <c r="BD225" s="27" t="s">
        <v>7</v>
      </c>
      <c r="BE225" s="27" t="s">
        <v>8</v>
      </c>
      <c r="BH225" s="27" t="s">
        <v>7</v>
      </c>
      <c r="BU225" s="27" t="s">
        <v>8</v>
      </c>
      <c r="BV225" s="27" t="s">
        <v>7</v>
      </c>
      <c r="BW225" s="27" t="s">
        <v>8</v>
      </c>
      <c r="CP225" s="27" t="s">
        <v>7</v>
      </c>
      <c r="CQ225" s="27" t="s">
        <v>8</v>
      </c>
      <c r="CV225" s="27" t="s">
        <v>7</v>
      </c>
      <c r="CW225" s="27" t="s">
        <v>8</v>
      </c>
    </row>
    <row r="226" spans="1:101" x14ac:dyDescent="0.25">
      <c r="A226" s="30">
        <v>1.9799315994393987</v>
      </c>
      <c r="E226" t="s">
        <v>8</v>
      </c>
      <c r="H226" s="27" t="s">
        <v>7</v>
      </c>
      <c r="I226" s="27" t="s">
        <v>8</v>
      </c>
      <c r="J226" s="27" t="s">
        <v>7</v>
      </c>
      <c r="K226" s="27" t="s">
        <v>8</v>
      </c>
      <c r="M226" s="27" t="s">
        <v>8</v>
      </c>
      <c r="P226" s="27" t="s">
        <v>7</v>
      </c>
      <c r="Q226" s="27" t="s">
        <v>8</v>
      </c>
      <c r="R226" s="27" t="s">
        <v>7</v>
      </c>
      <c r="AT226" s="27" t="s">
        <v>7</v>
      </c>
      <c r="AU226" s="27" t="s">
        <v>8</v>
      </c>
      <c r="AV226" s="27" t="s">
        <v>7</v>
      </c>
      <c r="AY226" s="27" t="s">
        <v>8</v>
      </c>
      <c r="AZ226" s="27" t="s">
        <v>7</v>
      </c>
      <c r="BC226" s="27" t="s">
        <v>8</v>
      </c>
      <c r="BD226" s="27" t="s">
        <v>7</v>
      </c>
      <c r="BE226" s="27" t="s">
        <v>8</v>
      </c>
      <c r="BH226" s="27" t="s">
        <v>7</v>
      </c>
      <c r="BU226" s="27" t="s">
        <v>8</v>
      </c>
      <c r="BV226" s="27" t="s">
        <v>7</v>
      </c>
      <c r="CP226" s="27" t="s">
        <v>7</v>
      </c>
      <c r="CQ226" s="27" t="s">
        <v>8</v>
      </c>
      <c r="CV226" s="27" t="s">
        <v>7</v>
      </c>
      <c r="CW226" s="27" t="s">
        <v>8</v>
      </c>
    </row>
    <row r="227" spans="1:101" x14ac:dyDescent="0.25">
      <c r="A227" s="30">
        <v>1.8856491423232367</v>
      </c>
      <c r="E227" t="s">
        <v>8</v>
      </c>
      <c r="H227" s="27" t="s">
        <v>7</v>
      </c>
      <c r="J227" s="27" t="s">
        <v>7</v>
      </c>
      <c r="K227" s="27" t="s">
        <v>8</v>
      </c>
      <c r="L227" s="27" t="s">
        <v>7</v>
      </c>
      <c r="M227" s="27" t="s">
        <v>8</v>
      </c>
      <c r="P227" s="27" t="s">
        <v>7</v>
      </c>
      <c r="Q227" s="27" t="s">
        <v>8</v>
      </c>
      <c r="AT227" s="27" t="s">
        <v>7</v>
      </c>
      <c r="AV227" s="27" t="s">
        <v>7</v>
      </c>
      <c r="AW227" s="27" t="s">
        <v>8</v>
      </c>
      <c r="AY227" s="27" t="s">
        <v>8</v>
      </c>
      <c r="AZ227" s="27" t="s">
        <v>7</v>
      </c>
      <c r="BA227" s="27" t="s">
        <v>8</v>
      </c>
      <c r="BC227" s="27" t="s">
        <v>8</v>
      </c>
      <c r="BD227" s="27" t="s">
        <v>7</v>
      </c>
      <c r="BH227" s="27" t="s">
        <v>7</v>
      </c>
      <c r="BS227" s="27" t="s">
        <v>8</v>
      </c>
      <c r="BU227" s="27" t="s">
        <v>8</v>
      </c>
      <c r="CP227" s="27" t="s">
        <v>7</v>
      </c>
      <c r="CQ227" s="27" t="s">
        <v>8</v>
      </c>
      <c r="CV227" s="27" t="s">
        <v>7</v>
      </c>
    </row>
    <row r="228" spans="1:101" x14ac:dyDescent="0.25">
      <c r="A228" s="30">
        <v>1.7958563260221301</v>
      </c>
      <c r="C228" s="7"/>
      <c r="D228"/>
      <c r="E228" t="s">
        <v>8</v>
      </c>
      <c r="J228" s="27" t="s">
        <v>7</v>
      </c>
      <c r="K228" s="27" t="s">
        <v>8</v>
      </c>
      <c r="L228" s="27" t="s">
        <v>7</v>
      </c>
      <c r="M228" s="27" t="s">
        <v>8</v>
      </c>
      <c r="P228" s="27" t="s">
        <v>7</v>
      </c>
      <c r="Q228" s="27" t="s">
        <v>8</v>
      </c>
      <c r="AV228" s="27" t="s">
        <v>7</v>
      </c>
      <c r="AW228" s="27" t="s">
        <v>8</v>
      </c>
      <c r="AX228" s="27" t="s">
        <v>7</v>
      </c>
      <c r="AY228" s="27" t="s">
        <v>8</v>
      </c>
      <c r="AZ228" s="27" t="s">
        <v>7</v>
      </c>
      <c r="BA228" s="27" t="s">
        <v>8</v>
      </c>
      <c r="BB228" s="27" t="s">
        <v>7</v>
      </c>
      <c r="BC228" s="27" t="s">
        <v>8</v>
      </c>
      <c r="BH228" s="27" t="s">
        <v>7</v>
      </c>
      <c r="BS228" s="27" t="s">
        <v>8</v>
      </c>
      <c r="BT228" s="27" t="s">
        <v>7</v>
      </c>
      <c r="BU228" s="27" t="s">
        <v>8</v>
      </c>
      <c r="CP228" s="27" t="s">
        <v>7</v>
      </c>
    </row>
    <row r="229" spans="1:101" x14ac:dyDescent="0.25">
      <c r="A229" s="30">
        <v>1.7103393581163142</v>
      </c>
      <c r="E229" t="s">
        <v>8</v>
      </c>
      <c r="J229" s="27" t="s">
        <v>7</v>
      </c>
      <c r="K229" s="27" t="s">
        <v>8</v>
      </c>
      <c r="L229" s="27" t="s">
        <v>7</v>
      </c>
      <c r="P229" s="27" t="s">
        <v>7</v>
      </c>
      <c r="AV229" s="27" t="s">
        <v>7</v>
      </c>
      <c r="AW229" s="27" t="s">
        <v>8</v>
      </c>
      <c r="AX229" s="27" t="s">
        <v>7</v>
      </c>
      <c r="AY229" s="27" t="s">
        <v>8</v>
      </c>
      <c r="AZ229" s="27" t="s">
        <v>7</v>
      </c>
      <c r="BA229" s="27" t="s">
        <v>8</v>
      </c>
      <c r="BB229" s="27" t="s">
        <v>7</v>
      </c>
      <c r="BC229" s="27" t="s">
        <v>8</v>
      </c>
      <c r="BH229" s="27" t="s">
        <v>7</v>
      </c>
      <c r="BO229" s="27" t="s">
        <v>8</v>
      </c>
      <c r="BQ229" s="27" t="s">
        <v>8</v>
      </c>
      <c r="BS229" s="27" t="s">
        <v>8</v>
      </c>
      <c r="BT229" s="27" t="s">
        <v>7</v>
      </c>
      <c r="BU229" s="27" t="s">
        <v>8</v>
      </c>
    </row>
    <row r="230" spans="1:101" x14ac:dyDescent="0.25">
      <c r="A230" s="30">
        <v>1.628894626777442</v>
      </c>
      <c r="E230" t="s">
        <v>8</v>
      </c>
      <c r="J230" s="27" t="s">
        <v>7</v>
      </c>
      <c r="K230" s="27" t="s">
        <v>8</v>
      </c>
      <c r="AV230" s="27" t="s">
        <v>7</v>
      </c>
      <c r="AW230" s="27" t="s">
        <v>8</v>
      </c>
      <c r="AX230" s="27" t="s">
        <v>7</v>
      </c>
      <c r="AY230" s="27" t="s">
        <v>8</v>
      </c>
      <c r="AZ230" s="27" t="s">
        <v>7</v>
      </c>
      <c r="BA230" s="27" t="s">
        <v>8</v>
      </c>
      <c r="BB230" s="27" t="s">
        <v>7</v>
      </c>
      <c r="BC230" s="27" t="s">
        <v>8</v>
      </c>
      <c r="BH230" s="27" t="s">
        <v>7</v>
      </c>
      <c r="BO230" s="27" t="s">
        <v>8</v>
      </c>
      <c r="BP230" s="27" t="s">
        <v>7</v>
      </c>
      <c r="BQ230" s="27" t="s">
        <v>8</v>
      </c>
      <c r="BR230" s="27" t="s">
        <v>7</v>
      </c>
      <c r="BS230" s="27" t="s">
        <v>8</v>
      </c>
      <c r="BT230" s="27" t="s">
        <v>7</v>
      </c>
      <c r="BU230" s="27" t="s">
        <v>8</v>
      </c>
    </row>
    <row r="231" spans="1:101" x14ac:dyDescent="0.25">
      <c r="A231" s="30">
        <v>1.5513282159785162</v>
      </c>
      <c r="C231"/>
      <c r="D231"/>
      <c r="E231" t="s">
        <v>8</v>
      </c>
      <c r="J231" s="27" t="s">
        <v>7</v>
      </c>
      <c r="K231" s="27" t="s">
        <v>8</v>
      </c>
      <c r="AV231" s="27" t="s">
        <v>7</v>
      </c>
      <c r="AW231" s="27" t="s">
        <v>8</v>
      </c>
      <c r="AX231" s="27" t="s">
        <v>7</v>
      </c>
      <c r="AZ231" s="27" t="s">
        <v>7</v>
      </c>
      <c r="BA231" s="27" t="s">
        <v>8</v>
      </c>
      <c r="BB231" s="27" t="s">
        <v>7</v>
      </c>
      <c r="BH231" s="27" t="s">
        <v>7</v>
      </c>
      <c r="BO231" s="27" t="s">
        <v>8</v>
      </c>
      <c r="BP231" s="27" t="s">
        <v>7</v>
      </c>
      <c r="BQ231" s="27" t="s">
        <v>8</v>
      </c>
      <c r="BR231" s="27" t="s">
        <v>7</v>
      </c>
      <c r="BS231" s="27" t="s">
        <v>8</v>
      </c>
      <c r="BT231" s="27" t="s">
        <v>7</v>
      </c>
    </row>
    <row r="232" spans="1:101" x14ac:dyDescent="0.25">
      <c r="A232" s="30">
        <v>1.477455443789063</v>
      </c>
      <c r="E232" t="s">
        <v>8</v>
      </c>
      <c r="J232" s="27" t="s">
        <v>7</v>
      </c>
      <c r="AV232" s="27" t="s">
        <v>7</v>
      </c>
      <c r="AZ232" s="27" t="s">
        <v>7</v>
      </c>
      <c r="BH232" s="27" t="s">
        <v>7</v>
      </c>
      <c r="BM232" s="27" t="s">
        <v>8</v>
      </c>
      <c r="BO232" s="27" t="s">
        <v>8</v>
      </c>
      <c r="BP232" s="27" t="s">
        <v>7</v>
      </c>
      <c r="BR232" s="27" t="s">
        <v>7</v>
      </c>
      <c r="BS232" s="27" t="s">
        <v>8</v>
      </c>
    </row>
    <row r="233" spans="1:101" x14ac:dyDescent="0.25">
      <c r="A233" s="30">
        <v>1.4071004226562505</v>
      </c>
      <c r="E233" t="s">
        <v>8</v>
      </c>
      <c r="BH233" s="27" t="s">
        <v>7</v>
      </c>
      <c r="BM233" s="27" t="s">
        <v>8</v>
      </c>
      <c r="BN233" s="27" t="s">
        <v>7</v>
      </c>
      <c r="BO233" s="27" t="s">
        <v>8</v>
      </c>
      <c r="BR233" s="27" t="s">
        <v>7</v>
      </c>
    </row>
    <row r="234" spans="1:101" x14ac:dyDescent="0.25">
      <c r="A234" s="30">
        <v>1.3400956406250004</v>
      </c>
      <c r="E234" t="s">
        <v>8</v>
      </c>
      <c r="BH234" s="27" t="s">
        <v>7</v>
      </c>
      <c r="BK234" s="27" t="s">
        <v>8</v>
      </c>
      <c r="BM234" s="27" t="s">
        <v>8</v>
      </c>
      <c r="BN234" s="27" t="s">
        <v>7</v>
      </c>
      <c r="BO234" s="27" t="s">
        <v>8</v>
      </c>
    </row>
    <row r="235" spans="1:101" x14ac:dyDescent="0.25">
      <c r="A235" s="30">
        <v>1.2762815625000004</v>
      </c>
      <c r="C235"/>
      <c r="E235" t="s">
        <v>8</v>
      </c>
      <c r="BH235" s="27" t="s">
        <v>7</v>
      </c>
      <c r="BI235" s="27" t="s">
        <v>8</v>
      </c>
      <c r="BK235" s="27" t="s">
        <v>8</v>
      </c>
      <c r="BL235" s="27" t="s">
        <v>7</v>
      </c>
      <c r="BM235" s="27" t="s">
        <v>8</v>
      </c>
      <c r="BN235" s="27" t="s">
        <v>7</v>
      </c>
    </row>
    <row r="236" spans="1:101" x14ac:dyDescent="0.25">
      <c r="A236" s="30">
        <v>1.2155062500000002</v>
      </c>
      <c r="E236" t="s">
        <v>8</v>
      </c>
      <c r="BH236" s="27" t="s">
        <v>7</v>
      </c>
      <c r="BI236" s="27" t="s">
        <v>8</v>
      </c>
      <c r="BJ236" s="27" t="s">
        <v>7</v>
      </c>
      <c r="BK236" s="27" t="s">
        <v>8</v>
      </c>
      <c r="BL236" s="27" t="s">
        <v>7</v>
      </c>
      <c r="BM236" s="27" t="s">
        <v>8</v>
      </c>
    </row>
    <row r="237" spans="1:101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BH237" s="27" t="s">
        <v>7</v>
      </c>
      <c r="BI237" s="27" t="s">
        <v>8</v>
      </c>
      <c r="BJ237" s="27" t="s">
        <v>7</v>
      </c>
      <c r="BK237" s="27" t="s">
        <v>8</v>
      </c>
      <c r="BL237" s="27" t="s">
        <v>7</v>
      </c>
    </row>
    <row r="238" spans="1:101" x14ac:dyDescent="0.25">
      <c r="A238" s="30">
        <v>1.1025</v>
      </c>
      <c r="E238" t="s">
        <v>8</v>
      </c>
      <c r="BH238" s="27" t="s">
        <v>7</v>
      </c>
      <c r="BI238" s="27" t="s">
        <v>8</v>
      </c>
      <c r="BJ238" s="27" t="s">
        <v>7</v>
      </c>
      <c r="BK238" s="27" t="s">
        <v>8</v>
      </c>
    </row>
    <row r="239" spans="1:101" x14ac:dyDescent="0.25">
      <c r="A239" s="30">
        <v>1.05</v>
      </c>
      <c r="E239" t="s">
        <v>8</v>
      </c>
      <c r="BH239" s="27" t="s">
        <v>7</v>
      </c>
      <c r="BI239" s="27" t="s">
        <v>8</v>
      </c>
      <c r="BJ239" s="27" t="s">
        <v>7</v>
      </c>
      <c r="BK239" s="27" t="s">
        <v>8</v>
      </c>
    </row>
    <row r="240" spans="1:101" x14ac:dyDescent="0.25">
      <c r="A240" s="30">
        <v>1</v>
      </c>
      <c r="E240" s="29" t="s">
        <v>8</v>
      </c>
      <c r="BH240" s="27" t="s">
        <v>7</v>
      </c>
      <c r="BI240" s="27" t="s">
        <v>8</v>
      </c>
      <c r="BJ240" s="27" t="s">
        <v>7</v>
      </c>
      <c r="BK240" s="27" t="s">
        <v>8</v>
      </c>
    </row>
    <row r="241" spans="1:63" x14ac:dyDescent="0.25">
      <c r="A241" s="30">
        <v>0.952380952380952</v>
      </c>
      <c r="B241"/>
      <c r="C241"/>
      <c r="D241"/>
      <c r="E241"/>
      <c r="BH241" s="27" t="s">
        <v>7</v>
      </c>
      <c r="BI241" s="27" t="s">
        <v>8</v>
      </c>
      <c r="BJ241" s="27" t="s">
        <v>7</v>
      </c>
      <c r="BK241" s="27" t="s">
        <v>8</v>
      </c>
    </row>
    <row r="242" spans="1:63" x14ac:dyDescent="0.25">
      <c r="A242" s="30">
        <v>0.90702947845804915</v>
      </c>
      <c r="B242"/>
      <c r="C242"/>
      <c r="D242"/>
      <c r="E242"/>
      <c r="BH242" s="27" t="s">
        <v>7</v>
      </c>
      <c r="BI242" s="27" t="s">
        <v>8</v>
      </c>
      <c r="BJ242" s="27" t="s">
        <v>7</v>
      </c>
    </row>
    <row r="243" spans="1:63" x14ac:dyDescent="0.25">
      <c r="A243" s="30">
        <v>0.86383759853147501</v>
      </c>
      <c r="B243"/>
      <c r="C243"/>
      <c r="D243"/>
      <c r="E243"/>
      <c r="BH243" s="27" t="s">
        <v>7</v>
      </c>
      <c r="BI243" s="27" t="s">
        <v>8</v>
      </c>
    </row>
    <row r="244" spans="1:63" x14ac:dyDescent="0.25">
      <c r="A244" s="30">
        <v>0.82270247479188063</v>
      </c>
      <c r="B244"/>
      <c r="C244"/>
      <c r="D244"/>
      <c r="E244"/>
      <c r="BH244" s="27" t="s">
        <v>7</v>
      </c>
      <c r="BI244" s="27" t="s">
        <v>8</v>
      </c>
    </row>
    <row r="245" spans="1:63" x14ac:dyDescent="0.25">
      <c r="A245" s="30">
        <v>0.78352616646845741</v>
      </c>
      <c r="B245"/>
      <c r="C245"/>
      <c r="D245"/>
      <c r="E245"/>
      <c r="BH245" s="27" t="s">
        <v>7</v>
      </c>
      <c r="BI245" s="27" t="s">
        <v>8</v>
      </c>
    </row>
    <row r="246" spans="1:63" x14ac:dyDescent="0.25">
      <c r="A246" s="30">
        <v>0.74621539663662584</v>
      </c>
      <c r="B246"/>
      <c r="C246"/>
      <c r="D246"/>
      <c r="E246"/>
      <c r="BH246" s="27" t="s">
        <v>7</v>
      </c>
      <c r="BI246" s="27" t="s">
        <v>8</v>
      </c>
    </row>
    <row r="247" spans="1:63" x14ac:dyDescent="0.25">
      <c r="A247" s="30">
        <v>0.71068133013011958</v>
      </c>
      <c r="B247"/>
      <c r="C247"/>
      <c r="D247"/>
      <c r="E247"/>
      <c r="BH247" s="27" t="s">
        <v>7</v>
      </c>
    </row>
    <row r="248" spans="1:63" x14ac:dyDescent="0.25">
      <c r="A248" s="30">
        <v>0.676839362028685</v>
      </c>
      <c r="B248"/>
      <c r="C248"/>
      <c r="D248"/>
      <c r="E248"/>
    </row>
    <row r="249" spans="1:63" x14ac:dyDescent="0.25">
      <c r="A249" s="30">
        <v>0.64460891621779492</v>
      </c>
      <c r="B249"/>
      <c r="C249"/>
      <c r="D249"/>
      <c r="E249"/>
    </row>
    <row r="250" spans="1:63" x14ac:dyDescent="0.25">
      <c r="A250" s="30">
        <v>0.61391325354075688</v>
      </c>
      <c r="B250"/>
      <c r="C250"/>
      <c r="D250"/>
      <c r="E250"/>
    </row>
    <row r="251" spans="1:63" x14ac:dyDescent="0.25">
      <c r="A251" s="30">
        <v>0.58467928908643485</v>
      </c>
      <c r="B251"/>
      <c r="C251"/>
      <c r="D251"/>
      <c r="E251"/>
    </row>
    <row r="252" spans="1:63" x14ac:dyDescent="0.25">
      <c r="A252" s="30">
        <v>0.55683741817755672</v>
      </c>
      <c r="B252"/>
      <c r="C252"/>
      <c r="D252"/>
      <c r="E252"/>
    </row>
    <row r="253" spans="1:63" x14ac:dyDescent="0.25">
      <c r="A253" s="30">
        <v>0.53032135064529184</v>
      </c>
      <c r="B253"/>
      <c r="C253"/>
      <c r="D253"/>
      <c r="E253"/>
    </row>
    <row r="254" spans="1:63" x14ac:dyDescent="0.25">
      <c r="A254" s="30">
        <v>0.50506795299551588</v>
      </c>
      <c r="B254"/>
      <c r="C254"/>
      <c r="D254"/>
      <c r="E254"/>
    </row>
    <row r="255" spans="1:63" x14ac:dyDescent="0.25">
      <c r="A255" s="30">
        <v>0.48101709809096732</v>
      </c>
      <c r="E255"/>
    </row>
    <row r="256" spans="1:63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611" operator="equal">
      <formula>$U$1</formula>
    </cfRule>
    <cfRule type="cellIs" dxfId="67" priority="1612" operator="equal">
      <formula>$S$1</formula>
    </cfRule>
  </conditionalFormatting>
  <conditionalFormatting sqref="D136">
    <cfRule type="cellIs" dxfId="66" priority="1609" operator="equal">
      <formula>$S$1</formula>
    </cfRule>
    <cfRule type="cellIs" dxfId="65" priority="1610" operator="equal">
      <formula>$U$1</formula>
    </cfRule>
  </conditionalFormatting>
  <conditionalFormatting sqref="C162">
    <cfRule type="cellIs" dxfId="64" priority="1607" operator="equal">
      <formula>$U$1</formula>
    </cfRule>
    <cfRule type="cellIs" dxfId="63" priority="1608" operator="equal">
      <formula>$S$1</formula>
    </cfRule>
  </conditionalFormatting>
  <conditionalFormatting sqref="D162">
    <cfRule type="cellIs" dxfId="62" priority="1605" operator="equal">
      <formula>$S$1</formula>
    </cfRule>
    <cfRule type="cellIs" dxfId="61" priority="1606" operator="equal">
      <formula>$U$1</formula>
    </cfRule>
  </conditionalFormatting>
  <conditionalFormatting sqref="C187">
    <cfRule type="cellIs" dxfId="60" priority="1603" operator="equal">
      <formula>$U$1</formula>
    </cfRule>
    <cfRule type="cellIs" dxfId="59" priority="1604" operator="equal">
      <formula>$S$1</formula>
    </cfRule>
  </conditionalFormatting>
  <conditionalFormatting sqref="D187">
    <cfRule type="cellIs" dxfId="58" priority="1601" operator="equal">
      <formula>$S$1</formula>
    </cfRule>
    <cfRule type="cellIs" dxfId="57" priority="1602" operator="equal">
      <formula>$U$1</formula>
    </cfRule>
  </conditionalFormatting>
  <conditionalFormatting sqref="C212">
    <cfRule type="cellIs" dxfId="56" priority="1599" operator="equal">
      <formula>$U$1</formula>
    </cfRule>
    <cfRule type="cellIs" dxfId="55" priority="1600" operator="equal">
      <formula>$S$1</formula>
    </cfRule>
  </conditionalFormatting>
  <conditionalFormatting sqref="D212">
    <cfRule type="cellIs" dxfId="54" priority="1597" operator="equal">
      <formula>$S$1</formula>
    </cfRule>
    <cfRule type="cellIs" dxfId="53" priority="1598" operator="equal">
      <formula>$U$1</formula>
    </cfRule>
  </conditionalFormatting>
  <conditionalFormatting sqref="C237">
    <cfRule type="cellIs" dxfId="52" priority="1595" operator="equal">
      <formula>$U$1</formula>
    </cfRule>
    <cfRule type="cellIs" dxfId="51" priority="1596" operator="equal">
      <formula>$S$1</formula>
    </cfRule>
  </conditionalFormatting>
  <conditionalFormatting sqref="D237">
    <cfRule type="cellIs" dxfId="50" priority="1593" operator="equal">
      <formula>$S$1</formula>
    </cfRule>
    <cfRule type="cellIs" dxfId="49" priority="1594" operator="equal">
      <formula>$U$1</formula>
    </cfRule>
  </conditionalFormatting>
  <conditionalFormatting sqref="C106">
    <cfRule type="cellIs" dxfId="48" priority="1591" operator="equal">
      <formula>$U$1</formula>
    </cfRule>
    <cfRule type="cellIs" dxfId="47" priority="1592" operator="equal">
      <formula>$S$1</formula>
    </cfRule>
  </conditionalFormatting>
  <conditionalFormatting sqref="D106">
    <cfRule type="cellIs" dxfId="46" priority="1589" operator="equal">
      <formula>$S$1</formula>
    </cfRule>
    <cfRule type="cellIs" dxfId="45" priority="1590" operator="equal">
      <formula>$U$1</formula>
    </cfRule>
  </conditionalFormatting>
  <conditionalFormatting sqref="C81">
    <cfRule type="cellIs" dxfId="44" priority="1587" operator="equal">
      <formula>$U$1</formula>
    </cfRule>
    <cfRule type="cellIs" dxfId="43" priority="1588" operator="equal">
      <formula>$S$1</formula>
    </cfRule>
  </conditionalFormatting>
  <conditionalFormatting sqref="D81">
    <cfRule type="cellIs" dxfId="42" priority="1585" operator="equal">
      <formula>$S$1</formula>
    </cfRule>
    <cfRule type="cellIs" dxfId="41" priority="1586" operator="equal">
      <formula>$U$1</formula>
    </cfRule>
  </conditionalFormatting>
  <conditionalFormatting sqref="C56">
    <cfRule type="cellIs" dxfId="40" priority="1583" operator="equal">
      <formula>$U$1</formula>
    </cfRule>
    <cfRule type="cellIs" dxfId="39" priority="1584" operator="equal">
      <formula>$S$1</formula>
    </cfRule>
  </conditionalFormatting>
  <conditionalFormatting sqref="D56">
    <cfRule type="cellIs" dxfId="38" priority="1581" operator="equal">
      <formula>$S$1</formula>
    </cfRule>
    <cfRule type="cellIs" dxfId="37" priority="1582" operator="equal">
      <formula>$U$1</formula>
    </cfRule>
  </conditionalFormatting>
  <conditionalFormatting sqref="C31">
    <cfRule type="cellIs" dxfId="36" priority="1579" operator="equal">
      <formula>$U$1</formula>
    </cfRule>
    <cfRule type="cellIs" dxfId="35" priority="1580" operator="equal">
      <formula>$S$1</formula>
    </cfRule>
  </conditionalFormatting>
  <conditionalFormatting sqref="D31">
    <cfRule type="cellIs" dxfId="34" priority="1577" operator="equal">
      <formula>$S$1</formula>
    </cfRule>
    <cfRule type="cellIs" dxfId="33" priority="15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D104" sqref="BD10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5" x14ac:dyDescent="0.25">
      <c r="A81" s="30">
        <v>45.259255568176073</v>
      </c>
      <c r="E81"/>
    </row>
    <row r="82" spans="1:55" x14ac:dyDescent="0.25">
      <c r="A82" s="30">
        <v>41.144777789250973</v>
      </c>
      <c r="E82"/>
    </row>
    <row r="83" spans="1:55" x14ac:dyDescent="0.25">
      <c r="A83" s="30">
        <v>37.404343444773609</v>
      </c>
      <c r="E83"/>
    </row>
    <row r="84" spans="1:55" x14ac:dyDescent="0.25">
      <c r="A84" s="30">
        <v>34.003948586157826</v>
      </c>
      <c r="E84"/>
      <c r="AO84" s="27" t="s">
        <v>8</v>
      </c>
    </row>
    <row r="85" spans="1:55" x14ac:dyDescent="0.25">
      <c r="A85" s="30">
        <v>30.912680532870748</v>
      </c>
      <c r="E85"/>
      <c r="AO85" s="27" t="s">
        <v>8</v>
      </c>
      <c r="AP85" s="27" t="s">
        <v>7</v>
      </c>
    </row>
    <row r="86" spans="1:55" x14ac:dyDescent="0.25">
      <c r="A86" s="30">
        <v>28.102436848064315</v>
      </c>
      <c r="E86"/>
      <c r="AO86" s="27" t="s">
        <v>8</v>
      </c>
      <c r="AP86" s="27" t="s">
        <v>7</v>
      </c>
    </row>
    <row r="87" spans="1:55" x14ac:dyDescent="0.25">
      <c r="A87" s="30">
        <v>25.547669861876649</v>
      </c>
      <c r="E87"/>
      <c r="AO87" s="27" t="s">
        <v>8</v>
      </c>
      <c r="AP87" s="27" t="s">
        <v>7</v>
      </c>
    </row>
    <row r="88" spans="1:55" x14ac:dyDescent="0.25">
      <c r="A88" s="30">
        <v>23.225154419887861</v>
      </c>
      <c r="E88"/>
      <c r="AO88" s="27" t="s">
        <v>8</v>
      </c>
      <c r="AP88" s="27" t="s">
        <v>7</v>
      </c>
    </row>
    <row r="89" spans="1:55" x14ac:dyDescent="0.25">
      <c r="A89" s="30">
        <v>21.113776745352599</v>
      </c>
      <c r="E89"/>
      <c r="AO89" s="27" t="s">
        <v>8</v>
      </c>
      <c r="AP89" s="27" t="s">
        <v>7</v>
      </c>
    </row>
    <row r="90" spans="1:55" x14ac:dyDescent="0.25">
      <c r="A90" s="30">
        <v>19.194342495775089</v>
      </c>
      <c r="E90"/>
      <c r="AK90" s="27" t="s">
        <v>8</v>
      </c>
      <c r="AM90" s="27" t="s">
        <v>8</v>
      </c>
      <c r="AO90" s="27" t="s">
        <v>8</v>
      </c>
      <c r="AP90" s="27" t="s">
        <v>7</v>
      </c>
      <c r="BA90" s="27" t="s">
        <v>8</v>
      </c>
    </row>
    <row r="91" spans="1:55" x14ac:dyDescent="0.25">
      <c r="A91" s="30">
        <v>17.449402268886445</v>
      </c>
      <c r="E91"/>
      <c r="AK91" s="27" t="s">
        <v>8</v>
      </c>
      <c r="AL91" s="27" t="s">
        <v>7</v>
      </c>
      <c r="AM91" s="27" t="s">
        <v>8</v>
      </c>
      <c r="AN91" s="27" t="s">
        <v>7</v>
      </c>
      <c r="AO91" s="27" t="s">
        <v>8</v>
      </c>
      <c r="AP91" s="27" t="s">
        <v>7</v>
      </c>
      <c r="BA91" s="27" t="s">
        <v>8</v>
      </c>
      <c r="BB91" s="27" t="s">
        <v>7</v>
      </c>
    </row>
    <row r="92" spans="1:55" x14ac:dyDescent="0.25">
      <c r="A92" s="30">
        <v>15.863092971714948</v>
      </c>
      <c r="C92" s="1" t="s">
        <v>15</v>
      </c>
      <c r="E92"/>
      <c r="AK92" s="27" t="s">
        <v>8</v>
      </c>
      <c r="AL92" s="27" t="s">
        <v>7</v>
      </c>
      <c r="AM92" s="27" t="s">
        <v>8</v>
      </c>
      <c r="AN92" s="27" t="s">
        <v>7</v>
      </c>
      <c r="AO92" s="27" t="s">
        <v>8</v>
      </c>
      <c r="AP92" s="27" t="s">
        <v>7</v>
      </c>
      <c r="AW92" s="27" t="s">
        <v>8</v>
      </c>
      <c r="BA92" s="27" t="s">
        <v>8</v>
      </c>
      <c r="BB92" s="27" t="s">
        <v>7</v>
      </c>
    </row>
    <row r="93" spans="1:55" x14ac:dyDescent="0.25">
      <c r="A93" s="30">
        <v>14.420993610649951</v>
      </c>
      <c r="C93" s="7">
        <v>0.11167815779424731</v>
      </c>
      <c r="D93"/>
      <c r="E93"/>
      <c r="AK93" s="27" t="s">
        <v>8</v>
      </c>
      <c r="AL93" s="27" t="s">
        <v>7</v>
      </c>
      <c r="AM93" s="27" t="s">
        <v>8</v>
      </c>
      <c r="AN93" s="27" t="s">
        <v>7</v>
      </c>
      <c r="AO93" s="27" t="s">
        <v>8</v>
      </c>
      <c r="AP93" s="27" t="s">
        <v>7</v>
      </c>
      <c r="AS93" s="27" t="s">
        <v>8</v>
      </c>
      <c r="AW93" s="27" t="s">
        <v>8</v>
      </c>
      <c r="AX93" s="27" t="s">
        <v>7</v>
      </c>
      <c r="AY93" s="27" t="s">
        <v>8</v>
      </c>
      <c r="BA93" s="27" t="s">
        <v>8</v>
      </c>
      <c r="BB93" s="27" t="s">
        <v>7</v>
      </c>
    </row>
    <row r="94" spans="1:55" x14ac:dyDescent="0.25">
      <c r="A94" s="30">
        <v>13.109994191499954</v>
      </c>
      <c r="E94"/>
      <c r="AK94" s="27" t="s">
        <v>8</v>
      </c>
      <c r="AL94" s="27" t="s">
        <v>7</v>
      </c>
      <c r="AM94" s="27" t="s">
        <v>8</v>
      </c>
      <c r="AN94" s="27" t="s">
        <v>7</v>
      </c>
      <c r="AO94" s="27" t="s">
        <v>8</v>
      </c>
      <c r="AP94" s="27" t="s">
        <v>7</v>
      </c>
      <c r="AQ94" s="27" t="s">
        <v>8</v>
      </c>
      <c r="AS94" s="27" t="s">
        <v>8</v>
      </c>
      <c r="AT94" s="27" t="s">
        <v>7</v>
      </c>
      <c r="AW94" s="27" t="s">
        <v>8</v>
      </c>
      <c r="AX94" s="27" t="s">
        <v>7</v>
      </c>
      <c r="AY94" s="27" t="s">
        <v>8</v>
      </c>
      <c r="AZ94" s="27" t="s">
        <v>7</v>
      </c>
      <c r="BA94" s="27" t="s">
        <v>8</v>
      </c>
      <c r="BB94" s="27" t="s">
        <v>7</v>
      </c>
    </row>
    <row r="95" spans="1:55" x14ac:dyDescent="0.25">
      <c r="A95" s="30">
        <v>11.918176537727231</v>
      </c>
      <c r="C95" s="1" t="s">
        <v>11</v>
      </c>
      <c r="D95" s="1" t="s">
        <v>12</v>
      </c>
      <c r="E95"/>
      <c r="AK95" s="27" t="s">
        <v>8</v>
      </c>
      <c r="AL95" s="27" t="s">
        <v>7</v>
      </c>
      <c r="AN95" s="27" t="s">
        <v>7</v>
      </c>
      <c r="AO95" s="27" t="s">
        <v>8</v>
      </c>
      <c r="AP95" s="27" t="s">
        <v>7</v>
      </c>
      <c r="AQ95" s="27" t="s">
        <v>8</v>
      </c>
      <c r="AR95" s="27" t="s">
        <v>7</v>
      </c>
      <c r="AS95" s="27" t="s">
        <v>8</v>
      </c>
      <c r="AT95" s="27" t="s">
        <v>7</v>
      </c>
      <c r="AW95" s="27" t="s">
        <v>8</v>
      </c>
      <c r="AX95" s="27" t="s">
        <v>7</v>
      </c>
      <c r="AY95" s="27" t="s">
        <v>8</v>
      </c>
      <c r="AZ95" s="27" t="s">
        <v>7</v>
      </c>
      <c r="BA95" s="27" t="s">
        <v>8</v>
      </c>
      <c r="BB95" s="27" t="s">
        <v>7</v>
      </c>
    </row>
    <row r="96" spans="1:55" x14ac:dyDescent="0.25">
      <c r="A96" s="30">
        <v>10.834705943388391</v>
      </c>
      <c r="C96"/>
      <c r="D96"/>
      <c r="E96"/>
      <c r="AK96" s="27" t="s">
        <v>8</v>
      </c>
      <c r="AN96" s="27" t="s">
        <v>7</v>
      </c>
      <c r="AP96" s="27" t="s">
        <v>7</v>
      </c>
      <c r="AQ96" s="27" t="s">
        <v>8</v>
      </c>
      <c r="AR96" s="27" t="s">
        <v>7</v>
      </c>
      <c r="AS96" s="27" t="s">
        <v>8</v>
      </c>
      <c r="AT96" s="27" t="s">
        <v>7</v>
      </c>
      <c r="AW96" s="27" t="s">
        <v>8</v>
      </c>
      <c r="AX96" s="27" t="s">
        <v>7</v>
      </c>
      <c r="AY96" s="27" t="s">
        <v>8</v>
      </c>
      <c r="AZ96" s="27" t="s">
        <v>7</v>
      </c>
      <c r="BB96" s="27" t="s">
        <v>7</v>
      </c>
      <c r="BC96" s="27" t="s">
        <v>8</v>
      </c>
    </row>
    <row r="97" spans="1:56" x14ac:dyDescent="0.25">
      <c r="A97" s="30">
        <v>9.849732675807628</v>
      </c>
      <c r="E97"/>
      <c r="AK97" s="27" t="s">
        <v>8</v>
      </c>
      <c r="AP97" s="27" t="s">
        <v>7</v>
      </c>
      <c r="AQ97" s="27" t="s">
        <v>8</v>
      </c>
      <c r="AR97" s="27" t="s">
        <v>7</v>
      </c>
      <c r="AS97" s="27" t="s">
        <v>8</v>
      </c>
      <c r="AT97" s="27" t="s">
        <v>7</v>
      </c>
      <c r="AW97" s="27" t="s">
        <v>8</v>
      </c>
      <c r="AX97" s="27" t="s">
        <v>7</v>
      </c>
      <c r="AY97" s="27" t="s">
        <v>8</v>
      </c>
      <c r="BB97" s="27" t="s">
        <v>7</v>
      </c>
      <c r="BC97" s="27" t="s">
        <v>8</v>
      </c>
      <c r="BD97" s="27" t="s">
        <v>7</v>
      </c>
    </row>
    <row r="98" spans="1:56" x14ac:dyDescent="0.25">
      <c r="A98" s="30">
        <v>8.9543024325523888</v>
      </c>
      <c r="C98" s="1" t="s">
        <v>13</v>
      </c>
      <c r="E98"/>
      <c r="AK98" s="27" t="s">
        <v>8</v>
      </c>
      <c r="AP98" s="27" t="s">
        <v>7</v>
      </c>
      <c r="AQ98" s="27" t="s">
        <v>8</v>
      </c>
      <c r="AR98" s="27" t="s">
        <v>7</v>
      </c>
      <c r="AS98" s="27" t="s">
        <v>8</v>
      </c>
      <c r="AT98" s="27" t="s">
        <v>7</v>
      </c>
      <c r="AW98" s="27" t="s">
        <v>8</v>
      </c>
      <c r="AX98" s="27" t="s">
        <v>7</v>
      </c>
      <c r="BB98" s="27" t="s">
        <v>7</v>
      </c>
      <c r="BC98" s="27" t="s">
        <v>8</v>
      </c>
      <c r="BD98" s="27" t="s">
        <v>7</v>
      </c>
    </row>
    <row r="99" spans="1:56" x14ac:dyDescent="0.25">
      <c r="A99" s="30">
        <v>8.140274938683989</v>
      </c>
      <c r="C99" s="1">
        <f>C88</f>
        <v>0</v>
      </c>
      <c r="E99"/>
      <c r="AG99" s="27" t="s">
        <v>8</v>
      </c>
      <c r="AK99" s="27" t="s">
        <v>8</v>
      </c>
      <c r="AP99" s="27" t="s">
        <v>7</v>
      </c>
      <c r="AQ99" s="27" t="s">
        <v>8</v>
      </c>
      <c r="AR99" s="27" t="s">
        <v>7</v>
      </c>
      <c r="AS99" s="27" t="s">
        <v>8</v>
      </c>
      <c r="AT99" s="27" t="s">
        <v>7</v>
      </c>
      <c r="AW99" s="27" t="s">
        <v>8</v>
      </c>
      <c r="BB99" s="27" t="s">
        <v>7</v>
      </c>
      <c r="BD99" s="27" t="s">
        <v>7</v>
      </c>
    </row>
    <row r="100" spans="1:56" x14ac:dyDescent="0.25">
      <c r="A100" s="30">
        <v>7.4002499442581717</v>
      </c>
      <c r="C100"/>
      <c r="D100"/>
      <c r="E100"/>
      <c r="AG100" s="27" t="s">
        <v>8</v>
      </c>
      <c r="AH100" s="27" t="s">
        <v>7</v>
      </c>
      <c r="AI100" s="27" t="s">
        <v>8</v>
      </c>
      <c r="AK100" s="27" t="s">
        <v>8</v>
      </c>
      <c r="AP100" s="27" t="s">
        <v>7</v>
      </c>
      <c r="AR100" s="27" t="s">
        <v>7</v>
      </c>
      <c r="AS100" s="27" t="s">
        <v>8</v>
      </c>
      <c r="AT100" s="27" t="s">
        <v>7</v>
      </c>
      <c r="AU100" s="27" t="s">
        <v>8</v>
      </c>
      <c r="AW100" s="27" t="s">
        <v>8</v>
      </c>
      <c r="BD100" s="27" t="s">
        <v>7</v>
      </c>
    </row>
    <row r="101" spans="1:56" x14ac:dyDescent="0.25">
      <c r="A101" s="30">
        <v>6.72749994932561</v>
      </c>
      <c r="C101" s="1" t="s">
        <v>14</v>
      </c>
      <c r="E101"/>
      <c r="AG101" s="27" t="s">
        <v>8</v>
      </c>
      <c r="AH101" s="27" t="s">
        <v>7</v>
      </c>
      <c r="AI101" s="27" t="s">
        <v>8</v>
      </c>
      <c r="AJ101" s="27" t="s">
        <v>7</v>
      </c>
      <c r="AK101" s="27" t="s">
        <v>8</v>
      </c>
      <c r="AR101" s="27" t="s">
        <v>7</v>
      </c>
      <c r="AT101" s="27" t="s">
        <v>7</v>
      </c>
      <c r="AU101" s="27" t="s">
        <v>8</v>
      </c>
      <c r="AV101" s="27" t="s">
        <v>7</v>
      </c>
      <c r="AW101" s="27" t="s">
        <v>8</v>
      </c>
      <c r="BD101" s="27" t="s">
        <v>7</v>
      </c>
    </row>
    <row r="102" spans="1:5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AG102" s="27" t="s">
        <v>8</v>
      </c>
      <c r="AH102" s="27" t="s">
        <v>7</v>
      </c>
      <c r="AI102" s="27" t="s">
        <v>8</v>
      </c>
      <c r="AJ102" s="27" t="s">
        <v>7</v>
      </c>
      <c r="AK102" s="27" t="s">
        <v>8</v>
      </c>
      <c r="AT102" s="27" t="s">
        <v>7</v>
      </c>
      <c r="AU102" s="27" t="s">
        <v>8</v>
      </c>
      <c r="AV102" s="27" t="s">
        <v>7</v>
      </c>
      <c r="AW102" s="27" t="s">
        <v>8</v>
      </c>
      <c r="BD102" s="27" t="s">
        <v>7</v>
      </c>
    </row>
    <row r="103" spans="1:56" x14ac:dyDescent="0.25">
      <c r="A103" s="30">
        <v>5.5599173134922388</v>
      </c>
      <c r="E103"/>
      <c r="O103" s="27" t="s">
        <v>8</v>
      </c>
      <c r="Q103" s="27" t="s">
        <v>8</v>
      </c>
      <c r="AG103" s="27" t="s">
        <v>8</v>
      </c>
      <c r="AH103" s="27" t="s">
        <v>7</v>
      </c>
      <c r="AJ103" s="27" t="s">
        <v>7</v>
      </c>
      <c r="AK103" s="27" t="s">
        <v>8</v>
      </c>
      <c r="AT103" s="27" t="s">
        <v>7</v>
      </c>
      <c r="AU103" s="27" t="s">
        <v>8</v>
      </c>
      <c r="AV103" s="18" t="s">
        <v>7</v>
      </c>
      <c r="AW103" s="27" t="s">
        <v>8</v>
      </c>
      <c r="BD103" s="27" t="s">
        <v>7</v>
      </c>
    </row>
    <row r="104" spans="1:56" x14ac:dyDescent="0.25">
      <c r="A104" s="30">
        <v>5.0544702849929442</v>
      </c>
      <c r="E104"/>
      <c r="O104" s="27" t="s">
        <v>8</v>
      </c>
      <c r="P104" s="27" t="s">
        <v>7</v>
      </c>
      <c r="Q104" s="27" t="s">
        <v>8</v>
      </c>
      <c r="R104" s="27" t="s">
        <v>7</v>
      </c>
      <c r="Y104" s="27" t="s">
        <v>8</v>
      </c>
      <c r="AG104" s="27" t="s">
        <v>8</v>
      </c>
      <c r="AJ104" s="27" t="s">
        <v>7</v>
      </c>
      <c r="AK104" s="27" t="s">
        <v>8</v>
      </c>
      <c r="AT104" s="27" t="s">
        <v>7</v>
      </c>
      <c r="AU104" s="27" t="s">
        <v>8</v>
      </c>
      <c r="AV104" s="27" t="s">
        <v>7</v>
      </c>
      <c r="BD104" s="27" t="s">
        <v>7</v>
      </c>
    </row>
    <row r="105" spans="1:56" x14ac:dyDescent="0.25">
      <c r="A105" s="30">
        <v>4.594972986357222</v>
      </c>
      <c r="E105"/>
      <c r="O105" s="27" t="s">
        <v>8</v>
      </c>
      <c r="P105" s="27" t="s">
        <v>7</v>
      </c>
      <c r="Q105" s="27" t="s">
        <v>8</v>
      </c>
      <c r="R105" s="27" t="s">
        <v>7</v>
      </c>
      <c r="Y105" s="27" t="s">
        <v>8</v>
      </c>
      <c r="Z105" s="27" t="s">
        <v>7</v>
      </c>
      <c r="AG105" s="27" t="s">
        <v>8</v>
      </c>
      <c r="AJ105" s="27" t="s">
        <v>7</v>
      </c>
      <c r="AT105" s="27" t="s">
        <v>7</v>
      </c>
    </row>
    <row r="106" spans="1:56" x14ac:dyDescent="0.25">
      <c r="A106" s="30">
        <v>4.1772481694156562</v>
      </c>
      <c r="E106" t="s">
        <v>8</v>
      </c>
      <c r="O106" s="27" t="s">
        <v>8</v>
      </c>
      <c r="P106" s="27" t="s">
        <v>7</v>
      </c>
      <c r="R106" s="27" t="s">
        <v>7</v>
      </c>
      <c r="Y106" s="27" t="s">
        <v>8</v>
      </c>
      <c r="Z106" s="27" t="s">
        <v>7</v>
      </c>
      <c r="AE106" s="27" t="s">
        <v>8</v>
      </c>
      <c r="AG106" s="27" t="s">
        <v>8</v>
      </c>
    </row>
    <row r="107" spans="1:56" x14ac:dyDescent="0.25">
      <c r="A107" s="30">
        <v>3.7974983358324148</v>
      </c>
      <c r="E107" t="s">
        <v>8</v>
      </c>
      <c r="F107" s="27" t="s">
        <v>7</v>
      </c>
      <c r="M107" s="27" t="s">
        <v>8</v>
      </c>
      <c r="O107" s="27" t="s">
        <v>8</v>
      </c>
      <c r="R107" s="27" t="s">
        <v>7</v>
      </c>
      <c r="Y107" s="27" t="s">
        <v>8</v>
      </c>
      <c r="Z107" s="27" t="s">
        <v>7</v>
      </c>
      <c r="AE107" s="27" t="s">
        <v>8</v>
      </c>
      <c r="AF107" s="27" t="s">
        <v>7</v>
      </c>
      <c r="AG107" s="27" t="s">
        <v>8</v>
      </c>
    </row>
    <row r="108" spans="1:56" x14ac:dyDescent="0.25">
      <c r="A108" s="30">
        <v>3.4522712143931042</v>
      </c>
      <c r="E108" t="s">
        <v>8</v>
      </c>
      <c r="F108" s="27" t="s">
        <v>7</v>
      </c>
      <c r="K108" s="27" t="s">
        <v>8</v>
      </c>
      <c r="M108" s="27" t="s">
        <v>8</v>
      </c>
      <c r="N108" s="27" t="s">
        <v>7</v>
      </c>
      <c r="O108" s="27" t="s">
        <v>8</v>
      </c>
      <c r="R108" s="27" t="s">
        <v>7</v>
      </c>
      <c r="Y108" s="27" t="s">
        <v>8</v>
      </c>
      <c r="Z108" s="27" t="s">
        <v>7</v>
      </c>
      <c r="AC108" s="27" t="s">
        <v>8</v>
      </c>
      <c r="AE108" s="27" t="s">
        <v>8</v>
      </c>
      <c r="AF108" s="27" t="s">
        <v>7</v>
      </c>
      <c r="AG108" s="27" t="s">
        <v>8</v>
      </c>
    </row>
    <row r="109" spans="1:56" x14ac:dyDescent="0.25">
      <c r="A109" s="30">
        <v>3.1384283767210035</v>
      </c>
      <c r="E109" t="s">
        <v>8</v>
      </c>
      <c r="F109" s="27" t="s">
        <v>7</v>
      </c>
      <c r="I109" s="27" t="s">
        <v>8</v>
      </c>
      <c r="K109" s="27" t="s">
        <v>8</v>
      </c>
      <c r="L109" s="27" t="s">
        <v>7</v>
      </c>
      <c r="M109" s="27" t="s">
        <v>8</v>
      </c>
      <c r="N109" s="27" t="s">
        <v>7</v>
      </c>
      <c r="O109" s="27" t="s">
        <v>8</v>
      </c>
      <c r="R109" s="27" t="s">
        <v>7</v>
      </c>
      <c r="Y109" s="27" t="s">
        <v>8</v>
      </c>
      <c r="Z109" s="27" t="s">
        <v>7</v>
      </c>
      <c r="AA109" s="27" t="s">
        <v>8</v>
      </c>
      <c r="AC109" s="27" t="s">
        <v>8</v>
      </c>
      <c r="AD109" s="27" t="s">
        <v>7</v>
      </c>
      <c r="AE109" s="27" t="s">
        <v>8</v>
      </c>
      <c r="AF109" s="27" t="s">
        <v>7</v>
      </c>
    </row>
    <row r="110" spans="1:56" x14ac:dyDescent="0.25">
      <c r="A110" s="30">
        <v>2.8531167061100029</v>
      </c>
      <c r="E110" t="s">
        <v>8</v>
      </c>
      <c r="F110" s="27" t="s">
        <v>7</v>
      </c>
      <c r="G110" s="27" t="s">
        <v>8</v>
      </c>
      <c r="I110" s="27" t="s">
        <v>8</v>
      </c>
      <c r="J110" s="27" t="s">
        <v>7</v>
      </c>
      <c r="K110" s="27" t="s">
        <v>8</v>
      </c>
      <c r="L110" s="27" t="s">
        <v>7</v>
      </c>
      <c r="M110" s="27" t="s">
        <v>8</v>
      </c>
      <c r="N110" s="27" t="s">
        <v>7</v>
      </c>
      <c r="R110" s="27" t="s">
        <v>7</v>
      </c>
      <c r="U110" s="27" t="s">
        <v>8</v>
      </c>
      <c r="Y110" s="27" t="s">
        <v>8</v>
      </c>
      <c r="Z110" s="27" t="s">
        <v>7</v>
      </c>
      <c r="AA110" s="27" t="s">
        <v>8</v>
      </c>
      <c r="AB110" s="27" t="s">
        <v>7</v>
      </c>
      <c r="AC110" s="27" t="s">
        <v>8</v>
      </c>
      <c r="AD110" s="27" t="s">
        <v>7</v>
      </c>
      <c r="AE110" s="27" t="s">
        <v>8</v>
      </c>
    </row>
    <row r="111" spans="1:56" x14ac:dyDescent="0.25">
      <c r="A111" s="30">
        <v>2.5937424601000023</v>
      </c>
      <c r="C111" s="1" t="str">
        <f>ADDRESS(C121-1,1,1,1)</f>
        <v>$A$103</v>
      </c>
      <c r="D111" s="1" t="str">
        <f>ADDRESS(C121-1,D121,1,1)</f>
        <v>$BD$103</v>
      </c>
      <c r="E111" t="s">
        <v>8</v>
      </c>
      <c r="F111" s="27" t="s">
        <v>7</v>
      </c>
      <c r="G111" s="27" t="s">
        <v>8</v>
      </c>
      <c r="H111" s="27" t="s">
        <v>7</v>
      </c>
      <c r="I111" s="27" t="s">
        <v>8</v>
      </c>
      <c r="J111" s="27" t="s">
        <v>7</v>
      </c>
      <c r="K111" s="27" t="s">
        <v>8</v>
      </c>
      <c r="L111" s="27" t="s">
        <v>7</v>
      </c>
      <c r="M111" s="27" t="s">
        <v>8</v>
      </c>
      <c r="R111" s="27" t="s">
        <v>7</v>
      </c>
      <c r="S111" s="27" t="s">
        <v>8</v>
      </c>
      <c r="U111" s="27" t="s">
        <v>8</v>
      </c>
      <c r="V111" s="27" t="s">
        <v>7</v>
      </c>
      <c r="Y111" s="27" t="s">
        <v>8</v>
      </c>
      <c r="Z111" s="27" t="s">
        <v>7</v>
      </c>
      <c r="AA111" s="27" t="s">
        <v>8</v>
      </c>
      <c r="AB111" s="27" t="s">
        <v>7</v>
      </c>
      <c r="AC111" s="27" t="s">
        <v>8</v>
      </c>
      <c r="AD111" s="27" t="s">
        <v>7</v>
      </c>
    </row>
    <row r="112" spans="1:56" x14ac:dyDescent="0.25">
      <c r="A112" s="30">
        <v>2.3579476910000019</v>
      </c>
      <c r="C112" s="1" t="str">
        <f>ADDRESS(C121,1,1,1)</f>
        <v>$A$104</v>
      </c>
      <c r="D112" s="1" t="str">
        <f>ADDRESS(C121,D121-1,1,1)</f>
        <v>$BC$104</v>
      </c>
      <c r="E112" t="s">
        <v>8</v>
      </c>
      <c r="F112" s="27" t="s">
        <v>7</v>
      </c>
      <c r="G112" s="27" t="s">
        <v>8</v>
      </c>
      <c r="H112" s="27" t="s">
        <v>7</v>
      </c>
      <c r="I112" s="27" t="s">
        <v>8</v>
      </c>
      <c r="J112" s="27" t="s">
        <v>7</v>
      </c>
      <c r="L112" s="27" t="s">
        <v>7</v>
      </c>
      <c r="R112" s="27" t="s">
        <v>7</v>
      </c>
      <c r="S112" s="27" t="s">
        <v>8</v>
      </c>
      <c r="T112" s="27" t="s">
        <v>7</v>
      </c>
      <c r="U112" s="27" t="s">
        <v>8</v>
      </c>
      <c r="V112" s="27" t="s">
        <v>7</v>
      </c>
      <c r="Y112" s="27" t="s">
        <v>8</v>
      </c>
      <c r="Z112" s="27" t="s">
        <v>7</v>
      </c>
      <c r="AA112" s="27" t="s">
        <v>8</v>
      </c>
      <c r="AB112" s="27" t="s">
        <v>7</v>
      </c>
      <c r="AC112" s="27" t="s">
        <v>8</v>
      </c>
    </row>
    <row r="113" spans="1:29" x14ac:dyDescent="0.25">
      <c r="A113" s="30">
        <v>2.1435888100000016</v>
      </c>
      <c r="C113" s="1" t="str">
        <f>ADDRESS(C121+1,1,1,1)</f>
        <v>$A$105</v>
      </c>
      <c r="D113" s="1" t="str">
        <f>ADDRESS(C121-1,D121+1,1,1)</f>
        <v>$BE$103</v>
      </c>
      <c r="E113" s="1" t="s">
        <v>8</v>
      </c>
      <c r="F113" s="27" t="s">
        <v>7</v>
      </c>
      <c r="G113" s="27" t="s">
        <v>8</v>
      </c>
      <c r="H113" s="27" t="s">
        <v>7</v>
      </c>
      <c r="I113" s="27" t="s">
        <v>8</v>
      </c>
      <c r="R113" s="27" t="s">
        <v>7</v>
      </c>
      <c r="S113" s="27" t="s">
        <v>8</v>
      </c>
      <c r="T113" s="27" t="s">
        <v>7</v>
      </c>
      <c r="U113" s="27" t="s">
        <v>8</v>
      </c>
      <c r="V113" s="27" t="s">
        <v>7</v>
      </c>
      <c r="Y113" s="27" t="s">
        <v>8</v>
      </c>
      <c r="Z113" s="27" t="s">
        <v>7</v>
      </c>
      <c r="AA113" s="27" t="s">
        <v>8</v>
      </c>
      <c r="AB113" s="27" t="s">
        <v>7</v>
      </c>
      <c r="AC113" s="27" t="s">
        <v>8</v>
      </c>
    </row>
    <row r="114" spans="1:29" x14ac:dyDescent="0.25">
      <c r="A114" s="30">
        <v>1.9487171000000014</v>
      </c>
      <c r="C114" s="1" t="str">
        <f>ADDRESS(C121,D121,1,1)</f>
        <v>$BD$104</v>
      </c>
      <c r="D114" s="1" t="str">
        <f>ADDRESS(C121+1,D121+1,1,1)</f>
        <v>$BE$105</v>
      </c>
      <c r="E114" s="1" t="s">
        <v>8</v>
      </c>
      <c r="F114" s="27" t="s">
        <v>7</v>
      </c>
      <c r="G114" s="27" t="s">
        <v>8</v>
      </c>
      <c r="H114" s="27" t="s">
        <v>7</v>
      </c>
      <c r="I114" s="27" t="s">
        <v>8</v>
      </c>
      <c r="R114" s="27" t="s">
        <v>7</v>
      </c>
      <c r="S114" s="27" t="s">
        <v>8</v>
      </c>
      <c r="T114" s="27" t="s">
        <v>7</v>
      </c>
      <c r="U114" s="27" t="s">
        <v>8</v>
      </c>
      <c r="V114" s="27" t="s">
        <v>7</v>
      </c>
      <c r="Y114" s="27" t="s">
        <v>8</v>
      </c>
      <c r="Z114" s="27" t="s">
        <v>7</v>
      </c>
      <c r="AA114" s="27" t="s">
        <v>8</v>
      </c>
      <c r="AB114" s="27" t="s">
        <v>7</v>
      </c>
    </row>
    <row r="115" spans="1:29" x14ac:dyDescent="0.25">
      <c r="A115" s="30">
        <v>1.7715610000000011</v>
      </c>
      <c r="C115" s="1" t="str">
        <f>ADDRESS(C121+1,D121,1,1)</f>
        <v>$BD$105</v>
      </c>
      <c r="E115" s="1" t="s">
        <v>8</v>
      </c>
      <c r="F115" s="27" t="s">
        <v>7</v>
      </c>
      <c r="G115" s="27" t="s">
        <v>8</v>
      </c>
      <c r="H115" s="27" t="s">
        <v>7</v>
      </c>
      <c r="R115" s="27" t="s">
        <v>7</v>
      </c>
      <c r="S115" s="27" t="s">
        <v>8</v>
      </c>
      <c r="T115" s="27" t="s">
        <v>7</v>
      </c>
      <c r="U115" s="27" t="s">
        <v>8</v>
      </c>
      <c r="V115" s="27" t="s">
        <v>7</v>
      </c>
      <c r="Y115" s="27" t="s">
        <v>8</v>
      </c>
      <c r="Z115" s="27" t="s">
        <v>7</v>
      </c>
    </row>
    <row r="116" spans="1:29" x14ac:dyDescent="0.25">
      <c r="A116" s="30">
        <v>1.6105100000000008</v>
      </c>
      <c r="C116" s="1">
        <f>C117-1</f>
        <v>103</v>
      </c>
      <c r="E116" s="1" t="s">
        <v>8</v>
      </c>
      <c r="F116" s="27" t="s">
        <v>7</v>
      </c>
      <c r="G116" s="27" t="s">
        <v>8</v>
      </c>
      <c r="R116" s="27" t="s">
        <v>7</v>
      </c>
      <c r="S116" s="27" t="s">
        <v>8</v>
      </c>
      <c r="T116" s="27" t="s">
        <v>7</v>
      </c>
      <c r="U116" s="27" t="s">
        <v>8</v>
      </c>
      <c r="V116" s="27" t="s">
        <v>7</v>
      </c>
      <c r="Y116" s="27" t="s">
        <v>8</v>
      </c>
    </row>
    <row r="117" spans="1:29" x14ac:dyDescent="0.25">
      <c r="A117" s="30">
        <v>1.4641000000000006</v>
      </c>
      <c r="C117" s="1">
        <f>C121</f>
        <v>104</v>
      </c>
      <c r="D117" s="1">
        <f>D121</f>
        <v>56</v>
      </c>
      <c r="E117" s="1" t="s">
        <v>8</v>
      </c>
      <c r="F117" s="27" t="s">
        <v>7</v>
      </c>
      <c r="R117" s="27" t="s">
        <v>7</v>
      </c>
      <c r="T117" s="27" t="s">
        <v>7</v>
      </c>
      <c r="V117" s="27" t="s">
        <v>7</v>
      </c>
      <c r="Y117" s="27" t="s">
        <v>8</v>
      </c>
    </row>
    <row r="118" spans="1:29" x14ac:dyDescent="0.25">
      <c r="A118" s="30">
        <v>1.3310000000000004</v>
      </c>
      <c r="C118" s="1">
        <f>C117+1</f>
        <v>105</v>
      </c>
      <c r="D118" s="1">
        <f>D117+1</f>
        <v>57</v>
      </c>
      <c r="E118" s="1" t="s">
        <v>8</v>
      </c>
      <c r="V118" s="27" t="s">
        <v>7</v>
      </c>
      <c r="Y118" s="27" t="s">
        <v>8</v>
      </c>
    </row>
    <row r="119" spans="1:29" x14ac:dyDescent="0.25">
      <c r="A119" s="30">
        <v>1.2100000000000002</v>
      </c>
      <c r="E119" s="1" t="s">
        <v>8</v>
      </c>
      <c r="V119" s="27" t="s">
        <v>7</v>
      </c>
      <c r="W119" s="27" t="s">
        <v>8</v>
      </c>
      <c r="Y119" s="27" t="s">
        <v>8</v>
      </c>
    </row>
    <row r="120" spans="1:29" x14ac:dyDescent="0.25">
      <c r="A120" s="30">
        <v>1.1000000000000001</v>
      </c>
      <c r="C120" s="1" t="s">
        <v>9</v>
      </c>
      <c r="E120" s="1" t="s">
        <v>8</v>
      </c>
      <c r="V120" s="27" t="s">
        <v>7</v>
      </c>
      <c r="W120" s="27" t="s">
        <v>8</v>
      </c>
      <c r="X120" s="27" t="s">
        <v>7</v>
      </c>
      <c r="Y120" s="27" t="s">
        <v>8</v>
      </c>
    </row>
    <row r="121" spans="1:29" x14ac:dyDescent="0.25">
      <c r="A121" s="30">
        <v>1</v>
      </c>
      <c r="C121" s="18">
        <v>104</v>
      </c>
      <c r="D121" s="19">
        <v>56</v>
      </c>
      <c r="E121" s="18" t="s">
        <v>8</v>
      </c>
      <c r="V121" s="27" t="s">
        <v>7</v>
      </c>
      <c r="W121" s="27" t="s">
        <v>8</v>
      </c>
      <c r="X121" s="27" t="s">
        <v>7</v>
      </c>
      <c r="Y121" s="27" t="s">
        <v>8</v>
      </c>
    </row>
    <row r="122" spans="1:29" x14ac:dyDescent="0.25">
      <c r="A122" s="30">
        <v>0.90909090909090895</v>
      </c>
      <c r="C122" s="1" t="str">
        <f>INDEX(1:1048576,C117,D117)</f>
        <v>O</v>
      </c>
      <c r="V122" s="27" t="s">
        <v>7</v>
      </c>
      <c r="W122" s="27" t="s">
        <v>8</v>
      </c>
      <c r="X122" s="27" t="s">
        <v>7</v>
      </c>
    </row>
    <row r="123" spans="1:29" x14ac:dyDescent="0.25">
      <c r="A123" s="30">
        <v>0.82644628099173523</v>
      </c>
      <c r="C123" s="1" t="str">
        <f>"R"&amp;C121</f>
        <v>R104</v>
      </c>
      <c r="D123" s="1" t="str">
        <f>"C"&amp;D121</f>
        <v>C56</v>
      </c>
      <c r="V123" s="27" t="s">
        <v>7</v>
      </c>
      <c r="W123" s="27" t="s">
        <v>8</v>
      </c>
    </row>
    <row r="124" spans="1:29" x14ac:dyDescent="0.25">
      <c r="A124" s="30">
        <v>0.75131480090157732</v>
      </c>
      <c r="C124" s="1">
        <f>SUM(C130:D130)</f>
        <v>0</v>
      </c>
      <c r="D124" s="1">
        <f>IF(C124=0,0,1)</f>
        <v>0</v>
      </c>
      <c r="V124" s="27" t="s">
        <v>7</v>
      </c>
    </row>
    <row r="125" spans="1:29" x14ac:dyDescent="0.25">
      <c r="A125" s="30">
        <v>0.68301345536507019</v>
      </c>
    </row>
    <row r="126" spans="1:29" x14ac:dyDescent="0.25">
      <c r="A126" s="30">
        <v>0.6209213230591546</v>
      </c>
      <c r="C126" s="1" t="s">
        <v>10</v>
      </c>
    </row>
    <row r="127" spans="1:29" x14ac:dyDescent="0.25">
      <c r="A127" s="30">
        <v>0.56447393005377677</v>
      </c>
      <c r="C127" s="30">
        <v>5.0544702849929442</v>
      </c>
      <c r="D127"/>
    </row>
    <row r="128" spans="1:29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95" operator="equal">
      <formula>$U$1</formula>
    </cfRule>
    <cfRule type="cellIs" dxfId="30" priority="1596" operator="equal">
      <formula>$S$1</formula>
    </cfRule>
  </conditionalFormatting>
  <conditionalFormatting sqref="D136">
    <cfRule type="cellIs" dxfId="29" priority="1593" operator="equal">
      <formula>$S$1</formula>
    </cfRule>
    <cfRule type="cellIs" dxfId="28" priority="1594" operator="equal">
      <formula>$U$1</formula>
    </cfRule>
  </conditionalFormatting>
  <conditionalFormatting sqref="C102">
    <cfRule type="cellIs" dxfId="27" priority="1591" operator="equal">
      <formula>$U$1</formula>
    </cfRule>
    <cfRule type="cellIs" dxfId="26" priority="1592" operator="equal">
      <formula>$S$1</formula>
    </cfRule>
  </conditionalFormatting>
  <conditionalFormatting sqref="D102">
    <cfRule type="cellIs" dxfId="25" priority="1589" operator="equal">
      <formula>$S$1</formula>
    </cfRule>
    <cfRule type="cellIs" dxfId="24" priority="1590" operator="equal">
      <formula>$U$1</formula>
    </cfRule>
  </conditionalFormatting>
  <conditionalFormatting sqref="C77">
    <cfRule type="cellIs" dxfId="23" priority="1587" operator="equal">
      <formula>$U$1</formula>
    </cfRule>
    <cfRule type="cellIs" dxfId="22" priority="1588" operator="equal">
      <formula>$S$1</formula>
    </cfRule>
  </conditionalFormatting>
  <conditionalFormatting sqref="D77">
    <cfRule type="cellIs" dxfId="21" priority="1585" operator="equal">
      <formula>$S$1</formula>
    </cfRule>
    <cfRule type="cellIs" dxfId="20" priority="1586" operator="equal">
      <formula>$U$1</formula>
    </cfRule>
  </conditionalFormatting>
  <conditionalFormatting sqref="C52">
    <cfRule type="cellIs" dxfId="19" priority="1583" operator="equal">
      <formula>$U$1</formula>
    </cfRule>
    <cfRule type="cellIs" dxfId="18" priority="1584" operator="equal">
      <formula>$S$1</formula>
    </cfRule>
  </conditionalFormatting>
  <conditionalFormatting sqref="D52">
    <cfRule type="cellIs" dxfId="17" priority="1581" operator="equal">
      <formula>$S$1</formula>
    </cfRule>
    <cfRule type="cellIs" dxfId="16" priority="1582" operator="equal">
      <formula>$U$1</formula>
    </cfRule>
  </conditionalFormatting>
  <conditionalFormatting sqref="C26">
    <cfRule type="cellIs" dxfId="15" priority="1579" operator="equal">
      <formula>$U$1</formula>
    </cfRule>
    <cfRule type="cellIs" dxfId="14" priority="1580" operator="equal">
      <formula>$S$1</formula>
    </cfRule>
  </conditionalFormatting>
  <conditionalFormatting sqref="D26">
    <cfRule type="cellIs" dxfId="13" priority="1577" operator="equal">
      <formula>$S$1</formula>
    </cfRule>
    <cfRule type="cellIs" dxfId="12" priority="15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2022-01-28T01:20:30Z</dcterms:modified>
</cp:coreProperties>
</file>