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82715F4-D46C-4A29-BD97-9C9E6BD4430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C118" i="4"/>
  <c r="R765" i="1"/>
  <c r="C116" i="3"/>
  <c r="C122" i="3"/>
  <c r="C133" i="3" s="1"/>
  <c r="D136" i="3" s="1"/>
  <c r="C136" i="5" l="1"/>
  <c r="C138" i="5" s="1"/>
  <c r="C136" i="4"/>
  <c r="C138" i="4" s="1"/>
  <c r="R764" i="1"/>
  <c r="S765" i="1"/>
  <c r="T765" i="1" s="1"/>
  <c r="C136" i="3"/>
  <c r="C138" i="3" s="1"/>
  <c r="S764" i="1" l="1"/>
  <c r="T764" i="1" s="1"/>
  <c r="R763" i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S722" i="1" l="1"/>
  <c r="T722" i="1" s="1"/>
  <c r="R721" i="1"/>
  <c r="S721" i="1" l="1"/>
  <c r="T721" i="1" s="1"/>
  <c r="R720" i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R696" i="1" l="1"/>
  <c r="S697" i="1"/>
  <c r="T697" i="1" s="1"/>
  <c r="S696" i="1" l="1"/>
  <c r="T696" i="1" s="1"/>
  <c r="R695" i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S635" i="1" l="1"/>
  <c r="T635" i="1" s="1"/>
  <c r="R634" i="1"/>
  <c r="S634" i="1" l="1"/>
  <c r="T634" i="1" s="1"/>
  <c r="R633" i="1"/>
  <c r="R632" i="1" l="1"/>
  <c r="S633" i="1"/>
  <c r="T633" i="1" s="1"/>
  <c r="R631" i="1" l="1"/>
  <c r="S632" i="1"/>
  <c r="T632" i="1" s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S611" i="1" l="1"/>
  <c r="T611" i="1" s="1"/>
  <c r="R610" i="1"/>
  <c r="R609" i="1" l="1"/>
  <c r="S610" i="1"/>
  <c r="T610" i="1" s="1"/>
  <c r="R608" i="1" l="1"/>
  <c r="S609" i="1"/>
  <c r="T609" i="1" s="1"/>
  <c r="S608" i="1" l="1"/>
  <c r="T608" i="1" s="1"/>
  <c r="R607" i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R595" i="1" l="1"/>
  <c r="S596" i="1"/>
  <c r="T596" i="1" s="1"/>
  <c r="S595" i="1" l="1"/>
  <c r="T595" i="1" s="1"/>
  <c r="R594" i="1"/>
  <c r="S594" i="1" l="1"/>
  <c r="T594" i="1" s="1"/>
  <c r="R593" i="1"/>
  <c r="S593" i="1" l="1"/>
  <c r="T593" i="1" s="1"/>
  <c r="R592" i="1"/>
  <c r="R591" i="1" l="1"/>
  <c r="S592" i="1"/>
  <c r="T592" i="1" s="1"/>
  <c r="S591" i="1" l="1"/>
  <c r="T591" i="1" s="1"/>
  <c r="R590" i="1"/>
  <c r="S590" i="1" l="1"/>
  <c r="T590" i="1" s="1"/>
  <c r="R589" i="1"/>
  <c r="R588" i="1" l="1"/>
  <c r="S589" i="1"/>
  <c r="T589" i="1" s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R503" i="1" l="1"/>
  <c r="S504" i="1"/>
  <c r="T504" i="1" s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S399" i="1" l="1"/>
  <c r="T399" i="1" s="1"/>
  <c r="R398" i="1"/>
  <c r="R397" i="1" l="1"/>
  <c r="S398" i="1"/>
  <c r="T398" i="1" s="1"/>
  <c r="R396" i="1" l="1"/>
  <c r="S397" i="1"/>
  <c r="T397" i="1" s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S375" i="1" l="1"/>
  <c r="T375" i="1" s="1"/>
  <c r="R374" i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S321" i="1" l="1"/>
  <c r="T321" i="1" s="1"/>
  <c r="R320" i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R150" i="1" l="1"/>
  <c r="S151" i="1"/>
  <c r="T151" i="1" s="1"/>
  <c r="S150" i="1" l="1"/>
  <c r="T150" i="1" s="1"/>
  <c r="R149" i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S141" i="1" l="1"/>
  <c r="T141" i="1" s="1"/>
  <c r="R140" i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S130" i="1" l="1"/>
  <c r="T130" i="1" s="1"/>
  <c r="R129" i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S106" i="1" l="1"/>
  <c r="T106" i="1" s="1"/>
  <c r="R105" i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S97" i="1" l="1"/>
  <c r="T97" i="1" s="1"/>
  <c r="R96" i="1"/>
  <c r="S96" i="1" l="1"/>
  <c r="T96" i="1" s="1"/>
  <c r="R95" i="1"/>
  <c r="S95" i="1" l="1"/>
  <c r="T95" i="1" s="1"/>
  <c r="R94" i="1"/>
  <c r="R93" i="1" l="1"/>
  <c r="S94" i="1"/>
  <c r="T94" i="1" s="1"/>
  <c r="S93" i="1" l="1"/>
  <c r="T93" i="1" s="1"/>
  <c r="R92" i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<sst xmlns="http://schemas.openxmlformats.org/spreadsheetml/2006/main" count="3248" uniqueCount="34">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</sst>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5.5039999999999996</c:v>
                </c:pt>
                <c:pt idx="1">
                  <c:v>5.6609999999999996</c:v>
                </c:pt>
                <c:pt idx="2">
                  <c:v>5.5359999999999996</c:v>
                </c:pt>
                <c:pt idx="3">
                  <c:v>5.2619999999999996</c:v>
                </c:pt>
                <c:pt idx="4">
                  <c:v>5.8959999999999999</c:v>
                </c:pt>
                <c:pt idx="5">
                  <c:v>5.6120000000000001</c:v>
                </c:pt>
                <c:pt idx="6">
                  <c:v>6.4870000000000001</c:v>
                </c:pt>
                <c:pt idx="7">
                  <c:v>7.9450000000000003</c:v>
                </c:pt>
                <c:pt idx="8">
                  <c:v>8.4450000000000003</c:v>
                </c:pt>
                <c:pt idx="9">
                  <c:v>8.7899999999999991</c:v>
                </c:pt>
                <c:pt idx="10">
                  <c:v>8.7680000000000007</c:v>
                </c:pt>
                <c:pt idx="11">
                  <c:v>9.49</c:v>
                </c:pt>
                <c:pt idx="12">
                  <c:v>9.4570000000000007</c:v>
                </c:pt>
                <c:pt idx="13">
                  <c:v>9.5129999999999999</c:v>
                </c:pt>
                <c:pt idx="14">
                  <c:v>9.5429999999999993</c:v>
                </c:pt>
                <c:pt idx="15">
                  <c:v>10.202</c:v>
                </c:pt>
                <c:pt idx="16">
                  <c:v>9.657</c:v>
                </c:pt>
                <c:pt idx="17">
                  <c:v>8.9120000000000008</c:v>
                </c:pt>
                <c:pt idx="18">
                  <c:v>9.6</c:v>
                </c:pt>
                <c:pt idx="19">
                  <c:v>9.4420000000000002</c:v>
                </c:pt>
                <c:pt idx="20">
                  <c:v>10.144</c:v>
                </c:pt>
                <c:pt idx="21">
                  <c:v>10.898999999999999</c:v>
                </c:pt>
                <c:pt idx="22">
                  <c:v>11.204000000000001</c:v>
                </c:pt>
                <c:pt idx="23">
                  <c:v>12.298999999999999</c:v>
                </c:pt>
                <c:pt idx="24">
                  <c:v>12.826000000000001</c:v>
                </c:pt>
                <c:pt idx="25">
                  <c:v>14.005000000000001</c:v>
                </c:pt>
                <c:pt idx="26">
                  <c:v>13.208</c:v>
                </c:pt>
                <c:pt idx="27">
                  <c:v>12.249000000000001</c:v>
                </c:pt>
                <c:pt idx="28">
                  <c:v>11.99</c:v>
                </c:pt>
                <c:pt idx="29">
                  <c:v>11.888999999999999</c:v>
                </c:pt>
                <c:pt idx="30">
                  <c:v>11.581</c:v>
                </c:pt>
                <c:pt idx="31">
                  <c:v>12.776</c:v>
                </c:pt>
                <c:pt idx="32">
                  <c:v>13.116</c:v>
                </c:pt>
                <c:pt idx="33">
                  <c:v>13.22</c:v>
                </c:pt>
                <c:pt idx="34">
                  <c:v>12.099</c:v>
                </c:pt>
                <c:pt idx="35">
                  <c:v>11.750999999999999</c:v>
                </c:pt>
                <c:pt idx="36">
                  <c:v>11.069000000000001</c:v>
                </c:pt>
                <c:pt idx="37">
                  <c:v>10.891999999999999</c:v>
                </c:pt>
                <c:pt idx="38">
                  <c:v>10.481</c:v>
                </c:pt>
                <c:pt idx="39">
                  <c:v>10.583</c:v>
                </c:pt>
                <c:pt idx="40">
                  <c:v>11.156000000000001</c:v>
                </c:pt>
                <c:pt idx="41">
                  <c:v>10.88</c:v>
                </c:pt>
                <c:pt idx="42">
                  <c:v>10.904999999999999</c:v>
                </c:pt>
                <c:pt idx="43">
                  <c:v>10.91</c:v>
                </c:pt>
                <c:pt idx="44">
                  <c:v>10.502000000000001</c:v>
                </c:pt>
                <c:pt idx="45">
                  <c:v>9.9269999999999996</c:v>
                </c:pt>
                <c:pt idx="46">
                  <c:v>11.706</c:v>
                </c:pt>
                <c:pt idx="47">
                  <c:v>11.333</c:v>
                </c:pt>
                <c:pt idx="48">
                  <c:v>11.177</c:v>
                </c:pt>
                <c:pt idx="49">
                  <c:v>12.492000000000001</c:v>
                </c:pt>
                <c:pt idx="50">
                  <c:v>13.164999999999999</c:v>
                </c:pt>
                <c:pt idx="51">
                  <c:v>13.05</c:v>
                </c:pt>
                <c:pt idx="52">
                  <c:v>11.403</c:v>
                </c:pt>
                <c:pt idx="53">
                  <c:v>11.167</c:v>
                </c:pt>
                <c:pt idx="54">
                  <c:v>11.829000000000001</c:v>
                </c:pt>
                <c:pt idx="55">
                  <c:v>13.127000000000001</c:v>
                </c:pt>
                <c:pt idx="56">
                  <c:v>15.186999999999999</c:v>
                </c:pt>
                <c:pt idx="57">
                  <c:v>15.493</c:v>
                </c:pt>
                <c:pt idx="58">
                  <c:v>15.9</c:v>
                </c:pt>
                <c:pt idx="59">
                  <c:v>18.14</c:v>
                </c:pt>
                <c:pt idx="60">
                  <c:v>16.076000000000001</c:v>
                </c:pt>
                <c:pt idx="61">
                  <c:v>17.988</c:v>
                </c:pt>
                <c:pt idx="62">
                  <c:v>19.199000000000002</c:v>
                </c:pt>
                <c:pt idx="63">
                  <c:v>14.021000000000001</c:v>
                </c:pt>
                <c:pt idx="64">
                  <c:v>12.952999999999999</c:v>
                </c:pt>
                <c:pt idx="65">
                  <c:v>12.66</c:v>
                </c:pt>
                <c:pt idx="66">
                  <c:v>12.298</c:v>
                </c:pt>
                <c:pt idx="67">
                  <c:v>12.202999999999999</c:v>
                </c:pt>
                <c:pt idx="68">
                  <c:v>11.722</c:v>
                </c:pt>
                <c:pt idx="69">
                  <c:v>11.157999999999999</c:v>
                </c:pt>
                <c:pt idx="70">
                  <c:v>10.381</c:v>
                </c:pt>
                <c:pt idx="71">
                  <c:v>12.005000000000001</c:v>
                </c:pt>
                <c:pt idx="72">
                  <c:v>11.776</c:v>
                </c:pt>
                <c:pt idx="73">
                  <c:v>13.292999999999999</c:v>
                </c:pt>
                <c:pt idx="74">
                  <c:v>14.584</c:v>
                </c:pt>
                <c:pt idx="75">
                  <c:v>13.837999999999999</c:v>
                </c:pt>
                <c:pt idx="76">
                  <c:v>14.71</c:v>
                </c:pt>
                <c:pt idx="77">
                  <c:v>15.603</c:v>
                </c:pt>
                <c:pt idx="78">
                  <c:v>15.848000000000001</c:v>
                </c:pt>
                <c:pt idx="79">
                  <c:v>12.513999999999999</c:v>
                </c:pt>
                <c:pt idx="80">
                  <c:v>12.156000000000001</c:v>
                </c:pt>
                <c:pt idx="81">
                  <c:v>11.895</c:v>
                </c:pt>
                <c:pt idx="82">
                  <c:v>11.356</c:v>
                </c:pt>
                <c:pt idx="83">
                  <c:v>11.772</c:v>
                </c:pt>
                <c:pt idx="84">
                  <c:v>12.055</c:v>
                </c:pt>
                <c:pt idx="85">
                  <c:v>13.314</c:v>
                </c:pt>
                <c:pt idx="86">
                  <c:v>12.555</c:v>
                </c:pt>
                <c:pt idx="87">
                  <c:v>11.412000000000001</c:v>
                </c:pt>
                <c:pt idx="88">
                  <c:v>10.744</c:v>
                </c:pt>
                <c:pt idx="89">
                  <c:v>10.545999999999999</c:v>
                </c:pt>
                <c:pt idx="90">
                  <c:v>11.21</c:v>
                </c:pt>
                <c:pt idx="91">
                  <c:v>11.436999999999999</c:v>
                </c:pt>
                <c:pt idx="92">
                  <c:v>10.603999999999999</c:v>
                </c:pt>
                <c:pt idx="93">
                  <c:v>9.4890000000000008</c:v>
                </c:pt>
                <c:pt idx="94">
                  <c:v>9.7490000000000006</c:v>
                </c:pt>
                <c:pt idx="95">
                  <c:v>9.327</c:v>
                </c:pt>
                <c:pt idx="96">
                  <c:v>9.8770000000000007</c:v>
                </c:pt>
                <c:pt idx="97">
                  <c:v>9.8970000000000002</c:v>
                </c:pt>
                <c:pt idx="98">
                  <c:v>9.9429999999999996</c:v>
                </c:pt>
                <c:pt idx="99">
                  <c:v>10.137</c:v>
                </c:pt>
                <c:pt idx="100">
                  <c:v>9.9359999999999999</c:v>
                </c:pt>
                <c:pt idx="101">
                  <c:v>10.071</c:v>
                </c:pt>
                <c:pt idx="102">
                  <c:v>10.664</c:v>
                </c:pt>
                <c:pt idx="103">
                  <c:v>10.185</c:v>
                </c:pt>
                <c:pt idx="104">
                  <c:v>10.071</c:v>
                </c:pt>
                <c:pt idx="105">
                  <c:v>9.4139999999999997</c:v>
                </c:pt>
                <c:pt idx="106">
                  <c:v>9.2829999999999995</c:v>
                </c:pt>
                <c:pt idx="107">
                  <c:v>9.3190000000000008</c:v>
                </c:pt>
                <c:pt idx="108">
                  <c:v>9.75</c:v>
                </c:pt>
                <c:pt idx="109">
                  <c:v>9.7870000000000008</c:v>
                </c:pt>
                <c:pt idx="110">
                  <c:v>10.545</c:v>
                </c:pt>
                <c:pt idx="111">
                  <c:v>10.811</c:v>
                </c:pt>
                <c:pt idx="112">
                  <c:v>11.627000000000001</c:v>
                </c:pt>
                <c:pt idx="113">
                  <c:v>10.702</c:v>
                </c:pt>
                <c:pt idx="114">
                  <c:v>11.222</c:v>
                </c:pt>
                <c:pt idx="115">
                  <c:v>9.8320000000000007</c:v>
                </c:pt>
                <c:pt idx="116">
                  <c:v>10.07</c:v>
                </c:pt>
                <c:pt idx="117">
                  <c:v>10.243</c:v>
                </c:pt>
                <c:pt idx="118">
                  <c:v>9.5350000000000001</c:v>
                </c:pt>
                <c:pt idx="119">
                  <c:v>8.9809999999999999</c:v>
                </c:pt>
                <c:pt idx="120">
                  <c:v>8.5380000000000003</c:v>
                </c:pt>
                <c:pt idx="121">
                  <c:v>8.1720000000000006</c:v>
                </c:pt>
                <c:pt idx="122">
                  <c:v>8.1199999999999992</c:v>
                </c:pt>
                <c:pt idx="123">
                  <c:v>8.0909999999999993</c:v>
                </c:pt>
                <c:pt idx="124">
                  <c:v>8.86</c:v>
                </c:pt>
                <c:pt idx="125">
                  <c:v>9.3049999999999997</c:v>
                </c:pt>
                <c:pt idx="126">
                  <c:v>9.7899999999999991</c:v>
                </c:pt>
                <c:pt idx="127">
                  <c:v>9.359</c:v>
                </c:pt>
                <c:pt idx="128">
                  <c:v>8.4280000000000008</c:v>
                </c:pt>
                <c:pt idx="129">
                  <c:v>10.039999999999999</c:v>
                </c:pt>
                <c:pt idx="130">
                  <c:v>11.177</c:v>
                </c:pt>
                <c:pt idx="131">
                  <c:v>10.938000000000001</c:v>
                </c:pt>
                <c:pt idx="132">
                  <c:v>11.180999999999999</c:v>
                </c:pt>
                <c:pt idx="133">
                  <c:v>12.314</c:v>
                </c:pt>
                <c:pt idx="134">
                  <c:v>10.95</c:v>
                </c:pt>
                <c:pt idx="135">
                  <c:v>10.583</c:v>
                </c:pt>
                <c:pt idx="136">
                  <c:v>11.391999999999999</c:v>
                </c:pt>
                <c:pt idx="137">
                  <c:v>12.994</c:v>
                </c:pt>
                <c:pt idx="138">
                  <c:v>8.5310000000000006</c:v>
                </c:pt>
                <c:pt idx="139">
                  <c:v>8.5709999999999997</c:v>
                </c:pt>
                <c:pt idx="140">
                  <c:v>9.1349999999999998</c:v>
                </c:pt>
                <c:pt idx="141">
                  <c:v>9.0289999999999999</c:v>
                </c:pt>
                <c:pt idx="142">
                  <c:v>9.0340000000000007</c:v>
                </c:pt>
                <c:pt idx="143">
                  <c:v>11.991</c:v>
                </c:pt>
                <c:pt idx="144">
                  <c:v>12.297000000000001</c:v>
                </c:pt>
                <c:pt idx="145">
                  <c:v>11.948</c:v>
                </c:pt>
                <c:pt idx="146">
                  <c:v>11.945</c:v>
                </c:pt>
                <c:pt idx="147">
                  <c:v>12.353999999999999</c:v>
                </c:pt>
                <c:pt idx="148">
                  <c:v>11.956</c:v>
                </c:pt>
                <c:pt idx="149">
                  <c:v>11.250999999999999</c:v>
                </c:pt>
                <c:pt idx="150">
                  <c:v>11.941000000000001</c:v>
                </c:pt>
                <c:pt idx="151">
                  <c:v>13.943</c:v>
                </c:pt>
                <c:pt idx="152">
                  <c:v>14.666</c:v>
                </c:pt>
                <c:pt idx="153">
                  <c:v>13.973000000000001</c:v>
                </c:pt>
                <c:pt idx="154">
                  <c:v>13.534000000000001</c:v>
                </c:pt>
                <c:pt idx="155">
                  <c:v>17.867999999999999</c:v>
                </c:pt>
                <c:pt idx="156">
                  <c:v>12.56</c:v>
                </c:pt>
                <c:pt idx="157">
                  <c:v>9.5440000000000005</c:v>
                </c:pt>
                <c:pt idx="158">
                  <c:v>6.5110000000000001</c:v>
                </c:pt>
                <c:pt idx="159">
                  <c:v>6.4640000000000004</c:v>
                </c:pt>
                <c:pt idx="160">
                  <c:v>6.8639999999999999</c:v>
                </c:pt>
                <c:pt idx="161">
                  <c:v>6.6559999999999997</c:v>
                </c:pt>
                <c:pt idx="162">
                  <c:v>6.1550000000000002</c:v>
                </c:pt>
                <c:pt idx="163">
                  <c:v>6.35</c:v>
                </c:pt>
                <c:pt idx="164">
                  <c:v>7.0110000000000001</c:v>
                </c:pt>
                <c:pt idx="165">
                  <c:v>7.0549999999999997</c:v>
                </c:pt>
                <c:pt idx="166">
                  <c:v>6.9329999999999998</c:v>
                </c:pt>
                <c:pt idx="167">
                  <c:v>6.6980000000000004</c:v>
                </c:pt>
                <c:pt idx="168">
                  <c:v>6.2889999999999997</c:v>
                </c:pt>
                <c:pt idx="169">
                  <c:v>6.7359999999999998</c:v>
                </c:pt>
                <c:pt idx="170">
                  <c:v>6.7850000000000001</c:v>
                </c:pt>
                <c:pt idx="171">
                  <c:v>7.0510000000000002</c:v>
                </c:pt>
                <c:pt idx="172">
                  <c:v>6.7409999999999997</c:v>
                </c:pt>
                <c:pt idx="173">
                  <c:v>7.6740000000000004</c:v>
                </c:pt>
                <c:pt idx="174">
                  <c:v>6.0890000000000004</c:v>
                </c:pt>
                <c:pt idx="175">
                  <c:v>6.633</c:v>
                </c:pt>
                <c:pt idx="176">
                  <c:v>6.1790000000000003</c:v>
                </c:pt>
                <c:pt idx="177">
                  <c:v>5.2850000000000001</c:v>
                </c:pt>
                <c:pt idx="178">
                  <c:v>4.6559999999999997</c:v>
                </c:pt>
                <c:pt idx="179">
                  <c:v>4.6529999999999996</c:v>
                </c:pt>
                <c:pt idx="180">
                  <c:v>5.54</c:v>
                </c:pt>
                <c:pt idx="181">
                  <c:v>4.0330000000000004</c:v>
                </c:pt>
                <c:pt idx="182">
                  <c:v>3.9550000000000001</c:v>
                </c:pt>
                <c:pt idx="183">
                  <c:v>3.9990000000000001</c:v>
                </c:pt>
                <c:pt idx="184">
                  <c:v>4.0019999999999998</c:v>
                </c:pt>
                <c:pt idx="185">
                  <c:v>4.0640000000000001</c:v>
                </c:pt>
                <c:pt idx="186">
                  <c:v>4.21</c:v>
                </c:pt>
                <c:pt idx="187">
                  <c:v>3.6469999999999998</c:v>
                </c:pt>
                <c:pt idx="188">
                  <c:v>3.8679999999999999</c:v>
                </c:pt>
                <c:pt idx="189">
                  <c:v>3.24</c:v>
                </c:pt>
                <c:pt idx="190">
                  <c:v>3.2749999999999999</c:v>
                </c:pt>
                <c:pt idx="191">
                  <c:v>3.06</c:v>
                </c:pt>
                <c:pt idx="192">
                  <c:v>3.4609999999999999</c:v>
                </c:pt>
                <c:pt idx="193">
                  <c:v>3.847</c:v>
                </c:pt>
                <c:pt idx="194">
                  <c:v>3.9249999999999998</c:v>
                </c:pt>
                <c:pt idx="195">
                  <c:v>3.9020000000000001</c:v>
                </c:pt>
                <c:pt idx="196">
                  <c:v>4.8280000000000003</c:v>
                </c:pt>
                <c:pt idx="197">
                  <c:v>5.242</c:v>
                </c:pt>
                <c:pt idx="198">
                  <c:v>5.4379999999999997</c:v>
                </c:pt>
                <c:pt idx="199">
                  <c:v>3.516</c:v>
                </c:pt>
                <c:pt idx="200">
                  <c:v>3.5920000000000001</c:v>
                </c:pt>
                <c:pt idx="201">
                  <c:v>3.5219999999999998</c:v>
                </c:pt>
                <c:pt idx="202">
                  <c:v>3.5710000000000002</c:v>
                </c:pt>
                <c:pt idx="203">
                  <c:v>3.5139999999999998</c:v>
                </c:pt>
                <c:pt idx="204">
                  <c:v>3.649</c:v>
                </c:pt>
                <c:pt idx="205">
                  <c:v>3.6309999999999998</c:v>
                </c:pt>
                <c:pt idx="206">
                  <c:v>3.4820000000000002</c:v>
                </c:pt>
                <c:pt idx="207">
                  <c:v>3.5590000000000002</c:v>
                </c:pt>
                <c:pt idx="208">
                  <c:v>3.5870000000000002</c:v>
                </c:pt>
                <c:pt idx="209">
                  <c:v>3.5310000000000001</c:v>
                </c:pt>
                <c:pt idx="210">
                  <c:v>3.4729999999999999</c:v>
                </c:pt>
                <c:pt idx="211">
                  <c:v>3.6829999999999998</c:v>
                </c:pt>
                <c:pt idx="212">
                  <c:v>3.8180000000000001</c:v>
                </c:pt>
                <c:pt idx="213">
                  <c:v>3.7280000000000002</c:v>
                </c:pt>
                <c:pt idx="214">
                  <c:v>3.8159999999999998</c:v>
                </c:pt>
                <c:pt idx="215">
                  <c:v>3.5819999999999999</c:v>
                </c:pt>
                <c:pt idx="216">
                  <c:v>3.6339999999999999</c:v>
                </c:pt>
                <c:pt idx="217">
                  <c:v>3.6640000000000001</c:v>
                </c:pt>
                <c:pt idx="218">
                  <c:v>3.819</c:v>
                </c:pt>
                <c:pt idx="219">
                  <c:v>3.6339999999999999</c:v>
                </c:pt>
                <c:pt idx="220">
                  <c:v>4.0510000000000002</c:v>
                </c:pt>
                <c:pt idx="221">
                  <c:v>5.258</c:v>
                </c:pt>
                <c:pt idx="222">
                  <c:v>6.24</c:v>
                </c:pt>
                <c:pt idx="223">
                  <c:v>4.2679999999999998</c:v>
                </c:pt>
                <c:pt idx="224">
                  <c:v>4.8710000000000004</c:v>
                </c:pt>
                <c:pt idx="225">
                  <c:v>4.8540000000000001</c:v>
                </c:pt>
                <c:pt idx="226">
                  <c:v>4.6749999999999998</c:v>
                </c:pt>
                <c:pt idx="227">
                  <c:v>4.8179999999999996</c:v>
                </c:pt>
                <c:pt idx="228">
                  <c:v>4.6239999999999997</c:v>
                </c:pt>
                <c:pt idx="229">
                  <c:v>4.4370000000000003</c:v>
                </c:pt>
                <c:pt idx="230">
                  <c:v>4.9139999999999997</c:v>
                </c:pt>
                <c:pt idx="231">
                  <c:v>5.0190000000000001</c:v>
                </c:pt>
                <c:pt idx="232">
                  <c:v>5.0579999999999998</c:v>
                </c:pt>
                <c:pt idx="233">
                  <c:v>4.915</c:v>
                </c:pt>
                <c:pt idx="234">
                  <c:v>5.532</c:v>
                </c:pt>
                <c:pt idx="235">
                  <c:v>6.1790000000000003</c:v>
                </c:pt>
                <c:pt idx="236">
                  <c:v>6.2619999999999996</c:v>
                </c:pt>
                <c:pt idx="237">
                  <c:v>6.508</c:v>
                </c:pt>
                <c:pt idx="238">
                  <c:v>6.8890000000000002</c:v>
                </c:pt>
                <c:pt idx="239">
                  <c:v>6.2670000000000003</c:v>
                </c:pt>
                <c:pt idx="240">
                  <c:v>6.6920000000000002</c:v>
                </c:pt>
                <c:pt idx="241">
                  <c:v>7</c:v>
                </c:pt>
                <c:pt idx="242">
                  <c:v>6.992</c:v>
                </c:pt>
                <c:pt idx="243">
                  <c:v>6.9729999999999999</c:v>
                </c:pt>
                <c:pt idx="244">
                  <c:v>7.202</c:v>
                </c:pt>
                <c:pt idx="245">
                  <c:v>7.7679999999999998</c:v>
                </c:pt>
                <c:pt idx="246">
                  <c:v>8.0299999999999994</c:v>
                </c:pt>
                <c:pt idx="247">
                  <c:v>8.0129999999999999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B-4939-87B9-A0710FDA7FA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-0.53939720526583423</c:v>
                </c:pt>
                <c:pt idx="1">
                  <c:v>-0.53872856756091614</c:v>
                </c:pt>
                <c:pt idx="2">
                  <c:v>-0.5308419742260051</c:v>
                </c:pt>
                <c:pt idx="3">
                  <c:v>-0.53618638673108965</c:v>
                </c:pt>
                <c:pt idx="4">
                  <c:v>-0.53485145201558715</c:v>
                </c:pt>
                <c:pt idx="5">
                  <c:v>-0.53925994275276667</c:v>
                </c:pt>
                <c:pt idx="6">
                  <c:v>-0.53110323962607042</c:v>
                </c:pt>
                <c:pt idx="7">
                  <c:v>-0.51759624508158775</c:v>
                </c:pt>
                <c:pt idx="8">
                  <c:v>-0.50845273922612566</c:v>
                </c:pt>
                <c:pt idx="9">
                  <c:v>-0.50695502716530527</c:v>
                </c:pt>
                <c:pt idx="10">
                  <c:v>-0.51023968292109845</c:v>
                </c:pt>
                <c:pt idx="11">
                  <c:v>-0.50548336364674629</c:v>
                </c:pt>
                <c:pt idx="12">
                  <c:v>-0.50611998391552104</c:v>
                </c:pt>
                <c:pt idx="13">
                  <c:v>-0.50448425458066914</c:v>
                </c:pt>
                <c:pt idx="14">
                  <c:v>-0.50474146270107045</c:v>
                </c:pt>
                <c:pt idx="15">
                  <c:v>-0.49560029157997665</c:v>
                </c:pt>
                <c:pt idx="16">
                  <c:v>-0.50185967243903706</c:v>
                </c:pt>
                <c:pt idx="17">
                  <c:v>-0.51087683235813819</c:v>
                </c:pt>
                <c:pt idx="18">
                  <c:v>-0.50843827183341295</c:v>
                </c:pt>
                <c:pt idx="19">
                  <c:v>-0.50859679902921717</c:v>
                </c:pt>
                <c:pt idx="20">
                  <c:v>-0.50065369675797311</c:v>
                </c:pt>
                <c:pt idx="21">
                  <c:v>-0.49371339684157428</c:v>
                </c:pt>
                <c:pt idx="22">
                  <c:v>-0.49241730232695435</c:v>
                </c:pt>
                <c:pt idx="23">
                  <c:v>-0.48355414843838296</c:v>
                </c:pt>
                <c:pt idx="24">
                  <c:v>-0.47804512056255144</c:v>
                </c:pt>
                <c:pt idx="25">
                  <c:v>-0.47324021113797043</c:v>
                </c:pt>
                <c:pt idx="26">
                  <c:v>-0.48091845294298441</c:v>
                </c:pt>
                <c:pt idx="27">
                  <c:v>-0.48867006166516463</c:v>
                </c:pt>
                <c:pt idx="28">
                  <c:v>-0.48690456492982126</c:v>
                </c:pt>
                <c:pt idx="29">
                  <c:v>-0.48622566276252094</c:v>
                </c:pt>
                <c:pt idx="30">
                  <c:v>-0.47909838782721598</c:v>
                </c:pt>
                <c:pt idx="31">
                  <c:v>-0.46208736934277861</c:v>
                </c:pt>
                <c:pt idx="32">
                  <c:v>-0.45380707217160743</c:v>
                </c:pt>
                <c:pt idx="33">
                  <c:v>-0.45338434691069918</c:v>
                </c:pt>
                <c:pt idx="34">
                  <c:v>-0.46263223293110733</c:v>
                </c:pt>
                <c:pt idx="35">
                  <c:v>-0.45951737315083058</c:v>
                </c:pt>
                <c:pt idx="36">
                  <c:v>-0.46859221252138888</c:v>
                </c:pt>
                <c:pt idx="37">
                  <c:v>-0.46627904099452133</c:v>
                </c:pt>
                <c:pt idx="38">
                  <c:v>-0.47051220919069969</c:v>
                </c:pt>
                <c:pt idx="39">
                  <c:v>-0.47467997414387697</c:v>
                </c:pt>
                <c:pt idx="40">
                  <c:v>-0.46990837077331854</c:v>
                </c:pt>
                <c:pt idx="41">
                  <c:v>-0.47029269850612015</c:v>
                </c:pt>
                <c:pt idx="42">
                  <c:v>-0.47038546052511276</c:v>
                </c:pt>
                <c:pt idx="43">
                  <c:v>-0.46068474213291943</c:v>
                </c:pt>
                <c:pt idx="44">
                  <c:v>-0.47201097940534192</c:v>
                </c:pt>
                <c:pt idx="45">
                  <c:v>-0.47980180164010489</c:v>
                </c:pt>
                <c:pt idx="46">
                  <c:v>-0.46589213110347394</c:v>
                </c:pt>
                <c:pt idx="47">
                  <c:v>-0.47063921875846054</c:v>
                </c:pt>
                <c:pt idx="48">
                  <c:v>-0.47109762810867145</c:v>
                </c:pt>
                <c:pt idx="49">
                  <c:v>-0.45618050960128476</c:v>
                </c:pt>
                <c:pt idx="50">
                  <c:v>-0.42473994271578863</c:v>
                </c:pt>
                <c:pt idx="51">
                  <c:v>-0.43893293804550532</c:v>
                </c:pt>
                <c:pt idx="52">
                  <c:v>-0.46265353019154998</c:v>
                </c:pt>
                <c:pt idx="53">
                  <c:v>-0.48035341255461528</c:v>
                </c:pt>
                <c:pt idx="54">
                  <c:v>-0.47772828419140778</c:v>
                </c:pt>
                <c:pt idx="55">
                  <c:v>-0.49509755054267701</c:v>
                </c:pt>
                <c:pt idx="56">
                  <c:v>-0.48199357315164693</c:v>
                </c:pt>
                <c:pt idx="57">
                  <c:v>-0.48713079077014404</c:v>
                </c:pt>
                <c:pt idx="58">
                  <c:v>-0.46433495805252084</c:v>
                </c:pt>
                <c:pt idx="59">
                  <c:v>-0.44470099002717906</c:v>
                </c:pt>
                <c:pt idx="60">
                  <c:v>-0.48213949249776727</c:v>
                </c:pt>
                <c:pt idx="61">
                  <c:v>-0.47018175721669458</c:v>
                </c:pt>
                <c:pt idx="62">
                  <c:v>-0.38180252253192204</c:v>
                </c:pt>
                <c:pt idx="63">
                  <c:v>-0.49583082657232613</c:v>
                </c:pt>
                <c:pt idx="64">
                  <c:v>-0.50087526585317721</c:v>
                </c:pt>
                <c:pt idx="65">
                  <c:v>-0.50247933196088235</c:v>
                </c:pt>
                <c:pt idx="66">
                  <c:v>-0.51076453790608778</c:v>
                </c:pt>
                <c:pt idx="67">
                  <c:v>-0.50457524368386553</c:v>
                </c:pt>
                <c:pt idx="68">
                  <c:v>-0.50398150753476523</c:v>
                </c:pt>
                <c:pt idx="69">
                  <c:v>-0.51005992323980121</c:v>
                </c:pt>
                <c:pt idx="70">
                  <c:v>-0.51584342828215723</c:v>
                </c:pt>
                <c:pt idx="71">
                  <c:v>-0.49779858822773537</c:v>
                </c:pt>
                <c:pt idx="72">
                  <c:v>-0.50901929197704154</c:v>
                </c:pt>
                <c:pt idx="73">
                  <c:v>-0.5011343774436231</c:v>
                </c:pt>
                <c:pt idx="74">
                  <c:v>-0.49014083008424814</c:v>
                </c:pt>
                <c:pt idx="75">
                  <c:v>-0.48984177771028692</c:v>
                </c:pt>
                <c:pt idx="76">
                  <c:v>-0.47737061059023234</c:v>
                </c:pt>
                <c:pt idx="77">
                  <c:v>-0.46177568191677959</c:v>
                </c:pt>
                <c:pt idx="78">
                  <c:v>-0.39655125636283961</c:v>
                </c:pt>
                <c:pt idx="79">
                  <c:v>-0.44798997364428222</c:v>
                </c:pt>
                <c:pt idx="80">
                  <c:v>-0.45265519972822382</c:v>
                </c:pt>
                <c:pt idx="81">
                  <c:v>-0.45182448100141531</c:v>
                </c:pt>
                <c:pt idx="82">
                  <c:v>-0.45780651127958932</c:v>
                </c:pt>
                <c:pt idx="83">
                  <c:v>-0.45357013135358504</c:v>
                </c:pt>
                <c:pt idx="84">
                  <c:v>-0.44893208435745352</c:v>
                </c:pt>
                <c:pt idx="85">
                  <c:v>-0.44203839148390434</c:v>
                </c:pt>
                <c:pt idx="86">
                  <c:v>-0.44391711535453826</c:v>
                </c:pt>
                <c:pt idx="87">
                  <c:v>-0.45763726326740556</c:v>
                </c:pt>
                <c:pt idx="88">
                  <c:v>-0.45114219646935999</c:v>
                </c:pt>
                <c:pt idx="89">
                  <c:v>-0.45160416352875388</c:v>
                </c:pt>
                <c:pt idx="90">
                  <c:v>-0.44468891989918863</c:v>
                </c:pt>
                <c:pt idx="91">
                  <c:v>-0.43037618243624559</c:v>
                </c:pt>
                <c:pt idx="92">
                  <c:v>-0.41976647718745569</c:v>
                </c:pt>
                <c:pt idx="93">
                  <c:v>-0.29573469080610348</c:v>
                </c:pt>
                <c:pt idx="94">
                  <c:v>-0.29256021115610348</c:v>
                </c:pt>
                <c:pt idx="95">
                  <c:v>-0.2977766556589716</c:v>
                </c:pt>
                <c:pt idx="96">
                  <c:v>-0.29424123693420096</c:v>
                </c:pt>
                <c:pt idx="97">
                  <c:v>-0.29548674969231309</c:v>
                </c:pt>
                <c:pt idx="98">
                  <c:v>-0.29133212086679511</c:v>
                </c:pt>
                <c:pt idx="99">
                  <c:v>-0.27764661820567244</c:v>
                </c:pt>
                <c:pt idx="100">
                  <c:v>-0.27876425048162184</c:v>
                </c:pt>
                <c:pt idx="101">
                  <c:v>-0.27679126039071272</c:v>
                </c:pt>
                <c:pt idx="102">
                  <c:v>-0.27177141196695226</c:v>
                </c:pt>
                <c:pt idx="103">
                  <c:v>-0.27094766518172653</c:v>
                </c:pt>
                <c:pt idx="104">
                  <c:v>-0.25122897946949635</c:v>
                </c:pt>
                <c:pt idx="105">
                  <c:v>-0.2595398953673328</c:v>
                </c:pt>
                <c:pt idx="106">
                  <c:v>-0.2535366097819669</c:v>
                </c:pt>
                <c:pt idx="107">
                  <c:v>-0.25501854072802499</c:v>
                </c:pt>
                <c:pt idx="108">
                  <c:v>-0.25712234712561538</c:v>
                </c:pt>
                <c:pt idx="109">
                  <c:v>-0.25568762316957144</c:v>
                </c:pt>
                <c:pt idx="110">
                  <c:v>-0.24090679978994181</c:v>
                </c:pt>
                <c:pt idx="111">
                  <c:v>-0.23812617188599666</c:v>
                </c:pt>
                <c:pt idx="112">
                  <c:v>-0.22790059414361707</c:v>
                </c:pt>
                <c:pt idx="113">
                  <c:v>-0.23971357809514501</c:v>
                </c:pt>
                <c:pt idx="114">
                  <c:v>-0.22651770399713092</c:v>
                </c:pt>
                <c:pt idx="115">
                  <c:v>-0.24906110398250569</c:v>
                </c:pt>
                <c:pt idx="116">
                  <c:v>-0.25202117384917233</c:v>
                </c:pt>
                <c:pt idx="117">
                  <c:v>-0.24571424641074874</c:v>
                </c:pt>
                <c:pt idx="118">
                  <c:v>-0.25035416020829476</c:v>
                </c:pt>
                <c:pt idx="119">
                  <c:v>-0.26543295277716961</c:v>
                </c:pt>
                <c:pt idx="120">
                  <c:v>-0.27130859705027449</c:v>
                </c:pt>
                <c:pt idx="121">
                  <c:v>-0.27260869356321044</c:v>
                </c:pt>
                <c:pt idx="122">
                  <c:v>-0.26305118328248206</c:v>
                </c:pt>
                <c:pt idx="123">
                  <c:v>-0.24433800661581534</c:v>
                </c:pt>
                <c:pt idx="124">
                  <c:v>-0.24310978401302091</c:v>
                </c:pt>
                <c:pt idx="125">
                  <c:v>-0.23352711229180875</c:v>
                </c:pt>
                <c:pt idx="126">
                  <c:v>-0.20691788265401651</c:v>
                </c:pt>
                <c:pt idx="127">
                  <c:v>-0.21847979356234981</c:v>
                </c:pt>
                <c:pt idx="128">
                  <c:v>-0.22870936908347658</c:v>
                </c:pt>
                <c:pt idx="129">
                  <c:v>-0.21883457972615014</c:v>
                </c:pt>
                <c:pt idx="130">
                  <c:v>-0.2104808474370273</c:v>
                </c:pt>
                <c:pt idx="131">
                  <c:v>-0.19531585013762612</c:v>
                </c:pt>
                <c:pt idx="132">
                  <c:v>-0.18847876508777572</c:v>
                </c:pt>
                <c:pt idx="133">
                  <c:v>-0.17443298592502499</c:v>
                </c:pt>
                <c:pt idx="134">
                  <c:v>-0.19027001907411858</c:v>
                </c:pt>
                <c:pt idx="135">
                  <c:v>-0.19574167236340426</c:v>
                </c:pt>
                <c:pt idx="136">
                  <c:v>-0.18448027640439985</c:v>
                </c:pt>
                <c:pt idx="137">
                  <c:v>-0.1803836387775429</c:v>
                </c:pt>
                <c:pt idx="138">
                  <c:v>-0.24517443462203073</c:v>
                </c:pt>
                <c:pt idx="139">
                  <c:v>-0.24124356088663146</c:v>
                </c:pt>
                <c:pt idx="140">
                  <c:v>-0.23285465262838523</c:v>
                </c:pt>
                <c:pt idx="141">
                  <c:v>-0.23222461520903037</c:v>
                </c:pt>
                <c:pt idx="142">
                  <c:v>-0.23592441500091382</c:v>
                </c:pt>
                <c:pt idx="143">
                  <c:v>-0.2194785575142422</c:v>
                </c:pt>
                <c:pt idx="144">
                  <c:v>-0.22042011624458582</c:v>
                </c:pt>
                <c:pt idx="145">
                  <c:v>-0.2194199627512525</c:v>
                </c:pt>
                <c:pt idx="146">
                  <c:v>-0.20495193074510679</c:v>
                </c:pt>
                <c:pt idx="147">
                  <c:v>-0.20033400080014699</c:v>
                </c:pt>
                <c:pt idx="148">
                  <c:v>-0.18881770451867361</c:v>
                </c:pt>
                <c:pt idx="149">
                  <c:v>-0.19594699451867362</c:v>
                </c:pt>
                <c:pt idx="150">
                  <c:v>-0.17907508729024318</c:v>
                </c:pt>
                <c:pt idx="151">
                  <c:v>-0.16026611109896161</c:v>
                </c:pt>
                <c:pt idx="152">
                  <c:v>-0.14227199780780878</c:v>
                </c:pt>
                <c:pt idx="153">
                  <c:v>-0.1222909447691732</c:v>
                </c:pt>
                <c:pt idx="154">
                  <c:v>-0.12857751086659547</c:v>
                </c:pt>
                <c:pt idx="155">
                  <c:v>-6.1187059099047245E-2</c:v>
                </c:pt>
                <c:pt idx="156">
                  <c:v>-0.10786230919632686</c:v>
                </c:pt>
                <c:pt idx="157">
                  <c:v>-0.11044795895521425</c:v>
                </c:pt>
                <c:pt idx="158">
                  <c:v>-0.12692887412788842</c:v>
                </c:pt>
                <c:pt idx="159">
                  <c:v>-0.12746386012788841</c:v>
                </c:pt>
                <c:pt idx="160">
                  <c:v>-0.12133087321160935</c:v>
                </c:pt>
                <c:pt idx="161">
                  <c:v>-0.12821958930718944</c:v>
                </c:pt>
                <c:pt idx="162">
                  <c:v>-0.13409811722676987</c:v>
                </c:pt>
                <c:pt idx="163">
                  <c:v>-0.12816913078074135</c:v>
                </c:pt>
                <c:pt idx="164">
                  <c:v>-0.11714743149297663</c:v>
                </c:pt>
                <c:pt idx="165">
                  <c:v>-0.11334373352327966</c:v>
                </c:pt>
                <c:pt idx="166">
                  <c:v>-0.12188388103084395</c:v>
                </c:pt>
                <c:pt idx="167">
                  <c:v>-0.10547105249628573</c:v>
                </c:pt>
                <c:pt idx="168">
                  <c:v>-0.11542623942155342</c:v>
                </c:pt>
                <c:pt idx="169">
                  <c:v>-0.11202639878997446</c:v>
                </c:pt>
                <c:pt idx="170">
                  <c:v>-9.8579412654101431E-2</c:v>
                </c:pt>
                <c:pt idx="171">
                  <c:v>-9.8638639956570601E-2</c:v>
                </c:pt>
                <c:pt idx="172">
                  <c:v>-9.7983625848582445E-2</c:v>
                </c:pt>
                <c:pt idx="173">
                  <c:v>-7.1370001712603603E-2</c:v>
                </c:pt>
                <c:pt idx="174">
                  <c:v>-0.10377828324298072</c:v>
                </c:pt>
                <c:pt idx="175">
                  <c:v>-9.4600848647789795E-2</c:v>
                </c:pt>
                <c:pt idx="176">
                  <c:v>-9.1908435844296033E-2</c:v>
                </c:pt>
                <c:pt idx="177">
                  <c:v>-0.12314077701067197</c:v>
                </c:pt>
                <c:pt idx="178">
                  <c:v>-0.13053421167263812</c:v>
                </c:pt>
                <c:pt idx="179">
                  <c:v>-0.12821324374515167</c:v>
                </c:pt>
                <c:pt idx="180">
                  <c:v>-0.10501278445374002</c:v>
                </c:pt>
                <c:pt idx="181">
                  <c:v>-0.15522936464002138</c:v>
                </c:pt>
                <c:pt idx="182">
                  <c:v>-0.15507847607188718</c:v>
                </c:pt>
                <c:pt idx="183">
                  <c:v>-0.15560716074652833</c:v>
                </c:pt>
                <c:pt idx="184">
                  <c:v>-0.15164649664987764</c:v>
                </c:pt>
                <c:pt idx="185">
                  <c:v>-0.15305671904498253</c:v>
                </c:pt>
                <c:pt idx="186">
                  <c:v>-0.13984787276641109</c:v>
                </c:pt>
                <c:pt idx="187">
                  <c:v>-0.14446006740261799</c:v>
                </c:pt>
                <c:pt idx="188">
                  <c:v>-0.13384949460113377</c:v>
                </c:pt>
                <c:pt idx="189">
                  <c:v>-0.14250747237185538</c:v>
                </c:pt>
                <c:pt idx="190">
                  <c:v>-0.14222475646507574</c:v>
                </c:pt>
                <c:pt idx="191">
                  <c:v>-0.14220121625311186</c:v>
                </c:pt>
                <c:pt idx="192">
                  <c:v>-0.13682414499203802</c:v>
                </c:pt>
                <c:pt idx="193">
                  <c:v>-0.13275602785237917</c:v>
                </c:pt>
                <c:pt idx="194">
                  <c:v>-0.12989502889216972</c:v>
                </c:pt>
                <c:pt idx="195">
                  <c:v>-0.12723055402966971</c:v>
                </c:pt>
                <c:pt idx="196">
                  <c:v>-0.11210626913757248</c:v>
                </c:pt>
                <c:pt idx="197">
                  <c:v>-9.1934034733887407E-2</c:v>
                </c:pt>
                <c:pt idx="198">
                  <c:v>-9.4157788779072576E-2</c:v>
                </c:pt>
                <c:pt idx="199">
                  <c:v>-0.15670045833102902</c:v>
                </c:pt>
                <c:pt idx="200">
                  <c:v>-0.15464768386862901</c:v>
                </c:pt>
                <c:pt idx="201">
                  <c:v>-0.15458876536432276</c:v>
                </c:pt>
                <c:pt idx="202">
                  <c:v>-0.15326032498654499</c:v>
                </c:pt>
                <c:pt idx="203">
                  <c:v>-0.15455852528349415</c:v>
                </c:pt>
                <c:pt idx="204">
                  <c:v>-0.15403819640747937</c:v>
                </c:pt>
                <c:pt idx="205">
                  <c:v>-0.14724366735842279</c:v>
                </c:pt>
                <c:pt idx="206">
                  <c:v>-0.14911371552846495</c:v>
                </c:pt>
                <c:pt idx="207">
                  <c:v>-0.14832255886179829</c:v>
                </c:pt>
                <c:pt idx="208">
                  <c:v>-0.14505659789148581</c:v>
                </c:pt>
                <c:pt idx="209">
                  <c:v>-0.14508185919843769</c:v>
                </c:pt>
                <c:pt idx="210">
                  <c:v>-0.13101027731510437</c:v>
                </c:pt>
                <c:pt idx="211">
                  <c:v>-0.12934649427137554</c:v>
                </c:pt>
                <c:pt idx="212">
                  <c:v>-0.12944264765742208</c:v>
                </c:pt>
                <c:pt idx="213">
                  <c:v>-0.12887073931295034</c:v>
                </c:pt>
                <c:pt idx="214">
                  <c:v>-0.1260982661994888</c:v>
                </c:pt>
                <c:pt idx="215">
                  <c:v>-0.12928620529353133</c:v>
                </c:pt>
                <c:pt idx="216">
                  <c:v>-0.12147407271990497</c:v>
                </c:pt>
                <c:pt idx="217">
                  <c:v>-0.12041469474622075</c:v>
                </c:pt>
                <c:pt idx="218">
                  <c:v>-0.11780000936416098</c:v>
                </c:pt>
                <c:pt idx="219">
                  <c:v>-0.11583483216433134</c:v>
                </c:pt>
                <c:pt idx="220">
                  <c:v>-0.11229613434330385</c:v>
                </c:pt>
                <c:pt idx="221">
                  <c:v>-8.8040931219537058E-2</c:v>
                </c:pt>
                <c:pt idx="222">
                  <c:v>-5.0912330479537082E-2</c:v>
                </c:pt>
                <c:pt idx="223">
                  <c:v>-4.7881678128232748E-2</c:v>
                </c:pt>
                <c:pt idx="224">
                  <c:v>-4.4407357187934246E-2</c:v>
                </c:pt>
                <c:pt idx="225">
                  <c:v>-3.4922816896577495E-2</c:v>
                </c:pt>
                <c:pt idx="226">
                  <c:v>-3.4481562907442677E-2</c:v>
                </c:pt>
                <c:pt idx="227">
                  <c:v>-3.2950544199977061E-2</c:v>
                </c:pt>
                <c:pt idx="228">
                  <c:v>-3.3764738699572201E-2</c:v>
                </c:pt>
                <c:pt idx="229">
                  <c:v>-3.6185730654255732E-2</c:v>
                </c:pt>
                <c:pt idx="230">
                  <c:v>-3.4525098323086909E-2</c:v>
                </c:pt>
                <c:pt idx="231">
                  <c:v>-3.2242532693897714E-2</c:v>
                </c:pt>
                <c:pt idx="232">
                  <c:v>-3.1681582013466845E-2</c:v>
                </c:pt>
                <c:pt idx="233">
                  <c:v>-3.354963705128626E-2</c:v>
                </c:pt>
                <c:pt idx="234">
                  <c:v>-3.166247133976452E-2</c:v>
                </c:pt>
                <c:pt idx="235">
                  <c:v>-2.9434410329020722E-2</c:v>
                </c:pt>
                <c:pt idx="236">
                  <c:v>-2.8565377112403516E-2</c:v>
                </c:pt>
                <c:pt idx="237">
                  <c:v>-2.6840402705077513E-2</c:v>
                </c:pt>
                <c:pt idx="238">
                  <c:v>-2.601346873938902E-2</c:v>
                </c:pt>
                <c:pt idx="239">
                  <c:v>-2.8059340806324506E-2</c:v>
                </c:pt>
                <c:pt idx="240">
                  <c:v>-2.1720828671493053E-2</c:v>
                </c:pt>
                <c:pt idx="241">
                  <c:v>-1.9663579907034455E-2</c:v>
                </c:pt>
                <c:pt idx="242">
                  <c:v>-2.1069028908515936E-2</c:v>
                </c:pt>
                <c:pt idx="243">
                  <c:v>-2.1130099638969498E-2</c:v>
                </c:pt>
                <c:pt idx="244">
                  <c:v>-1.9916259470894964E-2</c:v>
                </c:pt>
                <c:pt idx="245">
                  <c:v>-1.8773133994631569E-2</c:v>
                </c:pt>
                <c:pt idx="246">
                  <c:v>-1.7615755360124524E-2</c:v>
                </c:pt>
                <c:pt idx="247">
                  <c:v>-1.4918989334037555E-2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6B-4939-87B9-A0710FDA7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221936"/>
        <c:axId val="96220688"/>
      </c:lineChart>
      <c:dateAx>
        <c:axId val="96221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20688"/>
        <c:crosses val="autoZero"/>
        <c:auto val="1"/>
        <c:lblOffset val="100"/>
        <c:baseTimeUnit val="days"/>
      </c:dateAx>
      <c:valAx>
        <c:axId val="9622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2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FCEC2E-1FC2-4137-9E77-366FB2213DA7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8A009D-ED7C-4079-B8D7-678D21792D0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22.581</v>
      </c>
      <c r="D2" s="4">
        <f>MIN(D3:D1912)</f>
        <v>2.9950000000000001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5.6609999999999996</v>
      </c>
      <c r="C5">
        <v>5.7359999999999998</v>
      </c>
      <c r="D5">
        <v>5.492</v>
      </c>
      <c r="E5">
        <v>5.5039999999999996</v>
      </c>
      <c r="F5">
        <v>74158</v>
      </c>
      <c r="G5">
        <v>5.5039999999999996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-0.90163934426229853</v>
      </c>
      <c r="Q5">
        <f t="shared" ref="Q5" si="1">F5*P5</f>
        <v>-66863.770491803531</v>
      </c>
      <c r="R5">
        <f t="shared" ref="R5" si="2">R6+Q5</f>
        <v>-53939720.526583426</v>
      </c>
      <c r="S5">
        <f t="shared" ref="S5" si="3">R5/100000</f>
        <v>-539.39720526583426</v>
      </c>
      <c r="T5">
        <f t="shared" ref="T5" si="4">S5/1000</f>
        <v>-0.53939720526583423</v>
      </c>
    </row>
    <row r="6" spans="1:20" x14ac:dyDescent="0.25">
      <c r="A6" s="5">
        <v>44587</v>
      </c>
      <c r="B6">
        <v>5.5460000000000003</v>
      </c>
      <c r="C6">
        <v>6.3</v>
      </c>
      <c r="D6">
        <v>5.4550000000000001</v>
      </c>
      <c r="E6">
        <v>5.6609999999999996</v>
      </c>
      <c r="F6">
        <v>1539069.6</v>
      </c>
      <c r="G6">
        <v>5.6609999999999996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-0.51242603550295962</v>
      </c>
      <c r="Q6">
        <f t="shared" ref="Q6" si="6">F6*P6</f>
        <v>-788659.33349112596</v>
      </c>
      <c r="R6">
        <f t="shared" ref="R6" si="7">R7+Q6</f>
        <v>-53872856.756091624</v>
      </c>
      <c r="S6">
        <f t="shared" ref="S6" si="8">R6/100000</f>
        <v>-538.72856756091619</v>
      </c>
      <c r="T6">
        <f t="shared" ref="T6" si="9">S6/1000</f>
        <v>-0.53872856756091614</v>
      </c>
    </row>
    <row r="7" spans="1:20" x14ac:dyDescent="0.25">
      <c r="A7" s="5">
        <v>44586</v>
      </c>
      <c r="B7">
        <v>5.2619999999999996</v>
      </c>
      <c r="C7">
        <v>5.6680000000000001</v>
      </c>
      <c r="D7">
        <v>5.0780000000000003</v>
      </c>
      <c r="E7">
        <v>5.5359999999999996</v>
      </c>
      <c r="F7">
        <v>967240.3</v>
      </c>
      <c r="G7">
        <v>5.5359999999999996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0.55254237288135388</v>
      </c>
      <c r="Q7">
        <f t="shared" ref="Q7" si="11">F7*P7</f>
        <v>534441.25050847267</v>
      </c>
      <c r="R7">
        <f t="shared" ref="R7" si="12">R8+Q7</f>
        <v>-53084197.4226005</v>
      </c>
      <c r="S7">
        <f t="shared" ref="S7" si="13">R7/100000</f>
        <v>-530.84197422600505</v>
      </c>
      <c r="T7">
        <f t="shared" ref="T7" si="14">S7/1000</f>
        <v>-0.5308419742260051</v>
      </c>
    </row>
    <row r="8" spans="1:20" x14ac:dyDescent="0.25">
      <c r="A8" s="5">
        <v>44585</v>
      </c>
      <c r="B8">
        <v>5.89</v>
      </c>
      <c r="C8">
        <v>5.89</v>
      </c>
      <c r="D8">
        <v>4.7160000000000002</v>
      </c>
      <c r="E8">
        <v>5.2619999999999996</v>
      </c>
      <c r="F8">
        <v>1911235.8</v>
      </c>
      <c r="G8">
        <v>5.2619999999999996</v>
      </c>
      <c r="L8" t="s">
        <v>7</v>
      </c>
      <c r="M8" t="s">
        <v>7</v>
      </c>
      <c r="N8" t="s">
        <v>7</v>
      </c>
      <c r="P8">
        <f t="shared" ref="P8" si="15">IF(C8=D8,0,((E8-D8)-(C8-E8))/(C8-D8))</f>
        <v>-6.984667802385075E-2</v>
      </c>
      <c r="Q8">
        <f t="shared" ref="Q8" si="16">F8*P8</f>
        <v>-133493.4715502568</v>
      </c>
      <c r="R8">
        <f t="shared" ref="R8" si="17">R9+Q8</f>
        <v>-53618638.673108973</v>
      </c>
      <c r="S8">
        <f t="shared" ref="S8" si="18">R8/100000</f>
        <v>-536.18638673108967</v>
      </c>
      <c r="T8">
        <f t="shared" ref="T8" si="19">S8/1000</f>
        <v>-0.53618638673108965</v>
      </c>
    </row>
    <row r="9" spans="1:20" x14ac:dyDescent="0.25">
      <c r="A9" s="5">
        <v>44584</v>
      </c>
      <c r="B9">
        <v>5.6139999999999999</v>
      </c>
      <c r="C9">
        <v>6.11</v>
      </c>
      <c r="D9">
        <v>5.4859999999999998</v>
      </c>
      <c r="E9">
        <v>5.8959999999999999</v>
      </c>
      <c r="F9">
        <v>1403519.5</v>
      </c>
      <c r="G9">
        <v>5.8959999999999999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0.31410256410256338</v>
      </c>
      <c r="Q9">
        <f t="shared" ref="Q9" si="21">F9*P9</f>
        <v>440849.0737179477</v>
      </c>
      <c r="R9">
        <f t="shared" ref="R9" si="22">R10+Q9</f>
        <v>-53485145.201558717</v>
      </c>
      <c r="S9">
        <f t="shared" ref="S9" si="23">R9/100000</f>
        <v>-534.85145201558714</v>
      </c>
      <c r="T9">
        <f t="shared" ref="T9" si="24">S9/1000</f>
        <v>-0.53485145201558715</v>
      </c>
    </row>
    <row r="10" spans="1:20" x14ac:dyDescent="0.25">
      <c r="A10" s="5">
        <v>44583</v>
      </c>
      <c r="B10">
        <v>6.4880000000000004</v>
      </c>
      <c r="C10">
        <v>6.66</v>
      </c>
      <c r="D10">
        <v>5.0830000000000002</v>
      </c>
      <c r="E10">
        <v>5.6120000000000001</v>
      </c>
      <c r="F10">
        <v>2478443.3199999998</v>
      </c>
      <c r="G10">
        <v>5.6120000000000001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-0.3291058972733038</v>
      </c>
      <c r="Q10">
        <f t="shared" ref="Q10" si="26">F10*P10</f>
        <v>-815670.31266962597</v>
      </c>
      <c r="R10">
        <f t="shared" ref="R10" si="27">R11+Q10</f>
        <v>-53925994.275276661</v>
      </c>
      <c r="S10">
        <f t="shared" ref="S10" si="28">R10/100000</f>
        <v>-539.25994275276662</v>
      </c>
      <c r="T10">
        <f t="shared" ref="T10" si="29">S10/1000</f>
        <v>-0.53925994275276667</v>
      </c>
    </row>
    <row r="11" spans="1:20" x14ac:dyDescent="0.25">
      <c r="A11" s="5">
        <v>44582</v>
      </c>
      <c r="B11">
        <v>7.9450000000000003</v>
      </c>
      <c r="C11">
        <v>7.9820000000000002</v>
      </c>
      <c r="D11">
        <v>6.2329999999999997</v>
      </c>
      <c r="E11">
        <v>6.4870000000000001</v>
      </c>
      <c r="F11">
        <v>1903604.63</v>
      </c>
      <c r="G11">
        <v>6.4870000000000001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-0.70954831332189783</v>
      </c>
      <c r="Q11">
        <f t="shared" ref="Q11" si="31">F11*P11</f>
        <v>-1350699.4544482552</v>
      </c>
      <c r="R11">
        <f t="shared" ref="R11" si="32">R12+Q11</f>
        <v>-53110323.962607034</v>
      </c>
      <c r="S11">
        <f t="shared" ref="S11" si="33">R11/100000</f>
        <v>-531.10323962607038</v>
      </c>
      <c r="T11">
        <f t="shared" ref="T11" si="34">S11/1000</f>
        <v>-0.53110323962607042</v>
      </c>
    </row>
    <row r="12" spans="1:20" x14ac:dyDescent="0.25">
      <c r="A12" s="5">
        <v>44581</v>
      </c>
      <c r="B12">
        <v>8.4350000000000005</v>
      </c>
      <c r="C12">
        <v>9.0640000000000001</v>
      </c>
      <c r="D12">
        <v>7.8739999999999997</v>
      </c>
      <c r="E12">
        <v>7.9450000000000003</v>
      </c>
      <c r="F12">
        <v>1038241.6</v>
      </c>
      <c r="G12">
        <v>7.9450000000000003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-0.88067226890756201</v>
      </c>
      <c r="Q12">
        <f t="shared" ref="Q12" si="36">F12*P12</f>
        <v>-914350.58554621739</v>
      </c>
      <c r="R12">
        <f t="shared" ref="R12" si="37">R13+Q12</f>
        <v>-51759624.508158781</v>
      </c>
      <c r="S12">
        <f t="shared" ref="S12" si="38">R12/100000</f>
        <v>-517.59624508158777</v>
      </c>
      <c r="T12">
        <f t="shared" ref="T12" si="39">S12/1000</f>
        <v>-0.51759624508158775</v>
      </c>
    </row>
    <row r="13" spans="1:20" x14ac:dyDescent="0.25">
      <c r="A13" s="5">
        <v>44580</v>
      </c>
      <c r="B13">
        <v>8.7720000000000002</v>
      </c>
      <c r="C13">
        <v>8.9049999999999994</v>
      </c>
      <c r="D13">
        <v>8.1980000000000004</v>
      </c>
      <c r="E13">
        <v>8.4450000000000003</v>
      </c>
      <c r="F13">
        <v>497127.9</v>
      </c>
      <c r="G13">
        <v>8.4450000000000003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-0.30127298444130057</v>
      </c>
      <c r="Q13">
        <f t="shared" ref="Q13" si="41">F13*P13</f>
        <v>-149771.20608203643</v>
      </c>
      <c r="R13">
        <f t="shared" ref="R13" si="42">R14+Q13</f>
        <v>-50845273.922612563</v>
      </c>
      <c r="S13">
        <f t="shared" ref="S13" si="43">R13/100000</f>
        <v>-508.45273922612563</v>
      </c>
      <c r="T13">
        <f t="shared" ref="T13" si="44">S13/1000</f>
        <v>-0.50845273922612566</v>
      </c>
    </row>
    <row r="14" spans="1:20" x14ac:dyDescent="0.25">
      <c r="A14" s="5">
        <v>44579</v>
      </c>
      <c r="B14">
        <v>8.7780000000000005</v>
      </c>
      <c r="C14">
        <v>8.9390000000000001</v>
      </c>
      <c r="D14">
        <v>8.3780000000000001</v>
      </c>
      <c r="E14">
        <v>8.7899999999999991</v>
      </c>
      <c r="F14">
        <v>700643.3</v>
      </c>
      <c r="G14">
        <v>8.7899999999999991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0.46880570409981848</v>
      </c>
      <c r="Q14">
        <f t="shared" ref="Q14" si="46">F14*P14</f>
        <v>328465.57557932037</v>
      </c>
      <c r="R14">
        <f t="shared" ref="R14" si="47">R15+Q14</f>
        <v>-50695502.716530524</v>
      </c>
      <c r="S14">
        <f t="shared" ref="S14" si="48">R14/100000</f>
        <v>-506.95502716530524</v>
      </c>
      <c r="T14">
        <f t="shared" ref="T14" si="49">S14/1000</f>
        <v>-0.50695502716530527</v>
      </c>
    </row>
    <row r="15" spans="1:20" x14ac:dyDescent="0.25">
      <c r="A15" s="5">
        <v>44578</v>
      </c>
      <c r="B15">
        <v>9.5039999999999996</v>
      </c>
      <c r="C15">
        <v>9.6189999999999998</v>
      </c>
      <c r="D15">
        <v>8.5</v>
      </c>
      <c r="E15">
        <v>8.7680000000000007</v>
      </c>
      <c r="F15">
        <v>912919.6</v>
      </c>
      <c r="G15">
        <v>8.7680000000000007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-0.52100089365504787</v>
      </c>
      <c r="Q15">
        <f t="shared" ref="Q15" si="51">F15*P15</f>
        <v>-475631.92743520881</v>
      </c>
      <c r="R15">
        <f t="shared" ref="R15" si="52">R16+Q15</f>
        <v>-51023968.292109847</v>
      </c>
      <c r="S15">
        <f t="shared" ref="S15" si="53">R15/100000</f>
        <v>-510.23968292109845</v>
      </c>
      <c r="T15">
        <f t="shared" ref="T15" si="54">S15/1000</f>
        <v>-0.51023968292109845</v>
      </c>
    </row>
    <row r="16" spans="1:20" x14ac:dyDescent="0.25">
      <c r="A16" s="5">
        <v>44577</v>
      </c>
      <c r="B16">
        <v>9.4629999999999992</v>
      </c>
      <c r="C16">
        <v>9.6999999999999993</v>
      </c>
      <c r="D16">
        <v>9.1940000000000008</v>
      </c>
      <c r="E16">
        <v>9.49</v>
      </c>
      <c r="F16">
        <v>374569.6</v>
      </c>
      <c r="G16">
        <v>9.49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0.1699604743083015</v>
      </c>
      <c r="Q16">
        <f t="shared" ref="Q16" si="56">F16*P16</f>
        <v>63662.026877470766</v>
      </c>
      <c r="R16">
        <f t="shared" ref="R16" si="57">R17+Q16</f>
        <v>-50548336.364674635</v>
      </c>
      <c r="S16">
        <f t="shared" ref="S16" si="58">R16/100000</f>
        <v>-505.48336364674634</v>
      </c>
      <c r="T16">
        <f t="shared" ref="T16" si="59">S16/1000</f>
        <v>-0.50548336364674629</v>
      </c>
    </row>
    <row r="17" spans="1:20" x14ac:dyDescent="0.25">
      <c r="A17" s="5">
        <v>44576</v>
      </c>
      <c r="B17">
        <v>9.5310000000000006</v>
      </c>
      <c r="C17">
        <v>9.74</v>
      </c>
      <c r="D17">
        <v>9.3010000000000002</v>
      </c>
      <c r="E17">
        <v>9.4570000000000007</v>
      </c>
      <c r="F17">
        <v>565421.4</v>
      </c>
      <c r="G17">
        <v>9.4570000000000007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-0.28929384965831179</v>
      </c>
      <c r="Q17">
        <f t="shared" ref="Q17" si="61">F17*P17</f>
        <v>-163572.93348519219</v>
      </c>
      <c r="R17">
        <f t="shared" ref="R17" si="62">R18+Q17</f>
        <v>-50611998.391552106</v>
      </c>
      <c r="S17">
        <f t="shared" ref="S17" si="63">R17/100000</f>
        <v>-506.11998391552106</v>
      </c>
      <c r="T17">
        <f t="shared" ref="T17" si="64">S17/1000</f>
        <v>-0.50611998391552104</v>
      </c>
    </row>
    <row r="18" spans="1:20" x14ac:dyDescent="0.25">
      <c r="A18" s="5">
        <v>44575</v>
      </c>
      <c r="B18">
        <v>9.5429999999999993</v>
      </c>
      <c r="C18">
        <v>9.8000000000000007</v>
      </c>
      <c r="D18">
        <v>9.202</v>
      </c>
      <c r="E18">
        <v>9.5129999999999999</v>
      </c>
      <c r="F18">
        <v>640876.9</v>
      </c>
      <c r="G18">
        <v>9.5129999999999999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4.0133779264212549E-2</v>
      </c>
      <c r="Q18">
        <f t="shared" ref="Q18" si="66">F18*P18</f>
        <v>25720.81204013282</v>
      </c>
      <c r="R18">
        <f t="shared" ref="R18" si="67">R19+Q18</f>
        <v>-50448425.458066911</v>
      </c>
      <c r="S18">
        <f t="shared" ref="S18" si="68">R18/100000</f>
        <v>-504.48425458066913</v>
      </c>
      <c r="T18">
        <f t="shared" ref="T18" si="69">S18/1000</f>
        <v>-0.50448425458066914</v>
      </c>
    </row>
    <row r="19" spans="1:20" x14ac:dyDescent="0.25">
      <c r="A19" s="5">
        <v>44574</v>
      </c>
      <c r="B19">
        <v>10.19</v>
      </c>
      <c r="C19">
        <v>10.492000000000001</v>
      </c>
      <c r="D19">
        <v>9.468</v>
      </c>
      <c r="E19">
        <v>9.5429999999999993</v>
      </c>
      <c r="F19">
        <v>1071002.2</v>
      </c>
      <c r="G19">
        <v>9.5429999999999993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-0.85351562500000155</v>
      </c>
      <c r="Q19">
        <f t="shared" ref="Q19" si="71">F19*P19</f>
        <v>-914117.11210937658</v>
      </c>
      <c r="R19">
        <f t="shared" ref="R19" si="72">R20+Q19</f>
        <v>-50474146.270107046</v>
      </c>
      <c r="S19">
        <f t="shared" ref="S19" si="73">R19/100000</f>
        <v>-504.74146270107047</v>
      </c>
      <c r="T19">
        <f t="shared" ref="T19" si="74">S19/1000</f>
        <v>-0.50474146270107045</v>
      </c>
    </row>
    <row r="20" spans="1:20" x14ac:dyDescent="0.25">
      <c r="A20" s="5">
        <v>44573</v>
      </c>
      <c r="B20">
        <v>9.6489999999999991</v>
      </c>
      <c r="C20">
        <v>10.38</v>
      </c>
      <c r="D20">
        <v>9.4860000000000007</v>
      </c>
      <c r="E20">
        <v>10.202</v>
      </c>
      <c r="F20">
        <v>1040127.6</v>
      </c>
      <c r="G20">
        <v>10.202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0.60178970917225771</v>
      </c>
      <c r="Q20">
        <f t="shared" ref="Q20" si="76">F20*P20</f>
        <v>625938.08590603841</v>
      </c>
      <c r="R20">
        <f t="shared" ref="R20" si="77">R21+Q20</f>
        <v>-49560029.157997668</v>
      </c>
      <c r="S20">
        <f t="shared" ref="S20" si="78">R20/100000</f>
        <v>-495.60029157997667</v>
      </c>
      <c r="T20">
        <f t="shared" ref="T20" si="79">S20/1000</f>
        <v>-0.49560029157997665</v>
      </c>
    </row>
    <row r="21" spans="1:20" x14ac:dyDescent="0.25">
      <c r="A21" s="5">
        <v>44572</v>
      </c>
      <c r="B21">
        <v>8.9179999999999993</v>
      </c>
      <c r="C21">
        <v>9.6999999999999993</v>
      </c>
      <c r="D21">
        <v>8.81</v>
      </c>
      <c r="E21">
        <v>9.657</v>
      </c>
      <c r="F21">
        <v>998168.2</v>
      </c>
      <c r="G21">
        <v>9.657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0.90337078651685543</v>
      </c>
      <c r="Q21">
        <f t="shared" ref="Q21" si="81">F21*P21</f>
        <v>901715.99191011384</v>
      </c>
      <c r="R21">
        <f t="shared" ref="R21" si="82">R22+Q21</f>
        <v>-50185967.243903704</v>
      </c>
      <c r="S21">
        <f t="shared" ref="S21" si="83">R21/100000</f>
        <v>-501.85967243903701</v>
      </c>
      <c r="T21">
        <f t="shared" ref="T21" si="84">S21/1000</f>
        <v>-0.50185967243903706</v>
      </c>
    </row>
    <row r="22" spans="1:20" x14ac:dyDescent="0.25">
      <c r="A22" s="5">
        <v>44571</v>
      </c>
      <c r="B22">
        <v>9.593</v>
      </c>
      <c r="C22">
        <v>9.7509999999999994</v>
      </c>
      <c r="D22">
        <v>8.2949999999999999</v>
      </c>
      <c r="E22">
        <v>8.9120000000000008</v>
      </c>
      <c r="F22">
        <v>1599344.2</v>
      </c>
      <c r="G22">
        <v>8.9120000000000008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-0.15247252747252599</v>
      </c>
      <c r="Q22">
        <f t="shared" ref="Q22" si="86">F22*P22</f>
        <v>-243856.0524725251</v>
      </c>
      <c r="R22">
        <f t="shared" ref="R22" si="87">R23+Q22</f>
        <v>-51087683.235813819</v>
      </c>
      <c r="S22">
        <f t="shared" ref="S22" si="88">R22/100000</f>
        <v>-510.87683235813819</v>
      </c>
      <c r="T22">
        <f t="shared" ref="T22" si="89">S22/1000</f>
        <v>-0.51087683235813819</v>
      </c>
    </row>
    <row r="23" spans="1:20" x14ac:dyDescent="0.25">
      <c r="A23" s="5">
        <v>44570</v>
      </c>
      <c r="B23">
        <v>9.4420000000000002</v>
      </c>
      <c r="C23">
        <v>9.8800000000000008</v>
      </c>
      <c r="D23">
        <v>9.3079999999999998</v>
      </c>
      <c r="E23">
        <v>9.6</v>
      </c>
      <c r="F23">
        <v>755646.3</v>
      </c>
      <c r="G23">
        <v>9.6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2.0979020979018635E-2</v>
      </c>
      <c r="Q23">
        <f t="shared" ref="Q23" si="91">F23*P23</f>
        <v>15852.71958041781</v>
      </c>
      <c r="R23">
        <f t="shared" ref="R23" si="92">R24+Q23</f>
        <v>-50843827.183341295</v>
      </c>
      <c r="S23">
        <f t="shared" ref="S23" si="93">R23/100000</f>
        <v>-508.43827183341295</v>
      </c>
      <c r="T23">
        <f t="shared" ref="T23" si="94">S23/1000</f>
        <v>-0.50843827183341295</v>
      </c>
    </row>
    <row r="24" spans="1:20" x14ac:dyDescent="0.25">
      <c r="A24" s="5">
        <v>44569</v>
      </c>
      <c r="B24">
        <v>10.148</v>
      </c>
      <c r="C24">
        <v>10.586</v>
      </c>
      <c r="D24">
        <v>9.1150000000000002</v>
      </c>
      <c r="E24">
        <v>9.4420000000000002</v>
      </c>
      <c r="F24">
        <v>1430147.3</v>
      </c>
      <c r="G24">
        <v>9.4420000000000002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-0.55540448674371179</v>
      </c>
      <c r="Q24">
        <f t="shared" ref="Q24" si="96">F24*P24</f>
        <v>-794310.22712440521</v>
      </c>
      <c r="R24">
        <f t="shared" ref="R24" si="97">R25+Q24</f>
        <v>-50859679.902921714</v>
      </c>
      <c r="S24">
        <f t="shared" ref="S24" si="98">R24/100000</f>
        <v>-508.59679902921715</v>
      </c>
      <c r="T24">
        <f t="shared" ref="T24" si="99">S24/1000</f>
        <v>-0.50859679902921717</v>
      </c>
    </row>
    <row r="25" spans="1:20" x14ac:dyDescent="0.25">
      <c r="A25" s="5">
        <v>44568</v>
      </c>
      <c r="B25">
        <v>10.898999999999999</v>
      </c>
      <c r="C25">
        <v>11.012</v>
      </c>
      <c r="D25">
        <v>9.7680000000000007</v>
      </c>
      <c r="E25">
        <v>10.144</v>
      </c>
      <c r="F25">
        <v>1754823.8</v>
      </c>
      <c r="G25">
        <v>10.144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-0.39549839228295897</v>
      </c>
      <c r="Q25">
        <f t="shared" ref="Q25" si="101">F25*P25</f>
        <v>-694029.99163987278</v>
      </c>
      <c r="R25">
        <f t="shared" ref="R25" si="102">R26+Q25</f>
        <v>-50065369.675797306</v>
      </c>
      <c r="S25">
        <f t="shared" ref="S25" si="103">R25/100000</f>
        <v>-500.65369675797308</v>
      </c>
      <c r="T25">
        <f t="shared" ref="T25" si="104">S25/1000</f>
        <v>-0.50065369675797311</v>
      </c>
    </row>
    <row r="26" spans="1:20" x14ac:dyDescent="0.25">
      <c r="A26" s="5">
        <v>44567</v>
      </c>
      <c r="B26">
        <v>11.207000000000001</v>
      </c>
      <c r="C26">
        <v>11.369</v>
      </c>
      <c r="D26">
        <v>10.513999999999999</v>
      </c>
      <c r="E26">
        <v>10.898999999999999</v>
      </c>
      <c r="F26">
        <v>1303718.6000000001</v>
      </c>
      <c r="G26">
        <v>10.898999999999999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-9.9415204678363525E-2</v>
      </c>
      <c r="Q26">
        <f t="shared" ref="Q26" si="106">F26*P26</f>
        <v>-129609.45146198955</v>
      </c>
      <c r="R26">
        <f t="shared" ref="R26" si="107">R27+Q26</f>
        <v>-49371339.684157431</v>
      </c>
      <c r="S26">
        <f t="shared" ref="S26" si="108">R26/100000</f>
        <v>-493.71339684157431</v>
      </c>
      <c r="T26">
        <f t="shared" ref="T26" si="109">S26/1000</f>
        <v>-0.49371339684157428</v>
      </c>
    </row>
    <row r="27" spans="1:20" x14ac:dyDescent="0.25">
      <c r="A27" s="5">
        <v>44566</v>
      </c>
      <c r="B27">
        <v>12.298999999999999</v>
      </c>
      <c r="C27">
        <v>13.2</v>
      </c>
      <c r="D27">
        <v>10.4</v>
      </c>
      <c r="E27">
        <v>11.204000000000001</v>
      </c>
      <c r="F27">
        <v>2081948.9</v>
      </c>
      <c r="G27">
        <v>11.204000000000001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-0.42571428571428532</v>
      </c>
      <c r="Q27">
        <f t="shared" ref="Q27" si="111">F27*P27</f>
        <v>-886315.38885714195</v>
      </c>
      <c r="R27">
        <f t="shared" ref="R27" si="112">R28+Q27</f>
        <v>-49241730.232695438</v>
      </c>
      <c r="S27">
        <f t="shared" ref="S27" si="113">R27/100000</f>
        <v>-492.41730232695437</v>
      </c>
      <c r="T27">
        <f t="shared" ref="T27" si="114">S27/1000</f>
        <v>-0.49241730232695435</v>
      </c>
    </row>
    <row r="28" spans="1:20" x14ac:dyDescent="0.25">
      <c r="A28" s="5">
        <v>44565</v>
      </c>
      <c r="B28">
        <v>12.836</v>
      </c>
      <c r="C28">
        <v>13.002000000000001</v>
      </c>
      <c r="D28">
        <v>12.1</v>
      </c>
      <c r="E28">
        <v>12.298999999999999</v>
      </c>
      <c r="F28">
        <v>985941.1</v>
      </c>
      <c r="G28">
        <v>12.298999999999999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-0.55875831485587668</v>
      </c>
      <c r="Q28">
        <f t="shared" ref="Q28" si="116">F28*P28</f>
        <v>-550902.78758314939</v>
      </c>
      <c r="R28">
        <f t="shared" ref="R28" si="117">R29+Q28</f>
        <v>-48355414.843838297</v>
      </c>
      <c r="S28">
        <f t="shared" ref="S28" si="118">R28/100000</f>
        <v>-483.55414843838298</v>
      </c>
      <c r="T28">
        <f t="shared" ref="T28" si="119">S28/1000</f>
        <v>-0.48355414843838296</v>
      </c>
    </row>
    <row r="29" spans="1:20" x14ac:dyDescent="0.25">
      <c r="A29" s="5">
        <v>44564</v>
      </c>
      <c r="B29">
        <v>14.023</v>
      </c>
      <c r="C29">
        <v>14.05</v>
      </c>
      <c r="D29">
        <v>12.439</v>
      </c>
      <c r="E29">
        <v>12.826000000000001</v>
      </c>
      <c r="F29">
        <v>924815.9</v>
      </c>
      <c r="G29">
        <v>12.826000000000001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-0.51955307262569794</v>
      </c>
      <c r="Q29">
        <f t="shared" ref="Q29" si="121">F29*P29</f>
        <v>-480490.94245810021</v>
      </c>
      <c r="R29">
        <f t="shared" ref="R29" si="122">R30+Q29</f>
        <v>-47804512.056255147</v>
      </c>
      <c r="S29">
        <f t="shared" ref="S29" si="123">R29/100000</f>
        <v>-478.04512056255146</v>
      </c>
      <c r="T29">
        <f t="shared" ref="T29" si="124">S29/1000</f>
        <v>-0.47804512056255144</v>
      </c>
    </row>
    <row r="30" spans="1:20" x14ac:dyDescent="0.25">
      <c r="A30" s="5">
        <v>44563</v>
      </c>
      <c r="B30">
        <v>13.202999999999999</v>
      </c>
      <c r="C30">
        <v>14.301</v>
      </c>
      <c r="D30">
        <v>12.865</v>
      </c>
      <c r="E30">
        <v>14.005000000000001</v>
      </c>
      <c r="F30">
        <v>1306392.8</v>
      </c>
      <c r="G30">
        <v>14.005000000000001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0.58774373259053014</v>
      </c>
      <c r="Q30">
        <f t="shared" ref="Q30" si="126">F30*P30</f>
        <v>767824.18050139397</v>
      </c>
      <c r="R30">
        <f t="shared" ref="R30" si="127">R31+Q30</f>
        <v>-47324021.113797046</v>
      </c>
      <c r="S30">
        <f t="shared" ref="S30" si="128">R30/100000</f>
        <v>-473.24021113797045</v>
      </c>
      <c r="T30">
        <f t="shared" ref="T30" si="129">S30/1000</f>
        <v>-0.47324021113797043</v>
      </c>
    </row>
    <row r="31" spans="1:20" x14ac:dyDescent="0.25">
      <c r="A31" s="5">
        <v>44562</v>
      </c>
      <c r="B31">
        <v>12.244</v>
      </c>
      <c r="C31">
        <v>13.565</v>
      </c>
      <c r="D31">
        <v>12.244</v>
      </c>
      <c r="E31">
        <v>13.208</v>
      </c>
      <c r="F31">
        <v>1686964.6</v>
      </c>
      <c r="G31">
        <v>13.208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0.45950037850113645</v>
      </c>
      <c r="Q31">
        <f t="shared" ref="Q31" si="131">F31*P31</f>
        <v>775160.87221801828</v>
      </c>
      <c r="R31">
        <f t="shared" ref="R31" si="132">R32+Q31</f>
        <v>-48091845.29429844</v>
      </c>
      <c r="S31">
        <f t="shared" ref="S31" si="133">R31/100000</f>
        <v>-480.9184529429844</v>
      </c>
      <c r="T31">
        <f t="shared" ref="T31" si="134">S31/1000</f>
        <v>-0.48091845294298441</v>
      </c>
    </row>
    <row r="32" spans="1:20" x14ac:dyDescent="0.25">
      <c r="A32" s="5">
        <v>44561</v>
      </c>
      <c r="B32">
        <v>11.977</v>
      </c>
      <c r="C32">
        <v>12.955</v>
      </c>
      <c r="D32">
        <v>11.760999999999999</v>
      </c>
      <c r="E32">
        <v>12.249000000000001</v>
      </c>
      <c r="F32">
        <v>966973.9</v>
      </c>
      <c r="G32">
        <v>12.249000000000001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-0.18257956448911059</v>
      </c>
      <c r="Q32">
        <f t="shared" ref="Q32" si="136">F32*P32</f>
        <v>-176549.67353433676</v>
      </c>
      <c r="R32">
        <f t="shared" ref="R32" si="137">R33+Q32</f>
        <v>-48867006.16651646</v>
      </c>
      <c r="S32">
        <f t="shared" ref="S32" si="138">R32/100000</f>
        <v>-488.67006166516461</v>
      </c>
      <c r="T32">
        <f t="shared" ref="T32" si="139">S32/1000</f>
        <v>-0.48867006166516463</v>
      </c>
    </row>
    <row r="33" spans="1:20" x14ac:dyDescent="0.25">
      <c r="A33" s="5">
        <v>44560</v>
      </c>
      <c r="B33">
        <v>11.88</v>
      </c>
      <c r="C33">
        <v>12.553000000000001</v>
      </c>
      <c r="D33">
        <v>11.500999999999999</v>
      </c>
      <c r="E33">
        <v>11.99</v>
      </c>
      <c r="F33">
        <v>965142</v>
      </c>
      <c r="G33">
        <v>11.99</v>
      </c>
      <c r="L33" t="s">
        <v>7</v>
      </c>
      <c r="M33" t="s">
        <v>8</v>
      </c>
      <c r="N33" t="s">
        <v>8</v>
      </c>
      <c r="P33">
        <f t="shared" ref="P33" si="140">IF(C33=D33,0,((E33-D33)-(C33-E33))/(C33-D33))</f>
        <v>-7.0342205323193671E-2</v>
      </c>
      <c r="Q33">
        <f t="shared" ref="Q33" si="141">F33*P33</f>
        <v>-67890.216730037791</v>
      </c>
      <c r="R33">
        <f t="shared" ref="R33" si="142">R34+Q33</f>
        <v>-48690456.492982127</v>
      </c>
      <c r="S33">
        <f t="shared" ref="S33" si="143">R33/100000</f>
        <v>-486.90456492982128</v>
      </c>
      <c r="T33">
        <f t="shared" ref="T33" si="144">S33/1000</f>
        <v>-0.48690456492982126</v>
      </c>
    </row>
    <row r="34" spans="1:20" x14ac:dyDescent="0.25">
      <c r="A34" s="5">
        <v>44559</v>
      </c>
      <c r="B34">
        <v>11.568</v>
      </c>
      <c r="C34">
        <v>12.65</v>
      </c>
      <c r="D34">
        <v>11.568</v>
      </c>
      <c r="E34">
        <v>11.888999999999999</v>
      </c>
      <c r="F34">
        <v>1752661.7</v>
      </c>
      <c r="G34">
        <v>11.888999999999999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-0.40665434380776433</v>
      </c>
      <c r="Q34">
        <f t="shared" ref="Q34" si="146">F34*P34</f>
        <v>-712727.49353050068</v>
      </c>
      <c r="R34">
        <f t="shared" ref="R34" si="147">R35+Q34</f>
        <v>-48622566.276252091</v>
      </c>
      <c r="S34">
        <f t="shared" ref="S34" si="148">R34/100000</f>
        <v>-486.22566276252093</v>
      </c>
      <c r="T34">
        <f t="shared" ref="T34" si="149">S34/1000</f>
        <v>-0.48622566276252094</v>
      </c>
    </row>
    <row r="35" spans="1:20" x14ac:dyDescent="0.25">
      <c r="A35" s="5">
        <v>44558</v>
      </c>
      <c r="B35">
        <v>12.766999999999999</v>
      </c>
      <c r="C35">
        <v>12.782999999999999</v>
      </c>
      <c r="D35">
        <v>11.53</v>
      </c>
      <c r="E35">
        <v>11.581</v>
      </c>
      <c r="F35">
        <v>1851851.1</v>
      </c>
      <c r="G35">
        <v>11.581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-0.91859537110933731</v>
      </c>
      <c r="Q35">
        <f t="shared" ref="Q35" si="151">F35*P35</f>
        <v>-1701101.8484437347</v>
      </c>
      <c r="R35">
        <f t="shared" ref="R35" si="152">R36+Q35</f>
        <v>-47909838.782721594</v>
      </c>
      <c r="S35">
        <f t="shared" ref="S35" si="153">R35/100000</f>
        <v>-479.09838782721596</v>
      </c>
      <c r="T35">
        <f t="shared" ref="T35" si="154">S35/1000</f>
        <v>-0.47909838782721598</v>
      </c>
    </row>
    <row r="36" spans="1:20" x14ac:dyDescent="0.25">
      <c r="A36" s="5">
        <v>44557</v>
      </c>
      <c r="B36">
        <v>13.13</v>
      </c>
      <c r="C36">
        <v>13.5</v>
      </c>
      <c r="D36">
        <v>12.723000000000001</v>
      </c>
      <c r="E36">
        <v>12.776</v>
      </c>
      <c r="F36">
        <v>958836.2</v>
      </c>
      <c r="G36">
        <v>12.776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-0.86357786357786592</v>
      </c>
      <c r="Q36">
        <f t="shared" ref="Q36" si="156">F36*P36</f>
        <v>-828029.71711711935</v>
      </c>
      <c r="R36">
        <f t="shared" ref="R36" si="157">R37+Q36</f>
        <v>-46208736.934277862</v>
      </c>
      <c r="S36">
        <f t="shared" ref="S36" si="158">R36/100000</f>
        <v>-462.08736934277863</v>
      </c>
      <c r="T36">
        <f t="shared" ref="T36" si="159">S36/1000</f>
        <v>-0.46208736934277861</v>
      </c>
    </row>
    <row r="37" spans="1:20" x14ac:dyDescent="0.25">
      <c r="A37" s="5">
        <v>44556</v>
      </c>
      <c r="B37">
        <v>13.224</v>
      </c>
      <c r="C37">
        <v>13.698</v>
      </c>
      <c r="D37">
        <v>12.574999999999999</v>
      </c>
      <c r="E37">
        <v>13.116</v>
      </c>
      <c r="F37">
        <v>1157854.8</v>
      </c>
      <c r="G37">
        <v>13.116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-3.6509349955476694E-2</v>
      </c>
      <c r="Q37">
        <f t="shared" ref="Q37" si="161">F37*P37</f>
        <v>-42272.526090828476</v>
      </c>
      <c r="R37">
        <f t="shared" ref="R37" si="162">R38+Q37</f>
        <v>-45380707.217160746</v>
      </c>
      <c r="S37">
        <f t="shared" ref="S37" si="163">R37/100000</f>
        <v>-453.80707217160744</v>
      </c>
      <c r="T37">
        <f t="shared" ref="T37" si="164">S37/1000</f>
        <v>-0.45380707217160743</v>
      </c>
    </row>
    <row r="38" spans="1:20" x14ac:dyDescent="0.25">
      <c r="A38" s="5">
        <v>44555</v>
      </c>
      <c r="B38">
        <v>12.114000000000001</v>
      </c>
      <c r="C38">
        <v>13.917</v>
      </c>
      <c r="D38">
        <v>11.907999999999999</v>
      </c>
      <c r="E38">
        <v>13.22</v>
      </c>
      <c r="F38">
        <v>3020976.1</v>
      </c>
      <c r="G38">
        <v>13.22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0.30612244897959279</v>
      </c>
      <c r="Q38">
        <f t="shared" ref="Q38" si="166">F38*P38</f>
        <v>924788.60204081924</v>
      </c>
      <c r="R38">
        <f t="shared" ref="R38" si="167">R39+Q38</f>
        <v>-45338434.691069916</v>
      </c>
      <c r="S38">
        <f t="shared" ref="S38" si="168">R38/100000</f>
        <v>-453.38434691069915</v>
      </c>
      <c r="T38">
        <f t="shared" ref="T38" si="169">S38/1000</f>
        <v>-0.45338434691069918</v>
      </c>
    </row>
    <row r="39" spans="1:20" x14ac:dyDescent="0.25">
      <c r="A39" s="5">
        <v>44554</v>
      </c>
      <c r="B39">
        <v>11.766</v>
      </c>
      <c r="C39">
        <v>12.77</v>
      </c>
      <c r="D39">
        <v>11.614000000000001</v>
      </c>
      <c r="E39">
        <v>12.099</v>
      </c>
      <c r="F39">
        <v>1935902.1</v>
      </c>
      <c r="G39">
        <v>12.099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-0.16089965397923886</v>
      </c>
      <c r="Q39">
        <f t="shared" ref="Q39" si="171">F39*P39</f>
        <v>-311485.97802768188</v>
      </c>
      <c r="R39">
        <f t="shared" ref="R39" si="172">R40+Q39</f>
        <v>-46263223.293110736</v>
      </c>
      <c r="S39">
        <f t="shared" ref="S39" si="173">R39/100000</f>
        <v>-462.63223293110735</v>
      </c>
      <c r="T39">
        <f t="shared" ref="T39" si="174">S39/1000</f>
        <v>-0.46263223293110733</v>
      </c>
    </row>
    <row r="40" spans="1:20" x14ac:dyDescent="0.25">
      <c r="A40" s="5">
        <v>44553</v>
      </c>
      <c r="B40">
        <v>11.074</v>
      </c>
      <c r="C40">
        <v>11.859</v>
      </c>
      <c r="D40">
        <v>10.677</v>
      </c>
      <c r="E40">
        <v>11.750999999999999</v>
      </c>
      <c r="F40">
        <v>1110399.6000000001</v>
      </c>
      <c r="G40">
        <v>11.750999999999999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0.81725888324873008</v>
      </c>
      <c r="Q40">
        <f t="shared" ref="Q40" si="176">F40*P40</f>
        <v>907483.93705583666</v>
      </c>
      <c r="R40">
        <f t="shared" ref="R40" si="177">R41+Q40</f>
        <v>-45951737.315083057</v>
      </c>
      <c r="S40">
        <f t="shared" ref="S40" si="178">R40/100000</f>
        <v>-459.51737315083057</v>
      </c>
      <c r="T40">
        <f t="shared" ref="T40" si="179">S40/1000</f>
        <v>-0.45951737315083058</v>
      </c>
    </row>
    <row r="41" spans="1:20" x14ac:dyDescent="0.25">
      <c r="A41" s="5">
        <v>44552</v>
      </c>
      <c r="B41">
        <v>10.914999999999999</v>
      </c>
      <c r="C41">
        <v>11.548</v>
      </c>
      <c r="D41">
        <v>10.785</v>
      </c>
      <c r="E41">
        <v>11.069000000000001</v>
      </c>
      <c r="F41">
        <v>905102.5</v>
      </c>
      <c r="G41">
        <v>11.069000000000001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-0.25557011795543716</v>
      </c>
      <c r="Q41">
        <f t="shared" ref="Q41" si="181">F41*P41</f>
        <v>-231317.15268676105</v>
      </c>
      <c r="R41">
        <f t="shared" ref="R41" si="182">R42+Q41</f>
        <v>-46859221.25213889</v>
      </c>
      <c r="S41">
        <f t="shared" ref="S41" si="183">R41/100000</f>
        <v>-468.59221252138889</v>
      </c>
      <c r="T41">
        <f t="shared" ref="T41" si="184">S41/1000</f>
        <v>-0.46859221252138888</v>
      </c>
    </row>
    <row r="42" spans="1:20" x14ac:dyDescent="0.25">
      <c r="A42" s="5">
        <v>44551</v>
      </c>
      <c r="B42">
        <v>10.484</v>
      </c>
      <c r="C42">
        <v>11.010999999999999</v>
      </c>
      <c r="D42">
        <v>10.226000000000001</v>
      </c>
      <c r="E42">
        <v>10.891999999999999</v>
      </c>
      <c r="F42">
        <v>607502.19999999995</v>
      </c>
      <c r="G42">
        <v>10.891999999999999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0.69681528662420378</v>
      </c>
      <c r="Q42">
        <f t="shared" ref="Q42" si="186">F42*P42</f>
        <v>423316.81961783435</v>
      </c>
      <c r="R42">
        <f t="shared" ref="R42" si="187">R43+Q42</f>
        <v>-46627904.09945213</v>
      </c>
      <c r="S42">
        <f t="shared" ref="S42" si="188">R42/100000</f>
        <v>-466.27904099452132</v>
      </c>
      <c r="T42">
        <f t="shared" ref="T42" si="189">S42/1000</f>
        <v>-0.46627904099452133</v>
      </c>
    </row>
    <row r="43" spans="1:20" x14ac:dyDescent="0.25">
      <c r="A43" s="5">
        <v>44550</v>
      </c>
      <c r="B43">
        <v>10.574</v>
      </c>
      <c r="C43">
        <v>10.653</v>
      </c>
      <c r="D43">
        <v>9.7560000000000002</v>
      </c>
      <c r="E43">
        <v>10.481</v>
      </c>
      <c r="F43">
        <v>676037.1</v>
      </c>
      <c r="G43">
        <v>10.481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0.61649944258639788</v>
      </c>
      <c r="Q43">
        <f t="shared" ref="Q43" si="191">F43*P43</f>
        <v>416776.49531772488</v>
      </c>
      <c r="R43">
        <f t="shared" ref="R43" si="192">R44+Q43</f>
        <v>-47051220.919069968</v>
      </c>
      <c r="S43">
        <f t="shared" ref="S43" si="193">R43/100000</f>
        <v>-470.51220919069971</v>
      </c>
      <c r="T43">
        <f t="shared" ref="T43" si="194">S43/1000</f>
        <v>-0.47051220919069969</v>
      </c>
    </row>
    <row r="44" spans="1:20" x14ac:dyDescent="0.25">
      <c r="A44" s="5">
        <v>44549</v>
      </c>
      <c r="B44">
        <v>11.143000000000001</v>
      </c>
      <c r="C44">
        <v>11.355</v>
      </c>
      <c r="D44">
        <v>10.567</v>
      </c>
      <c r="E44">
        <v>10.583</v>
      </c>
      <c r="F44">
        <v>497357.6</v>
      </c>
      <c r="G44">
        <v>10.583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-0.95939086294416243</v>
      </c>
      <c r="Q44">
        <f t="shared" ref="Q44" si="196">F44*P44</f>
        <v>-477160.33705583756</v>
      </c>
      <c r="R44">
        <f t="shared" ref="R44" si="197">R45+Q44</f>
        <v>-47467997.414387695</v>
      </c>
      <c r="S44">
        <f t="shared" ref="S44" si="198">R44/100000</f>
        <v>-474.67997414387696</v>
      </c>
      <c r="T44">
        <f t="shared" ref="T44" si="199">S44/1000</f>
        <v>-0.47467997414387697</v>
      </c>
    </row>
    <row r="45" spans="1:20" x14ac:dyDescent="0.25">
      <c r="A45" s="5">
        <v>44548</v>
      </c>
      <c r="B45">
        <v>10.862</v>
      </c>
      <c r="C45">
        <v>11.627000000000001</v>
      </c>
      <c r="D45">
        <v>10.624000000000001</v>
      </c>
      <c r="E45">
        <v>11.156000000000001</v>
      </c>
      <c r="F45">
        <v>631935.6</v>
      </c>
      <c r="G45">
        <v>11.156000000000001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6.0817547357926161E-2</v>
      </c>
      <c r="Q45">
        <f t="shared" ref="Q45" si="201">F45*P45</f>
        <v>38432.773280159483</v>
      </c>
      <c r="R45">
        <f t="shared" ref="R45" si="202">R46+Q45</f>
        <v>-46990837.077331856</v>
      </c>
      <c r="S45">
        <f t="shared" ref="S45" si="203">R45/100000</f>
        <v>-469.90837077331855</v>
      </c>
      <c r="T45">
        <f t="shared" ref="T45" si="204">S45/1000</f>
        <v>-0.46990837077331854</v>
      </c>
    </row>
    <row r="46" spans="1:20" x14ac:dyDescent="0.25">
      <c r="A46" s="5">
        <v>44547</v>
      </c>
      <c r="B46">
        <v>10.919</v>
      </c>
      <c r="C46">
        <v>11.48</v>
      </c>
      <c r="D46">
        <v>10.269</v>
      </c>
      <c r="E46">
        <v>10.88</v>
      </c>
      <c r="F46">
        <v>1021225.5</v>
      </c>
      <c r="G46">
        <v>10.88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9.0834021469867934E-3</v>
      </c>
      <c r="Q46">
        <f t="shared" ref="Q46" si="206">F46*P46</f>
        <v>9276.2018992576614</v>
      </c>
      <c r="R46">
        <f t="shared" ref="R46" si="207">R47+Q46</f>
        <v>-47029269.850612015</v>
      </c>
      <c r="S46">
        <f t="shared" ref="S46" si="208">R46/100000</f>
        <v>-470.29269850612013</v>
      </c>
      <c r="T46">
        <f t="shared" ref="T46" si="209">S46/1000</f>
        <v>-0.47029269850612015</v>
      </c>
    </row>
    <row r="47" spans="1:20" x14ac:dyDescent="0.25">
      <c r="A47" s="5">
        <v>44546</v>
      </c>
      <c r="B47">
        <v>10.933999999999999</v>
      </c>
      <c r="C47">
        <v>11.89</v>
      </c>
      <c r="D47">
        <v>10.814</v>
      </c>
      <c r="E47">
        <v>10.904999999999999</v>
      </c>
      <c r="F47">
        <v>1167558.5</v>
      </c>
      <c r="G47">
        <v>10.904999999999999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-0.83085501858736199</v>
      </c>
      <c r="Q47">
        <f t="shared" ref="Q47" si="211">F47*P47</f>
        <v>-970071.83921933244</v>
      </c>
      <c r="R47">
        <f t="shared" ref="R47" si="212">R48+Q47</f>
        <v>-47038546.052511275</v>
      </c>
      <c r="S47">
        <f t="shared" ref="S47" si="213">R47/100000</f>
        <v>-470.38546052511276</v>
      </c>
      <c r="T47">
        <f t="shared" ref="T47" si="214">S47/1000</f>
        <v>-0.47038546052511276</v>
      </c>
    </row>
    <row r="48" spans="1:20" x14ac:dyDescent="0.25">
      <c r="A48" s="5">
        <v>44545</v>
      </c>
      <c r="B48">
        <v>10.492000000000001</v>
      </c>
      <c r="C48">
        <v>11.097</v>
      </c>
      <c r="D48">
        <v>9.9039999999999999</v>
      </c>
      <c r="E48">
        <v>10.91</v>
      </c>
      <c r="F48">
        <v>1649841.4</v>
      </c>
      <c r="G48">
        <v>10.91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0.68650461022632114</v>
      </c>
      <c r="Q48">
        <f t="shared" ref="Q48" si="216">F48*P48</f>
        <v>1132623.7272422479</v>
      </c>
      <c r="R48">
        <f t="shared" ref="R48" si="217">R49+Q48</f>
        <v>-46068474.213291943</v>
      </c>
      <c r="S48">
        <f t="shared" ref="S48" si="218">R48/100000</f>
        <v>-460.68474213291944</v>
      </c>
      <c r="T48">
        <f t="shared" ref="T48" si="219">S48/1000</f>
        <v>-0.46068474213291943</v>
      </c>
    </row>
    <row r="49" spans="1:20" x14ac:dyDescent="0.25">
      <c r="A49" s="5">
        <v>44544</v>
      </c>
      <c r="B49">
        <v>9.9350000000000005</v>
      </c>
      <c r="C49">
        <v>10.64</v>
      </c>
      <c r="D49">
        <v>9.7539999999999996</v>
      </c>
      <c r="E49">
        <v>10.502000000000001</v>
      </c>
      <c r="F49">
        <v>1131585</v>
      </c>
      <c r="G49">
        <v>10.502000000000001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0.68848758465011339</v>
      </c>
      <c r="Q49">
        <f t="shared" ref="Q49" si="221">F49*P49</f>
        <v>779082.22347629862</v>
      </c>
      <c r="R49">
        <f t="shared" ref="R49" si="222">R50+Q49</f>
        <v>-47201097.940534189</v>
      </c>
      <c r="S49">
        <f t="shared" ref="S49" si="223">R49/100000</f>
        <v>-472.01097940534191</v>
      </c>
      <c r="T49">
        <f t="shared" ref="T49" si="224">S49/1000</f>
        <v>-0.47201097940534192</v>
      </c>
    </row>
    <row r="50" spans="1:20" x14ac:dyDescent="0.25">
      <c r="A50" s="5">
        <v>44543</v>
      </c>
      <c r="B50">
        <v>11.718</v>
      </c>
      <c r="C50">
        <v>11.989000000000001</v>
      </c>
      <c r="D50">
        <v>9.8460000000000001</v>
      </c>
      <c r="E50">
        <v>9.9269999999999996</v>
      </c>
      <c r="F50">
        <v>1504716</v>
      </c>
      <c r="G50">
        <v>9.9269999999999996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-0.92440503966402288</v>
      </c>
      <c r="Q50">
        <f t="shared" ref="Q50" si="226">F50*P50</f>
        <v>-1390967.0536630899</v>
      </c>
      <c r="R50">
        <f t="shared" ref="R50" si="227">R51+Q50</f>
        <v>-47980180.164010487</v>
      </c>
      <c r="S50">
        <f t="shared" ref="S50" si="228">R50/100000</f>
        <v>-479.80180164010488</v>
      </c>
      <c r="T50">
        <f t="shared" ref="T50" si="229">S50/1000</f>
        <v>-0.47980180164010489</v>
      </c>
    </row>
    <row r="51" spans="1:20" x14ac:dyDescent="0.25">
      <c r="A51" s="5">
        <v>44542</v>
      </c>
      <c r="B51">
        <v>11.712999999999999</v>
      </c>
      <c r="C51">
        <v>11.856999999999999</v>
      </c>
      <c r="D51">
        <v>11.115</v>
      </c>
      <c r="E51">
        <v>11.706</v>
      </c>
      <c r="F51">
        <v>800531.6</v>
      </c>
      <c r="G51">
        <v>11.706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0.59299191374663074</v>
      </c>
      <c r="Q51">
        <f t="shared" ref="Q51" si="231">F51*P51</f>
        <v>474708.7654986523</v>
      </c>
      <c r="R51">
        <f t="shared" ref="R51" si="232">R52+Q51</f>
        <v>-46589213.110347398</v>
      </c>
      <c r="S51">
        <f t="shared" ref="S51" si="233">R51/100000</f>
        <v>-465.89213110347396</v>
      </c>
      <c r="T51">
        <f t="shared" ref="T51" si="234">S51/1000</f>
        <v>-0.46589213110347394</v>
      </c>
    </row>
    <row r="52" spans="1:20" x14ac:dyDescent="0.25">
      <c r="A52" s="5">
        <v>44541</v>
      </c>
      <c r="B52">
        <v>11.189</v>
      </c>
      <c r="C52">
        <v>11.439</v>
      </c>
      <c r="D52">
        <v>10.965</v>
      </c>
      <c r="E52">
        <v>11.333</v>
      </c>
      <c r="F52">
        <v>82933.600000000006</v>
      </c>
      <c r="G52">
        <v>11.333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0.55274261603375596</v>
      </c>
      <c r="Q52">
        <f t="shared" ref="Q52" si="236">F52*P52</f>
        <v>45840.93502109711</v>
      </c>
      <c r="R52">
        <f t="shared" ref="R52" si="237">R53+Q52</f>
        <v>-47063921.875846051</v>
      </c>
      <c r="S52">
        <f t="shared" ref="S52" si="238">R52/100000</f>
        <v>-470.63921875846052</v>
      </c>
      <c r="T52">
        <f t="shared" ref="T52" si="239">S52/1000</f>
        <v>-0.47063921875846054</v>
      </c>
    </row>
    <row r="53" spans="1:20" x14ac:dyDescent="0.25">
      <c r="A53" s="5">
        <v>44540</v>
      </c>
      <c r="B53">
        <v>12.489000000000001</v>
      </c>
      <c r="C53">
        <v>12.962999999999999</v>
      </c>
      <c r="D53">
        <v>11</v>
      </c>
      <c r="E53">
        <v>11.177</v>
      </c>
      <c r="F53">
        <v>1819907</v>
      </c>
      <c r="G53">
        <v>11.177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-0.81966377992868089</v>
      </c>
      <c r="Q53">
        <f t="shared" ref="Q53" si="241">F53*P53</f>
        <v>-1491711.8507386658</v>
      </c>
      <c r="R53">
        <f t="shared" ref="R53" si="242">R54+Q53</f>
        <v>-47109762.810867146</v>
      </c>
      <c r="S53">
        <f t="shared" ref="S53" si="243">R53/100000</f>
        <v>-471.09762810867147</v>
      </c>
      <c r="T53">
        <f t="shared" ref="T53" si="244">S53/1000</f>
        <v>-0.47109762810867145</v>
      </c>
    </row>
    <row r="54" spans="1:20" x14ac:dyDescent="0.25">
      <c r="A54" s="5">
        <v>44539</v>
      </c>
      <c r="B54">
        <v>13.157999999999999</v>
      </c>
      <c r="C54">
        <v>14.6</v>
      </c>
      <c r="D54">
        <v>12.372999999999999</v>
      </c>
      <c r="E54">
        <v>12.492000000000001</v>
      </c>
      <c r="F54">
        <v>3520268.6</v>
      </c>
      <c r="G54">
        <v>12.492000000000001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-0.89312977099236501</v>
      </c>
      <c r="Q54">
        <f t="shared" ref="Q54" si="246">F54*P54</f>
        <v>-3144056.6885496136</v>
      </c>
      <c r="R54">
        <f t="shared" ref="R54" si="247">R55+Q54</f>
        <v>-45618050.960128479</v>
      </c>
      <c r="S54">
        <f t="shared" ref="S54" si="248">R54/100000</f>
        <v>-456.18050960128477</v>
      </c>
      <c r="T54">
        <f t="shared" ref="T54" si="249">S54/1000</f>
        <v>-0.45618050960128476</v>
      </c>
    </row>
    <row r="55" spans="1:20" x14ac:dyDescent="0.25">
      <c r="A55" s="5">
        <v>44538</v>
      </c>
      <c r="B55">
        <v>13.052</v>
      </c>
      <c r="C55">
        <v>13.5</v>
      </c>
      <c r="D55">
        <v>11.840999999999999</v>
      </c>
      <c r="E55">
        <v>13.164999999999999</v>
      </c>
      <c r="F55">
        <v>2380806.7999999998</v>
      </c>
      <c r="G55">
        <v>13.164999999999999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0.5961422543701016</v>
      </c>
      <c r="Q55">
        <f t="shared" ref="Q55" si="251">F55*P55</f>
        <v>1419299.5329716676</v>
      </c>
      <c r="R55">
        <f t="shared" ref="R55" si="252">R56+Q55</f>
        <v>-42473994.271578863</v>
      </c>
      <c r="S55">
        <f t="shared" ref="S55" si="253">R55/100000</f>
        <v>-424.73994271578863</v>
      </c>
      <c r="T55">
        <f t="shared" ref="T55" si="254">S55/1000</f>
        <v>-0.42473994271578863</v>
      </c>
    </row>
    <row r="56" spans="1:20" x14ac:dyDescent="0.25">
      <c r="A56" s="5">
        <v>44537</v>
      </c>
      <c r="B56">
        <v>11.398999999999999</v>
      </c>
      <c r="C56">
        <v>13.304</v>
      </c>
      <c r="D56">
        <v>11.332000000000001</v>
      </c>
      <c r="E56">
        <v>13.05</v>
      </c>
      <c r="F56">
        <v>3195150.8</v>
      </c>
      <c r="G56">
        <v>13.05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0.74239350912778945</v>
      </c>
      <c r="Q56">
        <f t="shared" ref="Q56" si="256">F56*P56</f>
        <v>2372059.2146044634</v>
      </c>
      <c r="R56">
        <f t="shared" ref="R56" si="257">R57+Q56</f>
        <v>-43893293.804550529</v>
      </c>
      <c r="S56">
        <f t="shared" ref="S56" si="258">R56/100000</f>
        <v>-438.9329380455053</v>
      </c>
      <c r="T56">
        <f t="shared" ref="T56" si="259">S56/1000</f>
        <v>-0.43893293804550532</v>
      </c>
    </row>
    <row r="57" spans="1:20" x14ac:dyDescent="0.25">
      <c r="A57" s="5">
        <v>44536</v>
      </c>
      <c r="B57">
        <v>11.18</v>
      </c>
      <c r="C57">
        <v>11.516</v>
      </c>
      <c r="D57">
        <v>9.9239999999999995</v>
      </c>
      <c r="E57">
        <v>11.403</v>
      </c>
      <c r="F57">
        <v>2062826.7</v>
      </c>
      <c r="G57">
        <v>11.403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0.85804020100502576</v>
      </c>
      <c r="Q57">
        <f t="shared" ref="Q57" si="261">F57*P57</f>
        <v>1769988.2363065339</v>
      </c>
      <c r="R57">
        <f t="shared" ref="R57" si="262">R58+Q57</f>
        <v>-46265353.019154996</v>
      </c>
      <c r="S57">
        <f t="shared" ref="S57" si="263">R57/100000</f>
        <v>-462.65353019154998</v>
      </c>
      <c r="T57">
        <f t="shared" ref="T57" si="264">S57/1000</f>
        <v>-0.46265353019154998</v>
      </c>
    </row>
    <row r="58" spans="1:20" x14ac:dyDescent="0.25">
      <c r="A58" s="5">
        <v>44535</v>
      </c>
      <c r="B58">
        <v>11.827999999999999</v>
      </c>
      <c r="C58">
        <v>12.122999999999999</v>
      </c>
      <c r="D58">
        <v>10.427</v>
      </c>
      <c r="E58">
        <v>11.167</v>
      </c>
      <c r="F58">
        <v>2061211.9</v>
      </c>
      <c r="G58">
        <v>11.167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-0.12735849056603735</v>
      </c>
      <c r="Q58">
        <f t="shared" ref="Q58" si="266">F58*P58</f>
        <v>-262512.83632075391</v>
      </c>
      <c r="R58">
        <f t="shared" ref="R58" si="267">R59+Q58</f>
        <v>-48035341.255461529</v>
      </c>
      <c r="S58">
        <f t="shared" ref="S58" si="268">R58/100000</f>
        <v>-480.35341255461526</v>
      </c>
      <c r="T58">
        <f t="shared" ref="T58" si="269">S58/1000</f>
        <v>-0.48035341255461528</v>
      </c>
    </row>
    <row r="59" spans="1:20" x14ac:dyDescent="0.25">
      <c r="A59" s="5">
        <v>44534</v>
      </c>
      <c r="B59">
        <v>13.098000000000001</v>
      </c>
      <c r="C59">
        <v>13.122999999999999</v>
      </c>
      <c r="D59">
        <v>8.5139999999999993</v>
      </c>
      <c r="E59">
        <v>11.829000000000001</v>
      </c>
      <c r="F59">
        <v>3961155.3</v>
      </c>
      <c r="G59">
        <v>11.829000000000001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0.4384899110436109</v>
      </c>
      <c r="Q59">
        <f t="shared" ref="Q59" si="271">F59*P59</f>
        <v>1736926.6351269279</v>
      </c>
      <c r="R59">
        <f t="shared" ref="R59" si="272">R60+Q59</f>
        <v>-47772828.419140778</v>
      </c>
      <c r="S59">
        <f t="shared" ref="S59" si="273">R59/100000</f>
        <v>-477.72828419140779</v>
      </c>
      <c r="T59">
        <f t="shared" ref="T59" si="274">S59/1000</f>
        <v>-0.47772828419140778</v>
      </c>
    </row>
    <row r="60" spans="1:20" x14ac:dyDescent="0.25">
      <c r="A60" s="5">
        <v>44533</v>
      </c>
      <c r="B60">
        <v>15.189</v>
      </c>
      <c r="C60">
        <v>15.526999999999999</v>
      </c>
      <c r="D60">
        <v>12.673</v>
      </c>
      <c r="E60">
        <v>13.127000000000001</v>
      </c>
      <c r="F60">
        <v>1921826.9</v>
      </c>
      <c r="G60">
        <v>13.127000000000001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-0.68185003503854191</v>
      </c>
      <c r="Q60">
        <f t="shared" ref="Q60" si="276">F60*P60</f>
        <v>-1310397.7391030123</v>
      </c>
      <c r="R60">
        <f t="shared" ref="R60" si="277">R61+Q60</f>
        <v>-49509755.054267704</v>
      </c>
      <c r="S60">
        <f t="shared" ref="S60" si="278">R60/100000</f>
        <v>-495.09755054267703</v>
      </c>
      <c r="T60">
        <f t="shared" ref="T60" si="279">S60/1000</f>
        <v>-0.49509755054267701</v>
      </c>
    </row>
    <row r="61" spans="1:20" x14ac:dyDescent="0.25">
      <c r="A61" s="5">
        <v>44532</v>
      </c>
      <c r="B61">
        <v>15.497999999999999</v>
      </c>
      <c r="C61">
        <v>15.538</v>
      </c>
      <c r="D61">
        <v>14.5</v>
      </c>
      <c r="E61">
        <v>15.186999999999999</v>
      </c>
      <c r="F61">
        <v>1587033.3</v>
      </c>
      <c r="G61">
        <v>15.186999999999999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0.32369942196531643</v>
      </c>
      <c r="Q61">
        <f t="shared" ref="Q61" si="281">F61*P61</f>
        <v>513721.76184970862</v>
      </c>
      <c r="R61">
        <f t="shared" ref="R61" si="282">R62+Q61</f>
        <v>-48199357.315164693</v>
      </c>
      <c r="S61">
        <f t="shared" ref="S61" si="283">R61/100000</f>
        <v>-481.9935731516469</v>
      </c>
      <c r="T61">
        <f t="shared" ref="T61" si="284">S61/1000</f>
        <v>-0.48199357315164693</v>
      </c>
    </row>
    <row r="62" spans="1:20" x14ac:dyDescent="0.25">
      <c r="A62" s="5">
        <v>44531</v>
      </c>
      <c r="B62">
        <v>15.894</v>
      </c>
      <c r="C62">
        <v>17.268999999999998</v>
      </c>
      <c r="D62">
        <v>15.3</v>
      </c>
      <c r="E62">
        <v>15.493</v>
      </c>
      <c r="F62">
        <v>2835438.7</v>
      </c>
      <c r="G62">
        <v>15.493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-0.803961401726765</v>
      </c>
      <c r="Q62">
        <f t="shared" ref="Q62" si="286">F62*P62</f>
        <v>-2279583.2717623166</v>
      </c>
      <c r="R62">
        <f t="shared" ref="R62" si="287">R63+Q62</f>
        <v>-48713079.077014402</v>
      </c>
      <c r="S62">
        <f t="shared" ref="S62" si="288">R62/100000</f>
        <v>-487.13079077014402</v>
      </c>
      <c r="T62">
        <f t="shared" ref="T62" si="289">S62/1000</f>
        <v>-0.48713079077014404</v>
      </c>
    </row>
    <row r="63" spans="1:20" x14ac:dyDescent="0.25">
      <c r="A63" s="5">
        <v>44530</v>
      </c>
      <c r="B63">
        <v>18.155999999999999</v>
      </c>
      <c r="C63">
        <v>18.5</v>
      </c>
      <c r="D63">
        <v>15.500999999999999</v>
      </c>
      <c r="E63">
        <v>15.9</v>
      </c>
      <c r="F63">
        <v>2675250.7999999998</v>
      </c>
      <c r="G63">
        <v>15.9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-0.73391130376792213</v>
      </c>
      <c r="Q63">
        <f t="shared" ref="Q63" si="291">F63*P63</f>
        <v>-1963396.8025341765</v>
      </c>
      <c r="R63">
        <f t="shared" ref="R63" si="292">R64+Q63</f>
        <v>-46433495.805252083</v>
      </c>
      <c r="S63">
        <f t="shared" ref="S63" si="293">R63/100000</f>
        <v>-464.33495805252085</v>
      </c>
      <c r="T63">
        <f t="shared" ref="T63" si="294">S63/1000</f>
        <v>-0.46433495805252084</v>
      </c>
    </row>
    <row r="64" spans="1:20" x14ac:dyDescent="0.25">
      <c r="A64" s="5">
        <v>44529</v>
      </c>
      <c r="B64">
        <v>16.076000000000001</v>
      </c>
      <c r="C64">
        <v>18.576000000000001</v>
      </c>
      <c r="D64">
        <v>15.448</v>
      </c>
      <c r="E64">
        <v>18.14</v>
      </c>
      <c r="F64">
        <v>5190941.3</v>
      </c>
      <c r="G64">
        <v>18.14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0.72122762148337605</v>
      </c>
      <c r="Q64">
        <f t="shared" ref="Q64" si="296">F64*P64</f>
        <v>3743850.2470588237</v>
      </c>
      <c r="R64">
        <f t="shared" ref="R64" si="297">R65+Q64</f>
        <v>-44470099.002717905</v>
      </c>
      <c r="S64">
        <f t="shared" ref="S64" si="298">R64/100000</f>
        <v>-444.70099002717905</v>
      </c>
      <c r="T64">
        <f t="shared" ref="T64" si="299">S64/1000</f>
        <v>-0.44470099002717906</v>
      </c>
    </row>
    <row r="65" spans="1:20" x14ac:dyDescent="0.25">
      <c r="A65" s="5">
        <v>44528</v>
      </c>
      <c r="B65">
        <v>17.960999999999999</v>
      </c>
      <c r="C65">
        <v>18.5</v>
      </c>
      <c r="D65">
        <v>14.622</v>
      </c>
      <c r="E65">
        <v>16.076000000000001</v>
      </c>
      <c r="F65">
        <v>4780628.5999999996</v>
      </c>
      <c r="G65">
        <v>16.076000000000001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-0.25012893243940143</v>
      </c>
      <c r="Q65">
        <f t="shared" ref="Q65" si="301">F65*P65</f>
        <v>-1195773.5281072701</v>
      </c>
      <c r="R65">
        <f t="shared" ref="R65" si="302">R66+Q65</f>
        <v>-48213949.249776728</v>
      </c>
      <c r="S65">
        <f t="shared" ref="S65" si="303">R65/100000</f>
        <v>-482.13949249776726</v>
      </c>
      <c r="T65">
        <f t="shared" ref="T65" si="304">S65/1000</f>
        <v>-0.48213949249776727</v>
      </c>
    </row>
    <row r="66" spans="1:20" x14ac:dyDescent="0.25">
      <c r="A66" s="5">
        <v>44527</v>
      </c>
      <c r="B66">
        <v>19.199000000000002</v>
      </c>
      <c r="C66">
        <v>22.581</v>
      </c>
      <c r="D66">
        <v>17.149999999999999</v>
      </c>
      <c r="E66">
        <v>17.988</v>
      </c>
      <c r="F66">
        <v>12782626.460000001</v>
      </c>
      <c r="G66">
        <v>17.988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-0.69140121524581077</v>
      </c>
      <c r="Q66">
        <f t="shared" ref="Q66" si="306">F66*P66</f>
        <v>-8837923.4684772566</v>
      </c>
      <c r="R66">
        <f t="shared" ref="R66" si="307">R67+Q66</f>
        <v>-47018175.721669458</v>
      </c>
      <c r="S66">
        <f t="shared" ref="S66" si="308">R66/100000</f>
        <v>-470.18175721669456</v>
      </c>
      <c r="T66">
        <f t="shared" ref="T66" si="309">S66/1000</f>
        <v>-0.47018175721669458</v>
      </c>
    </row>
    <row r="67" spans="1:20" x14ac:dyDescent="0.25">
      <c r="A67" s="5">
        <v>44526</v>
      </c>
      <c r="B67">
        <v>14.025</v>
      </c>
      <c r="C67">
        <v>19.5</v>
      </c>
      <c r="D67">
        <v>13.757999999999999</v>
      </c>
      <c r="E67">
        <v>19.199000000000002</v>
      </c>
      <c r="F67">
        <v>12738337</v>
      </c>
      <c r="G67">
        <v>19.199000000000002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0.89515848136537846</v>
      </c>
      <c r="Q67">
        <f t="shared" ref="Q67" si="311">F67*P67</f>
        <v>11402830.404040411</v>
      </c>
      <c r="R67">
        <f t="shared" ref="R67" si="312">R68+Q67</f>
        <v>-38180252.253192201</v>
      </c>
      <c r="S67">
        <f t="shared" ref="S67" si="313">R67/100000</f>
        <v>-381.80252253192202</v>
      </c>
      <c r="T67">
        <f t="shared" ref="T67" si="314">S67/1000</f>
        <v>-0.38180252253192204</v>
      </c>
    </row>
    <row r="68" spans="1:20" x14ac:dyDescent="0.25">
      <c r="A68" s="5">
        <v>44525</v>
      </c>
      <c r="B68">
        <v>13.132999999999999</v>
      </c>
      <c r="C68">
        <v>14.879</v>
      </c>
      <c r="D68">
        <v>12.763999999999999</v>
      </c>
      <c r="E68">
        <v>14.021000000000001</v>
      </c>
      <c r="F68">
        <v>2673932.1</v>
      </c>
      <c r="G68">
        <v>14.021000000000001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0.18865248226950479</v>
      </c>
      <c r="Q68">
        <f t="shared" ref="Q68" si="316">F68*P68</f>
        <v>504443.92808510974</v>
      </c>
      <c r="R68">
        <f t="shared" ref="R68" si="317">R69+Q68</f>
        <v>-49583082.657232612</v>
      </c>
      <c r="S68">
        <f t="shared" ref="S68" si="318">R68/100000</f>
        <v>-495.83082657232615</v>
      </c>
      <c r="T68">
        <f t="shared" ref="T68" si="319">S68/1000</f>
        <v>-0.49583082657232613</v>
      </c>
    </row>
    <row r="69" spans="1:20" x14ac:dyDescent="0.25">
      <c r="A69" s="5">
        <v>44524</v>
      </c>
      <c r="B69">
        <v>12.656000000000001</v>
      </c>
      <c r="C69">
        <v>13.465</v>
      </c>
      <c r="D69">
        <v>12.257999999999999</v>
      </c>
      <c r="E69">
        <v>12.952999999999999</v>
      </c>
      <c r="F69">
        <v>1057982.3999999999</v>
      </c>
      <c r="G69">
        <v>12.952999999999999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0.15161557580778767</v>
      </c>
      <c r="Q69">
        <f t="shared" ref="Q69" si="321">F69*P69</f>
        <v>160406.61077050513</v>
      </c>
      <c r="R69">
        <f t="shared" ref="R69" si="322">R70+Q69</f>
        <v>-50087526.585317723</v>
      </c>
      <c r="S69">
        <f t="shared" ref="S69" si="323">R69/100000</f>
        <v>-500.87526585317721</v>
      </c>
      <c r="T69">
        <f t="shared" ref="T69" si="324">S69/1000</f>
        <v>-0.50087526585317721</v>
      </c>
    </row>
    <row r="70" spans="1:20" x14ac:dyDescent="0.25">
      <c r="A70" s="5">
        <v>44523</v>
      </c>
      <c r="B70">
        <v>12.295999999999999</v>
      </c>
      <c r="C70">
        <v>13</v>
      </c>
      <c r="D70">
        <v>11.54</v>
      </c>
      <c r="E70">
        <v>12.66</v>
      </c>
      <c r="F70">
        <v>1550820.6</v>
      </c>
      <c r="G70">
        <v>12.66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0.53424657534246622</v>
      </c>
      <c r="Q70">
        <f t="shared" ref="Q70" si="326">F70*P70</f>
        <v>828520.59452054871</v>
      </c>
      <c r="R70">
        <f t="shared" ref="R70" si="327">R71+Q70</f>
        <v>-50247933.196088232</v>
      </c>
      <c r="S70">
        <f t="shared" ref="S70" si="328">R70/100000</f>
        <v>-502.47933196088235</v>
      </c>
      <c r="T70">
        <f t="shared" ref="T70" si="329">S70/1000</f>
        <v>-0.50247933196088235</v>
      </c>
    </row>
    <row r="71" spans="1:20" x14ac:dyDescent="0.25">
      <c r="A71" s="5">
        <v>44522</v>
      </c>
      <c r="B71">
        <v>12.209</v>
      </c>
      <c r="C71">
        <v>13.372</v>
      </c>
      <c r="D71">
        <v>11.752000000000001</v>
      </c>
      <c r="E71">
        <v>12.298</v>
      </c>
      <c r="F71">
        <v>1898988</v>
      </c>
      <c r="G71">
        <v>12.298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-0.3259259259259264</v>
      </c>
      <c r="Q71">
        <f t="shared" ref="Q71" si="331">F71*P71</f>
        <v>-618929.42222222313</v>
      </c>
      <c r="R71">
        <f t="shared" ref="R71" si="332">R72+Q71</f>
        <v>-51076453.790608779</v>
      </c>
      <c r="S71">
        <f t="shared" ref="S71" si="333">R71/100000</f>
        <v>-510.76453790608781</v>
      </c>
      <c r="T71">
        <f t="shared" ref="T71" si="334">S71/1000</f>
        <v>-0.51076453790608778</v>
      </c>
    </row>
    <row r="72" spans="1:20" x14ac:dyDescent="0.25">
      <c r="A72" s="5">
        <v>44521</v>
      </c>
      <c r="B72">
        <v>11.723000000000001</v>
      </c>
      <c r="C72">
        <v>13.2</v>
      </c>
      <c r="D72">
        <v>11.255000000000001</v>
      </c>
      <c r="E72">
        <v>12.202999999999999</v>
      </c>
      <c r="F72">
        <v>2356769</v>
      </c>
      <c r="G72">
        <v>12.202999999999999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-2.5192802056555941E-2</v>
      </c>
      <c r="Q72">
        <f t="shared" ref="Q72" si="336">F72*P72</f>
        <v>-59373.614910027289</v>
      </c>
      <c r="R72">
        <f t="shared" ref="R72" si="337">R73+Q72</f>
        <v>-50457524.368386552</v>
      </c>
      <c r="S72">
        <f t="shared" ref="S72" si="338">R72/100000</f>
        <v>-504.57524368386549</v>
      </c>
      <c r="T72">
        <f t="shared" ref="T72" si="339">S72/1000</f>
        <v>-0.50457524368386553</v>
      </c>
    </row>
    <row r="73" spans="1:20" x14ac:dyDescent="0.25">
      <c r="A73" s="5">
        <v>44520</v>
      </c>
      <c r="B73">
        <v>11.161</v>
      </c>
      <c r="C73">
        <v>11.97</v>
      </c>
      <c r="D73">
        <v>11.135999999999999</v>
      </c>
      <c r="E73">
        <v>11.722</v>
      </c>
      <c r="F73">
        <v>1499822.1</v>
      </c>
      <c r="G73">
        <v>11.722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0.40527577937649717</v>
      </c>
      <c r="Q73">
        <f t="shared" ref="Q73" si="341">F73*P73</f>
        <v>607841.5705035947</v>
      </c>
      <c r="R73">
        <f t="shared" ref="R73" si="342">R74+Q73</f>
        <v>-50398150.753476523</v>
      </c>
      <c r="S73">
        <f t="shared" ref="S73" si="343">R73/100000</f>
        <v>-503.98150753476523</v>
      </c>
      <c r="T73">
        <f t="shared" ref="T73" si="344">S73/1000</f>
        <v>-0.50398150753476523</v>
      </c>
    </row>
    <row r="74" spans="1:20" x14ac:dyDescent="0.25">
      <c r="A74" s="5">
        <v>44519</v>
      </c>
      <c r="B74">
        <v>10.374000000000001</v>
      </c>
      <c r="C74">
        <v>11.598000000000001</v>
      </c>
      <c r="D74">
        <v>10.087</v>
      </c>
      <c r="E74">
        <v>11.157999999999999</v>
      </c>
      <c r="F74">
        <v>1384924.9</v>
      </c>
      <c r="G74">
        <v>11.157999999999999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0.41760423560555793</v>
      </c>
      <c r="Q74">
        <f t="shared" ref="Q74" si="346">F74*P74</f>
        <v>578350.50423560373</v>
      </c>
      <c r="R74">
        <f t="shared" ref="R74" si="347">R75+Q74</f>
        <v>-51005992.323980115</v>
      </c>
      <c r="S74">
        <f t="shared" ref="S74" si="348">R74/100000</f>
        <v>-510.05992323980115</v>
      </c>
      <c r="T74">
        <f t="shared" ref="T74" si="349">S74/1000</f>
        <v>-0.51005992323980121</v>
      </c>
    </row>
    <row r="75" spans="1:20" x14ac:dyDescent="0.25">
      <c r="A75" s="5">
        <v>44518</v>
      </c>
      <c r="B75">
        <v>12.022</v>
      </c>
      <c r="C75">
        <v>12.398999999999999</v>
      </c>
      <c r="D75">
        <v>9.9</v>
      </c>
      <c r="E75">
        <v>10.381</v>
      </c>
      <c r="F75">
        <v>2933900.8</v>
      </c>
      <c r="G75">
        <v>10.381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-0.61504601840736284</v>
      </c>
      <c r="Q75">
        <f t="shared" ref="Q75" si="351">F75*P75</f>
        <v>-1804484.0054421765</v>
      </c>
      <c r="R75">
        <f t="shared" ref="R75" si="352">R76+Q75</f>
        <v>-51584342.828215718</v>
      </c>
      <c r="S75">
        <f t="shared" ref="S75" si="353">R75/100000</f>
        <v>-515.84342828215722</v>
      </c>
      <c r="T75">
        <f t="shared" ref="T75" si="354">S75/1000</f>
        <v>-0.51584342828215723</v>
      </c>
    </row>
    <row r="76" spans="1:20" x14ac:dyDescent="0.25">
      <c r="A76" s="5">
        <v>44517</v>
      </c>
      <c r="B76">
        <v>11.766</v>
      </c>
      <c r="C76">
        <v>12.156000000000001</v>
      </c>
      <c r="D76">
        <v>11.074999999999999</v>
      </c>
      <c r="E76">
        <v>12.005000000000001</v>
      </c>
      <c r="F76">
        <v>1557070.7</v>
      </c>
      <c r="G76">
        <v>12.005000000000001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0.72062904717853904</v>
      </c>
      <c r="Q76">
        <f t="shared" ref="Q76" si="356">F76*P76</f>
        <v>1122070.3749306207</v>
      </c>
      <c r="R76">
        <f t="shared" ref="R76" si="357">R77+Q76</f>
        <v>-49779858.822773539</v>
      </c>
      <c r="S76">
        <f t="shared" ref="S76" si="358">R76/100000</f>
        <v>-497.79858822773537</v>
      </c>
      <c r="T76">
        <f t="shared" ref="T76" si="359">S76/1000</f>
        <v>-0.49779858822773537</v>
      </c>
    </row>
    <row r="77" spans="1:20" x14ac:dyDescent="0.25">
      <c r="A77" s="5">
        <v>44516</v>
      </c>
      <c r="B77">
        <v>13.292999999999999</v>
      </c>
      <c r="C77">
        <v>13.295</v>
      </c>
      <c r="D77">
        <v>10.946</v>
      </c>
      <c r="E77">
        <v>11.776</v>
      </c>
      <c r="F77">
        <v>2688195.1</v>
      </c>
      <c r="G77">
        <v>11.776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-0.2933163048105577</v>
      </c>
      <c r="Q77">
        <f t="shared" ref="Q77" si="361">F77*P77</f>
        <v>-788491.45334184763</v>
      </c>
      <c r="R77">
        <f t="shared" ref="R77" si="362">R78+Q77</f>
        <v>-50901929.197704159</v>
      </c>
      <c r="S77">
        <f t="shared" ref="S77" si="363">R77/100000</f>
        <v>-509.01929197704158</v>
      </c>
      <c r="T77">
        <f t="shared" ref="T77" si="364">S77/1000</f>
        <v>-0.50901929197704154</v>
      </c>
    </row>
    <row r="78" spans="1:20" x14ac:dyDescent="0.25">
      <c r="A78" s="5">
        <v>44515</v>
      </c>
      <c r="B78">
        <v>14.584</v>
      </c>
      <c r="C78">
        <v>14.648999999999999</v>
      </c>
      <c r="D78">
        <v>13.113</v>
      </c>
      <c r="E78">
        <v>13.292999999999999</v>
      </c>
      <c r="F78">
        <v>1435891.9</v>
      </c>
      <c r="G78">
        <v>13.292999999999999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-0.76562500000000033</v>
      </c>
      <c r="Q78">
        <f t="shared" ref="Q78" si="366">F78*P78</f>
        <v>-1099354.7359375004</v>
      </c>
      <c r="R78">
        <f t="shared" ref="R78" si="367">R79+Q78</f>
        <v>-50113437.74436231</v>
      </c>
      <c r="S78">
        <f t="shared" ref="S78" si="368">R78/100000</f>
        <v>-501.13437744362312</v>
      </c>
      <c r="T78">
        <f t="shared" ref="T78" si="369">S78/1000</f>
        <v>-0.5011343774436231</v>
      </c>
    </row>
    <row r="79" spans="1:20" x14ac:dyDescent="0.25">
      <c r="A79" s="5">
        <v>44514</v>
      </c>
      <c r="B79">
        <v>13.843999999999999</v>
      </c>
      <c r="C79">
        <v>15.5</v>
      </c>
      <c r="D79">
        <v>13.695</v>
      </c>
      <c r="E79">
        <v>14.584</v>
      </c>
      <c r="F79">
        <v>1999220.5</v>
      </c>
      <c r="G79">
        <v>14.584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-1.4958448753463173E-2</v>
      </c>
      <c r="Q79">
        <f t="shared" ref="Q79" si="371">F79*P79</f>
        <v>-29905.237396123022</v>
      </c>
      <c r="R79">
        <f t="shared" ref="R79" si="372">R80+Q79</f>
        <v>-49014083.008424811</v>
      </c>
      <c r="S79">
        <f t="shared" ref="S79" si="373">R79/100000</f>
        <v>-490.14083008424814</v>
      </c>
      <c r="T79">
        <f t="shared" ref="T79" si="374">S79/1000</f>
        <v>-0.49014083008424814</v>
      </c>
    </row>
    <row r="80" spans="1:20" x14ac:dyDescent="0.25">
      <c r="A80" s="5">
        <v>44513</v>
      </c>
      <c r="B80">
        <v>14.706</v>
      </c>
      <c r="C80">
        <v>15.108000000000001</v>
      </c>
      <c r="D80">
        <v>13.641999999999999</v>
      </c>
      <c r="E80">
        <v>13.837999999999999</v>
      </c>
      <c r="F80">
        <v>1702302.7</v>
      </c>
      <c r="G80">
        <v>13.837999999999999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-0.7326057298772175</v>
      </c>
      <c r="Q80">
        <f t="shared" ref="Q80" si="376">F80*P80</f>
        <v>-1247116.7120054581</v>
      </c>
      <c r="R80">
        <f t="shared" ref="R80" si="377">R81+Q80</f>
        <v>-48984177.77102869</v>
      </c>
      <c r="S80">
        <f t="shared" ref="S80" si="378">R80/100000</f>
        <v>-489.84177771028692</v>
      </c>
      <c r="T80">
        <f t="shared" ref="T80" si="379">S80/1000</f>
        <v>-0.48984177771028692</v>
      </c>
    </row>
    <row r="81" spans="1:20" x14ac:dyDescent="0.25">
      <c r="A81" s="5">
        <v>44512</v>
      </c>
      <c r="B81">
        <v>15.611000000000001</v>
      </c>
      <c r="C81">
        <v>16.649000000000001</v>
      </c>
      <c r="D81">
        <v>14.193</v>
      </c>
      <c r="E81">
        <v>14.71</v>
      </c>
      <c r="F81">
        <v>2693470.1</v>
      </c>
      <c r="G81">
        <v>14.71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-0.57899022801302857</v>
      </c>
      <c r="Q81">
        <f t="shared" ref="Q81" si="381">F81*P81</f>
        <v>-1559492.8673452749</v>
      </c>
      <c r="R81">
        <f t="shared" ref="R81" si="382">R82+Q81</f>
        <v>-47737061.059023231</v>
      </c>
      <c r="S81">
        <f t="shared" ref="S81" si="383">R81/100000</f>
        <v>-477.37061059023233</v>
      </c>
      <c r="T81">
        <f t="shared" ref="T81" si="384">S81/1000</f>
        <v>-0.47737061059023234</v>
      </c>
    </row>
    <row r="82" spans="1:20" x14ac:dyDescent="0.25">
      <c r="A82" s="5">
        <v>44511</v>
      </c>
      <c r="B82">
        <v>15.846</v>
      </c>
      <c r="C82">
        <v>19.8</v>
      </c>
      <c r="D82">
        <v>14.711</v>
      </c>
      <c r="E82">
        <v>15.603</v>
      </c>
      <c r="F82">
        <v>10043180.08</v>
      </c>
      <c r="G82">
        <v>15.603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-0.6494399685596387</v>
      </c>
      <c r="Q82">
        <f t="shared" ref="Q82" si="386">F82*P82</f>
        <v>-6522442.5553939901</v>
      </c>
      <c r="R82">
        <f t="shared" ref="R82" si="387">R83+Q82</f>
        <v>-46177568.191677958</v>
      </c>
      <c r="S82">
        <f t="shared" ref="S82" si="388">R82/100000</f>
        <v>-461.7756819167796</v>
      </c>
      <c r="T82">
        <f t="shared" ref="T82" si="389">S82/1000</f>
        <v>-0.46177568191677959</v>
      </c>
    </row>
    <row r="83" spans="1:20" x14ac:dyDescent="0.25">
      <c r="A83" s="5">
        <v>44510</v>
      </c>
      <c r="B83">
        <v>12.513999999999999</v>
      </c>
      <c r="C83">
        <v>16.666</v>
      </c>
      <c r="D83">
        <v>12.285</v>
      </c>
      <c r="E83">
        <v>15.848000000000001</v>
      </c>
      <c r="F83">
        <v>8209581.7999999998</v>
      </c>
      <c r="G83">
        <v>15.848000000000001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0.62656927642090865</v>
      </c>
      <c r="Q83">
        <f t="shared" ref="Q83" si="391">F83*P83</f>
        <v>5143871.7281442611</v>
      </c>
      <c r="R83">
        <f t="shared" ref="R83" si="392">R84+Q83</f>
        <v>-39655125.636283964</v>
      </c>
      <c r="S83">
        <f t="shared" ref="S83" si="393">R83/100000</f>
        <v>-396.55125636283964</v>
      </c>
      <c r="T83">
        <f t="shared" ref="T83" si="394">S83/1000</f>
        <v>-0.39655125636283961</v>
      </c>
    </row>
    <row r="84" spans="1:20" x14ac:dyDescent="0.25">
      <c r="A84" s="5">
        <v>44509</v>
      </c>
      <c r="B84">
        <v>12.146000000000001</v>
      </c>
      <c r="C84">
        <v>12.888</v>
      </c>
      <c r="D84">
        <v>11.792</v>
      </c>
      <c r="E84">
        <v>12.513999999999999</v>
      </c>
      <c r="F84">
        <v>1469278.1</v>
      </c>
      <c r="G84">
        <v>12.513999999999999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0.31751824817518154</v>
      </c>
      <c r="Q84">
        <f t="shared" ref="Q84" si="396">F84*P84</f>
        <v>466522.60839415924</v>
      </c>
      <c r="R84">
        <f t="shared" ref="R84" si="397">R85+Q84</f>
        <v>-44798997.364428222</v>
      </c>
      <c r="S84">
        <f t="shared" ref="S84" si="398">R84/100000</f>
        <v>-447.9899736442822</v>
      </c>
      <c r="T84">
        <f t="shared" ref="T84" si="399">S84/1000</f>
        <v>-0.44798997364428222</v>
      </c>
    </row>
    <row r="85" spans="1:20" x14ac:dyDescent="0.25">
      <c r="A85" s="5">
        <v>44508</v>
      </c>
      <c r="B85">
        <v>11.891</v>
      </c>
      <c r="C85">
        <v>12.782</v>
      </c>
      <c r="D85">
        <v>11.606999999999999</v>
      </c>
      <c r="E85">
        <v>12.156000000000001</v>
      </c>
      <c r="F85">
        <v>1267655.2</v>
      </c>
      <c r="G85">
        <v>12.156000000000001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-6.5531914893615428E-2</v>
      </c>
      <c r="Q85">
        <f t="shared" ref="Q85" si="401">F85*P85</f>
        <v>-83071.872680849046</v>
      </c>
      <c r="R85">
        <f t="shared" ref="R85" si="402">R86+Q85</f>
        <v>-45265519.972822383</v>
      </c>
      <c r="S85">
        <f t="shared" ref="S85" si="403">R85/100000</f>
        <v>-452.65519972822381</v>
      </c>
      <c r="T85">
        <f t="shared" ref="T85" si="404">S85/1000</f>
        <v>-0.45265519972822382</v>
      </c>
    </row>
    <row r="86" spans="1:20" x14ac:dyDescent="0.25">
      <c r="A86" s="5">
        <v>44507</v>
      </c>
      <c r="B86">
        <v>11.356</v>
      </c>
      <c r="C86">
        <v>11.986000000000001</v>
      </c>
      <c r="D86">
        <v>11.285</v>
      </c>
      <c r="E86">
        <v>11.895</v>
      </c>
      <c r="F86">
        <v>807977.5</v>
      </c>
      <c r="G86">
        <v>11.895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0.74037089871611694</v>
      </c>
      <c r="Q86">
        <f t="shared" ref="Q86" si="406">F86*P86</f>
        <v>598203.02781740134</v>
      </c>
      <c r="R86">
        <f t="shared" ref="R86" si="407">R87+Q86</f>
        <v>-45182448.100141533</v>
      </c>
      <c r="S86">
        <f t="shared" ref="S86" si="408">R86/100000</f>
        <v>-451.82448100141534</v>
      </c>
      <c r="T86">
        <f t="shared" ref="T86" si="409">S86/1000</f>
        <v>-0.45182448100141531</v>
      </c>
    </row>
    <row r="87" spans="1:20" x14ac:dyDescent="0.25">
      <c r="A87" s="5">
        <v>44506</v>
      </c>
      <c r="B87">
        <v>11.771000000000001</v>
      </c>
      <c r="C87">
        <v>12.343</v>
      </c>
      <c r="D87">
        <v>10.923999999999999</v>
      </c>
      <c r="E87">
        <v>11.356</v>
      </c>
      <c r="F87">
        <v>1083139.3</v>
      </c>
      <c r="G87">
        <v>11.356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-0.39112050739957682</v>
      </c>
      <c r="Q87">
        <f t="shared" ref="Q87" si="411">F87*P87</f>
        <v>-423637.99260042247</v>
      </c>
      <c r="R87">
        <f t="shared" ref="R87" si="412">R88+Q87</f>
        <v>-45780651.127958931</v>
      </c>
      <c r="S87">
        <f t="shared" ref="S87" si="413">R87/100000</f>
        <v>-457.8065112795893</v>
      </c>
      <c r="T87">
        <f t="shared" ref="T87" si="414">S87/1000</f>
        <v>-0.45780651127958932</v>
      </c>
    </row>
    <row r="88" spans="1:20" x14ac:dyDescent="0.25">
      <c r="A88" s="5">
        <v>44505</v>
      </c>
      <c r="B88">
        <v>12.074999999999999</v>
      </c>
      <c r="C88">
        <v>12.532</v>
      </c>
      <c r="D88">
        <v>11.497999999999999</v>
      </c>
      <c r="E88">
        <v>11.772</v>
      </c>
      <c r="F88">
        <v>986777.9</v>
      </c>
      <c r="G88">
        <v>11.772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-0.4700193423597665</v>
      </c>
      <c r="Q88">
        <f t="shared" ref="Q88" si="416">F88*P88</f>
        <v>-463804.69961315143</v>
      </c>
      <c r="R88">
        <f t="shared" ref="R88" si="417">R89+Q88</f>
        <v>-45357013.135358505</v>
      </c>
      <c r="S88">
        <f t="shared" ref="S88" si="418">R88/100000</f>
        <v>-453.57013135358505</v>
      </c>
      <c r="T88">
        <f t="shared" ref="T88" si="419">S88/1000</f>
        <v>-0.45357013135358504</v>
      </c>
    </row>
    <row r="89" spans="1:20" x14ac:dyDescent="0.25">
      <c r="A89" s="5">
        <v>44504</v>
      </c>
      <c r="B89">
        <v>13.228</v>
      </c>
      <c r="C89">
        <v>13.27</v>
      </c>
      <c r="D89">
        <v>11.632999999999999</v>
      </c>
      <c r="E89">
        <v>12.055</v>
      </c>
      <c r="F89">
        <v>1423073.8</v>
      </c>
      <c r="G89">
        <v>12.055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-0.48442272449602874</v>
      </c>
      <c r="Q89">
        <f t="shared" ref="Q89" si="421">F89*P89</f>
        <v>-689369.28735491668</v>
      </c>
      <c r="R89">
        <f t="shared" ref="R89" si="422">R90+Q89</f>
        <v>-44893208.435745351</v>
      </c>
      <c r="S89">
        <f t="shared" ref="S89" si="423">R89/100000</f>
        <v>-448.9320843574535</v>
      </c>
      <c r="T89">
        <f t="shared" ref="T89" si="424">S89/1000</f>
        <v>-0.44893208435745352</v>
      </c>
    </row>
    <row r="90" spans="1:20" x14ac:dyDescent="0.25">
      <c r="A90" s="5">
        <v>44503</v>
      </c>
      <c r="B90">
        <v>12.56</v>
      </c>
      <c r="C90">
        <v>14.417999999999999</v>
      </c>
      <c r="D90">
        <v>12.099</v>
      </c>
      <c r="E90">
        <v>13.314</v>
      </c>
      <c r="F90">
        <v>3925009.6</v>
      </c>
      <c r="G90">
        <v>13.314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4.7865459249676889E-2</v>
      </c>
      <c r="Q90">
        <f t="shared" ref="Q90" si="426">F90*P90</f>
        <v>187872.3870633906</v>
      </c>
      <c r="R90">
        <f t="shared" ref="R90" si="427">R91+Q90</f>
        <v>-44203839.148390435</v>
      </c>
      <c r="S90">
        <f t="shared" ref="S90" si="428">R90/100000</f>
        <v>-442.03839148390432</v>
      </c>
      <c r="T90">
        <f t="shared" ref="T90" si="429">S90/1000</f>
        <v>-0.44203839148390434</v>
      </c>
    </row>
    <row r="91" spans="1:20" x14ac:dyDescent="0.25">
      <c r="A91" s="5">
        <v>44502</v>
      </c>
      <c r="B91">
        <v>11.401</v>
      </c>
      <c r="C91">
        <v>13</v>
      </c>
      <c r="D91">
        <v>11.026</v>
      </c>
      <c r="E91">
        <v>12.555</v>
      </c>
      <c r="F91">
        <v>2498484.5</v>
      </c>
      <c r="G91">
        <v>12.555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0.54913880445795316</v>
      </c>
      <c r="Q91">
        <f t="shared" ref="Q91" si="431">F91*P91</f>
        <v>1372014.7912867269</v>
      </c>
      <c r="R91">
        <f t="shared" ref="R91" si="432">R92+Q91</f>
        <v>-44391711.535453826</v>
      </c>
      <c r="S91">
        <f t="shared" ref="S91" si="433">R91/100000</f>
        <v>-443.91711535453828</v>
      </c>
      <c r="T91">
        <f t="shared" ref="T91" si="434">S91/1000</f>
        <v>-0.44391711535453826</v>
      </c>
    </row>
    <row r="92" spans="1:20" x14ac:dyDescent="0.25">
      <c r="A92" s="5">
        <v>44501</v>
      </c>
      <c r="B92">
        <v>10.760999999999999</v>
      </c>
      <c r="C92">
        <v>12.7</v>
      </c>
      <c r="D92">
        <v>10.551</v>
      </c>
      <c r="E92">
        <v>11.412000000000001</v>
      </c>
      <c r="F92">
        <v>3268828.7</v>
      </c>
      <c r="G92">
        <v>11.412000000000001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-0.19869706840390786</v>
      </c>
      <c r="Q92">
        <f t="shared" ref="Q92" si="436">F92*P92</f>
        <v>-649506.67980455724</v>
      </c>
      <c r="R92">
        <f t="shared" ref="R92" si="437">R93+Q92</f>
        <v>-45763726.326740555</v>
      </c>
      <c r="S92">
        <f t="shared" ref="S92" si="438">R92/100000</f>
        <v>-457.63726326740556</v>
      </c>
      <c r="T92">
        <f t="shared" ref="T92" si="439">S92/1000</f>
        <v>-0.45763726326740556</v>
      </c>
    </row>
    <row r="93" spans="1:20" x14ac:dyDescent="0.25">
      <c r="A93" s="5">
        <v>44500</v>
      </c>
      <c r="B93">
        <v>10.545999999999999</v>
      </c>
      <c r="C93">
        <v>11.55</v>
      </c>
      <c r="D93">
        <v>9.9</v>
      </c>
      <c r="E93">
        <v>10.744</v>
      </c>
      <c r="F93">
        <v>2005909.6</v>
      </c>
      <c r="G93">
        <v>10.744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2.3030303030302103E-2</v>
      </c>
      <c r="Q93">
        <f t="shared" ref="Q93" si="441">F93*P93</f>
        <v>46196.705939392079</v>
      </c>
      <c r="R93">
        <f t="shared" ref="R93" si="442">R94+Q93</f>
        <v>-45114219.646935999</v>
      </c>
      <c r="S93">
        <f t="shared" ref="S93" si="443">R93/100000</f>
        <v>-451.14219646935999</v>
      </c>
      <c r="T93">
        <f t="shared" ref="T93" si="444">S93/1000</f>
        <v>-0.45114219646935999</v>
      </c>
    </row>
    <row r="94" spans="1:20" x14ac:dyDescent="0.25">
      <c r="A94" s="5">
        <v>44499</v>
      </c>
      <c r="B94">
        <v>11.206</v>
      </c>
      <c r="C94">
        <v>11.35</v>
      </c>
      <c r="D94">
        <v>10.199999999999999</v>
      </c>
      <c r="E94">
        <v>10.545999999999999</v>
      </c>
      <c r="F94">
        <v>1736360.3</v>
      </c>
      <c r="G94">
        <v>10.545999999999999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-0.39826086956521745</v>
      </c>
      <c r="Q94">
        <f t="shared" ref="Q94" si="446">F94*P94</f>
        <v>-691524.3629565218</v>
      </c>
      <c r="R94">
        <f t="shared" ref="R94" si="447">R95+Q94</f>
        <v>-45160416.352875389</v>
      </c>
      <c r="S94">
        <f t="shared" ref="S94" si="448">R94/100000</f>
        <v>-451.60416352875387</v>
      </c>
      <c r="T94">
        <f t="shared" ref="T94" si="449">S94/1000</f>
        <v>-0.45160416352875388</v>
      </c>
    </row>
    <row r="95" spans="1:20" x14ac:dyDescent="0.25">
      <c r="A95" s="5">
        <v>44498</v>
      </c>
      <c r="B95">
        <v>11.446</v>
      </c>
      <c r="C95">
        <v>12.1</v>
      </c>
      <c r="D95">
        <v>11.169</v>
      </c>
      <c r="E95">
        <v>11.21</v>
      </c>
      <c r="F95">
        <v>1569512.2</v>
      </c>
      <c r="G95">
        <v>11.21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-0.9119226638023622</v>
      </c>
      <c r="Q95">
        <f t="shared" ref="Q95" si="451">F95*P95</f>
        <v>-1431273.7462943059</v>
      </c>
      <c r="R95">
        <f t="shared" ref="R95" si="452">R96+Q95</f>
        <v>-44468891.989918865</v>
      </c>
      <c r="S95">
        <f t="shared" ref="S95" si="453">R95/100000</f>
        <v>-444.68891989918865</v>
      </c>
      <c r="T95">
        <f t="shared" ref="T95" si="454">S95/1000</f>
        <v>-0.44468891989918863</v>
      </c>
    </row>
    <row r="96" spans="1:20" x14ac:dyDescent="0.25">
      <c r="A96" s="5">
        <v>44497</v>
      </c>
      <c r="B96">
        <v>10.606999999999999</v>
      </c>
      <c r="C96">
        <v>12.644</v>
      </c>
      <c r="D96">
        <v>10.577999999999999</v>
      </c>
      <c r="E96">
        <v>11.436999999999999</v>
      </c>
      <c r="F96">
        <v>6298750.2999999998</v>
      </c>
      <c r="G96">
        <v>11.436999999999999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-0.16844143272023263</v>
      </c>
      <c r="Q96">
        <f t="shared" ref="Q96" si="456">F96*P96</f>
        <v>-1060970.524878995</v>
      </c>
      <c r="R96">
        <f t="shared" ref="R96" si="457">R97+Q96</f>
        <v>-43037618.243624561</v>
      </c>
      <c r="S96">
        <f t="shared" ref="S96" si="458">R96/100000</f>
        <v>-430.37618243624559</v>
      </c>
      <c r="T96">
        <f t="shared" ref="T96" si="459">S96/1000</f>
        <v>-0.43037618243624559</v>
      </c>
    </row>
    <row r="97" spans="1:20" x14ac:dyDescent="0.25">
      <c r="A97" s="5">
        <v>44496</v>
      </c>
      <c r="B97">
        <v>9.4960000000000004</v>
      </c>
      <c r="C97">
        <v>18.459</v>
      </c>
      <c r="D97">
        <v>9.407</v>
      </c>
      <c r="E97">
        <v>10.603999999999999</v>
      </c>
      <c r="F97">
        <v>16862957.800000001</v>
      </c>
      <c r="G97">
        <v>10.603999999999999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-0.73552806009721627</v>
      </c>
      <c r="Q97">
        <f t="shared" ref="Q97" si="461">F97*P97</f>
        <v>-12403178.638135223</v>
      </c>
      <c r="R97">
        <f t="shared" ref="R97" si="462">R98+Q97</f>
        <v>-41976647.718745567</v>
      </c>
      <c r="S97">
        <f t="shared" ref="S97" si="463">R97/100000</f>
        <v>-419.76647718745568</v>
      </c>
      <c r="T97">
        <f t="shared" ref="T97" si="464">S97/1000</f>
        <v>-0.41976647718745569</v>
      </c>
    </row>
    <row r="98" spans="1:20" x14ac:dyDescent="0.25">
      <c r="A98" s="5">
        <v>44495</v>
      </c>
      <c r="B98">
        <v>9.77</v>
      </c>
      <c r="C98">
        <v>9.891</v>
      </c>
      <c r="D98">
        <v>9.3309999999999995</v>
      </c>
      <c r="E98">
        <v>9.4890000000000008</v>
      </c>
      <c r="F98">
        <v>728569.1</v>
      </c>
      <c r="G98">
        <v>9.4890000000000008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-0.43571428571428172</v>
      </c>
      <c r="Q98">
        <f t="shared" ref="Q98" si="466">F98*P98</f>
        <v>-317447.96499999706</v>
      </c>
      <c r="R98">
        <f t="shared" ref="R98" si="467">R99+Q98</f>
        <v>-29573469.080610346</v>
      </c>
      <c r="S98">
        <f t="shared" ref="S98" si="468">R98/100000</f>
        <v>-295.73469080610346</v>
      </c>
      <c r="T98">
        <f t="shared" ref="T98" si="469">S98/1000</f>
        <v>-0.29573469080610348</v>
      </c>
    </row>
    <row r="99" spans="1:20" x14ac:dyDescent="0.25">
      <c r="A99" s="5">
        <v>44494</v>
      </c>
      <c r="B99">
        <v>9.3170000000000002</v>
      </c>
      <c r="C99">
        <v>9.7829999999999995</v>
      </c>
      <c r="D99">
        <v>9.26</v>
      </c>
      <c r="E99">
        <v>9.7490000000000006</v>
      </c>
      <c r="F99">
        <v>599604.5</v>
      </c>
      <c r="G99">
        <v>9.7490000000000006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0.86998087954111303</v>
      </c>
      <c r="Q99">
        <f t="shared" ref="Q99" si="471">F99*P99</f>
        <v>521644.4502868093</v>
      </c>
      <c r="R99">
        <f t="shared" ref="R99" si="472">R100+Q99</f>
        <v>-29256021.11561035</v>
      </c>
      <c r="S99">
        <f t="shared" ref="S99" si="473">R99/100000</f>
        <v>-292.56021115610349</v>
      </c>
      <c r="T99">
        <f t="shared" ref="T99" si="474">S99/1000</f>
        <v>-0.29256021115610348</v>
      </c>
    </row>
    <row r="100" spans="1:20" x14ac:dyDescent="0.25">
      <c r="A100" s="5">
        <v>44493</v>
      </c>
      <c r="B100">
        <v>9.8699999999999992</v>
      </c>
      <c r="C100">
        <v>9.8889999999999993</v>
      </c>
      <c r="D100">
        <v>9.1259999999999994</v>
      </c>
      <c r="E100">
        <v>9.327</v>
      </c>
      <c r="F100">
        <v>747236.7</v>
      </c>
      <c r="G100">
        <v>9.327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-0.47313237221493959</v>
      </c>
      <c r="Q100">
        <f t="shared" ref="Q100" si="476">F100*P100</f>
        <v>-353541.87247706315</v>
      </c>
      <c r="R100">
        <f t="shared" ref="R100" si="477">R101+Q100</f>
        <v>-29777665.565897159</v>
      </c>
      <c r="S100">
        <f t="shared" ref="S100" si="478">R100/100000</f>
        <v>-297.77665565897161</v>
      </c>
      <c r="T100">
        <f t="shared" ref="T100" si="479">S100/1000</f>
        <v>-0.2977766556589716</v>
      </c>
    </row>
    <row r="101" spans="1:20" x14ac:dyDescent="0.25">
      <c r="A101" s="5">
        <v>44492</v>
      </c>
      <c r="B101">
        <v>9.9</v>
      </c>
      <c r="C101">
        <v>9.9890000000000008</v>
      </c>
      <c r="D101">
        <v>9.65</v>
      </c>
      <c r="E101">
        <v>9.8770000000000007</v>
      </c>
      <c r="F101">
        <v>367155.5</v>
      </c>
      <c r="G101">
        <v>9.8770000000000007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0.33923303834808283</v>
      </c>
      <c r="Q101">
        <f t="shared" ref="Q101" si="481">F101*P101</f>
        <v>124551.27581120952</v>
      </c>
      <c r="R101">
        <f t="shared" ref="R101" si="482">R102+Q101</f>
        <v>-29424123.693420097</v>
      </c>
      <c r="S101">
        <f t="shared" ref="S101" si="483">R101/100000</f>
        <v>-294.24123693420097</v>
      </c>
      <c r="T101">
        <f t="shared" ref="T101" si="484">S101/1000</f>
        <v>-0.29424123693420096</v>
      </c>
    </row>
    <row r="102" spans="1:20" x14ac:dyDescent="0.25">
      <c r="A102" s="5">
        <v>44491</v>
      </c>
      <c r="B102">
        <v>9.9410000000000007</v>
      </c>
      <c r="C102">
        <v>10.53</v>
      </c>
      <c r="D102">
        <v>9.6129999999999995</v>
      </c>
      <c r="E102">
        <v>9.8970000000000002</v>
      </c>
      <c r="F102">
        <v>1091631.7</v>
      </c>
      <c r="G102">
        <v>9.8970000000000002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-0.38058887677208125</v>
      </c>
      <c r="Q102">
        <f t="shared" ref="Q102" si="486">F102*P102</f>
        <v>-415462.88255179755</v>
      </c>
      <c r="R102">
        <f t="shared" ref="R102" si="487">R103+Q102</f>
        <v>-29548674.969231308</v>
      </c>
      <c r="S102">
        <f t="shared" ref="S102" si="488">R102/100000</f>
        <v>-295.48674969231308</v>
      </c>
      <c r="T102">
        <f t="shared" ref="T102" si="489">S102/1000</f>
        <v>-0.29548674969231309</v>
      </c>
    </row>
    <row r="103" spans="1:20" x14ac:dyDescent="0.25">
      <c r="A103" s="5">
        <v>44490</v>
      </c>
      <c r="B103">
        <v>10.15</v>
      </c>
      <c r="C103">
        <v>10.843999999999999</v>
      </c>
      <c r="D103">
        <v>9.8819999999999997</v>
      </c>
      <c r="E103">
        <v>9.9429999999999996</v>
      </c>
      <c r="F103">
        <v>1567315.9</v>
      </c>
      <c r="G103">
        <v>9.9429999999999996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-0.87318087318087323</v>
      </c>
      <c r="Q103">
        <f t="shared" ref="Q103" si="491">F103*P103</f>
        <v>-1368550.2661122661</v>
      </c>
      <c r="R103">
        <f t="shared" ref="R103" si="492">R104+Q103</f>
        <v>-29133212.086679511</v>
      </c>
      <c r="S103">
        <f t="shared" ref="S103" si="493">R103/100000</f>
        <v>-291.33212086679509</v>
      </c>
      <c r="T103">
        <f t="shared" ref="T103" si="494">S103/1000</f>
        <v>-0.29133212086679511</v>
      </c>
    </row>
    <row r="104" spans="1:20" x14ac:dyDescent="0.25">
      <c r="A104" s="5">
        <v>44489</v>
      </c>
      <c r="B104">
        <v>9.93</v>
      </c>
      <c r="C104">
        <v>10.484999999999999</v>
      </c>
      <c r="D104">
        <v>9.6950000000000003</v>
      </c>
      <c r="E104">
        <v>10.137</v>
      </c>
      <c r="F104">
        <v>939286.7</v>
      </c>
      <c r="G104">
        <v>10.137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0.11898734177215353</v>
      </c>
      <c r="Q104">
        <f t="shared" ref="Q104" si="496">F104*P104</f>
        <v>111763.22759493823</v>
      </c>
      <c r="R104">
        <f t="shared" ref="R104" si="497">R105+Q104</f>
        <v>-27764661.820567247</v>
      </c>
      <c r="S104">
        <f t="shared" ref="S104" si="498">R104/100000</f>
        <v>-277.64661820567244</v>
      </c>
      <c r="T104">
        <f t="shared" ref="T104" si="499">S104/1000</f>
        <v>-0.27764661820567244</v>
      </c>
    </row>
    <row r="105" spans="1:20" x14ac:dyDescent="0.25">
      <c r="A105" s="5">
        <v>44488</v>
      </c>
      <c r="B105">
        <v>10.067</v>
      </c>
      <c r="C105">
        <v>10.3</v>
      </c>
      <c r="D105">
        <v>9.7279999999999998</v>
      </c>
      <c r="E105">
        <v>9.9359999999999999</v>
      </c>
      <c r="F105">
        <v>723429.7</v>
      </c>
      <c r="G105">
        <v>9.9359999999999999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-0.27272727272727332</v>
      </c>
      <c r="Q105">
        <f t="shared" ref="Q105" si="501">F105*P105</f>
        <v>-197299.0090909095</v>
      </c>
      <c r="R105">
        <f t="shared" ref="R105" si="502">R106+Q105</f>
        <v>-27876425.048162185</v>
      </c>
      <c r="S105">
        <f t="shared" ref="S105" si="503">R105/100000</f>
        <v>-278.76425048162184</v>
      </c>
      <c r="T105">
        <f t="shared" ref="T105" si="504">S105/1000</f>
        <v>-0.27876425048162184</v>
      </c>
    </row>
    <row r="106" spans="1:20" x14ac:dyDescent="0.25">
      <c r="A106" s="5">
        <v>44487</v>
      </c>
      <c r="B106">
        <v>10.666</v>
      </c>
      <c r="C106">
        <v>10.867000000000001</v>
      </c>
      <c r="D106">
        <v>9.798</v>
      </c>
      <c r="E106">
        <v>10.071</v>
      </c>
      <c r="F106">
        <v>1026045.5</v>
      </c>
      <c r="G106">
        <v>10.071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-0.4892422825070169</v>
      </c>
      <c r="Q106">
        <f t="shared" ref="Q106" si="506">F106*P106</f>
        <v>-501984.84237605339</v>
      </c>
      <c r="R106">
        <f t="shared" ref="R106" si="507">R107+Q106</f>
        <v>-27679126.039071277</v>
      </c>
      <c r="S106">
        <f t="shared" ref="S106" si="508">R106/100000</f>
        <v>-276.79126039071275</v>
      </c>
      <c r="T106">
        <f t="shared" ref="T106" si="509">S106/1000</f>
        <v>-0.27679126039071272</v>
      </c>
    </row>
    <row r="107" spans="1:20" x14ac:dyDescent="0.25">
      <c r="A107" s="5">
        <v>44486</v>
      </c>
      <c r="B107">
        <v>10.182</v>
      </c>
      <c r="C107">
        <v>11.414999999999999</v>
      </c>
      <c r="D107">
        <v>9.9529999999999994</v>
      </c>
      <c r="E107">
        <v>10.664</v>
      </c>
      <c r="F107">
        <v>3010794.5</v>
      </c>
      <c r="G107">
        <v>10.664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-2.7359781121750446E-2</v>
      </c>
      <c r="Q107">
        <f t="shared" ref="Q107" si="511">F107*P107</f>
        <v>-82374.678522570073</v>
      </c>
      <c r="R107">
        <f t="shared" ref="R107" si="512">R108+Q107</f>
        <v>-27177141.196695223</v>
      </c>
      <c r="S107">
        <f t="shared" ref="S107" si="513">R107/100000</f>
        <v>-271.77141196695226</v>
      </c>
      <c r="T107">
        <f t="shared" ref="T107" si="514">S107/1000</f>
        <v>-0.27177141196695226</v>
      </c>
    </row>
    <row r="108" spans="1:20" x14ac:dyDescent="0.25">
      <c r="A108" s="5">
        <v>44485</v>
      </c>
      <c r="B108">
        <v>10.067</v>
      </c>
      <c r="C108">
        <v>11.29</v>
      </c>
      <c r="D108">
        <v>9.9</v>
      </c>
      <c r="E108">
        <v>10.185</v>
      </c>
      <c r="F108">
        <v>3342557.7</v>
      </c>
      <c r="G108">
        <v>10.185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-0.58992805755395628</v>
      </c>
      <c r="Q108">
        <f t="shared" ref="Q108" si="516">F108*P108</f>
        <v>-1971868.5712230199</v>
      </c>
      <c r="R108">
        <f t="shared" ref="R108" si="517">R109+Q108</f>
        <v>-27094766.518172652</v>
      </c>
      <c r="S108">
        <f t="shared" ref="S108" si="518">R108/100000</f>
        <v>-270.94766518172651</v>
      </c>
      <c r="T108">
        <f t="shared" ref="T108" si="519">S108/1000</f>
        <v>-0.27094766518172653</v>
      </c>
    </row>
    <row r="109" spans="1:20" x14ac:dyDescent="0.25">
      <c r="A109" s="5">
        <v>44484</v>
      </c>
      <c r="B109">
        <v>9.4190000000000005</v>
      </c>
      <c r="C109">
        <v>10.694000000000001</v>
      </c>
      <c r="D109">
        <v>9.0299999999999994</v>
      </c>
      <c r="E109">
        <v>10.071</v>
      </c>
      <c r="F109">
        <v>3308460.3</v>
      </c>
      <c r="G109">
        <v>10.071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0.25120192307692241</v>
      </c>
      <c r="Q109">
        <f t="shared" ref="Q109" si="521">F109*P109</f>
        <v>831091.58978365164</v>
      </c>
      <c r="R109">
        <f t="shared" ref="R109" si="522">R110+Q109</f>
        <v>-25122897.946949631</v>
      </c>
      <c r="S109">
        <f t="shared" ref="S109" si="523">R109/100000</f>
        <v>-251.22897946949632</v>
      </c>
      <c r="T109">
        <f t="shared" ref="T109" si="524">S109/1000</f>
        <v>-0.25122897946949635</v>
      </c>
    </row>
    <row r="110" spans="1:20" x14ac:dyDescent="0.25">
      <c r="A110" s="5">
        <v>44483</v>
      </c>
      <c r="B110">
        <v>9.2840000000000007</v>
      </c>
      <c r="C110">
        <v>9.83</v>
      </c>
      <c r="D110">
        <v>9.2560000000000002</v>
      </c>
      <c r="E110">
        <v>9.4139999999999997</v>
      </c>
      <c r="F110">
        <v>1335614.7</v>
      </c>
      <c r="G110">
        <v>9.4139999999999997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-0.449477351916378</v>
      </c>
      <c r="Q110">
        <f t="shared" ref="Q110" si="526">F110*P110</f>
        <v>-600328.55853658763</v>
      </c>
      <c r="R110">
        <f t="shared" ref="R110" si="527">R111+Q110</f>
        <v>-25953989.536733281</v>
      </c>
      <c r="S110">
        <f t="shared" ref="S110" si="528">R110/100000</f>
        <v>-259.5398953673328</v>
      </c>
      <c r="T110">
        <f t="shared" ref="T110" si="529">S110/1000</f>
        <v>-0.2595398953673328</v>
      </c>
    </row>
    <row r="111" spans="1:20" x14ac:dyDescent="0.25">
      <c r="A111" s="5">
        <v>44482</v>
      </c>
      <c r="B111">
        <v>9.3190000000000008</v>
      </c>
      <c r="C111">
        <v>9.5980000000000008</v>
      </c>
      <c r="D111">
        <v>8.875</v>
      </c>
      <c r="E111">
        <v>9.2829999999999995</v>
      </c>
      <c r="F111">
        <v>1152081.8</v>
      </c>
      <c r="G111">
        <v>9.2829999999999995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0.12863070539418825</v>
      </c>
      <c r="Q111">
        <f t="shared" ref="Q111" si="531">F111*P111</f>
        <v>148193.09460580611</v>
      </c>
      <c r="R111">
        <f t="shared" ref="R111" si="532">R112+Q111</f>
        <v>-25353660.978196692</v>
      </c>
      <c r="S111">
        <f t="shared" ref="S111" si="533">R111/100000</f>
        <v>-253.53660978196692</v>
      </c>
      <c r="T111">
        <f t="shared" ref="T111" si="534">S111/1000</f>
        <v>-0.2535366097819669</v>
      </c>
    </row>
    <row r="112" spans="1:20" x14ac:dyDescent="0.25">
      <c r="A112" s="5">
        <v>44481</v>
      </c>
      <c r="B112">
        <v>9.7219999999999995</v>
      </c>
      <c r="C112">
        <v>9.73</v>
      </c>
      <c r="D112">
        <v>8.734</v>
      </c>
      <c r="E112">
        <v>9.3190000000000008</v>
      </c>
      <c r="F112">
        <v>1204247.8</v>
      </c>
      <c r="G112">
        <v>9.3190000000000008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0.17469879518072409</v>
      </c>
      <c r="Q112">
        <f t="shared" ref="Q112" si="536">F112*P112</f>
        <v>210380.63975903759</v>
      </c>
      <c r="R112">
        <f t="shared" ref="R112" si="537">R113+Q112</f>
        <v>-25501854.072802499</v>
      </c>
      <c r="S112">
        <f t="shared" ref="S112" si="538">R112/100000</f>
        <v>-255.01854072802499</v>
      </c>
      <c r="T112">
        <f t="shared" ref="T112" si="539">S112/1000</f>
        <v>-0.25501854072802499</v>
      </c>
    </row>
    <row r="113" spans="1:20" x14ac:dyDescent="0.25">
      <c r="A113" s="5">
        <v>44480</v>
      </c>
      <c r="B113">
        <v>9.7789999999999999</v>
      </c>
      <c r="C113">
        <v>10.227</v>
      </c>
      <c r="D113">
        <v>9.4079999999999995</v>
      </c>
      <c r="E113">
        <v>9.75</v>
      </c>
      <c r="F113">
        <v>870399.2</v>
      </c>
      <c r="G113">
        <v>9.75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-0.16483516483516442</v>
      </c>
      <c r="Q113">
        <f t="shared" ref="Q113" si="541">F113*P113</f>
        <v>-143472.39560439522</v>
      </c>
      <c r="R113">
        <f t="shared" ref="R113" si="542">R114+Q113</f>
        <v>-25712234.712561537</v>
      </c>
      <c r="S113">
        <f t="shared" ref="S113" si="543">R113/100000</f>
        <v>-257.12234712561536</v>
      </c>
      <c r="T113">
        <f t="shared" ref="T113" si="544">S113/1000</f>
        <v>-0.25712234712561538</v>
      </c>
    </row>
    <row r="114" spans="1:20" x14ac:dyDescent="0.25">
      <c r="A114" s="5">
        <v>44479</v>
      </c>
      <c r="B114">
        <v>10.545</v>
      </c>
      <c r="C114">
        <v>10.99</v>
      </c>
      <c r="D114">
        <v>9.6940000000000008</v>
      </c>
      <c r="E114">
        <v>9.7870000000000008</v>
      </c>
      <c r="F114">
        <v>1725761</v>
      </c>
      <c r="G114">
        <v>9.7870000000000008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-0.85648148148148151</v>
      </c>
      <c r="Q114">
        <f t="shared" ref="Q114" si="546">F114*P114</f>
        <v>-1478082.3379629629</v>
      </c>
      <c r="R114">
        <f t="shared" ref="R114" si="547">R115+Q114</f>
        <v>-25568762.316957142</v>
      </c>
      <c r="S114">
        <f t="shared" ref="S114" si="548">R114/100000</f>
        <v>-255.68762316957142</v>
      </c>
      <c r="T114">
        <f t="shared" ref="T114" si="549">S114/1000</f>
        <v>-0.25568762316957144</v>
      </c>
    </row>
    <row r="115" spans="1:20" x14ac:dyDescent="0.25">
      <c r="A115" s="5">
        <v>44478</v>
      </c>
      <c r="B115">
        <v>10.798999999999999</v>
      </c>
      <c r="C115">
        <v>10.89</v>
      </c>
      <c r="D115">
        <v>10.307</v>
      </c>
      <c r="E115">
        <v>10.545</v>
      </c>
      <c r="F115">
        <v>1515052.4</v>
      </c>
      <c r="G115">
        <v>10.545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-0.18353344768439289</v>
      </c>
      <c r="Q115">
        <f t="shared" ref="Q115" si="551">F115*P115</f>
        <v>-278062.79039451387</v>
      </c>
      <c r="R115">
        <f t="shared" ref="R115" si="552">R116+Q115</f>
        <v>-24090679.97899418</v>
      </c>
      <c r="S115">
        <f t="shared" ref="S115" si="553">R115/100000</f>
        <v>-240.9067997899418</v>
      </c>
      <c r="T115">
        <f t="shared" ref="T115" si="554">S115/1000</f>
        <v>-0.24090679978994181</v>
      </c>
    </row>
    <row r="116" spans="1:20" x14ac:dyDescent="0.25">
      <c r="A116" s="5">
        <v>44477</v>
      </c>
      <c r="B116">
        <v>11.625</v>
      </c>
      <c r="C116">
        <v>11.635</v>
      </c>
      <c r="D116">
        <v>10.618</v>
      </c>
      <c r="E116">
        <v>10.811</v>
      </c>
      <c r="F116">
        <v>1648084.4</v>
      </c>
      <c r="G116">
        <v>10.811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-0.62045231071779805</v>
      </c>
      <c r="Q116">
        <f t="shared" ref="Q116" si="556">F116*P116</f>
        <v>-1022557.7742379557</v>
      </c>
      <c r="R116">
        <f t="shared" ref="R116" si="557">R117+Q116</f>
        <v>-23812617.188599665</v>
      </c>
      <c r="S116">
        <f t="shared" ref="S116" si="558">R116/100000</f>
        <v>-238.12617188599665</v>
      </c>
      <c r="T116">
        <f t="shared" ref="T116" si="559">S116/1000</f>
        <v>-0.23812617188599666</v>
      </c>
    </row>
    <row r="117" spans="1:20" x14ac:dyDescent="0.25">
      <c r="A117" s="5">
        <v>44476</v>
      </c>
      <c r="B117">
        <v>10.707000000000001</v>
      </c>
      <c r="C117">
        <v>12.198</v>
      </c>
      <c r="D117">
        <v>10.3</v>
      </c>
      <c r="E117">
        <v>11.627000000000001</v>
      </c>
      <c r="F117">
        <v>2965746.5</v>
      </c>
      <c r="G117">
        <v>11.627000000000001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0.3983140147523711</v>
      </c>
      <c r="Q117">
        <f t="shared" ref="Q117" si="561">F117*P117</f>
        <v>1181298.395152793</v>
      </c>
      <c r="R117">
        <f t="shared" ref="R117" si="562">R118+Q117</f>
        <v>-22790059.414361708</v>
      </c>
      <c r="S117">
        <f t="shared" ref="S117" si="563">R117/100000</f>
        <v>-227.90059414361707</v>
      </c>
      <c r="T117">
        <f t="shared" ref="T117" si="564">S117/1000</f>
        <v>-0.22790059414361707</v>
      </c>
    </row>
    <row r="118" spans="1:20" x14ac:dyDescent="0.25">
      <c r="A118" s="5">
        <v>44475</v>
      </c>
      <c r="B118">
        <v>11.225</v>
      </c>
      <c r="C118">
        <v>11.827</v>
      </c>
      <c r="D118">
        <v>10.266</v>
      </c>
      <c r="E118">
        <v>10.702</v>
      </c>
      <c r="F118">
        <v>2989660.3</v>
      </c>
      <c r="G118">
        <v>10.702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-0.44138372837924411</v>
      </c>
      <c r="Q118">
        <f t="shared" ref="Q118" si="566">F118*P118</f>
        <v>-1319587.4098014093</v>
      </c>
      <c r="R118">
        <f t="shared" ref="R118" si="567">R119+Q118</f>
        <v>-23971357.8095145</v>
      </c>
      <c r="S118">
        <f t="shared" ref="S118" si="568">R118/100000</f>
        <v>-239.71357809514501</v>
      </c>
      <c r="T118">
        <f t="shared" ref="T118" si="569">S118/1000</f>
        <v>-0.23971357809514501</v>
      </c>
    </row>
    <row r="119" spans="1:20" x14ac:dyDescent="0.25">
      <c r="A119" s="5">
        <v>44474</v>
      </c>
      <c r="B119">
        <v>9.7360000000000007</v>
      </c>
      <c r="C119">
        <v>11.827999999999999</v>
      </c>
      <c r="D119">
        <v>9.64</v>
      </c>
      <c r="E119">
        <v>11.222</v>
      </c>
      <c r="F119">
        <v>5053786.8</v>
      </c>
      <c r="G119">
        <v>11.222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0.44606946983546603</v>
      </c>
      <c r="Q119">
        <f t="shared" ref="Q119" si="571">F119*P119</f>
        <v>2254339.9985374762</v>
      </c>
      <c r="R119">
        <f t="shared" ref="R119" si="572">R120+Q119</f>
        <v>-22651770.399713092</v>
      </c>
      <c r="S119">
        <f t="shared" ref="S119" si="573">R119/100000</f>
        <v>-226.51770399713092</v>
      </c>
      <c r="T119">
        <f t="shared" ref="T119" si="574">S119/1000</f>
        <v>-0.22651770399713092</v>
      </c>
    </row>
    <row r="120" spans="1:20" x14ac:dyDescent="0.25">
      <c r="A120" s="5">
        <v>44473</v>
      </c>
      <c r="B120">
        <v>10.145</v>
      </c>
      <c r="C120">
        <v>10.145</v>
      </c>
      <c r="D120">
        <v>9.3800000000000008</v>
      </c>
      <c r="E120">
        <v>9.8320000000000007</v>
      </c>
      <c r="F120">
        <v>1629103.2</v>
      </c>
      <c r="G120">
        <v>9.8320000000000007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0.1816993464052305</v>
      </c>
      <c r="Q120">
        <f t="shared" ref="Q120" si="576">F120*P120</f>
        <v>296006.98666666949</v>
      </c>
      <c r="R120">
        <f t="shared" ref="R120" si="577">R121+Q120</f>
        <v>-24906110.398250569</v>
      </c>
      <c r="S120">
        <f t="shared" ref="S120" si="578">R120/100000</f>
        <v>-249.0611039825057</v>
      </c>
      <c r="T120">
        <f t="shared" ref="T120" si="579">S120/1000</f>
        <v>-0.24906110398250569</v>
      </c>
    </row>
    <row r="121" spans="1:20" x14ac:dyDescent="0.25">
      <c r="A121" s="5">
        <v>44472</v>
      </c>
      <c r="B121">
        <v>10.241</v>
      </c>
      <c r="C121">
        <v>10.494</v>
      </c>
      <c r="D121">
        <v>9.8849999999999998</v>
      </c>
      <c r="E121">
        <v>10.07</v>
      </c>
      <c r="F121">
        <v>1607079</v>
      </c>
      <c r="G121">
        <v>10.07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-0.39244663382594253</v>
      </c>
      <c r="Q121">
        <f t="shared" ref="Q121" si="581">F121*P121</f>
        <v>-630692.74384236184</v>
      </c>
      <c r="R121">
        <f t="shared" ref="R121" si="582">R122+Q121</f>
        <v>-25202117.384917237</v>
      </c>
      <c r="S121">
        <f t="shared" ref="S121" si="583">R121/100000</f>
        <v>-252.02117384917236</v>
      </c>
      <c r="T121">
        <f t="shared" ref="T121" si="584">S121/1000</f>
        <v>-0.25202117384917233</v>
      </c>
    </row>
    <row r="122" spans="1:20" x14ac:dyDescent="0.25">
      <c r="A122" s="5">
        <v>44471</v>
      </c>
      <c r="B122">
        <v>9.5389999999999997</v>
      </c>
      <c r="C122">
        <v>10.945</v>
      </c>
      <c r="D122">
        <v>9.3149999999999995</v>
      </c>
      <c r="E122">
        <v>10.243</v>
      </c>
      <c r="F122">
        <v>3346486.5</v>
      </c>
      <c r="G122">
        <v>10.243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0.13865030674846673</v>
      </c>
      <c r="Q122">
        <f t="shared" ref="Q122" si="586">F122*P122</f>
        <v>463991.37975460279</v>
      </c>
      <c r="R122">
        <f t="shared" ref="R122" si="587">R123+Q122</f>
        <v>-24571424.641074874</v>
      </c>
      <c r="S122">
        <f t="shared" ref="S122" si="588">R122/100000</f>
        <v>-245.71424641074873</v>
      </c>
      <c r="T122">
        <f t="shared" ref="T122" si="589">S122/1000</f>
        <v>-0.24571424641074874</v>
      </c>
    </row>
    <row r="123" spans="1:20" x14ac:dyDescent="0.25">
      <c r="A123" s="5">
        <v>44470</v>
      </c>
      <c r="B123">
        <v>8.9830000000000005</v>
      </c>
      <c r="C123">
        <v>9.7710000000000008</v>
      </c>
      <c r="D123">
        <v>8.82</v>
      </c>
      <c r="E123">
        <v>9.5350000000000001</v>
      </c>
      <c r="F123">
        <v>2993722.7</v>
      </c>
      <c r="G123">
        <v>9.5350000000000001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0.50368033648790633</v>
      </c>
      <c r="Q123">
        <f t="shared" ref="Q123" si="591">F123*P123</f>
        <v>1507879.2568874836</v>
      </c>
      <c r="R123">
        <f t="shared" ref="R123" si="592">R124+Q123</f>
        <v>-25035416.020829476</v>
      </c>
      <c r="S123">
        <f t="shared" ref="S123" si="593">R123/100000</f>
        <v>-250.35416020829476</v>
      </c>
      <c r="T123">
        <f t="shared" ref="T123" si="594">S123/1000</f>
        <v>-0.25035416020829476</v>
      </c>
    </row>
    <row r="124" spans="1:20" x14ac:dyDescent="0.25">
      <c r="A124" s="5">
        <v>44469</v>
      </c>
      <c r="B124">
        <v>8.5389999999999997</v>
      </c>
      <c r="C124">
        <v>9.3149999999999995</v>
      </c>
      <c r="D124">
        <v>8.3520000000000003</v>
      </c>
      <c r="E124">
        <v>8.9809999999999999</v>
      </c>
      <c r="F124">
        <v>1918049.3</v>
      </c>
      <c r="G124">
        <v>8.9809999999999999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0.30633437175493267</v>
      </c>
      <c r="Q124">
        <f t="shared" ref="Q124" si="596">F124*P124</f>
        <v>587564.42731048842</v>
      </c>
      <c r="R124">
        <f t="shared" ref="R124" si="597">R125+Q124</f>
        <v>-26543295.277716961</v>
      </c>
      <c r="S124">
        <f t="shared" ref="S124" si="598">R124/100000</f>
        <v>-265.43295277716959</v>
      </c>
      <c r="T124">
        <f t="shared" ref="T124" si="599">S124/1000</f>
        <v>-0.26543295277716961</v>
      </c>
    </row>
    <row r="125" spans="1:20" x14ac:dyDescent="0.25">
      <c r="A125" s="5">
        <v>44468</v>
      </c>
      <c r="B125">
        <v>8.1690000000000005</v>
      </c>
      <c r="C125">
        <v>8.9429999999999996</v>
      </c>
      <c r="D125">
        <v>8.0540000000000003</v>
      </c>
      <c r="E125">
        <v>8.5380000000000003</v>
      </c>
      <c r="F125">
        <v>1463020</v>
      </c>
      <c r="G125">
        <v>8.5380000000000003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8.8863892013499077E-2</v>
      </c>
      <c r="Q125">
        <f t="shared" ref="Q125" si="601">F125*P125</f>
        <v>130009.65129358941</v>
      </c>
      <c r="R125">
        <f t="shared" ref="R125" si="602">R126+Q125</f>
        <v>-27130859.70502745</v>
      </c>
      <c r="S125">
        <f t="shared" ref="S125" si="603">R125/100000</f>
        <v>-271.3085970502745</v>
      </c>
      <c r="T125">
        <f t="shared" ref="T125" si="604">S125/1000</f>
        <v>-0.27130859705027449</v>
      </c>
    </row>
    <row r="126" spans="1:20" x14ac:dyDescent="0.25">
      <c r="A126" s="5">
        <v>44467</v>
      </c>
      <c r="B126">
        <v>8.109</v>
      </c>
      <c r="C126">
        <v>8.68</v>
      </c>
      <c r="D126">
        <v>8.0210000000000008</v>
      </c>
      <c r="E126">
        <v>8.1720000000000006</v>
      </c>
      <c r="F126">
        <v>1764257.5</v>
      </c>
      <c r="G126">
        <v>8.1720000000000006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-0.54172989377845204</v>
      </c>
      <c r="Q126">
        <f t="shared" ref="Q126" si="606">F126*P126</f>
        <v>-955751.02807283739</v>
      </c>
      <c r="R126">
        <f t="shared" ref="R126" si="607">R127+Q126</f>
        <v>-27260869.356321041</v>
      </c>
      <c r="S126">
        <f t="shared" ref="S126" si="608">R126/100000</f>
        <v>-272.60869356321041</v>
      </c>
      <c r="T126">
        <f t="shared" ref="T126" si="609">S126/1000</f>
        <v>-0.27260869356321044</v>
      </c>
    </row>
    <row r="127" spans="1:20" x14ac:dyDescent="0.25">
      <c r="A127" s="5">
        <v>44466</v>
      </c>
      <c r="B127">
        <v>8.0869999999999997</v>
      </c>
      <c r="C127">
        <v>9.4469999999999992</v>
      </c>
      <c r="D127">
        <v>7.923</v>
      </c>
      <c r="E127">
        <v>8.1199999999999992</v>
      </c>
      <c r="F127">
        <v>2523794.7999999998</v>
      </c>
      <c r="G127">
        <v>8.1199999999999992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-0.74146981627296682</v>
      </c>
      <c r="Q127">
        <f t="shared" ref="Q127" si="611">F127*P127</f>
        <v>-1871317.6666666688</v>
      </c>
      <c r="R127">
        <f t="shared" ref="R127" si="612">R128+Q127</f>
        <v>-26305118.328248203</v>
      </c>
      <c r="S127">
        <f t="shared" ref="S127" si="613">R127/100000</f>
        <v>-263.05118328248204</v>
      </c>
      <c r="T127">
        <f t="shared" ref="T127" si="614">S127/1000</f>
        <v>-0.26305118328248206</v>
      </c>
    </row>
    <row r="128" spans="1:20" x14ac:dyDescent="0.25">
      <c r="A128" s="5">
        <v>44465</v>
      </c>
      <c r="B128">
        <v>8.8569999999999993</v>
      </c>
      <c r="C128">
        <v>8.8759999999999994</v>
      </c>
      <c r="D128">
        <v>7.3730000000000002</v>
      </c>
      <c r="E128">
        <v>8.0909999999999993</v>
      </c>
      <c r="F128">
        <v>2755251.6</v>
      </c>
      <c r="G128">
        <v>8.0909999999999993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-4.4577511643380634E-2</v>
      </c>
      <c r="Q128">
        <f t="shared" ref="Q128" si="616">F128*P128</f>
        <v>-122822.26027944313</v>
      </c>
      <c r="R128">
        <f t="shared" ref="R128" si="617">R129+Q128</f>
        <v>-24433800.661581535</v>
      </c>
      <c r="S128">
        <f t="shared" ref="S128" si="618">R128/100000</f>
        <v>-244.33800661581535</v>
      </c>
      <c r="T128">
        <f t="shared" ref="T128" si="619">S128/1000</f>
        <v>-0.24433800661581534</v>
      </c>
    </row>
    <row r="129" spans="1:20" x14ac:dyDescent="0.25">
      <c r="A129" s="5">
        <v>44464</v>
      </c>
      <c r="B129">
        <v>9.2940000000000005</v>
      </c>
      <c r="C129">
        <v>9.5</v>
      </c>
      <c r="D129">
        <v>8.6750000000000007</v>
      </c>
      <c r="E129">
        <v>8.86</v>
      </c>
      <c r="F129">
        <v>1737517.4</v>
      </c>
      <c r="G129">
        <v>8.86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-0.55151515151515418</v>
      </c>
      <c r="Q129">
        <f t="shared" ref="Q129" si="621">F129*P129</f>
        <v>-958267.17212121666</v>
      </c>
      <c r="R129">
        <f t="shared" ref="R129" si="622">R130+Q129</f>
        <v>-24310978.401302092</v>
      </c>
      <c r="S129">
        <f t="shared" ref="S129" si="623">R129/100000</f>
        <v>-243.10978401302091</v>
      </c>
      <c r="T129">
        <f t="shared" ref="T129" si="624">S129/1000</f>
        <v>-0.24310978401302091</v>
      </c>
    </row>
    <row r="130" spans="1:20" x14ac:dyDescent="0.25">
      <c r="A130" s="5">
        <v>44463</v>
      </c>
      <c r="B130">
        <v>9.798</v>
      </c>
      <c r="C130">
        <v>11.173999999999999</v>
      </c>
      <c r="D130">
        <v>8.5649999999999995</v>
      </c>
      <c r="E130">
        <v>9.3049999999999997</v>
      </c>
      <c r="F130">
        <v>6149112.5</v>
      </c>
      <c r="G130">
        <v>9.3049999999999997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-0.43273284783441918</v>
      </c>
      <c r="Q130">
        <f t="shared" ref="Q130" si="626">F130*P130</f>
        <v>-2660922.963779225</v>
      </c>
      <c r="R130">
        <f t="shared" ref="R130" si="627">R131+Q130</f>
        <v>-23352711.229180876</v>
      </c>
      <c r="S130">
        <f t="shared" ref="S130" si="628">R130/100000</f>
        <v>-233.52711229180875</v>
      </c>
      <c r="T130">
        <f t="shared" ref="T130" si="629">S130/1000</f>
        <v>-0.23352711229180875</v>
      </c>
    </row>
    <row r="131" spans="1:20" x14ac:dyDescent="0.25">
      <c r="A131" s="5">
        <v>44462</v>
      </c>
      <c r="B131">
        <v>9.359</v>
      </c>
      <c r="C131">
        <v>9.8569999999999993</v>
      </c>
      <c r="D131">
        <v>8.8970000000000002</v>
      </c>
      <c r="E131">
        <v>9.7899999999999991</v>
      </c>
      <c r="F131">
        <v>1343757.2</v>
      </c>
      <c r="G131">
        <v>9.7899999999999991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0.86041666666666616</v>
      </c>
      <c r="Q131">
        <f t="shared" ref="Q131" si="631">F131*P131</f>
        <v>1156191.0908333326</v>
      </c>
      <c r="R131">
        <f t="shared" ref="R131" si="632">R132+Q131</f>
        <v>-20691788.26540165</v>
      </c>
      <c r="S131">
        <f t="shared" ref="S131" si="633">R131/100000</f>
        <v>-206.91788265401649</v>
      </c>
      <c r="T131">
        <f t="shared" ref="T131" si="634">S131/1000</f>
        <v>-0.20691788265401651</v>
      </c>
    </row>
    <row r="132" spans="1:20" x14ac:dyDescent="0.25">
      <c r="A132" s="5">
        <v>44461</v>
      </c>
      <c r="B132">
        <v>8.4489999999999998</v>
      </c>
      <c r="C132">
        <v>9.625</v>
      </c>
      <c r="D132">
        <v>8.2050000000000001</v>
      </c>
      <c r="E132">
        <v>9.359</v>
      </c>
      <c r="F132">
        <v>1635810.5</v>
      </c>
      <c r="G132">
        <v>9.359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0.62535211267605628</v>
      </c>
      <c r="Q132">
        <f t="shared" ref="Q132" si="636">F132*P132</f>
        <v>1022957.552112676</v>
      </c>
      <c r="R132">
        <f t="shared" ref="R132" si="637">R133+Q132</f>
        <v>-21847979.356234983</v>
      </c>
      <c r="S132">
        <f t="shared" ref="S132" si="638">R132/100000</f>
        <v>-218.47979356234981</v>
      </c>
      <c r="T132">
        <f t="shared" ref="T132" si="639">S132/1000</f>
        <v>-0.21847979356234981</v>
      </c>
    </row>
    <row r="133" spans="1:20" x14ac:dyDescent="0.25">
      <c r="A133" s="5">
        <v>44460</v>
      </c>
      <c r="B133">
        <v>9.3759999999999994</v>
      </c>
      <c r="C133">
        <v>9.5660000000000007</v>
      </c>
      <c r="D133">
        <v>8.01</v>
      </c>
      <c r="E133">
        <v>8.4280000000000008</v>
      </c>
      <c r="F133">
        <v>2134051.7000000002</v>
      </c>
      <c r="G133">
        <v>8.4280000000000008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-0.46272493573264678</v>
      </c>
      <c r="Q133">
        <f t="shared" ref="Q133" si="641">F133*P133</f>
        <v>-987478.93573264568</v>
      </c>
      <c r="R133">
        <f t="shared" ref="R133" si="642">R134+Q133</f>
        <v>-22870936.908347659</v>
      </c>
      <c r="S133">
        <f t="shared" ref="S133" si="643">R133/100000</f>
        <v>-228.70936908347659</v>
      </c>
      <c r="T133">
        <f t="shared" ref="T133" si="644">S133/1000</f>
        <v>-0.22870936908347658</v>
      </c>
    </row>
    <row r="134" spans="1:20" x14ac:dyDescent="0.25">
      <c r="A134" s="5">
        <v>44459</v>
      </c>
      <c r="B134">
        <v>11.185</v>
      </c>
      <c r="C134">
        <v>11.211</v>
      </c>
      <c r="D134">
        <v>9.7859999999999996</v>
      </c>
      <c r="E134">
        <v>10.039999999999999</v>
      </c>
      <c r="F134">
        <v>1298153.6000000001</v>
      </c>
      <c r="G134">
        <v>10.039999999999999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-0.64350877192982536</v>
      </c>
      <c r="Q134">
        <f t="shared" ref="Q134" si="646">F134*P134</f>
        <v>-835373.2289122818</v>
      </c>
      <c r="R134">
        <f t="shared" ref="R134" si="647">R135+Q134</f>
        <v>-21883457.972615015</v>
      </c>
      <c r="S134">
        <f t="shared" ref="S134" si="648">R134/100000</f>
        <v>-218.83457972615014</v>
      </c>
      <c r="T134">
        <f t="shared" ref="T134" si="649">S134/1000</f>
        <v>-0.21883457972615014</v>
      </c>
    </row>
    <row r="135" spans="1:20" x14ac:dyDescent="0.25">
      <c r="A135" s="5">
        <v>44458</v>
      </c>
      <c r="B135">
        <v>10.94</v>
      </c>
      <c r="C135">
        <v>12.6</v>
      </c>
      <c r="D135">
        <v>10.596</v>
      </c>
      <c r="E135">
        <v>11.177</v>
      </c>
      <c r="F135">
        <v>3609341.4</v>
      </c>
      <c r="G135">
        <v>11.177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-0.42015968063872289</v>
      </c>
      <c r="Q135">
        <f t="shared" ref="Q135" si="651">F135*P135</f>
        <v>-1516499.7299401208</v>
      </c>
      <c r="R135">
        <f t="shared" ref="R135" si="652">R136+Q135</f>
        <v>-21048084.743702732</v>
      </c>
      <c r="S135">
        <f t="shared" ref="S135" si="653">R135/100000</f>
        <v>-210.48084743702731</v>
      </c>
      <c r="T135">
        <f t="shared" ref="T135" si="654">S135/1000</f>
        <v>-0.2104808474370273</v>
      </c>
    </row>
    <row r="136" spans="1:20" x14ac:dyDescent="0.25">
      <c r="A136" s="5">
        <v>44457</v>
      </c>
      <c r="B136">
        <v>11.180999999999999</v>
      </c>
      <c r="C136">
        <v>11.699</v>
      </c>
      <c r="D136">
        <v>10.696</v>
      </c>
      <c r="E136">
        <v>10.938000000000001</v>
      </c>
      <c r="F136">
        <v>1321309.5</v>
      </c>
      <c r="G136">
        <v>10.938000000000001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-0.5174476570289116</v>
      </c>
      <c r="Q136">
        <f t="shared" ref="Q136" si="656">F136*P136</f>
        <v>-683708.50498504261</v>
      </c>
      <c r="R136">
        <f t="shared" ref="R136" si="657">R137+Q136</f>
        <v>-19531585.013762612</v>
      </c>
      <c r="S136">
        <f t="shared" ref="S136" si="658">R136/100000</f>
        <v>-195.31585013762611</v>
      </c>
      <c r="T136">
        <f t="shared" ref="T136" si="659">S136/1000</f>
        <v>-0.19531585013762612</v>
      </c>
    </row>
    <row r="137" spans="1:20" x14ac:dyDescent="0.25">
      <c r="A137" s="5">
        <v>44456</v>
      </c>
      <c r="B137">
        <v>12.319000000000001</v>
      </c>
      <c r="C137">
        <v>12.647</v>
      </c>
      <c r="D137">
        <v>10.901999999999999</v>
      </c>
      <c r="E137">
        <v>11.180999999999999</v>
      </c>
      <c r="F137">
        <v>2064859.7</v>
      </c>
      <c r="G137">
        <v>11.180999999999999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-0.68022922636103178</v>
      </c>
      <c r="Q137">
        <f t="shared" ref="Q137" si="661">F137*P137</f>
        <v>-1404577.9162750721</v>
      </c>
      <c r="R137">
        <f t="shared" ref="R137" si="662">R138+Q137</f>
        <v>-18847876.50877757</v>
      </c>
      <c r="S137">
        <f t="shared" ref="S137" si="663">R137/100000</f>
        <v>-188.47876508777571</v>
      </c>
      <c r="T137">
        <f t="shared" ref="T137" si="664">S137/1000</f>
        <v>-0.18847876508777572</v>
      </c>
    </row>
    <row r="138" spans="1:20" x14ac:dyDescent="0.25">
      <c r="A138" s="5">
        <v>44455</v>
      </c>
      <c r="B138">
        <v>10.955</v>
      </c>
      <c r="C138">
        <v>13.254</v>
      </c>
      <c r="D138">
        <v>10.551</v>
      </c>
      <c r="E138">
        <v>12.314</v>
      </c>
      <c r="F138">
        <v>5201397.4000000004</v>
      </c>
      <c r="G138">
        <v>12.314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0.30447650758416595</v>
      </c>
      <c r="Q138">
        <f t="shared" ref="Q138" si="666">F138*P138</f>
        <v>1583703.3149093611</v>
      </c>
      <c r="R138">
        <f t="shared" ref="R138" si="667">R139+Q138</f>
        <v>-17443298.592502497</v>
      </c>
      <c r="S138">
        <f t="shared" ref="S138" si="668">R138/100000</f>
        <v>-174.43298592502498</v>
      </c>
      <c r="T138">
        <f t="shared" ref="T138" si="669">S138/1000</f>
        <v>-0.17443298592502499</v>
      </c>
    </row>
    <row r="139" spans="1:20" x14ac:dyDescent="0.25">
      <c r="A139" s="5">
        <v>44454</v>
      </c>
      <c r="B139">
        <v>10.574999999999999</v>
      </c>
      <c r="C139">
        <v>11.368</v>
      </c>
      <c r="D139">
        <v>10.247999999999999</v>
      </c>
      <c r="E139">
        <v>10.95</v>
      </c>
      <c r="F139">
        <v>2157835.1</v>
      </c>
      <c r="G139">
        <v>10.95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0.25357142857142739</v>
      </c>
      <c r="Q139">
        <f t="shared" ref="Q139" si="671">F139*P139</f>
        <v>547165.32892856887</v>
      </c>
      <c r="R139">
        <f t="shared" ref="R139" si="672">R140+Q139</f>
        <v>-19027001.907411858</v>
      </c>
      <c r="S139">
        <f t="shared" ref="S139" si="673">R139/100000</f>
        <v>-190.27001907411858</v>
      </c>
      <c r="T139">
        <f t="shared" ref="T139" si="674">S139/1000</f>
        <v>-0.19027001907411858</v>
      </c>
    </row>
    <row r="140" spans="1:20" x14ac:dyDescent="0.25">
      <c r="A140" s="5">
        <v>44453</v>
      </c>
      <c r="B140">
        <v>11.398999999999999</v>
      </c>
      <c r="C140">
        <v>11.586</v>
      </c>
      <c r="D140">
        <v>10.220000000000001</v>
      </c>
      <c r="E140">
        <v>10.583</v>
      </c>
      <c r="F140">
        <v>2403604.2000000002</v>
      </c>
      <c r="G140">
        <v>10.583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-0.46852122986822892</v>
      </c>
      <c r="Q140">
        <f t="shared" ref="Q140" si="676">F140*P140</f>
        <v>-1126139.5959004406</v>
      </c>
      <c r="R140">
        <f t="shared" ref="R140" si="677">R141+Q140</f>
        <v>-19574167.236340426</v>
      </c>
      <c r="S140">
        <f t="shared" ref="S140" si="678">R140/100000</f>
        <v>-195.74167236340426</v>
      </c>
      <c r="T140">
        <f t="shared" ref="T140" si="679">S140/1000</f>
        <v>-0.19574167236340426</v>
      </c>
    </row>
    <row r="141" spans="1:20" x14ac:dyDescent="0.25">
      <c r="A141" s="5">
        <v>44452</v>
      </c>
      <c r="B141">
        <v>12.99</v>
      </c>
      <c r="C141">
        <v>13.2</v>
      </c>
      <c r="D141">
        <v>9.7669999999999995</v>
      </c>
      <c r="E141">
        <v>11.391999999999999</v>
      </c>
      <c r="F141">
        <v>7685113.0999999996</v>
      </c>
      <c r="G141">
        <v>11.391999999999999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-5.3306146227789057E-2</v>
      </c>
      <c r="Q141">
        <f t="shared" ref="Q141" si="681">F141*P141</f>
        <v>-409663.76268569723</v>
      </c>
      <c r="R141">
        <f t="shared" ref="R141" si="682">R142+Q141</f>
        <v>-18448027.640439987</v>
      </c>
      <c r="S141">
        <f t="shared" ref="S141" si="683">R141/100000</f>
        <v>-184.48027640439986</v>
      </c>
      <c r="T141">
        <f t="shared" ref="T141" si="684">S141/1000</f>
        <v>-0.18448027640439985</v>
      </c>
    </row>
    <row r="142" spans="1:20" x14ac:dyDescent="0.25">
      <c r="A142" s="5">
        <v>44451</v>
      </c>
      <c r="B142">
        <v>8.5310000000000006</v>
      </c>
      <c r="C142">
        <v>13.936999999999999</v>
      </c>
      <c r="D142">
        <v>8.3040000000000003</v>
      </c>
      <c r="E142">
        <v>12.994</v>
      </c>
      <c r="F142">
        <v>9740233.5999999996</v>
      </c>
      <c r="G142">
        <v>12.994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0.66518728918870951</v>
      </c>
      <c r="Q142">
        <f t="shared" ref="Q142" si="686">F142*P142</f>
        <v>6479079.5844487846</v>
      </c>
      <c r="R142">
        <f t="shared" ref="R142" si="687">R143+Q142</f>
        <v>-18038363.87775429</v>
      </c>
      <c r="S142">
        <f t="shared" ref="S142" si="688">R142/100000</f>
        <v>-180.3836387775429</v>
      </c>
      <c r="T142">
        <f t="shared" ref="T142" si="689">S142/1000</f>
        <v>-0.1803836387775429</v>
      </c>
    </row>
    <row r="143" spans="1:20" x14ac:dyDescent="0.25">
      <c r="A143" s="5">
        <v>44450</v>
      </c>
      <c r="B143">
        <v>8.5749999999999993</v>
      </c>
      <c r="C143">
        <v>9.07</v>
      </c>
      <c r="D143">
        <v>8.2309999999999999</v>
      </c>
      <c r="E143">
        <v>8.5310000000000006</v>
      </c>
      <c r="F143">
        <v>1379917.6</v>
      </c>
      <c r="G143">
        <v>8.5310000000000006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-0.28486293206197721</v>
      </c>
      <c r="Q143">
        <f t="shared" ref="Q143" si="691">F143*P143</f>
        <v>-393087.37353992666</v>
      </c>
      <c r="R143">
        <f t="shared" ref="R143" si="692">R144+Q143</f>
        <v>-24517443.462203074</v>
      </c>
      <c r="S143">
        <f t="shared" ref="S143" si="693">R143/100000</f>
        <v>-245.17443462203073</v>
      </c>
      <c r="T143">
        <f t="shared" ref="T143" si="694">S143/1000</f>
        <v>-0.24517443462203073</v>
      </c>
    </row>
    <row r="144" spans="1:20" x14ac:dyDescent="0.25">
      <c r="A144" s="5">
        <v>44449</v>
      </c>
      <c r="B144">
        <v>9.15</v>
      </c>
      <c r="C144">
        <v>9.4920000000000009</v>
      </c>
      <c r="D144">
        <v>8.2490000000000006</v>
      </c>
      <c r="E144">
        <v>8.5709999999999997</v>
      </c>
      <c r="F144">
        <v>1740803.5</v>
      </c>
      <c r="G144">
        <v>8.5709999999999997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-0.48189863234111169</v>
      </c>
      <c r="Q144">
        <f t="shared" ref="Q144" si="696">F144*P144</f>
        <v>-838890.82582462044</v>
      </c>
      <c r="R144">
        <f t="shared" ref="R144" si="697">R145+Q144</f>
        <v>-24124356.088663146</v>
      </c>
      <c r="S144">
        <f t="shared" ref="S144" si="698">R144/100000</f>
        <v>-241.24356088663146</v>
      </c>
      <c r="T144">
        <f t="shared" ref="T144" si="699">S144/1000</f>
        <v>-0.24124356088663146</v>
      </c>
    </row>
    <row r="145" spans="1:20" x14ac:dyDescent="0.25">
      <c r="A145" s="5">
        <v>44448</v>
      </c>
      <c r="B145">
        <v>9.0210000000000008</v>
      </c>
      <c r="C145">
        <v>9.7560000000000002</v>
      </c>
      <c r="D145">
        <v>8.5470000000000006</v>
      </c>
      <c r="E145">
        <v>9.1349999999999998</v>
      </c>
      <c r="F145">
        <v>2308228</v>
      </c>
      <c r="G145">
        <v>9.1349999999999998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-2.7295285359802531E-2</v>
      </c>
      <c r="Q145">
        <f t="shared" ref="Q145" si="701">F145*P145</f>
        <v>-63003.741935486272</v>
      </c>
      <c r="R145">
        <f t="shared" ref="R145" si="702">R146+Q145</f>
        <v>-23285465.262838524</v>
      </c>
      <c r="S145">
        <f t="shared" ref="S145" si="703">R145/100000</f>
        <v>-232.85465262838522</v>
      </c>
      <c r="T145">
        <f t="shared" ref="T145" si="704">S145/1000</f>
        <v>-0.23285465262838523</v>
      </c>
    </row>
    <row r="146" spans="1:20" x14ac:dyDescent="0.25">
      <c r="A146" s="5">
        <v>44447</v>
      </c>
      <c r="B146">
        <v>9.0459999999999994</v>
      </c>
      <c r="C146">
        <v>9.8789999999999996</v>
      </c>
      <c r="D146">
        <v>7.9569999999999999</v>
      </c>
      <c r="E146">
        <v>9.0289999999999999</v>
      </c>
      <c r="F146">
        <v>3203160</v>
      </c>
      <c r="G146">
        <v>9.0289999999999999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0.11550468262226871</v>
      </c>
      <c r="Q146">
        <f t="shared" ref="Q146" si="706">F146*P146</f>
        <v>369979.97918834625</v>
      </c>
      <c r="R146">
        <f t="shared" ref="R146" si="707">R147+Q146</f>
        <v>-23222461.520903036</v>
      </c>
      <c r="S146">
        <f t="shared" ref="S146" si="708">R146/100000</f>
        <v>-232.22461520903036</v>
      </c>
      <c r="T146">
        <f t="shared" ref="T146" si="709">S146/1000</f>
        <v>-0.23222461520903037</v>
      </c>
    </row>
    <row r="147" spans="1:20" x14ac:dyDescent="0.25">
      <c r="A147" s="5">
        <v>44446</v>
      </c>
      <c r="B147">
        <v>11.991</v>
      </c>
      <c r="C147">
        <v>12.795999999999999</v>
      </c>
      <c r="D147">
        <v>7.4240000000000004</v>
      </c>
      <c r="E147">
        <v>9.0340000000000007</v>
      </c>
      <c r="F147">
        <v>4105350.67</v>
      </c>
      <c r="G147">
        <v>9.0340000000000007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-0.40059568131049866</v>
      </c>
      <c r="Q147">
        <f t="shared" ref="Q147" si="711">F147*P147</f>
        <v>-1644585.7486671621</v>
      </c>
      <c r="R147">
        <f t="shared" ref="R147" si="712">R148+Q147</f>
        <v>-23592441.500091381</v>
      </c>
      <c r="S147">
        <f t="shared" ref="S147" si="713">R147/100000</f>
        <v>-235.92441500091383</v>
      </c>
      <c r="T147">
        <f t="shared" ref="T147" si="714">S147/1000</f>
        <v>-0.23592441500091382</v>
      </c>
    </row>
    <row r="148" spans="1:20" x14ac:dyDescent="0.25">
      <c r="A148" s="5">
        <v>44445</v>
      </c>
      <c r="B148">
        <v>12.308</v>
      </c>
      <c r="C148">
        <v>12.817</v>
      </c>
      <c r="D148">
        <v>11.1</v>
      </c>
      <c r="E148">
        <v>11.991</v>
      </c>
      <c r="F148">
        <v>2487163.6</v>
      </c>
      <c r="G148">
        <v>11.991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3.7856726849155205E-2</v>
      </c>
      <c r="Q148">
        <f t="shared" ref="Q148" si="716">F148*P148</f>
        <v>94155.873034361517</v>
      </c>
      <c r="R148">
        <f t="shared" ref="R148" si="717">R149+Q148</f>
        <v>-21947855.751424219</v>
      </c>
      <c r="S148">
        <f t="shared" ref="S148" si="718">R148/100000</f>
        <v>-219.4785575142422</v>
      </c>
      <c r="T148">
        <f t="shared" ref="T148" si="719">S148/1000</f>
        <v>-0.2194785575142422</v>
      </c>
    </row>
    <row r="149" spans="1:20" x14ac:dyDescent="0.25">
      <c r="A149" s="5">
        <v>44444</v>
      </c>
      <c r="B149">
        <v>11.951000000000001</v>
      </c>
      <c r="C149">
        <v>12.85</v>
      </c>
      <c r="D149">
        <v>11.8</v>
      </c>
      <c r="E149">
        <v>12.297000000000001</v>
      </c>
      <c r="F149">
        <v>1875287.8</v>
      </c>
      <c r="G149">
        <v>12.297000000000001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-5.3333333333332587E-2</v>
      </c>
      <c r="Q149">
        <f t="shared" ref="Q149" si="721">F149*P149</f>
        <v>-100015.34933333193</v>
      </c>
      <c r="R149">
        <f t="shared" ref="R149" si="722">R150+Q149</f>
        <v>-22042011.624458581</v>
      </c>
      <c r="S149">
        <f t="shared" ref="S149" si="723">R149/100000</f>
        <v>-220.42011624458581</v>
      </c>
      <c r="T149">
        <f t="shared" ref="T149" si="724">S149/1000</f>
        <v>-0.22042011624458582</v>
      </c>
    </row>
    <row r="150" spans="1:20" x14ac:dyDescent="0.25">
      <c r="A150" s="5">
        <v>44443</v>
      </c>
      <c r="B150">
        <v>11.943</v>
      </c>
      <c r="C150">
        <v>12.936999999999999</v>
      </c>
      <c r="D150">
        <v>11.798</v>
      </c>
      <c r="E150">
        <v>11.948</v>
      </c>
      <c r="F150">
        <v>1964134.5</v>
      </c>
      <c r="G150">
        <v>11.948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-0.73661106233538109</v>
      </c>
      <c r="Q150">
        <f t="shared" ref="Q150" si="726">F150*P150</f>
        <v>-1446803.2006145725</v>
      </c>
      <c r="R150">
        <f t="shared" ref="R150" si="727">R151+Q150</f>
        <v>-21941996.27512525</v>
      </c>
      <c r="S150">
        <f t="shared" ref="S150" si="728">R150/100000</f>
        <v>-219.41996275125251</v>
      </c>
      <c r="T150">
        <f t="shared" ref="T150" si="729">S150/1000</f>
        <v>-0.2194199627512525</v>
      </c>
    </row>
    <row r="151" spans="1:20" x14ac:dyDescent="0.25">
      <c r="A151" s="5">
        <v>44442</v>
      </c>
      <c r="B151">
        <v>12.336</v>
      </c>
      <c r="C151">
        <v>12.912000000000001</v>
      </c>
      <c r="D151">
        <v>11.295</v>
      </c>
      <c r="E151">
        <v>11.945</v>
      </c>
      <c r="F151">
        <v>2355581.2999999998</v>
      </c>
      <c r="G151">
        <v>11.945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-0.19604205318491033</v>
      </c>
      <c r="Q151">
        <f t="shared" ref="Q151" si="731">F151*P151</f>
        <v>-461792.99449598021</v>
      </c>
      <c r="R151">
        <f t="shared" ref="R151" si="732">R152+Q151</f>
        <v>-20495193.074510679</v>
      </c>
      <c r="S151">
        <f t="shared" ref="S151" si="733">R151/100000</f>
        <v>-204.95193074510678</v>
      </c>
      <c r="T151">
        <f t="shared" ref="T151" si="734">S151/1000</f>
        <v>-0.20495193074510679</v>
      </c>
    </row>
    <row r="152" spans="1:20" x14ac:dyDescent="0.25">
      <c r="A152" s="5">
        <v>44441</v>
      </c>
      <c r="B152">
        <v>11.956</v>
      </c>
      <c r="C152">
        <v>13.603999999999999</v>
      </c>
      <c r="D152">
        <v>11.785</v>
      </c>
      <c r="E152">
        <v>12.353999999999999</v>
      </c>
      <c r="F152">
        <v>3076085.6</v>
      </c>
      <c r="G152">
        <v>12.353999999999999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-0.37438152831226018</v>
      </c>
      <c r="Q152">
        <f t="shared" ref="Q152" si="736">F152*P152</f>
        <v>-1151629.628147336</v>
      </c>
      <c r="R152">
        <f t="shared" ref="R152" si="737">R153+Q152</f>
        <v>-20033400.080014698</v>
      </c>
      <c r="S152">
        <f t="shared" ref="S152" si="738">R152/100000</f>
        <v>-200.33400080014698</v>
      </c>
      <c r="T152">
        <f t="shared" ref="T152" si="739">S152/1000</f>
        <v>-0.20033400080014699</v>
      </c>
    </row>
    <row r="153" spans="1:20" x14ac:dyDescent="0.25">
      <c r="A153" s="5">
        <v>44440</v>
      </c>
      <c r="B153">
        <v>11.233000000000001</v>
      </c>
      <c r="C153">
        <v>12.6</v>
      </c>
      <c r="D153">
        <v>10.904</v>
      </c>
      <c r="E153">
        <v>11.956</v>
      </c>
      <c r="F153">
        <v>2963548</v>
      </c>
      <c r="G153">
        <v>11.956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0.24056603773584878</v>
      </c>
      <c r="Q153">
        <f t="shared" ref="Q153" si="741">F153*P153</f>
        <v>712928.99999999919</v>
      </c>
      <c r="R153">
        <f t="shared" ref="R153" si="742">R154+Q153</f>
        <v>-18881770.451867361</v>
      </c>
      <c r="S153">
        <f t="shared" ref="S153" si="743">R153/100000</f>
        <v>-188.81770451867359</v>
      </c>
      <c r="T153">
        <f t="shared" ref="T153" si="744">S153/1000</f>
        <v>-0.18881770451867361</v>
      </c>
    </row>
    <row r="154" spans="1:20" x14ac:dyDescent="0.25">
      <c r="A154" s="5">
        <v>44439</v>
      </c>
      <c r="B154">
        <v>11.941000000000001</v>
      </c>
      <c r="C154">
        <v>12.901</v>
      </c>
      <c r="D154">
        <v>10.875</v>
      </c>
      <c r="E154">
        <v>11.250999999999999</v>
      </c>
      <c r="F154">
        <v>2683083.52</v>
      </c>
      <c r="G154">
        <v>11.250999999999999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-0.62882527147087908</v>
      </c>
      <c r="Q154">
        <f t="shared" ref="Q154" si="746">F154*P154</f>
        <v>-1687190.7228430419</v>
      </c>
      <c r="R154">
        <f t="shared" ref="R154" si="747">R155+Q154</f>
        <v>-19594699.451867361</v>
      </c>
      <c r="S154">
        <f t="shared" ref="S154" si="748">R154/100000</f>
        <v>-195.94699451867362</v>
      </c>
      <c r="T154">
        <f t="shared" ref="T154" si="749">S154/1000</f>
        <v>-0.19594699451867362</v>
      </c>
    </row>
    <row r="155" spans="1:20" x14ac:dyDescent="0.25">
      <c r="A155" s="5">
        <v>44438</v>
      </c>
      <c r="B155">
        <v>13.946</v>
      </c>
      <c r="C155">
        <v>13.994</v>
      </c>
      <c r="D155">
        <v>11.7</v>
      </c>
      <c r="E155">
        <v>11.941000000000001</v>
      </c>
      <c r="F155">
        <v>2381224.69</v>
      </c>
      <c r="G155">
        <v>11.941000000000001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-0.78988666085440162</v>
      </c>
      <c r="Q155">
        <f t="shared" ref="Q155" si="751">F155*P155</f>
        <v>-1880897.6191281576</v>
      </c>
      <c r="R155">
        <f t="shared" ref="R155" si="752">R156+Q155</f>
        <v>-17907508.729024317</v>
      </c>
      <c r="S155">
        <f t="shared" ref="S155" si="753">R155/100000</f>
        <v>-179.07508729024318</v>
      </c>
      <c r="T155">
        <f t="shared" ref="T155" si="754">S155/1000</f>
        <v>-0.17907508729024318</v>
      </c>
    </row>
    <row r="156" spans="1:20" x14ac:dyDescent="0.25">
      <c r="A156" s="5">
        <v>44437</v>
      </c>
      <c r="B156">
        <v>14.666</v>
      </c>
      <c r="C156">
        <v>15.5</v>
      </c>
      <c r="D156">
        <v>13.635</v>
      </c>
      <c r="E156">
        <v>13.943</v>
      </c>
      <c r="F156">
        <v>2686871.2</v>
      </c>
      <c r="G156">
        <v>13.943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-0.66970509383378041</v>
      </c>
      <c r="Q156">
        <f t="shared" ref="Q156" si="756">F156*P156</f>
        <v>-1799411.3291152823</v>
      </c>
      <c r="R156">
        <f t="shared" ref="R156" si="757">R157+Q156</f>
        <v>-16026611.109896161</v>
      </c>
      <c r="S156">
        <f t="shared" ref="S156" si="758">R156/100000</f>
        <v>-160.2661110989616</v>
      </c>
      <c r="T156">
        <f t="shared" ref="T156" si="759">S156/1000</f>
        <v>-0.16026611109896161</v>
      </c>
    </row>
    <row r="157" spans="1:20" x14ac:dyDescent="0.25">
      <c r="A157" s="5">
        <v>44436</v>
      </c>
      <c r="B157">
        <v>13.98</v>
      </c>
      <c r="C157">
        <v>16.66</v>
      </c>
      <c r="D157">
        <v>13.787000000000001</v>
      </c>
      <c r="E157">
        <v>14.666</v>
      </c>
      <c r="F157">
        <v>5148481.2</v>
      </c>
      <c r="G157">
        <v>14.666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-0.38809606682909864</v>
      </c>
      <c r="Q157">
        <f t="shared" ref="Q157" si="761">F157*P157</f>
        <v>-1998105.303863558</v>
      </c>
      <c r="R157">
        <f t="shared" ref="R157" si="762">R158+Q157</f>
        <v>-14227199.780780878</v>
      </c>
      <c r="S157">
        <f t="shared" ref="S157" si="763">R157/100000</f>
        <v>-142.27199780780879</v>
      </c>
      <c r="T157">
        <f t="shared" ref="T157" si="764">S157/1000</f>
        <v>-0.14227199780780878</v>
      </c>
    </row>
    <row r="158" spans="1:20" x14ac:dyDescent="0.25">
      <c r="A158" s="5">
        <v>44435</v>
      </c>
      <c r="B158">
        <v>13.564</v>
      </c>
      <c r="C158">
        <v>14.95</v>
      </c>
      <c r="D158">
        <v>12.7</v>
      </c>
      <c r="E158">
        <v>13.973000000000001</v>
      </c>
      <c r="F158">
        <v>4778639.7699999996</v>
      </c>
      <c r="G158">
        <v>13.973000000000001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0.13155555555555687</v>
      </c>
      <c r="Q158">
        <f t="shared" ref="Q158" si="766">F158*P158</f>
        <v>628656.60974222841</v>
      </c>
      <c r="R158">
        <f t="shared" ref="R158" si="767">R159+Q158</f>
        <v>-12229094.476917319</v>
      </c>
      <c r="S158">
        <f t="shared" ref="S158" si="768">R158/100000</f>
        <v>-122.29094476917319</v>
      </c>
      <c r="T158">
        <f t="shared" ref="T158" si="769">S158/1000</f>
        <v>-0.1222909447691732</v>
      </c>
    </row>
    <row r="159" spans="1:20" x14ac:dyDescent="0.25">
      <c r="A159" s="5">
        <v>44434</v>
      </c>
      <c r="B159">
        <v>17.870999999999999</v>
      </c>
      <c r="C159">
        <v>18.52</v>
      </c>
      <c r="D159">
        <v>12.923999999999999</v>
      </c>
      <c r="E159">
        <v>13.534000000000001</v>
      </c>
      <c r="F159">
        <v>8617846.6199999992</v>
      </c>
      <c r="G159">
        <v>13.534000000000001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-0.78198713366690453</v>
      </c>
      <c r="Q159">
        <f t="shared" ref="Q159" si="771">F159*P159</f>
        <v>-6739045.1767548211</v>
      </c>
      <c r="R159">
        <f t="shared" ref="R159" si="772">R160+Q159</f>
        <v>-12857751.086659547</v>
      </c>
      <c r="S159">
        <f t="shared" ref="S159" si="773">R159/100000</f>
        <v>-128.57751086659547</v>
      </c>
      <c r="T159">
        <f t="shared" ref="T159" si="774">S159/1000</f>
        <v>-0.12857751086659547</v>
      </c>
    </row>
    <row r="160" spans="1:20" x14ac:dyDescent="0.25">
      <c r="A160" s="5">
        <v>44433</v>
      </c>
      <c r="B160">
        <v>12.553000000000001</v>
      </c>
      <c r="C160">
        <v>20.7</v>
      </c>
      <c r="D160">
        <v>12.429</v>
      </c>
      <c r="E160">
        <v>17.867999999999999</v>
      </c>
      <c r="F160">
        <v>14808246.779999999</v>
      </c>
      <c r="G160">
        <v>17.867999999999999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0.31519767863619852</v>
      </c>
      <c r="Q160">
        <f t="shared" ref="Q160" si="776">F160*P160</f>
        <v>4667525.0097279614</v>
      </c>
      <c r="R160">
        <f t="shared" ref="R160" si="777">R161+Q160</f>
        <v>-6118705.9099047249</v>
      </c>
      <c r="S160">
        <f t="shared" ref="S160" si="778">R160/100000</f>
        <v>-61.187059099047246</v>
      </c>
      <c r="T160">
        <f t="shared" ref="T160" si="779">S160/1000</f>
        <v>-6.1187059099047245E-2</v>
      </c>
    </row>
    <row r="161" spans="1:20" x14ac:dyDescent="0.25">
      <c r="A161" s="5">
        <v>44432</v>
      </c>
      <c r="B161">
        <v>9.5540000000000003</v>
      </c>
      <c r="C161">
        <v>15.8</v>
      </c>
      <c r="D161">
        <v>9.1669999999999998</v>
      </c>
      <c r="E161">
        <v>12.56</v>
      </c>
      <c r="F161">
        <v>11209552.189999999</v>
      </c>
      <c r="G161">
        <v>12.56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2.3066485753052986E-2</v>
      </c>
      <c r="Q161">
        <f t="shared" ref="Q161" si="781">F161*P161</f>
        <v>258564.97588873887</v>
      </c>
      <c r="R161">
        <f t="shared" ref="R161" si="782">R162+Q161</f>
        <v>-10786230.919632686</v>
      </c>
      <c r="S161">
        <f t="shared" ref="S161" si="783">R161/100000</f>
        <v>-107.86230919632686</v>
      </c>
      <c r="T161">
        <f t="shared" ref="T161" si="784">S161/1000</f>
        <v>-0.10786230919632686</v>
      </c>
    </row>
    <row r="162" spans="1:20" x14ac:dyDescent="0.25">
      <c r="A162" s="5">
        <v>44431</v>
      </c>
      <c r="B162">
        <v>7.0869999999999997</v>
      </c>
      <c r="C162">
        <v>11.183999999999999</v>
      </c>
      <c r="D162">
        <v>7.0780000000000003</v>
      </c>
      <c r="E162">
        <v>9.5440000000000005</v>
      </c>
      <c r="F162">
        <v>8192571.1500000004</v>
      </c>
      <c r="G162">
        <v>9.5440000000000005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0.20116902094495898</v>
      </c>
      <c r="Q162">
        <f t="shared" ref="Q162" si="786">F162*P162</f>
        <v>1648091.5172674167</v>
      </c>
      <c r="R162">
        <f t="shared" ref="R162" si="787">R163+Q162</f>
        <v>-11044795.895521425</v>
      </c>
      <c r="S162">
        <f t="shared" ref="S162" si="788">R162/100000</f>
        <v>-110.44795895521425</v>
      </c>
      <c r="T162">
        <f t="shared" ref="T162" si="789">S162/1000</f>
        <v>-0.11044795895521425</v>
      </c>
    </row>
    <row r="163" spans="1:20" x14ac:dyDescent="0.25">
      <c r="A163" s="5">
        <v>44430</v>
      </c>
      <c r="B163">
        <v>6.4710000000000001</v>
      </c>
      <c r="C163">
        <v>6.5460000000000003</v>
      </c>
      <c r="D163">
        <v>6.4059999999999997</v>
      </c>
      <c r="E163">
        <v>6.5110000000000001</v>
      </c>
      <c r="F163">
        <v>106997.2</v>
      </c>
      <c r="G163">
        <v>6.5110000000000001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0.5</v>
      </c>
      <c r="Q163">
        <f t="shared" ref="Q163" si="791">F163*P163</f>
        <v>53498.6</v>
      </c>
      <c r="R163">
        <f t="shared" ref="R163" si="792">R164+Q163</f>
        <v>-12692887.412788842</v>
      </c>
      <c r="S163">
        <f t="shared" ref="S163" si="793">R163/100000</f>
        <v>-126.92887412788842</v>
      </c>
      <c r="T163">
        <f t="shared" ref="T163" si="794">S163/1000</f>
        <v>-0.12692887412788842</v>
      </c>
    </row>
    <row r="164" spans="1:20" x14ac:dyDescent="0.25">
      <c r="A164" s="5">
        <v>44429</v>
      </c>
      <c r="B164">
        <v>6.8689999999999998</v>
      </c>
      <c r="C164">
        <v>6.8769999999999998</v>
      </c>
      <c r="D164">
        <v>6.4470000000000001</v>
      </c>
      <c r="E164">
        <v>6.4640000000000004</v>
      </c>
      <c r="F164">
        <v>665955.65</v>
      </c>
      <c r="G164">
        <v>6.4640000000000004</v>
      </c>
      <c r="L164" t="s">
        <v>8</v>
      </c>
      <c r="M164" t="s">
        <v>7</v>
      </c>
      <c r="N164" t="s">
        <v>7</v>
      </c>
      <c r="P164">
        <f t="shared" ref="P164" si="795">IF(C164=D164,0,((E164-D164)-(C164-E164))/(C164-D164))</f>
        <v>-0.92093023255813788</v>
      </c>
      <c r="Q164">
        <f t="shared" ref="Q164" si="796">F164*P164</f>
        <v>-613298.69162790594</v>
      </c>
      <c r="R164">
        <f t="shared" ref="R164" si="797">R165+Q164</f>
        <v>-12746386.012788842</v>
      </c>
      <c r="S164">
        <f t="shared" ref="S164" si="798">R164/100000</f>
        <v>-127.46386012788841</v>
      </c>
      <c r="T164">
        <f t="shared" ref="T164" si="799">S164/1000</f>
        <v>-0.12746386012788841</v>
      </c>
    </row>
    <row r="165" spans="1:20" x14ac:dyDescent="0.25">
      <c r="A165" s="5">
        <v>44428</v>
      </c>
      <c r="B165">
        <v>6.6440000000000001</v>
      </c>
      <c r="C165">
        <v>6.8760000000000003</v>
      </c>
      <c r="D165">
        <v>6.5140000000000002</v>
      </c>
      <c r="E165">
        <v>6.8639999999999999</v>
      </c>
      <c r="F165">
        <v>737785.57</v>
      </c>
      <c r="G165">
        <v>6.8639999999999999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0.93370165745856104</v>
      </c>
      <c r="Q165">
        <f t="shared" ref="Q165" si="801">F165*P165</f>
        <v>688871.60955800919</v>
      </c>
      <c r="R165">
        <f t="shared" ref="R165" si="802">R166+Q165</f>
        <v>-12133087.321160935</v>
      </c>
      <c r="S165">
        <f t="shared" ref="S165" si="803">R165/100000</f>
        <v>-121.33087321160934</v>
      </c>
      <c r="T165">
        <f t="shared" ref="T165" si="804">S165/1000</f>
        <v>-0.12133087321160935</v>
      </c>
    </row>
    <row r="166" spans="1:20" x14ac:dyDescent="0.25">
      <c r="A166" s="5">
        <v>44427</v>
      </c>
      <c r="B166">
        <v>6.157</v>
      </c>
      <c r="C166">
        <v>6.6760000000000002</v>
      </c>
      <c r="D166">
        <v>6.1040000000000001</v>
      </c>
      <c r="E166">
        <v>6.6559999999999997</v>
      </c>
      <c r="F166">
        <v>632052.25</v>
      </c>
      <c r="G166">
        <v>6.6559999999999997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0.93006993006992844</v>
      </c>
      <c r="Q166">
        <f t="shared" ref="Q166" si="806">F166*P166</f>
        <v>587852.79195804091</v>
      </c>
      <c r="R166">
        <f t="shared" ref="R166" si="807">R167+Q166</f>
        <v>-12821958.930718943</v>
      </c>
      <c r="S166">
        <f t="shared" ref="S166" si="808">R166/100000</f>
        <v>-128.21958930718944</v>
      </c>
      <c r="T166">
        <f t="shared" ref="T166" si="809">S166/1000</f>
        <v>-0.12821958930718944</v>
      </c>
    </row>
    <row r="167" spans="1:20" x14ac:dyDescent="0.25">
      <c r="A167" s="5">
        <v>44426</v>
      </c>
      <c r="B167">
        <v>6.3529999999999998</v>
      </c>
      <c r="C167">
        <v>6.5709999999999997</v>
      </c>
      <c r="D167">
        <v>6.08</v>
      </c>
      <c r="E167">
        <v>6.1550000000000002</v>
      </c>
      <c r="F167">
        <v>853704.5</v>
      </c>
      <c r="G167">
        <v>6.1550000000000002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-0.69450101832993794</v>
      </c>
      <c r="Q167">
        <f t="shared" ref="Q167" si="811">F167*P167</f>
        <v>-592898.64460285055</v>
      </c>
      <c r="R167">
        <f t="shared" ref="R167" si="812">R168+Q167</f>
        <v>-13409811.722676985</v>
      </c>
      <c r="S167">
        <f t="shared" ref="S167" si="813">R167/100000</f>
        <v>-134.09811722676986</v>
      </c>
      <c r="T167">
        <f t="shared" ref="T167" si="814">S167/1000</f>
        <v>-0.13409811722676987</v>
      </c>
    </row>
    <row r="168" spans="1:20" x14ac:dyDescent="0.25">
      <c r="A168" s="5">
        <v>44425</v>
      </c>
      <c r="B168">
        <v>7.0010000000000003</v>
      </c>
      <c r="C168">
        <v>7.1859999999999999</v>
      </c>
      <c r="D168">
        <v>6.3360000000000003</v>
      </c>
      <c r="E168">
        <v>6.35</v>
      </c>
      <c r="F168">
        <v>1139713.43</v>
      </c>
      <c r="G168">
        <v>6.35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-0.9670588235294133</v>
      </c>
      <c r="Q168">
        <f t="shared" ref="Q168" si="816">F168*P168</f>
        <v>-1102169.9287764723</v>
      </c>
      <c r="R168">
        <f t="shared" ref="R168" si="817">R169+Q168</f>
        <v>-12816913.078074135</v>
      </c>
      <c r="S168">
        <f t="shared" ref="S168" si="818">R168/100000</f>
        <v>-128.16913078074134</v>
      </c>
      <c r="T168">
        <f t="shared" ref="T168" si="819">S168/1000</f>
        <v>-0.12816913078074135</v>
      </c>
    </row>
    <row r="169" spans="1:20" x14ac:dyDescent="0.25">
      <c r="A169" s="5">
        <v>44424</v>
      </c>
      <c r="B169">
        <v>7.0629999999999997</v>
      </c>
      <c r="C169">
        <v>7.5540000000000003</v>
      </c>
      <c r="D169">
        <v>6.6630000000000003</v>
      </c>
      <c r="E169">
        <v>7.0110000000000001</v>
      </c>
      <c r="F169">
        <v>1737997.38</v>
      </c>
      <c r="G169">
        <v>7.0110000000000001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-0.21885521885521916</v>
      </c>
      <c r="Q169">
        <f t="shared" ref="Q169" si="821">F169*P169</f>
        <v>-380369.79696969746</v>
      </c>
      <c r="R169">
        <f t="shared" ref="R169" si="822">R170+Q169</f>
        <v>-11714743.149297662</v>
      </c>
      <c r="S169">
        <f t="shared" ref="S169" si="823">R169/100000</f>
        <v>-117.14743149297662</v>
      </c>
      <c r="T169">
        <f t="shared" ref="T169" si="824">S169/1000</f>
        <v>-0.11714743149297663</v>
      </c>
    </row>
    <row r="170" spans="1:20" x14ac:dyDescent="0.25">
      <c r="A170" s="5">
        <v>44423</v>
      </c>
      <c r="B170">
        <v>6.9409999999999998</v>
      </c>
      <c r="C170">
        <v>7.1139999999999999</v>
      </c>
      <c r="D170">
        <v>6.4530000000000003</v>
      </c>
      <c r="E170">
        <v>7.0549999999999997</v>
      </c>
      <c r="F170">
        <v>1039601.75</v>
      </c>
      <c r="G170">
        <v>7.0549999999999997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0.82148260211800239</v>
      </c>
      <c r="Q170">
        <f t="shared" ref="Q170" si="826">F170*P170</f>
        <v>854014.75075642904</v>
      </c>
      <c r="R170">
        <f t="shared" ref="R170" si="827">R171+Q170</f>
        <v>-11334373.352327965</v>
      </c>
      <c r="S170">
        <f t="shared" ref="S170" si="828">R170/100000</f>
        <v>-113.34373352327965</v>
      </c>
      <c r="T170">
        <f t="shared" ref="T170" si="829">S170/1000</f>
        <v>-0.11334373352327966</v>
      </c>
    </row>
    <row r="171" spans="1:20" x14ac:dyDescent="0.25">
      <c r="A171" s="5">
        <v>44422</v>
      </c>
      <c r="B171">
        <v>6.6989999999999998</v>
      </c>
      <c r="C171">
        <v>7.7770000000000001</v>
      </c>
      <c r="D171">
        <v>6.6340000000000003</v>
      </c>
      <c r="E171">
        <v>6.9329999999999998</v>
      </c>
      <c r="F171">
        <v>3442176.7</v>
      </c>
      <c r="G171">
        <v>6.9329999999999998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-0.47681539807524137</v>
      </c>
      <c r="Q171">
        <f t="shared" ref="Q171" si="831">F171*P171</f>
        <v>-1641282.8534558208</v>
      </c>
      <c r="R171">
        <f t="shared" ref="R171" si="832">R172+Q171</f>
        <v>-12188388.103084395</v>
      </c>
      <c r="S171">
        <f t="shared" ref="S171" si="833">R171/100000</f>
        <v>-121.88388103084395</v>
      </c>
      <c r="T171">
        <f t="shared" ref="T171" si="834">S171/1000</f>
        <v>-0.12188388103084395</v>
      </c>
    </row>
    <row r="172" spans="1:20" x14ac:dyDescent="0.25">
      <c r="A172" s="5">
        <v>44421</v>
      </c>
      <c r="B172">
        <v>6.2919999999999998</v>
      </c>
      <c r="C172">
        <v>6.7119999999999997</v>
      </c>
      <c r="D172">
        <v>6.2450000000000001</v>
      </c>
      <c r="E172">
        <v>6.6980000000000004</v>
      </c>
      <c r="F172">
        <v>1059014.19</v>
      </c>
      <c r="G172">
        <v>6.6980000000000004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0.94004282655246529</v>
      </c>
      <c r="Q172">
        <f t="shared" ref="Q172" si="836">F172*P172</f>
        <v>995518.69252676948</v>
      </c>
      <c r="R172">
        <f t="shared" ref="R172" si="837">R173+Q172</f>
        <v>-10547105.249628574</v>
      </c>
      <c r="S172">
        <f t="shared" ref="S172" si="838">R172/100000</f>
        <v>-105.47105249628574</v>
      </c>
      <c r="T172">
        <f t="shared" ref="T172" si="839">S172/1000</f>
        <v>-0.10547105249628573</v>
      </c>
    </row>
    <row r="173" spans="1:20" x14ac:dyDescent="0.25">
      <c r="A173" s="5">
        <v>44420</v>
      </c>
      <c r="B173">
        <v>6.7409999999999997</v>
      </c>
      <c r="C173">
        <v>6.9889999999999999</v>
      </c>
      <c r="D173">
        <v>5.9249999999999998</v>
      </c>
      <c r="E173">
        <v>6.2889999999999997</v>
      </c>
      <c r="F173">
        <v>1076616.2</v>
      </c>
      <c r="G173">
        <v>6.2889999999999997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-0.31578947368421079</v>
      </c>
      <c r="Q173">
        <f t="shared" ref="Q173" si="841">F173*P173</f>
        <v>-339984.063157895</v>
      </c>
      <c r="R173">
        <f t="shared" ref="R173" si="842">R174+Q173</f>
        <v>-11542623.942155343</v>
      </c>
      <c r="S173">
        <f t="shared" ref="S173" si="843">R173/100000</f>
        <v>-115.42623942155342</v>
      </c>
      <c r="T173">
        <f t="shared" ref="T173" si="844">S173/1000</f>
        <v>-0.11542623942155342</v>
      </c>
    </row>
    <row r="174" spans="1:20" x14ac:dyDescent="0.25">
      <c r="A174" s="5">
        <v>44419</v>
      </c>
      <c r="B174">
        <v>6.7850000000000001</v>
      </c>
      <c r="C174">
        <v>7.29</v>
      </c>
      <c r="D174">
        <v>6.66</v>
      </c>
      <c r="E174">
        <v>6.7359999999999998</v>
      </c>
      <c r="F174">
        <v>1772301.52</v>
      </c>
      <c r="G174">
        <v>6.7359999999999998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-0.75873015873015992</v>
      </c>
      <c r="Q174">
        <f t="shared" ref="Q174" si="846">F174*P174</f>
        <v>-1344698.6135873038</v>
      </c>
      <c r="R174">
        <f t="shared" ref="R174" si="847">R175+Q174</f>
        <v>-11202639.878997447</v>
      </c>
      <c r="S174">
        <f t="shared" ref="S174" si="848">R174/100000</f>
        <v>-112.02639878997446</v>
      </c>
      <c r="T174">
        <f t="shared" ref="T174" si="849">S174/1000</f>
        <v>-0.11202639878997446</v>
      </c>
    </row>
    <row r="175" spans="1:20" x14ac:dyDescent="0.25">
      <c r="A175" s="5">
        <v>44418</v>
      </c>
      <c r="B175">
        <v>7.0490000000000004</v>
      </c>
      <c r="C175">
        <v>7.1479999999999997</v>
      </c>
      <c r="D175">
        <v>6.4189999999999996</v>
      </c>
      <c r="E175">
        <v>6.7850000000000001</v>
      </c>
      <c r="F175">
        <v>1439223.45</v>
      </c>
      <c r="G175">
        <v>6.7850000000000001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4.1152263374499331E-3</v>
      </c>
      <c r="Q175">
        <f t="shared" ref="Q175" si="851">F175*P175</f>
        <v>5922.7302469155566</v>
      </c>
      <c r="R175">
        <f t="shared" ref="R175" si="852">R176+Q175</f>
        <v>-9857941.2654101439</v>
      </c>
      <c r="S175">
        <f t="shared" ref="S175" si="853">R175/100000</f>
        <v>-98.579412654101432</v>
      </c>
      <c r="T175">
        <f t="shared" ref="T175" si="854">S175/1000</f>
        <v>-9.8579412654101431E-2</v>
      </c>
    </row>
    <row r="176" spans="1:20" x14ac:dyDescent="0.25">
      <c r="A176" s="5">
        <v>44417</v>
      </c>
      <c r="B176">
        <v>6.7409999999999997</v>
      </c>
      <c r="C176">
        <v>7.75</v>
      </c>
      <c r="D176">
        <v>6.3979999999999997</v>
      </c>
      <c r="E176">
        <v>7.0510000000000002</v>
      </c>
      <c r="F176">
        <v>1925171.9</v>
      </c>
      <c r="G176">
        <v>7.0510000000000002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-3.4023668639052783E-2</v>
      </c>
      <c r="Q176">
        <f t="shared" ref="Q176" si="856">F176*P176</f>
        <v>-65501.410798815654</v>
      </c>
      <c r="R176">
        <f t="shared" ref="R176" si="857">R177+Q176</f>
        <v>-9863863.9956570603</v>
      </c>
      <c r="S176">
        <f t="shared" ref="S176" si="858">R176/100000</f>
        <v>-98.6386399565706</v>
      </c>
      <c r="T176">
        <f t="shared" ref="T176" si="859">S176/1000</f>
        <v>-9.8638639956570601E-2</v>
      </c>
    </row>
    <row r="177" spans="1:20" x14ac:dyDescent="0.25">
      <c r="A177" s="5">
        <v>44416</v>
      </c>
      <c r="B177">
        <v>7.6689999999999996</v>
      </c>
      <c r="C177">
        <v>7.867</v>
      </c>
      <c r="D177">
        <v>6.7329999999999997</v>
      </c>
      <c r="E177">
        <v>6.7409999999999997</v>
      </c>
      <c r="F177">
        <v>2699449.89</v>
      </c>
      <c r="G177">
        <v>6.7409999999999997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-0.98589065255731922</v>
      </c>
      <c r="Q177">
        <f t="shared" ref="Q177" si="861">F177*P177</f>
        <v>-2661362.4135978837</v>
      </c>
      <c r="R177">
        <f t="shared" ref="R177" si="862">R178+Q177</f>
        <v>-9798362.5848582443</v>
      </c>
      <c r="S177">
        <f t="shared" ref="S177" si="863">R177/100000</f>
        <v>-97.983625848582449</v>
      </c>
      <c r="T177">
        <f t="shared" ref="T177" si="864">S177/1000</f>
        <v>-9.7983625848582445E-2</v>
      </c>
    </row>
    <row r="178" spans="1:20" x14ac:dyDescent="0.25">
      <c r="A178" s="5">
        <v>44415</v>
      </c>
      <c r="B178">
        <v>6.1</v>
      </c>
      <c r="C178">
        <v>8.1940000000000008</v>
      </c>
      <c r="D178">
        <v>5.7809999999999997</v>
      </c>
      <c r="E178">
        <v>7.6740000000000004</v>
      </c>
      <c r="F178">
        <v>5695643.3600000003</v>
      </c>
      <c r="G178">
        <v>7.6740000000000004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0.56900124326564427</v>
      </c>
      <c r="Q178">
        <f t="shared" ref="Q178" si="866">F178*P178</f>
        <v>3240828.1530377115</v>
      </c>
      <c r="R178">
        <f t="shared" ref="R178" si="867">R179+Q178</f>
        <v>-7137000.1712603606</v>
      </c>
      <c r="S178">
        <f t="shared" ref="S178" si="868">R178/100000</f>
        <v>-71.37000171260361</v>
      </c>
      <c r="T178">
        <f t="shared" ref="T178" si="869">S178/1000</f>
        <v>-7.1370001712603603E-2</v>
      </c>
    </row>
    <row r="179" spans="1:20" x14ac:dyDescent="0.25">
      <c r="A179" s="5">
        <v>44414</v>
      </c>
      <c r="B179">
        <v>6.6289999999999996</v>
      </c>
      <c r="C179">
        <v>6.6459999999999999</v>
      </c>
      <c r="D179">
        <v>5.9390000000000001</v>
      </c>
      <c r="E179">
        <v>6.0890000000000004</v>
      </c>
      <c r="F179">
        <v>1594212.84</v>
      </c>
      <c r="G179">
        <v>6.0890000000000004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-0.57567185289957457</v>
      </c>
      <c r="Q179">
        <f t="shared" ref="Q179" si="871">F179*P179</f>
        <v>-917743.45951909304</v>
      </c>
      <c r="R179">
        <f t="shared" ref="R179" si="872">R180+Q179</f>
        <v>-10377828.324298073</v>
      </c>
      <c r="S179">
        <f t="shared" ref="S179" si="873">R179/100000</f>
        <v>-103.77828324298072</v>
      </c>
      <c r="T179">
        <f t="shared" ref="T179" si="874">S179/1000</f>
        <v>-0.10377828324298072</v>
      </c>
    </row>
    <row r="180" spans="1:20" x14ac:dyDescent="0.25">
      <c r="A180" s="5">
        <v>44413</v>
      </c>
      <c r="B180">
        <v>6.1929999999999996</v>
      </c>
      <c r="C180">
        <v>7.44</v>
      </c>
      <c r="D180">
        <v>5.923</v>
      </c>
      <c r="E180">
        <v>6.633</v>
      </c>
      <c r="F180">
        <v>4210711.57</v>
      </c>
      <c r="G180">
        <v>6.633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-6.3941990771259324E-2</v>
      </c>
      <c r="Q180">
        <f t="shared" ref="Q180" si="876">F180*P180</f>
        <v>-269241.28034937487</v>
      </c>
      <c r="R180">
        <f t="shared" ref="R180" si="877">R181+Q180</f>
        <v>-9460084.8647789788</v>
      </c>
      <c r="S180">
        <f t="shared" ref="S180" si="878">R180/100000</f>
        <v>-94.600848647789789</v>
      </c>
      <c r="T180">
        <f t="shared" ref="T180" si="879">S180/1000</f>
        <v>-9.4600848647789795E-2</v>
      </c>
    </row>
    <row r="181" spans="1:20" x14ac:dyDescent="0.25">
      <c r="A181" s="5">
        <v>44412</v>
      </c>
      <c r="B181">
        <v>5.282</v>
      </c>
      <c r="C181">
        <v>6.5</v>
      </c>
      <c r="D181">
        <v>5.2389999999999999</v>
      </c>
      <c r="E181">
        <v>6.1790000000000003</v>
      </c>
      <c r="F181">
        <v>6362517.3200000003</v>
      </c>
      <c r="G181">
        <v>6.1790000000000003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0.49088025376685218</v>
      </c>
      <c r="Q181">
        <f t="shared" ref="Q181" si="881">F181*P181</f>
        <v>3123234.1166375922</v>
      </c>
      <c r="R181">
        <f t="shared" ref="R181" si="882">R182+Q181</f>
        <v>-9190843.5844296031</v>
      </c>
      <c r="S181">
        <f t="shared" ref="S181" si="883">R181/100000</f>
        <v>-91.908435844296037</v>
      </c>
      <c r="T181">
        <f t="shared" ref="T181" si="884">S181/1000</f>
        <v>-9.1908435844296033E-2</v>
      </c>
    </row>
    <row r="182" spans="1:20" x14ac:dyDescent="0.25">
      <c r="A182" s="5">
        <v>44411</v>
      </c>
      <c r="B182">
        <v>4.6639999999999997</v>
      </c>
      <c r="C182">
        <v>5.7880000000000003</v>
      </c>
      <c r="D182">
        <v>4.5469999999999997</v>
      </c>
      <c r="E182">
        <v>5.2850000000000001</v>
      </c>
      <c r="F182">
        <v>3904362.73</v>
      </c>
      <c r="G182">
        <v>5.2850000000000001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0.18936341659951669</v>
      </c>
      <c r="Q182">
        <f t="shared" ref="Q182" si="886">F182*P182</f>
        <v>739343.4661966163</v>
      </c>
      <c r="R182">
        <f t="shared" ref="R182" si="887">R183+Q182</f>
        <v>-12314077.701067196</v>
      </c>
      <c r="S182">
        <f t="shared" ref="S182" si="888">R182/100000</f>
        <v>-123.14077701067197</v>
      </c>
      <c r="T182">
        <f t="shared" ref="T182" si="889">S182/1000</f>
        <v>-0.12314077701067197</v>
      </c>
    </row>
    <row r="183" spans="1:20" x14ac:dyDescent="0.25">
      <c r="A183" s="5">
        <v>44410</v>
      </c>
      <c r="B183">
        <v>4.6550000000000002</v>
      </c>
      <c r="C183">
        <v>4.9770000000000003</v>
      </c>
      <c r="D183">
        <v>4.4240000000000004</v>
      </c>
      <c r="E183">
        <v>4.6559999999999997</v>
      </c>
      <c r="F183">
        <v>1442129.51</v>
      </c>
      <c r="G183">
        <v>4.6559999999999997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-0.1609403254972899</v>
      </c>
      <c r="Q183">
        <f t="shared" ref="Q183" si="891">F183*P183</f>
        <v>-232096.79274864719</v>
      </c>
      <c r="R183">
        <f t="shared" ref="R183" si="892">R184+Q183</f>
        <v>-13053421.167263813</v>
      </c>
      <c r="S183">
        <f t="shared" ref="S183" si="893">R183/100000</f>
        <v>-130.53421167263812</v>
      </c>
      <c r="T183">
        <f t="shared" ref="T183" si="894">S183/1000</f>
        <v>-0.13053421167263812</v>
      </c>
    </row>
    <row r="184" spans="1:20" x14ac:dyDescent="0.25">
      <c r="A184" s="5">
        <v>44409</v>
      </c>
      <c r="B184">
        <v>5.5540000000000003</v>
      </c>
      <c r="C184">
        <v>5.5730000000000004</v>
      </c>
      <c r="D184">
        <v>4.5599999999999996</v>
      </c>
      <c r="E184">
        <v>4.6529999999999996</v>
      </c>
      <c r="F184">
        <v>2841845.86</v>
      </c>
      <c r="G184">
        <v>4.6529999999999996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-0.8163869693978284</v>
      </c>
      <c r="Q184">
        <f t="shared" ref="Q184" si="896">F184*P184</f>
        <v>-2320045.9291411652</v>
      </c>
      <c r="R184">
        <f t="shared" ref="R184" si="897">R185+Q184</f>
        <v>-12821324.374515167</v>
      </c>
      <c r="S184">
        <f t="shared" ref="S184" si="898">R184/100000</f>
        <v>-128.21324374515166</v>
      </c>
      <c r="T184">
        <f t="shared" ref="T184" si="899">S184/1000</f>
        <v>-0.12821324374515167</v>
      </c>
    </row>
    <row r="185" spans="1:20" x14ac:dyDescent="0.25">
      <c r="A185" s="5">
        <v>44408</v>
      </c>
      <c r="B185">
        <v>4.0330000000000004</v>
      </c>
      <c r="C185">
        <v>5.6980000000000004</v>
      </c>
      <c r="D185">
        <v>3.9849999999999999</v>
      </c>
      <c r="E185">
        <v>5.54</v>
      </c>
      <c r="F185">
        <v>6157552.0300000003</v>
      </c>
      <c r="G185">
        <v>5.54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0.81552831290134231</v>
      </c>
      <c r="Q185">
        <f t="shared" ref="Q185" si="901">F185*P185</f>
        <v>5021658.0186281353</v>
      </c>
      <c r="R185">
        <f t="shared" ref="R185" si="902">R186+Q185</f>
        <v>-10501278.445374001</v>
      </c>
      <c r="S185">
        <f t="shared" ref="S185" si="903">R185/100000</f>
        <v>-105.01278445374001</v>
      </c>
      <c r="T185">
        <f t="shared" ref="T185" si="904">S185/1000</f>
        <v>-0.10501278445374002</v>
      </c>
    </row>
    <row r="186" spans="1:20" x14ac:dyDescent="0.25">
      <c r="A186" s="5">
        <v>44407</v>
      </c>
      <c r="B186">
        <v>3.9580000000000002</v>
      </c>
      <c r="C186">
        <v>4.2770000000000001</v>
      </c>
      <c r="D186">
        <v>3.8</v>
      </c>
      <c r="E186">
        <v>4.0330000000000004</v>
      </c>
      <c r="F186">
        <v>654307.69999999995</v>
      </c>
      <c r="G186">
        <v>4.0330000000000004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-2.3060796645700682E-2</v>
      </c>
      <c r="Q186">
        <f t="shared" ref="Q186" si="906">F186*P186</f>
        <v>-15088.856813416127</v>
      </c>
      <c r="R186">
        <f t="shared" ref="R186" si="907">R187+Q186</f>
        <v>-15522936.464002136</v>
      </c>
      <c r="S186">
        <f t="shared" ref="S186" si="908">R186/100000</f>
        <v>-155.22936464002137</v>
      </c>
      <c r="T186">
        <f t="shared" ref="T186" si="909">S186/1000</f>
        <v>-0.15522936464002138</v>
      </c>
    </row>
    <row r="187" spans="1:20" x14ac:dyDescent="0.25">
      <c r="A187" s="5">
        <v>44406</v>
      </c>
      <c r="B187">
        <v>4.0069999999999997</v>
      </c>
      <c r="C187">
        <v>4.0460000000000003</v>
      </c>
      <c r="D187">
        <v>3.8370000000000002</v>
      </c>
      <c r="E187">
        <v>3.9550000000000001</v>
      </c>
      <c r="F187">
        <v>409241.1</v>
      </c>
      <c r="G187">
        <v>3.9550000000000001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0.12918660287081188</v>
      </c>
      <c r="Q187">
        <f t="shared" ref="Q187" si="911">F187*P187</f>
        <v>52868.467464114205</v>
      </c>
      <c r="R187">
        <f t="shared" ref="R187" si="912">R188+Q187</f>
        <v>-15507847.60718872</v>
      </c>
      <c r="S187">
        <f t="shared" ref="S187" si="913">R187/100000</f>
        <v>-155.0784760718872</v>
      </c>
      <c r="T187">
        <f t="shared" ref="T187" si="914">S187/1000</f>
        <v>-0.15507847607188718</v>
      </c>
    </row>
    <row r="188" spans="1:20" x14ac:dyDescent="0.25">
      <c r="A188" s="5">
        <v>44405</v>
      </c>
      <c r="B188">
        <v>3.9969999999999999</v>
      </c>
      <c r="C188">
        <v>4.33</v>
      </c>
      <c r="D188">
        <v>3.9119999999999999</v>
      </c>
      <c r="E188">
        <v>3.9990000000000001</v>
      </c>
      <c r="F188">
        <v>678507.21</v>
      </c>
      <c r="G188">
        <v>3.9990000000000001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-0.58373205741626721</v>
      </c>
      <c r="Q188">
        <f t="shared" ref="Q188" si="916">F188*P188</f>
        <v>-396066.40966507123</v>
      </c>
      <c r="R188">
        <f t="shared" ref="R188" si="917">R189+Q188</f>
        <v>-15560716.074652834</v>
      </c>
      <c r="S188">
        <f t="shared" ref="S188" si="918">R188/100000</f>
        <v>-155.60716074652834</v>
      </c>
      <c r="T188">
        <f t="shared" ref="T188" si="919">S188/1000</f>
        <v>-0.15560716074652833</v>
      </c>
    </row>
    <row r="189" spans="1:20" x14ac:dyDescent="0.25">
      <c r="A189" s="5">
        <v>44404</v>
      </c>
      <c r="B189">
        <v>4.07</v>
      </c>
      <c r="C189">
        <v>4.1790000000000003</v>
      </c>
      <c r="D189">
        <v>3.75</v>
      </c>
      <c r="E189">
        <v>4.0019999999999998</v>
      </c>
      <c r="F189">
        <v>806647.21</v>
      </c>
      <c r="G189">
        <v>4.0019999999999998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0.17482517482517307</v>
      </c>
      <c r="Q189">
        <f t="shared" ref="Q189" si="921">F189*P189</f>
        <v>141022.23951048809</v>
      </c>
      <c r="R189">
        <f t="shared" ref="R189" si="922">R190+Q189</f>
        <v>-15164649.664987763</v>
      </c>
      <c r="S189">
        <f t="shared" ref="S189" si="923">R189/100000</f>
        <v>-151.64649664987763</v>
      </c>
      <c r="T189">
        <f t="shared" ref="T189" si="924">S189/1000</f>
        <v>-0.15164649664987764</v>
      </c>
    </row>
    <row r="190" spans="1:20" x14ac:dyDescent="0.25">
      <c r="A190" s="5">
        <v>44403</v>
      </c>
      <c r="B190">
        <v>4.2069999999999999</v>
      </c>
      <c r="C190">
        <v>4.6760000000000002</v>
      </c>
      <c r="D190">
        <v>4.0039999999999996</v>
      </c>
      <c r="E190">
        <v>4.0640000000000001</v>
      </c>
      <c r="F190">
        <v>1608033.46</v>
      </c>
      <c r="G190">
        <v>4.0640000000000001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-0.82142857142857006</v>
      </c>
      <c r="Q190">
        <f t="shared" ref="Q190" si="926">F190*P190</f>
        <v>-1320884.6278571407</v>
      </c>
      <c r="R190">
        <f t="shared" ref="R190" si="927">R191+Q190</f>
        <v>-15305671.904498251</v>
      </c>
      <c r="S190">
        <f t="shared" ref="S190" si="928">R190/100000</f>
        <v>-153.05671904498251</v>
      </c>
      <c r="T190">
        <f t="shared" ref="T190" si="929">S190/1000</f>
        <v>-0.15305671904498253</v>
      </c>
    </row>
    <row r="191" spans="1:20" x14ac:dyDescent="0.25">
      <c r="A191" s="5">
        <v>44402</v>
      </c>
      <c r="B191">
        <v>3.65</v>
      </c>
      <c r="C191">
        <v>4.7</v>
      </c>
      <c r="D191">
        <v>3.54</v>
      </c>
      <c r="E191">
        <v>4.21</v>
      </c>
      <c r="F191">
        <v>2972303.21</v>
      </c>
      <c r="G191">
        <v>4.21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0.15517241379310318</v>
      </c>
      <c r="Q191">
        <f t="shared" ref="Q191" si="931">F191*P191</f>
        <v>461219.46362068882</v>
      </c>
      <c r="R191">
        <f t="shared" ref="R191" si="932">R192+Q191</f>
        <v>-13984787.27664111</v>
      </c>
      <c r="S191">
        <f t="shared" ref="S191" si="933">R191/100000</f>
        <v>-139.84787276641109</v>
      </c>
      <c r="T191">
        <f t="shared" ref="T191:T197" si="934">S191/1000</f>
        <v>-0.13984787276641109</v>
      </c>
    </row>
    <row r="192" spans="1:20" x14ac:dyDescent="0.25">
      <c r="A192" s="5">
        <v>44401</v>
      </c>
      <c r="B192">
        <v>3.8740000000000001</v>
      </c>
      <c r="C192">
        <v>4.1689999999999996</v>
      </c>
      <c r="D192">
        <v>3.63</v>
      </c>
      <c r="E192">
        <v>3.6469999999999998</v>
      </c>
      <c r="F192">
        <v>1132494.8</v>
      </c>
      <c r="G192">
        <v>3.6469999999999998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-0.93692022263450869</v>
      </c>
      <c r="Q192">
        <f t="shared" ref="Q192" si="936">F192*P192</f>
        <v>-1061057.2801484235</v>
      </c>
      <c r="R192">
        <f t="shared" ref="R192" si="937">R193+Q192</f>
        <v>-14446006.740261799</v>
      </c>
      <c r="S192">
        <f t="shared" ref="S192" si="938">R192/100000</f>
        <v>-144.46006740261799</v>
      </c>
      <c r="T192">
        <f t="shared" si="934"/>
        <v>-0.14446006740261799</v>
      </c>
    </row>
    <row r="193" spans="1:20" x14ac:dyDescent="0.25">
      <c r="A193" s="5">
        <v>44400</v>
      </c>
      <c r="B193">
        <v>3.24</v>
      </c>
      <c r="C193">
        <v>4.1900000000000004</v>
      </c>
      <c r="D193">
        <v>3.22</v>
      </c>
      <c r="E193">
        <v>3.8679999999999999</v>
      </c>
      <c r="F193">
        <v>2576146.7599999998</v>
      </c>
      <c r="G193">
        <v>3.8679999999999999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0.33608247422680321</v>
      </c>
      <c r="Q193">
        <f t="shared" ref="Q193" si="940">F193*P193</f>
        <v>865797.77707216248</v>
      </c>
      <c r="R193">
        <f t="shared" ref="R193" si="941">R194+Q193</f>
        <v>-13384949.460113375</v>
      </c>
      <c r="S193">
        <f t="shared" ref="S193" si="942">R193/100000</f>
        <v>-133.84949460113376</v>
      </c>
      <c r="T193">
        <f t="shared" si="934"/>
        <v>-0.13384949460113377</v>
      </c>
    </row>
    <row r="194" spans="1:20" x14ac:dyDescent="0.25">
      <c r="A194" s="5">
        <v>44399</v>
      </c>
      <c r="B194">
        <v>3.278</v>
      </c>
      <c r="C194">
        <v>3.3330000000000002</v>
      </c>
      <c r="D194">
        <v>3.1560000000000001</v>
      </c>
      <c r="E194">
        <v>3.24</v>
      </c>
      <c r="F194">
        <v>556007.94999999995</v>
      </c>
      <c r="G194">
        <v>3.24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-5.0847457627118051E-2</v>
      </c>
      <c r="Q194">
        <f t="shared" ref="Q194" si="944">F194*P194</f>
        <v>-28271.590677965771</v>
      </c>
      <c r="R194">
        <f t="shared" ref="R194" si="945">R195+Q194</f>
        <v>-14250747.237185538</v>
      </c>
      <c r="S194">
        <f t="shared" ref="S194" si="946">R194/100000</f>
        <v>-142.50747237185539</v>
      </c>
      <c r="T194">
        <f t="shared" si="934"/>
        <v>-0.14250747237185538</v>
      </c>
    </row>
    <row r="195" spans="1:20" x14ac:dyDescent="0.25">
      <c r="A195" s="5">
        <v>44398</v>
      </c>
      <c r="B195">
        <v>3.07</v>
      </c>
      <c r="C195">
        <v>3.4969999999999999</v>
      </c>
      <c r="D195">
        <v>3.0539999999999998</v>
      </c>
      <c r="E195">
        <v>3.2749999999999999</v>
      </c>
      <c r="F195">
        <v>1042831.39</v>
      </c>
      <c r="G195">
        <v>3.2749999999999999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-2.257336343114875E-3</v>
      </c>
      <c r="Q195">
        <f t="shared" ref="Q195" si="948">F195*P195</f>
        <v>-2354.021196388002</v>
      </c>
      <c r="R195">
        <f t="shared" ref="R195" si="949">R196+Q195</f>
        <v>-14222475.646507572</v>
      </c>
      <c r="S195">
        <f t="shared" ref="S195" si="950">R195/100000</f>
        <v>-142.22475646507573</v>
      </c>
      <c r="T195">
        <f t="shared" si="934"/>
        <v>-0.14222475646507574</v>
      </c>
    </row>
    <row r="196" spans="1:20" x14ac:dyDescent="0.25">
      <c r="A196" s="5">
        <v>44397</v>
      </c>
      <c r="B196">
        <v>3.4670000000000001</v>
      </c>
      <c r="C196">
        <v>3.5910000000000002</v>
      </c>
      <c r="D196">
        <v>2.9950000000000001</v>
      </c>
      <c r="E196">
        <v>3.06</v>
      </c>
      <c r="F196">
        <v>687711.26</v>
      </c>
      <c r="G196">
        <v>3.06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-0.78187919463087274</v>
      </c>
      <c r="Q196">
        <f t="shared" ref="Q196" si="952">F196*P196</f>
        <v>-537707.1261073827</v>
      </c>
      <c r="R196">
        <f t="shared" ref="R196" si="953">R197+Q196</f>
        <v>-14220121.625311185</v>
      </c>
      <c r="S196">
        <f t="shared" ref="S196" si="954">R196/100000</f>
        <v>-142.20121625311185</v>
      </c>
      <c r="T196">
        <f t="shared" si="934"/>
        <v>-0.14220121625311186</v>
      </c>
    </row>
    <row r="197" spans="1:20" x14ac:dyDescent="0.25">
      <c r="A197" s="5">
        <v>44396</v>
      </c>
      <c r="B197">
        <v>3.8460000000000001</v>
      </c>
      <c r="C197">
        <v>3.879</v>
      </c>
      <c r="D197">
        <v>3.41</v>
      </c>
      <c r="E197">
        <v>3.4609999999999999</v>
      </c>
      <c r="F197">
        <v>519876.55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-0.78251599147121653</v>
      </c>
      <c r="Q197">
        <f t="shared" ref="Q197" si="956">F197*P197</f>
        <v>-406811.71396588546</v>
      </c>
      <c r="R197">
        <f t="shared" ref="R197" si="957">R198+Q197</f>
        <v>-13682414.499203801</v>
      </c>
      <c r="S197">
        <f t="shared" ref="S197" si="958">R197/100000</f>
        <v>-136.82414499203801</v>
      </c>
      <c r="T197">
        <f t="shared" si="934"/>
        <v>-0.13682414499203802</v>
      </c>
    </row>
    <row r="198" spans="1:20" x14ac:dyDescent="0.25">
      <c r="A198" s="5">
        <v>44395</v>
      </c>
      <c r="B198">
        <v>3.9260000000000002</v>
      </c>
      <c r="C198">
        <v>4.1509999999999998</v>
      </c>
      <c r="D198">
        <v>3.7690000000000001</v>
      </c>
      <c r="E198">
        <v>3.847</v>
      </c>
      <c r="F198">
        <v>483584.78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-0.59162303664921512</v>
      </c>
      <c r="Q198">
        <f t="shared" ref="Q198:Q261" si="960">F198*P198</f>
        <v>-286099.89602094266</v>
      </c>
      <c r="R198">
        <f t="shared" ref="R198:R261" si="961">R199+Q198</f>
        <v>-13275602.785237916</v>
      </c>
      <c r="S198">
        <f t="shared" ref="S198:S261" si="962">R198/100000</f>
        <v>-132.75602785237916</v>
      </c>
      <c r="T198">
        <f t="shared" ref="T198:T261" si="963">S198/1000</f>
        <v>-0.13275602785237917</v>
      </c>
    </row>
    <row r="199" spans="1:20" x14ac:dyDescent="0.25">
      <c r="A199" s="5">
        <v>44394</v>
      </c>
      <c r="B199">
        <v>3.9049999999999998</v>
      </c>
      <c r="C199">
        <v>4.18</v>
      </c>
      <c r="D199">
        <v>3.78</v>
      </c>
      <c r="E199">
        <v>3.9249999999999998</v>
      </c>
      <c r="F199">
        <v>968899.95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-0.27499999999999974</v>
      </c>
      <c r="Q199">
        <f t="shared" si="960"/>
        <v>-266447.48624999973</v>
      </c>
      <c r="R199">
        <f t="shared" si="961"/>
        <v>-12989502.889216973</v>
      </c>
      <c r="S199">
        <f t="shared" si="962"/>
        <v>-129.89502889216973</v>
      </c>
      <c r="T199">
        <f t="shared" si="963"/>
        <v>-0.12989502889216972</v>
      </c>
    </row>
    <row r="200" spans="1:20" x14ac:dyDescent="0.25">
      <c r="A200" s="5">
        <v>44393</v>
      </c>
      <c r="B200">
        <v>4.835</v>
      </c>
      <c r="C200">
        <v>4.8879999999999999</v>
      </c>
      <c r="D200">
        <v>3.9009999999999998</v>
      </c>
      <c r="E200">
        <v>3.9020000000000001</v>
      </c>
      <c r="F200">
        <v>1515499.41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-0.99797365754812495</v>
      </c>
      <c r="Q200">
        <f t="shared" si="960"/>
        <v>-1512428.4892097253</v>
      </c>
      <c r="R200">
        <f t="shared" si="961"/>
        <v>-12723055.402966972</v>
      </c>
      <c r="S200">
        <f t="shared" si="962"/>
        <v>-127.23055402966972</v>
      </c>
      <c r="T200">
        <f t="shared" si="963"/>
        <v>-0.12723055402966971</v>
      </c>
    </row>
    <row r="201" spans="1:20" x14ac:dyDescent="0.25">
      <c r="A201" s="5">
        <v>44392</v>
      </c>
      <c r="B201">
        <v>5.2460000000000004</v>
      </c>
      <c r="C201">
        <v>5.7149999999999999</v>
      </c>
      <c r="D201">
        <v>4.5209999999999999</v>
      </c>
      <c r="E201">
        <v>4.8280000000000003</v>
      </c>
      <c r="F201">
        <v>4152697.91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-0.48576214405360069</v>
      </c>
      <c r="Q201">
        <f t="shared" si="960"/>
        <v>-2017223.4403685066</v>
      </c>
      <c r="R201">
        <f t="shared" si="961"/>
        <v>-11210626.913757248</v>
      </c>
      <c r="S201">
        <f t="shared" si="962"/>
        <v>-112.10626913757248</v>
      </c>
      <c r="T201">
        <f t="shared" si="963"/>
        <v>-0.11210626913757248</v>
      </c>
    </row>
    <row r="202" spans="1:20" x14ac:dyDescent="0.25">
      <c r="A202" s="5">
        <v>44391</v>
      </c>
      <c r="B202">
        <v>5.43</v>
      </c>
      <c r="C202">
        <v>5.9</v>
      </c>
      <c r="D202">
        <v>4.55</v>
      </c>
      <c r="E202">
        <v>5.242</v>
      </c>
      <c r="F202">
        <v>8829611.6500000004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2.5185185185185033E-2</v>
      </c>
      <c r="Q202">
        <f t="shared" si="960"/>
        <v>222375.40451851717</v>
      </c>
      <c r="R202">
        <f t="shared" si="961"/>
        <v>-9193403.4733887408</v>
      </c>
      <c r="S202">
        <f t="shared" si="962"/>
        <v>-91.934034733887401</v>
      </c>
      <c r="T202">
        <f t="shared" si="963"/>
        <v>-9.1934034733887407E-2</v>
      </c>
    </row>
    <row r="203" spans="1:20" x14ac:dyDescent="0.25">
      <c r="A203" s="5">
        <v>44390</v>
      </c>
      <c r="B203">
        <v>3.5129999999999999</v>
      </c>
      <c r="C203">
        <v>5.4989999999999997</v>
      </c>
      <c r="D203">
        <v>3.48</v>
      </c>
      <c r="E203">
        <v>5.4379999999999997</v>
      </c>
      <c r="F203">
        <v>6656491.8200000003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0.93957404655770183</v>
      </c>
      <c r="Q203">
        <f t="shared" si="960"/>
        <v>6254266.9551956421</v>
      </c>
      <c r="R203">
        <f t="shared" si="961"/>
        <v>-9415778.8779072575</v>
      </c>
      <c r="S203">
        <f t="shared" si="962"/>
        <v>-94.157788779072575</v>
      </c>
      <c r="T203">
        <f t="shared" si="963"/>
        <v>-9.4157788779072576E-2</v>
      </c>
    </row>
    <row r="204" spans="1:20" x14ac:dyDescent="0.25">
      <c r="A204" s="5">
        <v>44389</v>
      </c>
      <c r="B204">
        <v>3.5979999999999999</v>
      </c>
      <c r="C204">
        <v>3.73</v>
      </c>
      <c r="D204">
        <v>3.48</v>
      </c>
      <c r="E204">
        <v>3.516</v>
      </c>
      <c r="F204">
        <v>288311.02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-0.71199999999999974</v>
      </c>
      <c r="Q204">
        <f t="shared" si="960"/>
        <v>-205277.44623999993</v>
      </c>
      <c r="R204">
        <f t="shared" si="961"/>
        <v>-15670045.833102901</v>
      </c>
      <c r="S204">
        <f t="shared" si="962"/>
        <v>-156.70045833102901</v>
      </c>
      <c r="T204">
        <f t="shared" si="963"/>
        <v>-0.15670045833102902</v>
      </c>
    </row>
    <row r="205" spans="1:20" x14ac:dyDescent="0.25">
      <c r="A205" s="5">
        <v>44388</v>
      </c>
      <c r="B205">
        <v>3.5270000000000001</v>
      </c>
      <c r="C205">
        <v>3.7</v>
      </c>
      <c r="D205">
        <v>3.4910000000000001</v>
      </c>
      <c r="E205">
        <v>3.5920000000000001</v>
      </c>
      <c r="F205">
        <v>175913.82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-3.3492822966507727E-2</v>
      </c>
      <c r="Q205">
        <f t="shared" si="960"/>
        <v>-5891.8504306221066</v>
      </c>
      <c r="R205">
        <f t="shared" si="961"/>
        <v>-15464768.3868629</v>
      </c>
      <c r="S205">
        <f t="shared" si="962"/>
        <v>-154.647683868629</v>
      </c>
      <c r="T205">
        <f t="shared" si="963"/>
        <v>-0.15464768386862901</v>
      </c>
    </row>
    <row r="206" spans="1:20" x14ac:dyDescent="0.25">
      <c r="A206" s="5">
        <v>44387</v>
      </c>
      <c r="B206">
        <v>3.5779999999999998</v>
      </c>
      <c r="C206">
        <v>3.65</v>
      </c>
      <c r="D206">
        <v>3.488</v>
      </c>
      <c r="E206">
        <v>3.5219999999999998</v>
      </c>
      <c r="F206">
        <v>228943.98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-0.58024691358024905</v>
      </c>
      <c r="Q206">
        <f t="shared" si="960"/>
        <v>-132844.03777777829</v>
      </c>
      <c r="R206">
        <f t="shared" si="961"/>
        <v>-15458876.536432277</v>
      </c>
      <c r="S206">
        <f t="shared" si="962"/>
        <v>-154.58876536432277</v>
      </c>
      <c r="T206">
        <f t="shared" si="963"/>
        <v>-0.15458876536432276</v>
      </c>
    </row>
    <row r="207" spans="1:20" x14ac:dyDescent="0.25">
      <c r="A207" s="5">
        <v>44386</v>
      </c>
      <c r="B207">
        <v>3.5179999999999998</v>
      </c>
      <c r="C207">
        <v>3.65</v>
      </c>
      <c r="D207">
        <v>3.355</v>
      </c>
      <c r="E207">
        <v>3.5710000000000002</v>
      </c>
      <c r="F207">
        <v>279539.48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0.46440677966101862</v>
      </c>
      <c r="Q207">
        <f t="shared" si="960"/>
        <v>129820.02969491572</v>
      </c>
      <c r="R207">
        <f t="shared" si="961"/>
        <v>-15326032.4986545</v>
      </c>
      <c r="S207">
        <f t="shared" si="962"/>
        <v>-153.26032498654499</v>
      </c>
      <c r="T207">
        <f t="shared" si="963"/>
        <v>-0.15326032498654499</v>
      </c>
    </row>
    <row r="208" spans="1:20" x14ac:dyDescent="0.25">
      <c r="A208" s="5">
        <v>44385</v>
      </c>
      <c r="B208">
        <v>3.6440000000000001</v>
      </c>
      <c r="C208">
        <v>3.6659999999999999</v>
      </c>
      <c r="D208">
        <v>3.395</v>
      </c>
      <c r="E208">
        <v>3.5139999999999998</v>
      </c>
      <c r="F208">
        <v>427300.38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-0.1217712177121785</v>
      </c>
      <c r="Q208">
        <f t="shared" si="960"/>
        <v>-52032.887601476607</v>
      </c>
      <c r="R208">
        <f t="shared" si="961"/>
        <v>-15455852.528349414</v>
      </c>
      <c r="S208">
        <f t="shared" si="962"/>
        <v>-154.55852528349413</v>
      </c>
      <c r="T208">
        <f t="shared" si="963"/>
        <v>-0.15455852528349415</v>
      </c>
    </row>
    <row r="209" spans="1:20" x14ac:dyDescent="0.25">
      <c r="A209" s="5">
        <v>44384</v>
      </c>
      <c r="B209">
        <v>3.633</v>
      </c>
      <c r="C209">
        <v>3.9390000000000001</v>
      </c>
      <c r="D209">
        <v>3.621</v>
      </c>
      <c r="E209">
        <v>3.649</v>
      </c>
      <c r="F209">
        <v>824679.48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-0.82389937106918232</v>
      </c>
      <c r="Q209">
        <f t="shared" si="960"/>
        <v>-679452.90490566031</v>
      </c>
      <c r="R209">
        <f t="shared" si="961"/>
        <v>-15403819.640747938</v>
      </c>
      <c r="S209">
        <f t="shared" si="962"/>
        <v>-154.03819640747938</v>
      </c>
      <c r="T209">
        <f t="shared" si="963"/>
        <v>-0.15403819640747937</v>
      </c>
    </row>
    <row r="210" spans="1:20" x14ac:dyDescent="0.25">
      <c r="A210" s="5">
        <v>44383</v>
      </c>
      <c r="B210">
        <v>3.4809999999999999</v>
      </c>
      <c r="C210">
        <v>3.7080000000000002</v>
      </c>
      <c r="D210">
        <v>3.4710000000000001</v>
      </c>
      <c r="E210">
        <v>3.6309999999999998</v>
      </c>
      <c r="F210">
        <v>533977.61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0.35021097046413191</v>
      </c>
      <c r="Q210">
        <f t="shared" si="960"/>
        <v>187004.81700421774</v>
      </c>
      <c r="R210">
        <f t="shared" si="961"/>
        <v>-14724366.735842278</v>
      </c>
      <c r="S210">
        <f t="shared" si="962"/>
        <v>-147.24366735842278</v>
      </c>
      <c r="T210">
        <f t="shared" si="963"/>
        <v>-0.14724366735842279</v>
      </c>
    </row>
    <row r="211" spans="1:20" x14ac:dyDescent="0.25">
      <c r="A211" s="5">
        <v>44382</v>
      </c>
      <c r="B211">
        <v>3.5619999999999998</v>
      </c>
      <c r="C211">
        <v>3.6059999999999999</v>
      </c>
      <c r="D211">
        <v>3.4079999999999999</v>
      </c>
      <c r="E211">
        <v>3.4820000000000002</v>
      </c>
      <c r="F211">
        <v>313298.03999999998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-0.25252525252524943</v>
      </c>
      <c r="Q211">
        <f t="shared" si="960"/>
        <v>-79115.666666665697</v>
      </c>
      <c r="R211">
        <f t="shared" si="961"/>
        <v>-14911371.552846495</v>
      </c>
      <c r="S211">
        <f t="shared" si="962"/>
        <v>-149.11371552846495</v>
      </c>
      <c r="T211">
        <f t="shared" si="963"/>
        <v>-0.14911371552846495</v>
      </c>
    </row>
    <row r="212" spans="1:20" x14ac:dyDescent="0.25">
      <c r="A212" s="5">
        <v>44381</v>
      </c>
      <c r="B212">
        <v>3.5870000000000002</v>
      </c>
      <c r="C212">
        <v>3.7490000000000001</v>
      </c>
      <c r="D212">
        <v>3.4929999999999999</v>
      </c>
      <c r="E212">
        <v>3.5590000000000002</v>
      </c>
      <c r="F212">
        <v>674262.91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-0.48437499999999828</v>
      </c>
      <c r="Q212">
        <f t="shared" si="960"/>
        <v>-326596.09703124885</v>
      </c>
      <c r="R212">
        <f t="shared" si="961"/>
        <v>-14832255.886179829</v>
      </c>
      <c r="S212">
        <f t="shared" si="962"/>
        <v>-148.32255886179829</v>
      </c>
      <c r="T212">
        <f t="shared" si="963"/>
        <v>-0.14832255886179829</v>
      </c>
    </row>
    <row r="213" spans="1:20" x14ac:dyDescent="0.25">
      <c r="A213" s="5">
        <v>44380</v>
      </c>
      <c r="B213">
        <v>3.5369999999999999</v>
      </c>
      <c r="C213">
        <v>3.68</v>
      </c>
      <c r="D213">
        <v>3.4929999999999999</v>
      </c>
      <c r="E213">
        <v>3.5870000000000002</v>
      </c>
      <c r="F213">
        <v>472386.44</v>
      </c>
      <c r="G213">
        <v>0</v>
      </c>
      <c r="L213" t="s">
        <v>7</v>
      </c>
      <c r="M213" t="s">
        <v>7</v>
      </c>
      <c r="N213" t="s">
        <v>7</v>
      </c>
      <c r="P213">
        <f t="shared" si="959"/>
        <v>5.3475935828894783E-3</v>
      </c>
      <c r="Q213">
        <f t="shared" si="960"/>
        <v>2526.1306951880056</v>
      </c>
      <c r="R213">
        <f t="shared" si="961"/>
        <v>-14505659.78914858</v>
      </c>
      <c r="S213">
        <f t="shared" si="962"/>
        <v>-145.05659789148581</v>
      </c>
      <c r="T213">
        <f t="shared" si="963"/>
        <v>-0.14505659789148581</v>
      </c>
    </row>
    <row r="214" spans="1:20" x14ac:dyDescent="0.25">
      <c r="A214" s="5">
        <v>44379</v>
      </c>
      <c r="B214">
        <v>3.4729999999999999</v>
      </c>
      <c r="C214">
        <v>4.1399999999999997</v>
      </c>
      <c r="D214">
        <v>3.3839999999999999</v>
      </c>
      <c r="E214">
        <v>3.5310000000000001</v>
      </c>
      <c r="F214">
        <v>2302622.4900000002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-0.61111111111111038</v>
      </c>
      <c r="Q214">
        <f t="shared" si="960"/>
        <v>-1407158.1883333318</v>
      </c>
      <c r="R214">
        <f t="shared" si="961"/>
        <v>-14508185.919843769</v>
      </c>
      <c r="S214">
        <f t="shared" si="962"/>
        <v>-145.08185919843768</v>
      </c>
      <c r="T214">
        <f t="shared" si="963"/>
        <v>-0.14508185919843769</v>
      </c>
    </row>
    <row r="215" spans="1:20" x14ac:dyDescent="0.25">
      <c r="A215" s="5">
        <v>44378</v>
      </c>
      <c r="B215">
        <v>3.6930000000000001</v>
      </c>
      <c r="C215">
        <v>3.6949999999999998</v>
      </c>
      <c r="D215">
        <v>3.4</v>
      </c>
      <c r="E215">
        <v>3.4729999999999999</v>
      </c>
      <c r="F215">
        <v>329406.71000000002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-0.50508474576271201</v>
      </c>
      <c r="Q215">
        <f t="shared" si="960"/>
        <v>-166378.30437288142</v>
      </c>
      <c r="R215">
        <f t="shared" si="961"/>
        <v>-13101027.731510436</v>
      </c>
      <c r="S215">
        <f t="shared" si="962"/>
        <v>-131.01027731510436</v>
      </c>
      <c r="T215">
        <f t="shared" si="963"/>
        <v>-0.13101027731510437</v>
      </c>
    </row>
    <row r="216" spans="1:20" x14ac:dyDescent="0.25">
      <c r="A216" s="5">
        <v>44377</v>
      </c>
      <c r="B216">
        <v>3.819</v>
      </c>
      <c r="C216">
        <v>3.83</v>
      </c>
      <c r="D216">
        <v>3.5289999999999999</v>
      </c>
      <c r="E216">
        <v>3.6829999999999998</v>
      </c>
      <c r="F216">
        <v>413459.56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2.3255813953487275E-2</v>
      </c>
      <c r="Q216">
        <f t="shared" si="960"/>
        <v>9615.3386046507094</v>
      </c>
      <c r="R216">
        <f t="shared" si="961"/>
        <v>-12934649.427137556</v>
      </c>
      <c r="S216">
        <f t="shared" si="962"/>
        <v>-129.34649427137555</v>
      </c>
      <c r="T216">
        <f t="shared" si="963"/>
        <v>-0.12934649427137554</v>
      </c>
    </row>
    <row r="217" spans="1:20" x14ac:dyDescent="0.25">
      <c r="A217" s="5">
        <v>44376</v>
      </c>
      <c r="B217">
        <v>3.7389999999999999</v>
      </c>
      <c r="C217">
        <v>4.0359999999999996</v>
      </c>
      <c r="D217">
        <v>3.629</v>
      </c>
      <c r="E217">
        <v>3.8180000000000001</v>
      </c>
      <c r="F217">
        <v>802643.78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-7.1253071253070024E-2</v>
      </c>
      <c r="Q217">
        <f t="shared" si="960"/>
        <v>-57190.83444717346</v>
      </c>
      <c r="R217">
        <f t="shared" si="961"/>
        <v>-12944264.765742207</v>
      </c>
      <c r="S217">
        <f t="shared" si="962"/>
        <v>-129.44264765742207</v>
      </c>
      <c r="T217">
        <f t="shared" si="963"/>
        <v>-0.12944264765742208</v>
      </c>
    </row>
    <row r="218" spans="1:20" x14ac:dyDescent="0.25">
      <c r="A218" s="5">
        <v>44375</v>
      </c>
      <c r="B218">
        <v>3.82</v>
      </c>
      <c r="C218">
        <v>3.89</v>
      </c>
      <c r="D218">
        <v>3.6819999999999999</v>
      </c>
      <c r="E218">
        <v>3.7280000000000002</v>
      </c>
      <c r="F218">
        <v>497133.11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-0.5576923076923056</v>
      </c>
      <c r="Q218">
        <f t="shared" si="960"/>
        <v>-277247.3113461528</v>
      </c>
      <c r="R218">
        <f t="shared" si="961"/>
        <v>-12887073.931295034</v>
      </c>
      <c r="S218">
        <f t="shared" si="962"/>
        <v>-128.87073931295035</v>
      </c>
      <c r="T218">
        <f t="shared" si="963"/>
        <v>-0.12887073931295034</v>
      </c>
    </row>
    <row r="219" spans="1:20" x14ac:dyDescent="0.25">
      <c r="A219" s="5">
        <v>44374</v>
      </c>
      <c r="B219">
        <v>3.589</v>
      </c>
      <c r="C219">
        <v>3.97</v>
      </c>
      <c r="D219">
        <v>3.5</v>
      </c>
      <c r="E219">
        <v>3.8159999999999998</v>
      </c>
      <c r="F219">
        <v>924895.91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0.34468085106382851</v>
      </c>
      <c r="Q219">
        <f t="shared" si="960"/>
        <v>318793.90940425417</v>
      </c>
      <c r="R219">
        <f t="shared" si="961"/>
        <v>-12609826.619948881</v>
      </c>
      <c r="S219">
        <f t="shared" si="962"/>
        <v>-126.0982661994888</v>
      </c>
      <c r="T219">
        <f t="shared" si="963"/>
        <v>-0.1260982661994888</v>
      </c>
    </row>
    <row r="220" spans="1:20" x14ac:dyDescent="0.25">
      <c r="A220" s="5">
        <v>44373</v>
      </c>
      <c r="B220">
        <v>3.6339999999999999</v>
      </c>
      <c r="C220">
        <v>4.1399999999999997</v>
      </c>
      <c r="D220">
        <v>3.3210000000000002</v>
      </c>
      <c r="E220">
        <v>3.5819999999999999</v>
      </c>
      <c r="F220">
        <v>2154254.7400000002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-0.36263736263736307</v>
      </c>
      <c r="Q220">
        <f t="shared" si="960"/>
        <v>-781213.25736263837</v>
      </c>
      <c r="R220">
        <f t="shared" si="961"/>
        <v>-12928620.529353134</v>
      </c>
      <c r="S220">
        <f t="shared" si="962"/>
        <v>-129.28620529353134</v>
      </c>
      <c r="T220">
        <f t="shared" si="963"/>
        <v>-0.12928620529353133</v>
      </c>
    </row>
    <row r="221" spans="1:20" x14ac:dyDescent="0.25">
      <c r="A221" s="5">
        <v>44372</v>
      </c>
      <c r="B221">
        <v>3.6640000000000001</v>
      </c>
      <c r="C221">
        <v>3.9129999999999998</v>
      </c>
      <c r="D221">
        <v>3.4</v>
      </c>
      <c r="E221">
        <v>3.6339999999999999</v>
      </c>
      <c r="F221">
        <v>1207690.8899999999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-8.7719298245613919E-2</v>
      </c>
      <c r="Q221">
        <f t="shared" si="960"/>
        <v>-105937.7973684209</v>
      </c>
      <c r="R221">
        <f t="shared" si="961"/>
        <v>-12147407.271990497</v>
      </c>
      <c r="S221">
        <f t="shared" si="962"/>
        <v>-121.47407271990497</v>
      </c>
      <c r="T221">
        <f t="shared" si="963"/>
        <v>-0.12147407271990497</v>
      </c>
    </row>
    <row r="222" spans="1:20" x14ac:dyDescent="0.25">
      <c r="A222" s="5">
        <v>44371</v>
      </c>
      <c r="B222">
        <v>3.8180000000000001</v>
      </c>
      <c r="C222">
        <v>3.8969999999999998</v>
      </c>
      <c r="D222">
        <v>3.5960000000000001</v>
      </c>
      <c r="E222">
        <v>3.6640000000000001</v>
      </c>
      <c r="F222">
        <v>476982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-0.54817275747508221</v>
      </c>
      <c r="Q222">
        <f t="shared" si="960"/>
        <v>-261468.53820597965</v>
      </c>
      <c r="R222">
        <f t="shared" si="961"/>
        <v>-12041469.474622076</v>
      </c>
      <c r="S222">
        <f t="shared" si="962"/>
        <v>-120.41469474622076</v>
      </c>
      <c r="T222">
        <f t="shared" si="963"/>
        <v>-0.12041469474622075</v>
      </c>
    </row>
    <row r="223" spans="1:20" x14ac:dyDescent="0.25">
      <c r="A223" s="5">
        <v>44370</v>
      </c>
      <c r="B223">
        <v>3.6269999999999998</v>
      </c>
      <c r="C223">
        <v>4.1639999999999997</v>
      </c>
      <c r="D223">
        <v>3.577</v>
      </c>
      <c r="E223">
        <v>3.819</v>
      </c>
      <c r="F223">
        <v>1119960.21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-0.17546848381601329</v>
      </c>
      <c r="Q223">
        <f t="shared" si="960"/>
        <v>-196517.71998296384</v>
      </c>
      <c r="R223">
        <f t="shared" si="961"/>
        <v>-11780000.936416097</v>
      </c>
      <c r="S223">
        <f t="shared" si="962"/>
        <v>-117.80000936416097</v>
      </c>
      <c r="T223">
        <f t="shared" si="963"/>
        <v>-0.11780000936416098</v>
      </c>
    </row>
    <row r="224" spans="1:20" x14ac:dyDescent="0.25">
      <c r="A224" s="5">
        <v>44369</v>
      </c>
      <c r="B224">
        <v>4.0659999999999998</v>
      </c>
      <c r="C224">
        <v>4.1669999999999998</v>
      </c>
      <c r="D224">
        <v>3.33</v>
      </c>
      <c r="E224">
        <v>3.6339999999999999</v>
      </c>
      <c r="F224">
        <v>1293401.78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-0.27359617682198345</v>
      </c>
      <c r="Q224">
        <f t="shared" si="960"/>
        <v>-353869.78210274817</v>
      </c>
      <c r="R224">
        <f t="shared" si="961"/>
        <v>-11583483.216433134</v>
      </c>
      <c r="S224">
        <f t="shared" si="962"/>
        <v>-115.83483216433135</v>
      </c>
      <c r="T224">
        <f t="shared" si="963"/>
        <v>-0.11583483216433134</v>
      </c>
    </row>
    <row r="225" spans="1:20" x14ac:dyDescent="0.25">
      <c r="A225" s="5">
        <v>44368</v>
      </c>
      <c r="B225">
        <v>5.2649999999999997</v>
      </c>
      <c r="C225">
        <v>5.3380000000000001</v>
      </c>
      <c r="D225">
        <v>4</v>
      </c>
      <c r="E225">
        <v>4.0510000000000002</v>
      </c>
      <c r="F225">
        <v>2625684.61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-0.92376681614349754</v>
      </c>
      <c r="Q225">
        <f t="shared" si="960"/>
        <v>-2425520.3123766808</v>
      </c>
      <c r="R225">
        <f t="shared" si="961"/>
        <v>-11229613.434330385</v>
      </c>
      <c r="S225">
        <f t="shared" si="962"/>
        <v>-112.29613434330385</v>
      </c>
      <c r="T225">
        <f t="shared" si="963"/>
        <v>-0.11229613434330385</v>
      </c>
    </row>
    <row r="226" spans="1:20" x14ac:dyDescent="0.25">
      <c r="A226" s="5">
        <v>44367</v>
      </c>
      <c r="B226">
        <v>6.2409999999999997</v>
      </c>
      <c r="C226">
        <v>6.26</v>
      </c>
      <c r="D226">
        <v>5.0599999999999996</v>
      </c>
      <c r="E226">
        <v>5.258</v>
      </c>
      <c r="F226">
        <v>5541582.2000000002</v>
      </c>
      <c r="G226">
        <v>0</v>
      </c>
      <c r="L226" t="s">
        <v>8</v>
      </c>
      <c r="M226" t="s">
        <v>8</v>
      </c>
      <c r="N226" t="s">
        <v>8</v>
      </c>
      <c r="P226">
        <f t="shared" si="959"/>
        <v>-0.66999999999999937</v>
      </c>
      <c r="Q226">
        <f t="shared" si="960"/>
        <v>-3712860.0739999968</v>
      </c>
      <c r="R226">
        <f t="shared" si="961"/>
        <v>-8804093.1219537053</v>
      </c>
      <c r="S226">
        <f t="shared" si="962"/>
        <v>-88.040931219537057</v>
      </c>
      <c r="T226">
        <f t="shared" si="963"/>
        <v>-8.8040931219537058E-2</v>
      </c>
    </row>
    <row r="227" spans="1:20" x14ac:dyDescent="0.25">
      <c r="A227" s="5">
        <v>44366</v>
      </c>
      <c r="B227">
        <v>4.2850000000000001</v>
      </c>
      <c r="C227">
        <v>8.6</v>
      </c>
      <c r="D227">
        <v>4</v>
      </c>
      <c r="E227">
        <v>6.24</v>
      </c>
      <c r="F227">
        <v>11617500.68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-2.6086956521738962E-2</v>
      </c>
      <c r="Q227">
        <f t="shared" si="960"/>
        <v>-303065.23513043282</v>
      </c>
      <c r="R227">
        <f t="shared" si="961"/>
        <v>-5091233.0479537081</v>
      </c>
      <c r="S227">
        <f t="shared" si="962"/>
        <v>-50.912330479537083</v>
      </c>
      <c r="T227">
        <f t="shared" si="963"/>
        <v>-5.0912330479537082E-2</v>
      </c>
    </row>
    <row r="228" spans="1:20" x14ac:dyDescent="0.25">
      <c r="A228" s="5">
        <v>44365</v>
      </c>
      <c r="B228">
        <v>4.8719999999999999</v>
      </c>
      <c r="C228">
        <v>5</v>
      </c>
      <c r="D228">
        <v>4.1959999999999997</v>
      </c>
      <c r="E228">
        <v>4.2679999999999998</v>
      </c>
      <c r="F228">
        <v>423235.46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-0.82089552238805963</v>
      </c>
      <c r="Q228">
        <f t="shared" si="960"/>
        <v>-347432.09402985073</v>
      </c>
      <c r="R228">
        <f t="shared" si="961"/>
        <v>-4788167.8128232751</v>
      </c>
      <c r="S228">
        <f t="shared" si="962"/>
        <v>-47.88167812823275</v>
      </c>
      <c r="T228">
        <f t="shared" si="963"/>
        <v>-4.7881678128232748E-2</v>
      </c>
    </row>
    <row r="229" spans="1:20" x14ac:dyDescent="0.25">
      <c r="A229" s="5">
        <v>44364</v>
      </c>
      <c r="B229">
        <v>4.8470000000000004</v>
      </c>
      <c r="C229">
        <v>5.68</v>
      </c>
      <c r="D229">
        <v>4.6849999999999996</v>
      </c>
      <c r="E229">
        <v>4.8710000000000004</v>
      </c>
      <c r="F229">
        <v>1514786.13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-0.62613065326633</v>
      </c>
      <c r="Q229">
        <f t="shared" si="960"/>
        <v>-948454.02913567575</v>
      </c>
      <c r="R229">
        <f t="shared" si="961"/>
        <v>-4440735.7187934248</v>
      </c>
      <c r="S229">
        <f t="shared" si="962"/>
        <v>-44.407357187934245</v>
      </c>
      <c r="T229">
        <f t="shared" si="963"/>
        <v>-4.4407357187934246E-2</v>
      </c>
    </row>
    <row r="230" spans="1:20" x14ac:dyDescent="0.25">
      <c r="A230" s="5">
        <v>44363</v>
      </c>
      <c r="B230">
        <v>4.66</v>
      </c>
      <c r="C230">
        <v>5.37</v>
      </c>
      <c r="D230">
        <v>4.3760000000000003</v>
      </c>
      <c r="E230">
        <v>4.8540000000000001</v>
      </c>
      <c r="F230">
        <v>1154227.54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-3.8229376257545536E-2</v>
      </c>
      <c r="Q230">
        <f t="shared" si="960"/>
        <v>-44125.398913481193</v>
      </c>
      <c r="R230">
        <f t="shared" si="961"/>
        <v>-3492281.6896577491</v>
      </c>
      <c r="S230">
        <f t="shared" si="962"/>
        <v>-34.922816896577494</v>
      </c>
      <c r="T230">
        <f t="shared" si="963"/>
        <v>-3.4922816896577495E-2</v>
      </c>
    </row>
    <row r="231" spans="1:20" x14ac:dyDescent="0.25">
      <c r="A231" s="5">
        <v>44362</v>
      </c>
      <c r="B231">
        <v>4.8330000000000002</v>
      </c>
      <c r="C231">
        <v>5.09</v>
      </c>
      <c r="D231">
        <v>4.5810000000000004</v>
      </c>
      <c r="E231">
        <v>4.6749999999999998</v>
      </c>
      <c r="F231">
        <v>242769.01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-0.63064833005894094</v>
      </c>
      <c r="Q231">
        <f t="shared" si="960"/>
        <v>-153101.87074656234</v>
      </c>
      <c r="R231">
        <f t="shared" si="961"/>
        <v>-3448156.2907442679</v>
      </c>
      <c r="S231">
        <f t="shared" si="962"/>
        <v>-34.481562907442679</v>
      </c>
      <c r="T231">
        <f t="shared" si="963"/>
        <v>-3.4481562907442677E-2</v>
      </c>
    </row>
    <row r="232" spans="1:20" x14ac:dyDescent="0.25">
      <c r="A232" s="5">
        <v>44361</v>
      </c>
      <c r="B232">
        <v>4.625</v>
      </c>
      <c r="C232">
        <v>4.9829999999999997</v>
      </c>
      <c r="D232">
        <v>4.4889999999999999</v>
      </c>
      <c r="E232">
        <v>4.8179999999999996</v>
      </c>
      <c r="F232">
        <v>245251.27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0.33198380566801572</v>
      </c>
      <c r="Q232">
        <f t="shared" si="960"/>
        <v>81419.449959514051</v>
      </c>
      <c r="R232">
        <f t="shared" si="961"/>
        <v>-3295054.4199977056</v>
      </c>
      <c r="S232">
        <f t="shared" si="962"/>
        <v>-32.95054419997706</v>
      </c>
      <c r="T232">
        <f t="shared" si="963"/>
        <v>-3.2950544199977061E-2</v>
      </c>
    </row>
    <row r="233" spans="1:20" x14ac:dyDescent="0.25">
      <c r="A233" s="5">
        <v>44360</v>
      </c>
      <c r="B233">
        <v>4.4459999999999997</v>
      </c>
      <c r="C233">
        <v>4.6280000000000001</v>
      </c>
      <c r="D233">
        <v>4.2329999999999997</v>
      </c>
      <c r="E233">
        <v>4.6239999999999997</v>
      </c>
      <c r="F233">
        <v>247103.83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0.97974683544303576</v>
      </c>
      <c r="Q233">
        <f t="shared" si="960"/>
        <v>242099.19546835386</v>
      </c>
      <c r="R233">
        <f t="shared" si="961"/>
        <v>-3376473.8699572198</v>
      </c>
      <c r="S233">
        <f t="shared" si="962"/>
        <v>-33.764738699572199</v>
      </c>
      <c r="T233">
        <f t="shared" si="963"/>
        <v>-3.3764738699572201E-2</v>
      </c>
    </row>
    <row r="234" spans="1:20" x14ac:dyDescent="0.25">
      <c r="A234" s="5">
        <v>44359</v>
      </c>
      <c r="B234">
        <v>4.92</v>
      </c>
      <c r="C234">
        <v>4.97</v>
      </c>
      <c r="D234">
        <v>4.2770000000000001</v>
      </c>
      <c r="E234">
        <v>4.4370000000000003</v>
      </c>
      <c r="F234">
        <v>308530.34999999998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-0.53823953823953752</v>
      </c>
      <c r="Q234">
        <f t="shared" si="960"/>
        <v>-166063.23311688288</v>
      </c>
      <c r="R234">
        <f t="shared" si="961"/>
        <v>-3618573.0654255738</v>
      </c>
      <c r="S234">
        <f t="shared" si="962"/>
        <v>-36.185730654255735</v>
      </c>
      <c r="T234">
        <f t="shared" si="963"/>
        <v>-3.6185730654255732E-2</v>
      </c>
    </row>
    <row r="235" spans="1:20" x14ac:dyDescent="0.25">
      <c r="A235" s="5">
        <v>44358</v>
      </c>
      <c r="B235">
        <v>5.0380000000000003</v>
      </c>
      <c r="C235">
        <v>5.49</v>
      </c>
      <c r="D235">
        <v>4.75</v>
      </c>
      <c r="E235">
        <v>4.9139999999999997</v>
      </c>
      <c r="F235">
        <v>409975.38</v>
      </c>
      <c r="G235">
        <v>0</v>
      </c>
      <c r="L235" t="s">
        <v>8</v>
      </c>
      <c r="M235" t="s">
        <v>7</v>
      </c>
      <c r="N235" t="s">
        <v>7</v>
      </c>
      <c r="P235">
        <f t="shared" si="959"/>
        <v>-0.55675675675675773</v>
      </c>
      <c r="Q235">
        <f t="shared" si="960"/>
        <v>-228256.56291891931</v>
      </c>
      <c r="R235">
        <f t="shared" si="961"/>
        <v>-3452509.832308691</v>
      </c>
      <c r="S235">
        <f t="shared" si="962"/>
        <v>-34.525098323086908</v>
      </c>
      <c r="T235">
        <f t="shared" si="963"/>
        <v>-3.4525098323086909E-2</v>
      </c>
    </row>
    <row r="236" spans="1:20" x14ac:dyDescent="0.25">
      <c r="A236" s="5">
        <v>44357</v>
      </c>
      <c r="B236">
        <v>5.0679999999999996</v>
      </c>
      <c r="C236">
        <v>5.35</v>
      </c>
      <c r="D236">
        <v>4.7930000000000001</v>
      </c>
      <c r="E236">
        <v>5.0190000000000001</v>
      </c>
      <c r="F236">
        <v>297570.98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-0.18850987432674979</v>
      </c>
      <c r="Q236">
        <f t="shared" si="960"/>
        <v>-56095.068043087769</v>
      </c>
      <c r="R236">
        <f t="shared" si="961"/>
        <v>-3224253.2693897719</v>
      </c>
      <c r="S236">
        <f t="shared" si="962"/>
        <v>-32.242532693897715</v>
      </c>
      <c r="T236">
        <f t="shared" si="963"/>
        <v>-3.2242532693897714E-2</v>
      </c>
    </row>
    <row r="237" spans="1:20" x14ac:dyDescent="0.25">
      <c r="A237" s="5">
        <v>44356</v>
      </c>
      <c r="B237">
        <v>4.915</v>
      </c>
      <c r="C237">
        <v>5.2069999999999999</v>
      </c>
      <c r="D237">
        <v>4.62</v>
      </c>
      <c r="E237">
        <v>5.0579999999999998</v>
      </c>
      <c r="F237">
        <v>379428.48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0.49233390119250398</v>
      </c>
      <c r="Q237">
        <f t="shared" si="960"/>
        <v>186805.50378194195</v>
      </c>
      <c r="R237">
        <f t="shared" si="961"/>
        <v>-3168158.2013466842</v>
      </c>
      <c r="S237">
        <f t="shared" si="962"/>
        <v>-31.681582013466844</v>
      </c>
      <c r="T237">
        <f t="shared" si="963"/>
        <v>-3.1681582013466845E-2</v>
      </c>
    </row>
    <row r="238" spans="1:20" x14ac:dyDescent="0.25">
      <c r="A238" s="5">
        <v>44355</v>
      </c>
      <c r="B238">
        <v>5.516</v>
      </c>
      <c r="C238">
        <v>5.5339999999999998</v>
      </c>
      <c r="D238">
        <v>4.6139999999999999</v>
      </c>
      <c r="E238">
        <v>4.915</v>
      </c>
      <c r="F238">
        <v>545972.47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-0.34565217391304309</v>
      </c>
      <c r="Q238">
        <f t="shared" si="960"/>
        <v>-188716.57115217368</v>
      </c>
      <c r="R238">
        <f t="shared" si="961"/>
        <v>-3354963.705128626</v>
      </c>
      <c r="S238">
        <f t="shared" si="962"/>
        <v>-33.549637051286261</v>
      </c>
      <c r="T238">
        <f t="shared" si="963"/>
        <v>-3.354963705128626E-2</v>
      </c>
    </row>
    <row r="239" spans="1:20" x14ac:dyDescent="0.25">
      <c r="A239" s="5">
        <v>44354</v>
      </c>
      <c r="B239">
        <v>6.1760000000000002</v>
      </c>
      <c r="C239">
        <v>6.3289999999999997</v>
      </c>
      <c r="D239">
        <v>5.3609999999999998</v>
      </c>
      <c r="E239">
        <v>5.532</v>
      </c>
      <c r="F239">
        <v>344530.84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-0.64669421487603251</v>
      </c>
      <c r="Q239">
        <f t="shared" si="960"/>
        <v>-222806.10107437999</v>
      </c>
      <c r="R239">
        <f t="shared" si="961"/>
        <v>-3166247.1339764521</v>
      </c>
      <c r="S239">
        <f t="shared" si="962"/>
        <v>-31.662471339764519</v>
      </c>
      <c r="T239">
        <f t="shared" si="963"/>
        <v>-3.166247133976452E-2</v>
      </c>
    </row>
    <row r="240" spans="1:20" x14ac:dyDescent="0.25">
      <c r="A240" s="5">
        <v>44353</v>
      </c>
      <c r="B240">
        <v>6.2439999999999998</v>
      </c>
      <c r="C240">
        <v>6.4</v>
      </c>
      <c r="D240">
        <v>6.0629999999999997</v>
      </c>
      <c r="E240">
        <v>6.1790000000000003</v>
      </c>
      <c r="F240">
        <v>278918.28000000003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-0.31157270029673395</v>
      </c>
      <c r="Q240">
        <f t="shared" si="960"/>
        <v>-86903.321661720533</v>
      </c>
      <c r="R240">
        <f t="shared" si="961"/>
        <v>-2943441.0329020722</v>
      </c>
      <c r="S240">
        <f t="shared" si="962"/>
        <v>-29.434410329020722</v>
      </c>
      <c r="T240">
        <f t="shared" si="963"/>
        <v>-2.9434410329020722E-2</v>
      </c>
    </row>
    <row r="241" spans="1:20" x14ac:dyDescent="0.25">
      <c r="A241" s="5">
        <v>44352</v>
      </c>
      <c r="B241">
        <v>6.5229999999999997</v>
      </c>
      <c r="C241">
        <v>6.6989999999999998</v>
      </c>
      <c r="D241">
        <v>6.1529999999999996</v>
      </c>
      <c r="E241">
        <v>6.2619999999999996</v>
      </c>
      <c r="F241">
        <v>287145.13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-0.60073260073260093</v>
      </c>
      <c r="Q241">
        <f t="shared" si="960"/>
        <v>-172497.44073260078</v>
      </c>
      <c r="R241">
        <f t="shared" si="961"/>
        <v>-2856537.7112403517</v>
      </c>
      <c r="S241">
        <f t="shared" si="962"/>
        <v>-28.565377112403517</v>
      </c>
      <c r="T241">
        <f t="shared" si="963"/>
        <v>-2.8565377112403516E-2</v>
      </c>
    </row>
    <row r="242" spans="1:20" x14ac:dyDescent="0.25">
      <c r="A242" s="5">
        <v>44351</v>
      </c>
      <c r="B242">
        <v>6.9059999999999997</v>
      </c>
      <c r="C242">
        <v>7.0090000000000003</v>
      </c>
      <c r="D242">
        <v>6.1230000000000002</v>
      </c>
      <c r="E242">
        <v>6.508</v>
      </c>
      <c r="F242">
        <v>631606.46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-0.13092550790067781</v>
      </c>
      <c r="Q242">
        <f t="shared" si="960"/>
        <v>-82693.39656884913</v>
      </c>
      <c r="R242">
        <f t="shared" si="961"/>
        <v>-2684040.270507751</v>
      </c>
      <c r="S242">
        <f t="shared" si="962"/>
        <v>-26.840402705077512</v>
      </c>
      <c r="T242">
        <f t="shared" si="963"/>
        <v>-2.6840402705077513E-2</v>
      </c>
    </row>
    <row r="243" spans="1:20" x14ac:dyDescent="0.25">
      <c r="A243" s="5">
        <v>44350</v>
      </c>
      <c r="B243">
        <v>6.2670000000000003</v>
      </c>
      <c r="C243">
        <v>7.2130000000000001</v>
      </c>
      <c r="D243">
        <v>6.2210000000000001</v>
      </c>
      <c r="E243">
        <v>6.8890000000000002</v>
      </c>
      <c r="F243">
        <v>589972.41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0.3467741935483874</v>
      </c>
      <c r="Q243">
        <f t="shared" si="960"/>
        <v>204587.20669354856</v>
      </c>
      <c r="R243">
        <f t="shared" si="961"/>
        <v>-2601346.8739389018</v>
      </c>
      <c r="S243">
        <f t="shared" si="962"/>
        <v>-26.013468739389019</v>
      </c>
      <c r="T243">
        <f t="shared" si="963"/>
        <v>-2.601346873938902E-2</v>
      </c>
    </row>
    <row r="244" spans="1:20" x14ac:dyDescent="0.25">
      <c r="A244" s="5">
        <v>44349</v>
      </c>
      <c r="B244">
        <v>6.69</v>
      </c>
      <c r="C244">
        <v>6.734</v>
      </c>
      <c r="D244">
        <v>6.2</v>
      </c>
      <c r="E244">
        <v>6.2670000000000003</v>
      </c>
      <c r="F244">
        <v>846191.37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-0.74906367041198429</v>
      </c>
      <c r="Q244">
        <f t="shared" si="960"/>
        <v>-633851.21348314546</v>
      </c>
      <c r="R244">
        <f t="shared" si="961"/>
        <v>-2805934.0806324505</v>
      </c>
      <c r="S244">
        <f t="shared" si="962"/>
        <v>-28.059340806324506</v>
      </c>
      <c r="T244">
        <f t="shared" si="963"/>
        <v>-2.8059340806324506E-2</v>
      </c>
    </row>
    <row r="245" spans="1:20" x14ac:dyDescent="0.25">
      <c r="A245" s="5">
        <v>44348</v>
      </c>
      <c r="B245">
        <v>6.9690000000000003</v>
      </c>
      <c r="C245">
        <v>7.2779999999999996</v>
      </c>
      <c r="D245">
        <v>6.4930000000000003</v>
      </c>
      <c r="E245">
        <v>6.6920000000000002</v>
      </c>
      <c r="F245">
        <v>417297.23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-0.4929936305732483</v>
      </c>
      <c r="Q245">
        <f t="shared" si="960"/>
        <v>-205724.87644585982</v>
      </c>
      <c r="R245">
        <f t="shared" si="961"/>
        <v>-2172082.8671493051</v>
      </c>
      <c r="S245">
        <f t="shared" si="962"/>
        <v>-21.720828671493052</v>
      </c>
      <c r="T245">
        <f t="shared" si="963"/>
        <v>-2.1720828671493053E-2</v>
      </c>
    </row>
    <row r="246" spans="1:20" x14ac:dyDescent="0.25">
      <c r="A246" s="5">
        <v>44347</v>
      </c>
      <c r="B246">
        <v>6.9950000000000001</v>
      </c>
      <c r="C246">
        <v>7.1219999999999999</v>
      </c>
      <c r="D246">
        <v>6.5819999999999999</v>
      </c>
      <c r="E246">
        <v>7</v>
      </c>
      <c r="F246">
        <v>256399.48</v>
      </c>
      <c r="G246">
        <v>0</v>
      </c>
      <c r="L246" t="s">
        <v>7</v>
      </c>
      <c r="M246" t="s">
        <v>7</v>
      </c>
      <c r="N246" t="s">
        <v>8</v>
      </c>
      <c r="P246">
        <f t="shared" si="959"/>
        <v>0.54814814814814861</v>
      </c>
      <c r="Q246">
        <f t="shared" si="960"/>
        <v>140544.90014814827</v>
      </c>
      <c r="R246">
        <f t="shared" si="961"/>
        <v>-1966357.9907034454</v>
      </c>
      <c r="S246">
        <f t="shared" si="962"/>
        <v>-19.663579907034453</v>
      </c>
      <c r="T246">
        <f t="shared" si="963"/>
        <v>-1.9663579907034455E-2</v>
      </c>
    </row>
    <row r="247" spans="1:20" x14ac:dyDescent="0.25">
      <c r="A247" s="5">
        <v>44346</v>
      </c>
      <c r="B247">
        <v>6.94</v>
      </c>
      <c r="C247">
        <v>7.2130000000000001</v>
      </c>
      <c r="D247">
        <v>6.75</v>
      </c>
      <c r="E247">
        <v>6.992</v>
      </c>
      <c r="F247">
        <v>134646.42000000001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4.5356371490280573E-2</v>
      </c>
      <c r="Q247">
        <f t="shared" si="960"/>
        <v>6107.0730453563447</v>
      </c>
      <c r="R247">
        <f t="shared" si="961"/>
        <v>-2106902.8908515936</v>
      </c>
      <c r="S247">
        <f t="shared" si="962"/>
        <v>-21.069028908515936</v>
      </c>
      <c r="T247">
        <f t="shared" si="963"/>
        <v>-2.1069028908515936E-2</v>
      </c>
    </row>
    <row r="248" spans="1:20" x14ac:dyDescent="0.25">
      <c r="A248" s="5">
        <v>44345</v>
      </c>
      <c r="B248">
        <v>7.202</v>
      </c>
      <c r="C248">
        <v>7.6550000000000002</v>
      </c>
      <c r="D248">
        <v>6.85</v>
      </c>
      <c r="E248">
        <v>6.9729999999999999</v>
      </c>
      <c r="F248">
        <v>174801.67</v>
      </c>
      <c r="G248">
        <v>0</v>
      </c>
      <c r="L248" t="s">
        <v>8</v>
      </c>
      <c r="M248" t="s">
        <v>7</v>
      </c>
      <c r="N248" t="s">
        <v>8</v>
      </c>
      <c r="P248">
        <f t="shared" si="959"/>
        <v>-0.69440993788819849</v>
      </c>
      <c r="Q248">
        <f t="shared" si="960"/>
        <v>-121384.01680745337</v>
      </c>
      <c r="R248">
        <f t="shared" si="961"/>
        <v>-2113009.9638969498</v>
      </c>
      <c r="S248">
        <f t="shared" si="962"/>
        <v>-21.130099638969497</v>
      </c>
      <c r="T248">
        <f t="shared" si="963"/>
        <v>-2.1130099638969498E-2</v>
      </c>
    </row>
    <row r="249" spans="1:20" x14ac:dyDescent="0.25">
      <c r="A249" s="5">
        <v>44344</v>
      </c>
      <c r="B249">
        <v>7.7359999999999998</v>
      </c>
      <c r="C249">
        <v>8.0559999999999992</v>
      </c>
      <c r="D249">
        <v>6.75</v>
      </c>
      <c r="E249">
        <v>7.202</v>
      </c>
      <c r="F249">
        <v>371373.6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-0.30781010719754937</v>
      </c>
      <c r="Q249">
        <f t="shared" si="960"/>
        <v>-114312.54762633982</v>
      </c>
      <c r="R249">
        <f t="shared" si="961"/>
        <v>-1991625.9470894965</v>
      </c>
      <c r="S249">
        <f t="shared" si="962"/>
        <v>-19.916259470894964</v>
      </c>
      <c r="T249">
        <f t="shared" si="963"/>
        <v>-1.9916259470894964E-2</v>
      </c>
    </row>
    <row r="250" spans="1:20" x14ac:dyDescent="0.25">
      <c r="A250" s="5">
        <v>44343</v>
      </c>
      <c r="B250">
        <v>8.0229999999999997</v>
      </c>
      <c r="C250">
        <v>8.5</v>
      </c>
      <c r="D250">
        <v>7.3639999999999999</v>
      </c>
      <c r="E250">
        <v>7.7679999999999998</v>
      </c>
      <c r="F250">
        <v>400848.21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-0.28873239436619741</v>
      </c>
      <c r="Q250">
        <f t="shared" si="960"/>
        <v>-115737.86345070432</v>
      </c>
      <c r="R250">
        <f t="shared" si="961"/>
        <v>-1877313.3994631567</v>
      </c>
      <c r="S250">
        <f t="shared" si="962"/>
        <v>-18.773133994631568</v>
      </c>
      <c r="T250">
        <f t="shared" si="963"/>
        <v>-1.8773133994631569E-2</v>
      </c>
    </row>
    <row r="251" spans="1:20" x14ac:dyDescent="0.25">
      <c r="A251" s="5">
        <v>44342</v>
      </c>
      <c r="B251">
        <v>8.0429999999999993</v>
      </c>
      <c r="C251">
        <v>8.9380000000000006</v>
      </c>
      <c r="D251">
        <v>7.65</v>
      </c>
      <c r="E251">
        <v>8.0299999999999994</v>
      </c>
      <c r="F251">
        <v>657847.47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-0.40993788819875943</v>
      </c>
      <c r="Q251">
        <f t="shared" si="960"/>
        <v>-269676.60260869673</v>
      </c>
      <c r="R251">
        <f t="shared" si="961"/>
        <v>-1761575.5360124523</v>
      </c>
      <c r="S251">
        <f t="shared" si="962"/>
        <v>-17.615755360124524</v>
      </c>
      <c r="T251">
        <f t="shared" si="963"/>
        <v>-1.7615755360124524E-2</v>
      </c>
    </row>
    <row r="252" spans="1:20" x14ac:dyDescent="0.25">
      <c r="A252" s="5">
        <v>44341</v>
      </c>
      <c r="B252">
        <v>8.1180000000000003</v>
      </c>
      <c r="C252">
        <v>11</v>
      </c>
      <c r="D252">
        <v>7.5919999999999996</v>
      </c>
      <c r="E252">
        <v>8.0129999999999999</v>
      </c>
      <c r="F252">
        <v>1981446.44</v>
      </c>
      <c r="G252">
        <v>0</v>
      </c>
      <c r="P252">
        <f t="shared" si="959"/>
        <v>-0.75293427230046939</v>
      </c>
      <c r="Q252">
        <f t="shared" si="960"/>
        <v>-1491898.9334037555</v>
      </c>
      <c r="R252">
        <f t="shared" si="961"/>
        <v>-1491898.9334037555</v>
      </c>
      <c r="S252">
        <f t="shared" si="962"/>
        <v>-14.918989334037555</v>
      </c>
      <c r="T252">
        <f t="shared" si="963"/>
        <v>-1.4918989334037555E-2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F500" sqref="EF50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$A$499</v>
      </c>
      <c r="D111" s="1" t="str">
        <f>ADDRESS(C121-1,D121,1,1)</f>
        <v>$EF$499</v>
      </c>
      <c r="E111"/>
    </row>
    <row r="112" spans="1:5" x14ac:dyDescent="0.25">
      <c r="A112" s="7">
        <v>12164.144957890772</v>
      </c>
      <c r="C112" s="1" t="str">
        <f>ADDRESS(C121,1,1,1)</f>
        <v>$A$500</v>
      </c>
      <c r="D112" s="1" t="str">
        <f>ADDRESS(C121,D121-1,1,1)</f>
        <v>$EE$500</v>
      </c>
      <c r="E112"/>
    </row>
    <row r="113" spans="1:5" x14ac:dyDescent="0.25">
      <c r="A113" s="7">
        <v>11925.63231165762</v>
      </c>
      <c r="C113" s="1" t="str">
        <f>ADDRESS(C121+1,1,1,1)</f>
        <v>$A$501</v>
      </c>
      <c r="D113" s="1" t="str">
        <f>ADDRESS(C121-1,D121+1,1,1)</f>
        <v>$EG$499</v>
      </c>
    </row>
    <row r="114" spans="1:5" x14ac:dyDescent="0.25">
      <c r="A114" s="7">
        <v>11691.796383978059</v>
      </c>
      <c r="C114" s="1" t="str">
        <f>ADDRESS(C121,D121,1,1)</f>
        <v>$EF$500</v>
      </c>
      <c r="D114" s="1" t="str">
        <f>ADDRESS(C121+1,D121+1,1,1)</f>
        <v>$EG$501</v>
      </c>
    </row>
    <row r="115" spans="1:5" x14ac:dyDescent="0.25">
      <c r="A115" s="7">
        <v>11462.545474488292</v>
      </c>
      <c r="C115" s="1" t="str">
        <f>ADDRESS(C121+1,D121,1,1)</f>
        <v>$EF$501</v>
      </c>
    </row>
    <row r="116" spans="1:5" x14ac:dyDescent="0.25">
      <c r="A116" s="7">
        <v>11237.789680870874</v>
      </c>
      <c r="C116" s="1">
        <f>C117-1</f>
        <v>499</v>
      </c>
    </row>
    <row r="117" spans="1:5" x14ac:dyDescent="0.25">
      <c r="A117" s="7">
        <v>11017.440863598895</v>
      </c>
      <c r="C117" s="1">
        <f>C121</f>
        <v>500</v>
      </c>
      <c r="D117" s="1">
        <f>D121</f>
        <v>136</v>
      </c>
    </row>
    <row r="118" spans="1:5" x14ac:dyDescent="0.25">
      <c r="A118" s="7">
        <v>10801.412611371465</v>
      </c>
      <c r="C118" s="1">
        <f>C117+1</f>
        <v>501</v>
      </c>
      <c r="D118" s="1">
        <f>D117+1</f>
        <v>137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500</v>
      </c>
      <c r="D121" s="19">
        <v>136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R500</v>
      </c>
      <c r="D123" s="1" t="str">
        <f>"C"&amp;D121</f>
        <v>C136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5.6003470821040304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106" x14ac:dyDescent="0.25">
      <c r="A417" s="7">
        <v>28.975383953883185</v>
      </c>
      <c r="B417"/>
      <c r="C417"/>
      <c r="D417"/>
      <c r="E417"/>
    </row>
    <row r="418" spans="1:106" x14ac:dyDescent="0.25">
      <c r="A418" s="7">
        <v>28.407239170473709</v>
      </c>
      <c r="B418"/>
      <c r="C418"/>
      <c r="D418"/>
      <c r="E418"/>
    </row>
    <row r="419" spans="1:106" x14ac:dyDescent="0.25">
      <c r="A419" s="7">
        <v>27.850234480856578</v>
      </c>
      <c r="B419"/>
      <c r="C419"/>
      <c r="D419"/>
      <c r="E419"/>
    </row>
    <row r="420" spans="1:106" x14ac:dyDescent="0.25">
      <c r="A420" s="7">
        <v>27.304151451820175</v>
      </c>
      <c r="B420"/>
      <c r="C420"/>
      <c r="D420"/>
      <c r="E420"/>
    </row>
    <row r="421" spans="1:106" x14ac:dyDescent="0.25">
      <c r="A421" s="7">
        <v>26.768775933157034</v>
      </c>
      <c r="B421"/>
      <c r="C421"/>
      <c r="D421"/>
      <c r="E421"/>
    </row>
    <row r="422" spans="1:106" x14ac:dyDescent="0.25">
      <c r="A422" s="7">
        <v>26.243897973683367</v>
      </c>
      <c r="B422"/>
      <c r="C422"/>
      <c r="D422"/>
      <c r="E422"/>
    </row>
    <row r="423" spans="1:106" x14ac:dyDescent="0.25">
      <c r="A423" s="7">
        <v>25.729311738905263</v>
      </c>
      <c r="B423"/>
      <c r="C423"/>
      <c r="D423"/>
      <c r="E423"/>
    </row>
    <row r="424" spans="1:106" x14ac:dyDescent="0.25">
      <c r="A424" s="7">
        <v>25.224815430299277</v>
      </c>
      <c r="B424"/>
      <c r="C424"/>
      <c r="D424"/>
      <c r="E424"/>
    </row>
    <row r="425" spans="1:106" x14ac:dyDescent="0.25">
      <c r="A425" s="7">
        <v>24.73021120617576</v>
      </c>
      <c r="B425"/>
      <c r="C425"/>
      <c r="D425"/>
      <c r="E425"/>
    </row>
    <row r="426" spans="1:106" x14ac:dyDescent="0.25">
      <c r="A426" s="7">
        <v>24.24530510409388</v>
      </c>
      <c r="B426"/>
      <c r="C426"/>
      <c r="D426"/>
      <c r="E426"/>
    </row>
    <row r="427" spans="1:106" x14ac:dyDescent="0.25">
      <c r="A427" s="7">
        <v>23.769906964797922</v>
      </c>
      <c r="B427"/>
      <c r="C427"/>
      <c r="D427"/>
      <c r="E427"/>
    </row>
    <row r="428" spans="1:106" x14ac:dyDescent="0.25">
      <c r="A428" s="7">
        <v>23.303830357645023</v>
      </c>
      <c r="B428"/>
      <c r="C428"/>
      <c r="D428"/>
      <c r="E428"/>
    </row>
    <row r="429" spans="1:106" x14ac:dyDescent="0.25">
      <c r="A429" s="7">
        <v>22.84689250749512</v>
      </c>
      <c r="B429"/>
      <c r="C429"/>
      <c r="D429"/>
      <c r="E429"/>
    </row>
    <row r="430" spans="1:106" x14ac:dyDescent="0.25">
      <c r="A430" s="7">
        <v>22.398914223034431</v>
      </c>
      <c r="B430"/>
      <c r="C430"/>
      <c r="D430"/>
      <c r="E430"/>
      <c r="DA430" s="27" t="s">
        <v>8</v>
      </c>
    </row>
    <row r="431" spans="1:106" x14ac:dyDescent="0.25">
      <c r="A431" s="7">
        <v>21.959719826504344</v>
      </c>
      <c r="B431"/>
      <c r="C431"/>
      <c r="D431"/>
      <c r="E431"/>
      <c r="DA431" s="27" t="s">
        <v>8</v>
      </c>
      <c r="DB431" s="27" t="s">
        <v>7</v>
      </c>
    </row>
    <row r="432" spans="1:106" x14ac:dyDescent="0.25">
      <c r="A432" s="7">
        <v>21.52913708480818</v>
      </c>
      <c r="B432"/>
      <c r="C432"/>
      <c r="D432"/>
      <c r="E432"/>
      <c r="DA432" s="27" t="s">
        <v>8</v>
      </c>
      <c r="DB432" s="27" t="s">
        <v>7</v>
      </c>
    </row>
    <row r="433" spans="1:108" x14ac:dyDescent="0.25">
      <c r="A433" s="7">
        <v>21.106997141968804</v>
      </c>
      <c r="B433"/>
      <c r="C433"/>
      <c r="D433"/>
      <c r="E433"/>
      <c r="DA433" s="27" t="s">
        <v>8</v>
      </c>
      <c r="DB433" s="27" t="s">
        <v>7</v>
      </c>
    </row>
    <row r="434" spans="1:108" x14ac:dyDescent="0.25">
      <c r="A434" s="7">
        <v>20.693134452910591</v>
      </c>
      <c r="B434"/>
      <c r="C434"/>
      <c r="D434"/>
      <c r="E434"/>
      <c r="BE434" s="27" t="s">
        <v>8</v>
      </c>
      <c r="DA434" s="27" t="s">
        <v>8</v>
      </c>
      <c r="DB434" s="27" t="s">
        <v>7</v>
      </c>
    </row>
    <row r="435" spans="1:108" x14ac:dyDescent="0.25">
      <c r="A435" s="7">
        <v>20.287386718539796</v>
      </c>
      <c r="B435"/>
      <c r="C435"/>
      <c r="D435"/>
      <c r="E435"/>
      <c r="BE435" s="27" t="s">
        <v>8</v>
      </c>
      <c r="BF435" s="27" t="s">
        <v>7</v>
      </c>
      <c r="DA435" s="27" t="s">
        <v>8</v>
      </c>
      <c r="DB435" s="27" t="s">
        <v>7</v>
      </c>
    </row>
    <row r="436" spans="1:108" x14ac:dyDescent="0.25">
      <c r="A436" s="7">
        <v>19.889594822097838</v>
      </c>
      <c r="B436"/>
      <c r="C436"/>
      <c r="D436"/>
      <c r="E436"/>
      <c r="BE436" s="27" t="s">
        <v>8</v>
      </c>
      <c r="BF436" s="27" t="s">
        <v>7</v>
      </c>
      <c r="DA436" s="27" t="s">
        <v>8</v>
      </c>
      <c r="DB436" s="27" t="s">
        <v>7</v>
      </c>
    </row>
    <row r="437" spans="1:108" x14ac:dyDescent="0.25">
      <c r="A437" s="7">
        <v>19.499602766762585</v>
      </c>
      <c r="B437"/>
      <c r="C437"/>
      <c r="D437"/>
      <c r="E437"/>
      <c r="BE437" s="27" t="s">
        <v>8</v>
      </c>
      <c r="BF437" s="27" t="s">
        <v>7</v>
      </c>
      <c r="CS437" s="27" t="s">
        <v>8</v>
      </c>
      <c r="DA437" s="27" t="s">
        <v>8</v>
      </c>
      <c r="DB437" s="27" t="s">
        <v>7</v>
      </c>
    </row>
    <row r="438" spans="1:108" x14ac:dyDescent="0.25">
      <c r="A438" s="7">
        <v>19.117257614473122</v>
      </c>
      <c r="B438"/>
      <c r="C438"/>
      <c r="D438"/>
      <c r="E438"/>
      <c r="BE438" s="27" t="s">
        <v>8</v>
      </c>
      <c r="BF438" s="27" t="s">
        <v>7</v>
      </c>
      <c r="CS438" s="27" t="s">
        <v>8</v>
      </c>
      <c r="CT438" s="27" t="s">
        <v>7</v>
      </c>
      <c r="DA438" s="27" t="s">
        <v>8</v>
      </c>
      <c r="DB438" s="27" t="s">
        <v>7</v>
      </c>
    </row>
    <row r="439" spans="1:108" x14ac:dyDescent="0.25">
      <c r="A439" s="7">
        <v>18.74240942595404</v>
      </c>
      <c r="B439"/>
      <c r="C439"/>
      <c r="D439"/>
      <c r="E439"/>
      <c r="BE439" s="27" t="s">
        <v>8</v>
      </c>
      <c r="BF439" s="27" t="s">
        <v>7</v>
      </c>
      <c r="CS439" s="27" t="s">
        <v>8</v>
      </c>
      <c r="CT439" s="27" t="s">
        <v>7</v>
      </c>
      <c r="DA439" s="27" t="s">
        <v>8</v>
      </c>
      <c r="DB439" s="27" t="s">
        <v>7</v>
      </c>
    </row>
    <row r="440" spans="1:108" x14ac:dyDescent="0.25">
      <c r="A440" s="7">
        <v>18.374911201915726</v>
      </c>
      <c r="B440"/>
      <c r="C440"/>
      <c r="D440"/>
      <c r="E440"/>
      <c r="BE440" s="27" t="s">
        <v>8</v>
      </c>
      <c r="BF440" s="27" t="s">
        <v>7</v>
      </c>
      <c r="CK440" s="27" t="s">
        <v>8</v>
      </c>
      <c r="CS440" s="27" t="s">
        <v>8</v>
      </c>
      <c r="CT440" s="27" t="s">
        <v>7</v>
      </c>
      <c r="DA440" s="27" t="s">
        <v>8</v>
      </c>
      <c r="DB440" s="27" t="s">
        <v>7</v>
      </c>
      <c r="DC440" s="27" t="s">
        <v>8</v>
      </c>
    </row>
    <row r="441" spans="1:108" x14ac:dyDescent="0.25">
      <c r="A441" s="7">
        <v>18.014618825407574</v>
      </c>
      <c r="B441"/>
      <c r="C441"/>
      <c r="D441"/>
      <c r="E441"/>
      <c r="BE441" s="27" t="s">
        <v>8</v>
      </c>
      <c r="BF441" s="27" t="s">
        <v>7</v>
      </c>
      <c r="CK441" s="27" t="s">
        <v>8</v>
      </c>
      <c r="CL441" s="27" t="s">
        <v>7</v>
      </c>
      <c r="CS441" s="27" t="s">
        <v>8</v>
      </c>
      <c r="CT441" s="27" t="s">
        <v>7</v>
      </c>
      <c r="DA441" s="27" t="s">
        <v>8</v>
      </c>
      <c r="DB441" s="27" t="s">
        <v>7</v>
      </c>
      <c r="DC441" s="27" t="s">
        <v>8</v>
      </c>
      <c r="DD441" s="27" t="s">
        <v>7</v>
      </c>
    </row>
    <row r="442" spans="1:108" x14ac:dyDescent="0.25">
      <c r="A442" s="7">
        <v>17.661391005301542</v>
      </c>
      <c r="B442"/>
      <c r="C442"/>
      <c r="D442"/>
      <c r="E442"/>
      <c r="BE442" s="27" t="s">
        <v>8</v>
      </c>
      <c r="BF442" s="27" t="s">
        <v>7</v>
      </c>
      <c r="CK442" s="27" t="s">
        <v>8</v>
      </c>
      <c r="CL442" s="27" t="s">
        <v>7</v>
      </c>
      <c r="CS442" s="27" t="s">
        <v>8</v>
      </c>
      <c r="CT442" s="27" t="s">
        <v>7</v>
      </c>
      <c r="DA442" s="27" t="s">
        <v>8</v>
      </c>
      <c r="DB442" s="27" t="s">
        <v>7</v>
      </c>
      <c r="DC442" s="27" t="s">
        <v>8</v>
      </c>
      <c r="DD442" s="27" t="s">
        <v>7</v>
      </c>
    </row>
    <row r="443" spans="1:108" x14ac:dyDescent="0.25">
      <c r="A443" s="7">
        <v>17.315089220883866</v>
      </c>
      <c r="B443"/>
      <c r="C443"/>
      <c r="D443"/>
      <c r="E443"/>
      <c r="BE443" s="27" t="s">
        <v>8</v>
      </c>
      <c r="BF443" s="27" t="s">
        <v>7</v>
      </c>
      <c r="CK443" s="27" t="s">
        <v>8</v>
      </c>
      <c r="CL443" s="27" t="s">
        <v>7</v>
      </c>
      <c r="CS443" s="27" t="s">
        <v>8</v>
      </c>
      <c r="CT443" s="27" t="s">
        <v>7</v>
      </c>
      <c r="DA443" s="27" t="s">
        <v>8</v>
      </c>
      <c r="DB443" s="27" t="s">
        <v>7</v>
      </c>
      <c r="DC443" s="27" t="s">
        <v>8</v>
      </c>
      <c r="DD443" s="27" t="s">
        <v>7</v>
      </c>
    </row>
    <row r="444" spans="1:108" x14ac:dyDescent="0.25">
      <c r="A444" s="7">
        <v>16.975577667533202</v>
      </c>
      <c r="B444"/>
      <c r="C444"/>
      <c r="D444"/>
      <c r="E444"/>
      <c r="BE444" s="27" t="s">
        <v>8</v>
      </c>
      <c r="BF444" s="27" t="s">
        <v>7</v>
      </c>
      <c r="CK444" s="27" t="s">
        <v>8</v>
      </c>
      <c r="CL444" s="27" t="s">
        <v>7</v>
      </c>
      <c r="CS444" s="27" t="s">
        <v>8</v>
      </c>
      <c r="CT444" s="27" t="s">
        <v>7</v>
      </c>
      <c r="DA444" s="27" t="s">
        <v>8</v>
      </c>
      <c r="DB444" s="27" t="s">
        <v>7</v>
      </c>
      <c r="DC444" s="27" t="s">
        <v>8</v>
      </c>
      <c r="DD444" s="27" t="s">
        <v>7</v>
      </c>
    </row>
    <row r="445" spans="1:108" x14ac:dyDescent="0.25">
      <c r="A445" s="7">
        <v>16.642723203463923</v>
      </c>
      <c r="B445"/>
      <c r="C445"/>
      <c r="D445"/>
      <c r="E445"/>
      <c r="BE445" s="27" t="s">
        <v>8</v>
      </c>
      <c r="BF445" s="27" t="s">
        <v>7</v>
      </c>
      <c r="BG445" s="27" t="s">
        <v>8</v>
      </c>
      <c r="CK445" s="27" t="s">
        <v>8</v>
      </c>
      <c r="CL445" s="27" t="s">
        <v>7</v>
      </c>
      <c r="CS445" s="27" t="s">
        <v>8</v>
      </c>
      <c r="CT445" s="27" t="s">
        <v>7</v>
      </c>
      <c r="DA445" s="27" t="s">
        <v>8</v>
      </c>
      <c r="DB445" s="27" t="s">
        <v>7</v>
      </c>
      <c r="DC445" s="27" t="s">
        <v>8</v>
      </c>
      <c r="DD445" s="27" t="s">
        <v>7</v>
      </c>
    </row>
    <row r="446" spans="1:108" x14ac:dyDescent="0.25">
      <c r="A446" s="7">
        <v>16.316395297513651</v>
      </c>
      <c r="B446"/>
      <c r="C446"/>
      <c r="D446"/>
      <c r="E446"/>
      <c r="BE446" s="27" t="s">
        <v>8</v>
      </c>
      <c r="BF446" s="27" t="s">
        <v>7</v>
      </c>
      <c r="BG446" s="27" t="s">
        <v>8</v>
      </c>
      <c r="BH446" s="27" t="s">
        <v>7</v>
      </c>
      <c r="CK446" s="27" t="s">
        <v>8</v>
      </c>
      <c r="CL446" s="27" t="s">
        <v>7</v>
      </c>
      <c r="CS446" s="27" t="s">
        <v>8</v>
      </c>
      <c r="CT446" s="27" t="s">
        <v>7</v>
      </c>
      <c r="DA446" s="27" t="s">
        <v>8</v>
      </c>
      <c r="DB446" s="27" t="s">
        <v>7</v>
      </c>
      <c r="DC446" s="27" t="s">
        <v>8</v>
      </c>
      <c r="DD446" s="27" t="s">
        <v>7</v>
      </c>
    </row>
    <row r="447" spans="1:108" x14ac:dyDescent="0.25">
      <c r="A447" s="7">
        <v>15.996465977954561</v>
      </c>
      <c r="B447"/>
      <c r="C447"/>
      <c r="D447"/>
      <c r="E447"/>
      <c r="BE447" s="27" t="s">
        <v>8</v>
      </c>
      <c r="BF447" s="27" t="s">
        <v>7</v>
      </c>
      <c r="BG447" s="27" t="s">
        <v>8</v>
      </c>
      <c r="BH447" s="27" t="s">
        <v>7</v>
      </c>
      <c r="CK447" s="27" t="s">
        <v>8</v>
      </c>
      <c r="CL447" s="27" t="s">
        <v>7</v>
      </c>
      <c r="CS447" s="27" t="s">
        <v>8</v>
      </c>
      <c r="CT447" s="27" t="s">
        <v>7</v>
      </c>
      <c r="DA447" s="27" t="s">
        <v>8</v>
      </c>
      <c r="DB447" s="27" t="s">
        <v>7</v>
      </c>
      <c r="DC447" s="27" t="s">
        <v>8</v>
      </c>
      <c r="DD447" s="27" t="s">
        <v>7</v>
      </c>
    </row>
    <row r="448" spans="1:108" x14ac:dyDescent="0.25">
      <c r="A448" s="7">
        <v>15.682809782308393</v>
      </c>
      <c r="B448"/>
      <c r="C448"/>
      <c r="D448"/>
      <c r="E448"/>
      <c r="BE448" s="27" t="s">
        <v>8</v>
      </c>
      <c r="BF448" s="27" t="s">
        <v>7</v>
      </c>
      <c r="BG448" s="27" t="s">
        <v>8</v>
      </c>
      <c r="BH448" s="27" t="s">
        <v>7</v>
      </c>
      <c r="CK448" s="27" t="s">
        <v>8</v>
      </c>
      <c r="CL448" s="27" t="s">
        <v>7</v>
      </c>
      <c r="CS448" s="27" t="s">
        <v>8</v>
      </c>
      <c r="CT448" s="27" t="s">
        <v>7</v>
      </c>
      <c r="DA448" s="27" t="s">
        <v>8</v>
      </c>
      <c r="DB448" s="27" t="s">
        <v>7</v>
      </c>
      <c r="DC448" s="27" t="s">
        <v>8</v>
      </c>
      <c r="DD448" s="27" t="s">
        <v>7</v>
      </c>
    </row>
    <row r="449" spans="1:126" x14ac:dyDescent="0.25">
      <c r="A449" s="7">
        <v>15.375303708145482</v>
      </c>
      <c r="B449"/>
      <c r="C449"/>
      <c r="D449"/>
      <c r="E449"/>
      <c r="BE449" s="27" t="s">
        <v>8</v>
      </c>
      <c r="BF449" s="27" t="s">
        <v>7</v>
      </c>
      <c r="BG449" s="27" t="s">
        <v>8</v>
      </c>
      <c r="BH449" s="27" t="s">
        <v>7</v>
      </c>
      <c r="CK449" s="27" t="s">
        <v>8</v>
      </c>
      <c r="CL449" s="27" t="s">
        <v>7</v>
      </c>
      <c r="CS449" s="27" t="s">
        <v>8</v>
      </c>
      <c r="CT449" s="27" t="s">
        <v>7</v>
      </c>
      <c r="CU449" s="27" t="s">
        <v>8</v>
      </c>
      <c r="DA449" s="27" t="s">
        <v>8</v>
      </c>
      <c r="DB449" s="27" t="s">
        <v>7</v>
      </c>
      <c r="DC449" s="27" t="s">
        <v>8</v>
      </c>
      <c r="DD449" s="27" t="s">
        <v>7</v>
      </c>
    </row>
    <row r="450" spans="1:126" x14ac:dyDescent="0.25">
      <c r="A450" s="7">
        <v>15.073827164848511</v>
      </c>
      <c r="B450"/>
      <c r="C450"/>
      <c r="D450"/>
      <c r="E450"/>
      <c r="BE450" s="27" t="s">
        <v>8</v>
      </c>
      <c r="BF450" s="27" t="s">
        <v>7</v>
      </c>
      <c r="BG450" s="27" t="s">
        <v>8</v>
      </c>
      <c r="BH450" s="27" t="s">
        <v>7</v>
      </c>
      <c r="CK450" s="27" t="s">
        <v>8</v>
      </c>
      <c r="CL450" s="27" t="s">
        <v>7</v>
      </c>
      <c r="CS450" s="27" t="s">
        <v>8</v>
      </c>
      <c r="CT450" s="27" t="s">
        <v>7</v>
      </c>
      <c r="CU450" s="27" t="s">
        <v>8</v>
      </c>
      <c r="CV450" s="27" t="s">
        <v>7</v>
      </c>
      <c r="DA450" s="27" t="s">
        <v>8</v>
      </c>
      <c r="DB450" s="27" t="s">
        <v>7</v>
      </c>
      <c r="DC450" s="27" t="s">
        <v>8</v>
      </c>
      <c r="DD450" s="27" t="s">
        <v>7</v>
      </c>
    </row>
    <row r="451" spans="1:126" x14ac:dyDescent="0.25">
      <c r="A451" s="7">
        <v>14.77826192632207</v>
      </c>
      <c r="B451"/>
      <c r="C451"/>
      <c r="D451"/>
      <c r="E451"/>
      <c r="BE451" s="27" t="s">
        <v>8</v>
      </c>
      <c r="BF451" s="27" t="s">
        <v>7</v>
      </c>
      <c r="BG451" s="27" t="s">
        <v>8</v>
      </c>
      <c r="BH451" s="27" t="s">
        <v>7</v>
      </c>
      <c r="CK451" s="27" t="s">
        <v>8</v>
      </c>
      <c r="CL451" s="27" t="s">
        <v>7</v>
      </c>
      <c r="CS451" s="27" t="s">
        <v>8</v>
      </c>
      <c r="CT451" s="27" t="s">
        <v>7</v>
      </c>
      <c r="CU451" s="27" t="s">
        <v>8</v>
      </c>
      <c r="CV451" s="27" t="s">
        <v>7</v>
      </c>
      <c r="DA451" s="27" t="s">
        <v>8</v>
      </c>
      <c r="DB451" s="27" t="s">
        <v>7</v>
      </c>
      <c r="DD451" s="27" t="s">
        <v>7</v>
      </c>
    </row>
    <row r="452" spans="1:126" x14ac:dyDescent="0.25">
      <c r="A452" s="7">
        <v>14.488492084629481</v>
      </c>
      <c r="B452"/>
      <c r="C452"/>
      <c r="D452"/>
      <c r="E452"/>
      <c r="BE452" s="27" t="s">
        <v>8</v>
      </c>
      <c r="BF452" s="27" t="s">
        <v>7</v>
      </c>
      <c r="BG452" s="27" t="s">
        <v>8</v>
      </c>
      <c r="BH452" s="27" t="s">
        <v>7</v>
      </c>
      <c r="CK452" s="27" t="s">
        <v>8</v>
      </c>
      <c r="CL452" s="27" t="s">
        <v>7</v>
      </c>
      <c r="CS452" s="27" t="s">
        <v>8</v>
      </c>
      <c r="CT452" s="27" t="s">
        <v>7</v>
      </c>
      <c r="CU452" s="27" t="s">
        <v>8</v>
      </c>
      <c r="CV452" s="27" t="s">
        <v>7</v>
      </c>
      <c r="DA452" s="27" t="s">
        <v>8</v>
      </c>
      <c r="DD452" s="27" t="s">
        <v>7</v>
      </c>
      <c r="DG452" s="27" t="s">
        <v>8</v>
      </c>
    </row>
    <row r="453" spans="1:126" x14ac:dyDescent="0.25">
      <c r="A453" s="7">
        <v>14.204404004538707</v>
      </c>
      <c r="B453"/>
      <c r="C453"/>
      <c r="D453"/>
      <c r="E453"/>
      <c r="BE453" s="27" t="s">
        <v>8</v>
      </c>
      <c r="BF453" s="27" t="s">
        <v>7</v>
      </c>
      <c r="BG453" s="27" t="s">
        <v>8</v>
      </c>
      <c r="BH453" s="27" t="s">
        <v>7</v>
      </c>
      <c r="CK453" s="27" t="s">
        <v>8</v>
      </c>
      <c r="CL453" s="27" t="s">
        <v>7</v>
      </c>
      <c r="CO453" s="27" t="s">
        <v>8</v>
      </c>
      <c r="CS453" s="27" t="s">
        <v>8</v>
      </c>
      <c r="CT453" s="27" t="s">
        <v>7</v>
      </c>
      <c r="CU453" s="27" t="s">
        <v>8</v>
      </c>
      <c r="CV453" s="27" t="s">
        <v>7</v>
      </c>
      <c r="DA453" s="27" t="s">
        <v>8</v>
      </c>
      <c r="DD453" s="27" t="s">
        <v>7</v>
      </c>
      <c r="DG453" s="27" t="s">
        <v>8</v>
      </c>
      <c r="DH453" s="27" t="s">
        <v>7</v>
      </c>
      <c r="DU453" s="27" t="s">
        <v>8</v>
      </c>
    </row>
    <row r="454" spans="1:126" x14ac:dyDescent="0.25">
      <c r="A454" s="7">
        <v>13.925886278959517</v>
      </c>
      <c r="B454"/>
      <c r="C454"/>
      <c r="D454"/>
      <c r="E454"/>
      <c r="BE454" s="27" t="s">
        <v>8</v>
      </c>
      <c r="BF454" s="27" t="s">
        <v>7</v>
      </c>
      <c r="BG454" s="27" t="s">
        <v>8</v>
      </c>
      <c r="BH454" s="27" t="s">
        <v>7</v>
      </c>
      <c r="BO454" s="27" t="s">
        <v>8</v>
      </c>
      <c r="CK454" s="27" t="s">
        <v>8</v>
      </c>
      <c r="CL454" s="27" t="s">
        <v>7</v>
      </c>
      <c r="CO454" s="27" t="s">
        <v>8</v>
      </c>
      <c r="CP454" s="27" t="s">
        <v>7</v>
      </c>
      <c r="CS454" s="27" t="s">
        <v>8</v>
      </c>
      <c r="CT454" s="27" t="s">
        <v>7</v>
      </c>
      <c r="CU454" s="27" t="s">
        <v>8</v>
      </c>
      <c r="CV454" s="27" t="s">
        <v>7</v>
      </c>
      <c r="DA454" s="27" t="s">
        <v>8</v>
      </c>
      <c r="DD454" s="27" t="s">
        <v>7</v>
      </c>
      <c r="DG454" s="27" t="s">
        <v>8</v>
      </c>
      <c r="DH454" s="27" t="s">
        <v>7</v>
      </c>
      <c r="DU454" s="27" t="s">
        <v>8</v>
      </c>
      <c r="DV454" s="27" t="s">
        <v>7</v>
      </c>
    </row>
    <row r="455" spans="1:126" x14ac:dyDescent="0.25">
      <c r="A455" s="7">
        <v>13.652829685254428</v>
      </c>
      <c r="B455"/>
      <c r="C455"/>
      <c r="D455"/>
      <c r="E455"/>
      <c r="BE455" s="27" t="s">
        <v>8</v>
      </c>
      <c r="BF455" s="27" t="s">
        <v>7</v>
      </c>
      <c r="BG455" s="27" t="s">
        <v>8</v>
      </c>
      <c r="BH455" s="27" t="s">
        <v>7</v>
      </c>
      <c r="BO455" s="27" t="s">
        <v>8</v>
      </c>
      <c r="BP455" s="27" t="s">
        <v>7</v>
      </c>
      <c r="CK455" s="27" t="s">
        <v>8</v>
      </c>
      <c r="CL455" s="27" t="s">
        <v>7</v>
      </c>
      <c r="CO455" s="27" t="s">
        <v>8</v>
      </c>
      <c r="CP455" s="27" t="s">
        <v>7</v>
      </c>
      <c r="CS455" s="27" t="s">
        <v>8</v>
      </c>
      <c r="CT455" s="27" t="s">
        <v>7</v>
      </c>
      <c r="CV455" s="27" t="s">
        <v>7</v>
      </c>
      <c r="DA455" s="27" t="s">
        <v>8</v>
      </c>
      <c r="DD455" s="27" t="s">
        <v>7</v>
      </c>
      <c r="DG455" s="27" t="s">
        <v>8</v>
      </c>
      <c r="DH455" s="27" t="s">
        <v>7</v>
      </c>
      <c r="DO455" s="27" t="s">
        <v>8</v>
      </c>
      <c r="DU455" s="27" t="s">
        <v>8</v>
      </c>
      <c r="DV455" s="27" t="s">
        <v>7</v>
      </c>
    </row>
    <row r="456" spans="1:126" x14ac:dyDescent="0.25">
      <c r="A456" s="7">
        <v>13.385127142406303</v>
      </c>
      <c r="B456"/>
      <c r="C456"/>
      <c r="D456"/>
      <c r="E456"/>
      <c r="BE456" s="27" t="s">
        <v>8</v>
      </c>
      <c r="BF456" s="27" t="s">
        <v>7</v>
      </c>
      <c r="BG456" s="27" t="s">
        <v>8</v>
      </c>
      <c r="BH456" s="27" t="s">
        <v>7</v>
      </c>
      <c r="BI456" s="27" t="s">
        <v>8</v>
      </c>
      <c r="BO456" s="27" t="s">
        <v>8</v>
      </c>
      <c r="BP456" s="27" t="s">
        <v>7</v>
      </c>
      <c r="CK456" s="27" t="s">
        <v>8</v>
      </c>
      <c r="CL456" s="27" t="s">
        <v>7</v>
      </c>
      <c r="CO456" s="27" t="s">
        <v>8</v>
      </c>
      <c r="CP456" s="27" t="s">
        <v>7</v>
      </c>
      <c r="CS456" s="27" t="s">
        <v>8</v>
      </c>
      <c r="CV456" s="27" t="s">
        <v>7</v>
      </c>
      <c r="DA456" s="27" t="s">
        <v>8</v>
      </c>
      <c r="DD456" s="27" t="s">
        <v>7</v>
      </c>
      <c r="DG456" s="27" t="s">
        <v>8</v>
      </c>
      <c r="DH456" s="27" t="s">
        <v>7</v>
      </c>
      <c r="DO456" s="27" t="s">
        <v>8</v>
      </c>
      <c r="DP456" s="27" t="s">
        <v>7</v>
      </c>
      <c r="DQ456" s="27" t="s">
        <v>8</v>
      </c>
      <c r="DU456" s="27" t="s">
        <v>8</v>
      </c>
      <c r="DV456" s="27" t="s">
        <v>7</v>
      </c>
    </row>
    <row r="457" spans="1:126" x14ac:dyDescent="0.25">
      <c r="A457" s="7">
        <v>13.122673669025787</v>
      </c>
      <c r="B457"/>
      <c r="C457"/>
      <c r="D457"/>
      <c r="E457"/>
      <c r="BE457" s="27" t="s">
        <v>8</v>
      </c>
      <c r="BF457" s="27" t="s">
        <v>7</v>
      </c>
      <c r="BG457" s="27" t="s">
        <v>8</v>
      </c>
      <c r="BH457" s="27" t="s">
        <v>7</v>
      </c>
      <c r="BI457" s="27" t="s">
        <v>8</v>
      </c>
      <c r="BJ457" s="27" t="s">
        <v>7</v>
      </c>
      <c r="BO457" s="27" t="s">
        <v>8</v>
      </c>
      <c r="BP457" s="27" t="s">
        <v>7</v>
      </c>
      <c r="BS457" s="27" t="s">
        <v>8</v>
      </c>
      <c r="CK457" s="27" t="s">
        <v>8</v>
      </c>
      <c r="CL457" s="27" t="s">
        <v>7</v>
      </c>
      <c r="CO457" s="27" t="s">
        <v>8</v>
      </c>
      <c r="CP457" s="27" t="s">
        <v>7</v>
      </c>
      <c r="CS457" s="27" t="s">
        <v>8</v>
      </c>
      <c r="CV457" s="27" t="s">
        <v>7</v>
      </c>
      <c r="CY457" s="27" t="s">
        <v>8</v>
      </c>
      <c r="DA457" s="27" t="s">
        <v>8</v>
      </c>
      <c r="DD457" s="27" t="s">
        <v>7</v>
      </c>
      <c r="DG457" s="27" t="s">
        <v>8</v>
      </c>
      <c r="DH457" s="27" t="s">
        <v>7</v>
      </c>
      <c r="DO457" s="27" t="s">
        <v>8</v>
      </c>
      <c r="DP457" s="27" t="s">
        <v>7</v>
      </c>
      <c r="DQ457" s="27" t="s">
        <v>8</v>
      </c>
      <c r="DR457" s="27" t="s">
        <v>7</v>
      </c>
      <c r="DU457" s="27" t="s">
        <v>8</v>
      </c>
      <c r="DV457" s="27" t="s">
        <v>7</v>
      </c>
    </row>
    <row r="458" spans="1:126" x14ac:dyDescent="0.25">
      <c r="A458" s="7">
        <v>12.865366342182144</v>
      </c>
      <c r="B458"/>
      <c r="C458"/>
      <c r="D458"/>
      <c r="E458"/>
      <c r="BE458" s="27" t="s">
        <v>8</v>
      </c>
      <c r="BF458" s="27" t="s">
        <v>7</v>
      </c>
      <c r="BH458" s="27" t="s">
        <v>7</v>
      </c>
      <c r="BI458" s="27" t="s">
        <v>8</v>
      </c>
      <c r="BJ458" s="27" t="s">
        <v>7</v>
      </c>
      <c r="BK458" s="27" t="s">
        <v>8</v>
      </c>
      <c r="BO458" s="27" t="s">
        <v>8</v>
      </c>
      <c r="BP458" s="27" t="s">
        <v>7</v>
      </c>
      <c r="BS458" s="27" t="s">
        <v>8</v>
      </c>
      <c r="BT458" s="27" t="s">
        <v>7</v>
      </c>
      <c r="CK458" s="27" t="s">
        <v>8</v>
      </c>
      <c r="CL458" s="27" t="s">
        <v>7</v>
      </c>
      <c r="CO458" s="27" t="s">
        <v>8</v>
      </c>
      <c r="CP458" s="27" t="s">
        <v>7</v>
      </c>
      <c r="CS458" s="27" t="s">
        <v>8</v>
      </c>
      <c r="CV458" s="27" t="s">
        <v>7</v>
      </c>
      <c r="CY458" s="27" t="s">
        <v>8</v>
      </c>
      <c r="CZ458" s="27" t="s">
        <v>7</v>
      </c>
      <c r="DA458" s="27" t="s">
        <v>8</v>
      </c>
      <c r="DD458" s="27" t="s">
        <v>7</v>
      </c>
      <c r="DG458" s="27" t="s">
        <v>8</v>
      </c>
      <c r="DH458" s="27" t="s">
        <v>7</v>
      </c>
      <c r="DO458" s="27" t="s">
        <v>8</v>
      </c>
      <c r="DP458" s="27" t="s">
        <v>7</v>
      </c>
      <c r="DQ458" s="27" t="s">
        <v>8</v>
      </c>
      <c r="DR458" s="27" t="s">
        <v>7</v>
      </c>
      <c r="DU458" s="27" t="s">
        <v>8</v>
      </c>
      <c r="DV458" s="27" t="s">
        <v>7</v>
      </c>
    </row>
    <row r="459" spans="1:126" x14ac:dyDescent="0.25">
      <c r="A459" s="7">
        <v>12.613104257041318</v>
      </c>
      <c r="B459"/>
      <c r="C459"/>
      <c r="D459"/>
      <c r="E459"/>
      <c r="BE459" s="27" t="s">
        <v>8</v>
      </c>
      <c r="BH459" s="27" t="s">
        <v>7</v>
      </c>
      <c r="BI459" s="27" t="s">
        <v>8</v>
      </c>
      <c r="BJ459" s="27" t="s">
        <v>7</v>
      </c>
      <c r="BK459" s="27" t="s">
        <v>8</v>
      </c>
      <c r="BL459" s="27" t="s">
        <v>7</v>
      </c>
      <c r="BO459" s="27" t="s">
        <v>8</v>
      </c>
      <c r="BP459" s="27" t="s">
        <v>7</v>
      </c>
      <c r="BS459" s="27" t="s">
        <v>8</v>
      </c>
      <c r="BT459" s="27" t="s">
        <v>7</v>
      </c>
      <c r="CK459" s="27" t="s">
        <v>8</v>
      </c>
      <c r="CL459" s="27" t="s">
        <v>7</v>
      </c>
      <c r="CO459" s="27" t="s">
        <v>8</v>
      </c>
      <c r="CP459" s="27" t="s">
        <v>7</v>
      </c>
      <c r="CS459" s="27" t="s">
        <v>8</v>
      </c>
      <c r="CV459" s="27" t="s">
        <v>7</v>
      </c>
      <c r="CY459" s="27" t="s">
        <v>8</v>
      </c>
      <c r="CZ459" s="27" t="s">
        <v>7</v>
      </c>
      <c r="DA459" s="27" t="s">
        <v>8</v>
      </c>
      <c r="DD459" s="27" t="s">
        <v>7</v>
      </c>
      <c r="DG459" s="27" t="s">
        <v>8</v>
      </c>
      <c r="DH459" s="27" t="s">
        <v>7</v>
      </c>
      <c r="DO459" s="27" t="s">
        <v>8</v>
      </c>
      <c r="DP459" s="27" t="s">
        <v>7</v>
      </c>
      <c r="DR459" s="27" t="s">
        <v>7</v>
      </c>
      <c r="DS459" s="27" t="s">
        <v>8</v>
      </c>
      <c r="DU459" s="27" t="s">
        <v>8</v>
      </c>
      <c r="DV459" s="27" t="s">
        <v>7</v>
      </c>
    </row>
    <row r="460" spans="1:126" x14ac:dyDescent="0.25">
      <c r="A460" s="7">
        <v>12.36578848729541</v>
      </c>
      <c r="B460"/>
      <c r="C460"/>
      <c r="D460"/>
      <c r="E460"/>
      <c r="BE460" s="27" t="s">
        <v>8</v>
      </c>
      <c r="BH460" s="27" t="s">
        <v>7</v>
      </c>
      <c r="BI460" s="27" t="s">
        <v>8</v>
      </c>
      <c r="BJ460" s="27" t="s">
        <v>7</v>
      </c>
      <c r="BK460" s="27" t="s">
        <v>8</v>
      </c>
      <c r="BL460" s="27" t="s">
        <v>7</v>
      </c>
      <c r="BO460" s="27" t="s">
        <v>8</v>
      </c>
      <c r="BP460" s="27" t="s">
        <v>7</v>
      </c>
      <c r="BS460" s="27" t="s">
        <v>8</v>
      </c>
      <c r="BT460" s="27" t="s">
        <v>7</v>
      </c>
      <c r="BU460" s="27" t="s">
        <v>8</v>
      </c>
      <c r="CK460" s="27" t="s">
        <v>8</v>
      </c>
      <c r="CL460" s="27" t="s">
        <v>7</v>
      </c>
      <c r="CO460" s="27" t="s">
        <v>8</v>
      </c>
      <c r="CP460" s="27" t="s">
        <v>7</v>
      </c>
      <c r="CQ460" s="27" t="s">
        <v>8</v>
      </c>
      <c r="CS460" s="27" t="s">
        <v>8</v>
      </c>
      <c r="CV460" s="27" t="s">
        <v>7</v>
      </c>
      <c r="CW460" s="27" t="s">
        <v>8</v>
      </c>
      <c r="CY460" s="27" t="s">
        <v>8</v>
      </c>
      <c r="CZ460" s="27" t="s">
        <v>7</v>
      </c>
      <c r="DA460" s="27" t="s">
        <v>8</v>
      </c>
      <c r="DD460" s="27" t="s">
        <v>7</v>
      </c>
      <c r="DG460" s="27" t="s">
        <v>8</v>
      </c>
      <c r="DH460" s="27" t="s">
        <v>7</v>
      </c>
      <c r="DO460" s="27" t="s">
        <v>8</v>
      </c>
      <c r="DR460" s="27" t="s">
        <v>7</v>
      </c>
      <c r="DS460" s="27" t="s">
        <v>8</v>
      </c>
      <c r="DT460" s="27" t="s">
        <v>7</v>
      </c>
      <c r="DU460" s="27" t="s">
        <v>8</v>
      </c>
      <c r="DV460" s="27" t="s">
        <v>7</v>
      </c>
    </row>
    <row r="461" spans="1:126" x14ac:dyDescent="0.25">
      <c r="A461" s="7">
        <v>12.123322046368049</v>
      </c>
      <c r="B461"/>
      <c r="C461"/>
      <c r="D461"/>
      <c r="E461"/>
      <c r="BE461" s="27" t="s">
        <v>8</v>
      </c>
      <c r="BH461" s="27" t="s">
        <v>7</v>
      </c>
      <c r="BI461" s="27" t="s">
        <v>8</v>
      </c>
      <c r="BJ461" s="27" t="s">
        <v>7</v>
      </c>
      <c r="BK461" s="27" t="s">
        <v>8</v>
      </c>
      <c r="BL461" s="27" t="s">
        <v>7</v>
      </c>
      <c r="BO461" s="27" t="s">
        <v>8</v>
      </c>
      <c r="BP461" s="27" t="s">
        <v>7</v>
      </c>
      <c r="BS461" s="27" t="s">
        <v>8</v>
      </c>
      <c r="BT461" s="27" t="s">
        <v>7</v>
      </c>
      <c r="BU461" s="27" t="s">
        <v>8</v>
      </c>
      <c r="BV461" s="27" t="s">
        <v>7</v>
      </c>
      <c r="CE461" s="27" t="s">
        <v>8</v>
      </c>
      <c r="CK461" s="27" t="s">
        <v>8</v>
      </c>
      <c r="CL461" s="27" t="s">
        <v>7</v>
      </c>
      <c r="CO461" s="27" t="s">
        <v>8</v>
      </c>
      <c r="CP461" s="27" t="s">
        <v>7</v>
      </c>
      <c r="CQ461" s="27" t="s">
        <v>8</v>
      </c>
      <c r="CR461" s="27" t="s">
        <v>7</v>
      </c>
      <c r="CS461" s="27" t="s">
        <v>8</v>
      </c>
      <c r="CV461" s="27" t="s">
        <v>7</v>
      </c>
      <c r="CW461" s="27" t="s">
        <v>8</v>
      </c>
      <c r="CX461" s="27" t="s">
        <v>7</v>
      </c>
      <c r="CY461" s="27" t="s">
        <v>8</v>
      </c>
      <c r="CZ461" s="27" t="s">
        <v>7</v>
      </c>
      <c r="DA461" s="27" t="s">
        <v>8</v>
      </c>
      <c r="DD461" s="27" t="s">
        <v>7</v>
      </c>
      <c r="DG461" s="27" t="s">
        <v>8</v>
      </c>
      <c r="DH461" s="27" t="s">
        <v>7</v>
      </c>
      <c r="DO461" s="27" t="s">
        <v>8</v>
      </c>
      <c r="DR461" s="27" t="s">
        <v>7</v>
      </c>
      <c r="DS461" s="27" t="s">
        <v>8</v>
      </c>
      <c r="DT461" s="27" t="s">
        <v>7</v>
      </c>
      <c r="DU461" s="27" t="s">
        <v>8</v>
      </c>
      <c r="DV461" s="27" t="s">
        <v>7</v>
      </c>
    </row>
    <row r="462" spans="1:126" x14ac:dyDescent="0.25">
      <c r="A462" s="7">
        <v>11.88560984938044</v>
      </c>
      <c r="B462"/>
      <c r="C462"/>
      <c r="D462"/>
      <c r="E462"/>
      <c r="BE462" s="27" t="s">
        <v>8</v>
      </c>
      <c r="BH462" s="27" t="s">
        <v>7</v>
      </c>
      <c r="BI462" s="27" t="s">
        <v>8</v>
      </c>
      <c r="BJ462" s="27" t="s">
        <v>7</v>
      </c>
      <c r="BK462" s="27" t="s">
        <v>8</v>
      </c>
      <c r="BL462" s="27" t="s">
        <v>7</v>
      </c>
      <c r="BO462" s="27" t="s">
        <v>8</v>
      </c>
      <c r="BP462" s="27" t="s">
        <v>7</v>
      </c>
      <c r="BS462" s="27" t="s">
        <v>8</v>
      </c>
      <c r="BT462" s="27" t="s">
        <v>7</v>
      </c>
      <c r="BU462" s="27" t="s">
        <v>8</v>
      </c>
      <c r="BV462" s="27" t="s">
        <v>7</v>
      </c>
      <c r="CE462" s="27" t="s">
        <v>8</v>
      </c>
      <c r="CF462" s="27" t="s">
        <v>7</v>
      </c>
      <c r="CK462" s="27" t="s">
        <v>8</v>
      </c>
      <c r="CL462" s="27" t="s">
        <v>7</v>
      </c>
      <c r="CM462" s="27" t="s">
        <v>8</v>
      </c>
      <c r="CO462" s="27" t="s">
        <v>8</v>
      </c>
      <c r="CP462" s="27" t="s">
        <v>7</v>
      </c>
      <c r="CQ462" s="27" t="s">
        <v>8</v>
      </c>
      <c r="CR462" s="27" t="s">
        <v>7</v>
      </c>
      <c r="CS462" s="27" t="s">
        <v>8</v>
      </c>
      <c r="CV462" s="27" t="s">
        <v>7</v>
      </c>
      <c r="CW462" s="27" t="s">
        <v>8</v>
      </c>
      <c r="CX462" s="27" t="s">
        <v>7</v>
      </c>
      <c r="CY462" s="27" t="s">
        <v>8</v>
      </c>
      <c r="CZ462" s="27" t="s">
        <v>7</v>
      </c>
      <c r="DA462" s="27" t="s">
        <v>8</v>
      </c>
      <c r="DD462" s="27" t="s">
        <v>7</v>
      </c>
      <c r="DE462" s="27" t="s">
        <v>8</v>
      </c>
      <c r="DG462" s="27" t="s">
        <v>8</v>
      </c>
      <c r="DH462" s="27" t="s">
        <v>7</v>
      </c>
      <c r="DI462" s="27" t="s">
        <v>8</v>
      </c>
      <c r="DK462" s="27" t="s">
        <v>8</v>
      </c>
      <c r="DO462" s="27" t="s">
        <v>8</v>
      </c>
      <c r="DR462" s="27" t="s">
        <v>7</v>
      </c>
      <c r="DS462" s="27" t="s">
        <v>8</v>
      </c>
      <c r="DT462" s="27" t="s">
        <v>7</v>
      </c>
      <c r="DU462" s="27" t="s">
        <v>8</v>
      </c>
      <c r="DV462" s="27" t="s">
        <v>7</v>
      </c>
    </row>
    <row r="463" spans="1:126" x14ac:dyDescent="0.25">
      <c r="A463" s="7">
        <v>11.652558675863176</v>
      </c>
      <c r="B463"/>
      <c r="C463"/>
      <c r="D463"/>
      <c r="E463"/>
      <c r="BE463" s="27" t="s">
        <v>8</v>
      </c>
      <c r="BH463" s="27" t="s">
        <v>7</v>
      </c>
      <c r="BI463" s="27" t="s">
        <v>8</v>
      </c>
      <c r="BJ463" s="27" t="s">
        <v>7</v>
      </c>
      <c r="BK463" s="27" t="s">
        <v>8</v>
      </c>
      <c r="BL463" s="27" t="s">
        <v>7</v>
      </c>
      <c r="BO463" s="27" t="s">
        <v>8</v>
      </c>
      <c r="BP463" s="27" t="s">
        <v>7</v>
      </c>
      <c r="BS463" s="27" t="s">
        <v>8</v>
      </c>
      <c r="BT463" s="27" t="s">
        <v>7</v>
      </c>
      <c r="BU463" s="27" t="s">
        <v>8</v>
      </c>
      <c r="BV463" s="27" t="s">
        <v>7</v>
      </c>
      <c r="CC463" s="27" t="s">
        <v>8</v>
      </c>
      <c r="CE463" s="27" t="s">
        <v>8</v>
      </c>
      <c r="CF463" s="27" t="s">
        <v>7</v>
      </c>
      <c r="CK463" s="27" t="s">
        <v>8</v>
      </c>
      <c r="CL463" s="27" t="s">
        <v>7</v>
      </c>
      <c r="CM463" s="27" t="s">
        <v>8</v>
      </c>
      <c r="CN463" s="27" t="s">
        <v>7</v>
      </c>
      <c r="CO463" s="27" t="s">
        <v>8</v>
      </c>
      <c r="CP463" s="27" t="s">
        <v>7</v>
      </c>
      <c r="CR463" s="27" t="s">
        <v>7</v>
      </c>
      <c r="CS463" s="27" t="s">
        <v>8</v>
      </c>
      <c r="CV463" s="27" t="s">
        <v>7</v>
      </c>
      <c r="CW463" s="27" t="s">
        <v>8</v>
      </c>
      <c r="CX463" s="27" t="s">
        <v>7</v>
      </c>
      <c r="CY463" s="27" t="s">
        <v>8</v>
      </c>
      <c r="CZ463" s="27" t="s">
        <v>7</v>
      </c>
      <c r="DD463" s="27" t="s">
        <v>7</v>
      </c>
      <c r="DE463" s="27" t="s">
        <v>8</v>
      </c>
      <c r="DF463" s="27" t="s">
        <v>7</v>
      </c>
      <c r="DG463" s="27" t="s">
        <v>8</v>
      </c>
      <c r="DH463" s="27" t="s">
        <v>7</v>
      </c>
      <c r="DI463" s="27" t="s">
        <v>8</v>
      </c>
      <c r="DJ463" s="27" t="s">
        <v>7</v>
      </c>
      <c r="DK463" s="27" t="s">
        <v>8</v>
      </c>
      <c r="DL463" s="27" t="s">
        <v>7</v>
      </c>
      <c r="DO463" s="27" t="s">
        <v>8</v>
      </c>
      <c r="DR463" s="27" t="s">
        <v>7</v>
      </c>
      <c r="DT463" s="27" t="s">
        <v>7</v>
      </c>
      <c r="DV463" s="27" t="s">
        <v>7</v>
      </c>
    </row>
    <row r="464" spans="1:126" x14ac:dyDescent="0.25">
      <c r="A464" s="7">
        <v>11.424077133199193</v>
      </c>
      <c r="B464"/>
      <c r="C464"/>
      <c r="D464"/>
      <c r="E464"/>
      <c r="BE464" s="27" t="s">
        <v>8</v>
      </c>
      <c r="BH464" s="27" t="s">
        <v>7</v>
      </c>
      <c r="BI464" s="27" t="s">
        <v>8</v>
      </c>
      <c r="BJ464" s="27" t="s">
        <v>7</v>
      </c>
      <c r="BL464" s="27" t="s">
        <v>7</v>
      </c>
      <c r="BO464" s="27" t="s">
        <v>8</v>
      </c>
      <c r="BP464" s="27" t="s">
        <v>7</v>
      </c>
      <c r="BQ464" s="27" t="s">
        <v>8</v>
      </c>
      <c r="BS464" s="27" t="s">
        <v>8</v>
      </c>
      <c r="BT464" s="27" t="s">
        <v>7</v>
      </c>
      <c r="BU464" s="27" t="s">
        <v>8</v>
      </c>
      <c r="BV464" s="27" t="s">
        <v>7</v>
      </c>
      <c r="CC464" s="27" t="s">
        <v>8</v>
      </c>
      <c r="CD464" s="27" t="s">
        <v>7</v>
      </c>
      <c r="CE464" s="27" t="s">
        <v>8</v>
      </c>
      <c r="CF464" s="27" t="s">
        <v>7</v>
      </c>
      <c r="CK464" s="27" t="s">
        <v>8</v>
      </c>
      <c r="CL464" s="27" t="s">
        <v>7</v>
      </c>
      <c r="CM464" s="27" t="s">
        <v>8</v>
      </c>
      <c r="CN464" s="27" t="s">
        <v>7</v>
      </c>
      <c r="CO464" s="27" t="s">
        <v>8</v>
      </c>
      <c r="CR464" s="27" t="s">
        <v>7</v>
      </c>
      <c r="CS464" s="27" t="s">
        <v>8</v>
      </c>
      <c r="CV464" s="27" t="s">
        <v>7</v>
      </c>
      <c r="CW464" s="27" t="s">
        <v>8</v>
      </c>
      <c r="CX464" s="27" t="s">
        <v>7</v>
      </c>
      <c r="CY464" s="27" t="s">
        <v>8</v>
      </c>
      <c r="DD464" s="27" t="s">
        <v>7</v>
      </c>
      <c r="DE464" s="27" t="s">
        <v>8</v>
      </c>
      <c r="DF464" s="27" t="s">
        <v>7</v>
      </c>
      <c r="DG464" s="27" t="s">
        <v>8</v>
      </c>
      <c r="DH464" s="27" t="s">
        <v>7</v>
      </c>
      <c r="DI464" s="27" t="s">
        <v>8</v>
      </c>
      <c r="DJ464" s="27" t="s">
        <v>7</v>
      </c>
      <c r="DK464" s="27" t="s">
        <v>8</v>
      </c>
      <c r="DL464" s="27" t="s">
        <v>7</v>
      </c>
      <c r="DM464" s="27" t="s">
        <v>8</v>
      </c>
      <c r="DO464" s="27" t="s">
        <v>8</v>
      </c>
      <c r="DV464" s="27" t="s">
        <v>7</v>
      </c>
    </row>
    <row r="465" spans="1:132" x14ac:dyDescent="0.25">
      <c r="A465" s="7">
        <v>11.200075620783522</v>
      </c>
      <c r="B465"/>
      <c r="C465"/>
      <c r="D465"/>
      <c r="E465"/>
      <c r="BE465" s="27" t="s">
        <v>8</v>
      </c>
      <c r="BH465" s="27" t="s">
        <v>7</v>
      </c>
      <c r="BI465" s="27" t="s">
        <v>8</v>
      </c>
      <c r="BL465" s="27" t="s">
        <v>7</v>
      </c>
      <c r="BO465" s="27" t="s">
        <v>8</v>
      </c>
      <c r="BP465" s="27" t="s">
        <v>7</v>
      </c>
      <c r="BQ465" s="27" t="s">
        <v>8</v>
      </c>
      <c r="BR465" s="27" t="s">
        <v>7</v>
      </c>
      <c r="BS465" s="27" t="s">
        <v>8</v>
      </c>
      <c r="BT465" s="27" t="s">
        <v>7</v>
      </c>
      <c r="BU465" s="27" t="s">
        <v>8</v>
      </c>
      <c r="BV465" s="27" t="s">
        <v>7</v>
      </c>
      <c r="CC465" s="27" t="s">
        <v>8</v>
      </c>
      <c r="CD465" s="27" t="s">
        <v>7</v>
      </c>
      <c r="CE465" s="27" t="s">
        <v>8</v>
      </c>
      <c r="CF465" s="27" t="s">
        <v>7</v>
      </c>
      <c r="CG465" s="27" t="s">
        <v>8</v>
      </c>
      <c r="CK465" s="27" t="s">
        <v>8</v>
      </c>
      <c r="CL465" s="27" t="s">
        <v>7</v>
      </c>
      <c r="CM465" s="27" t="s">
        <v>8</v>
      </c>
      <c r="CN465" s="27" t="s">
        <v>7</v>
      </c>
      <c r="CO465" s="27" t="s">
        <v>8</v>
      </c>
      <c r="CR465" s="27" t="s">
        <v>7</v>
      </c>
      <c r="CS465" s="27" t="s">
        <v>8</v>
      </c>
      <c r="CV465" s="27" t="s">
        <v>7</v>
      </c>
      <c r="CW465" s="27" t="s">
        <v>8</v>
      </c>
      <c r="CX465" s="27" t="s">
        <v>7</v>
      </c>
      <c r="CY465" s="27" t="s">
        <v>8</v>
      </c>
      <c r="DD465" s="27" t="s">
        <v>7</v>
      </c>
      <c r="DE465" s="27" t="s">
        <v>8</v>
      </c>
      <c r="DF465" s="27" t="s">
        <v>7</v>
      </c>
      <c r="DG465" s="27" t="s">
        <v>8</v>
      </c>
      <c r="DH465" s="27" t="s">
        <v>7</v>
      </c>
      <c r="DI465" s="27" t="s">
        <v>8</v>
      </c>
      <c r="DJ465" s="27" t="s">
        <v>7</v>
      </c>
      <c r="DK465" s="27" t="s">
        <v>8</v>
      </c>
      <c r="DL465" s="27" t="s">
        <v>7</v>
      </c>
      <c r="DM465" s="27" t="s">
        <v>8</v>
      </c>
      <c r="DN465" s="27" t="s">
        <v>7</v>
      </c>
      <c r="DO465" s="27" t="s">
        <v>8</v>
      </c>
      <c r="DV465" s="27" t="s">
        <v>7</v>
      </c>
      <c r="DW465" s="27" t="s">
        <v>8</v>
      </c>
    </row>
    <row r="466" spans="1:132" x14ac:dyDescent="0.25">
      <c r="A466" s="7">
        <v>10.980466294885806</v>
      </c>
      <c r="B466"/>
      <c r="C466"/>
      <c r="D466"/>
      <c r="E466"/>
      <c r="BE466" s="27" t="s">
        <v>8</v>
      </c>
      <c r="BH466" s="27" t="s">
        <v>7</v>
      </c>
      <c r="BL466" s="27" t="s">
        <v>7</v>
      </c>
      <c r="BO466" s="27" t="s">
        <v>8</v>
      </c>
      <c r="BP466" s="27" t="s">
        <v>7</v>
      </c>
      <c r="BQ466" s="27" t="s">
        <v>8</v>
      </c>
      <c r="BR466" s="27" t="s">
        <v>7</v>
      </c>
      <c r="BS466" s="27" t="s">
        <v>8</v>
      </c>
      <c r="BT466" s="27" t="s">
        <v>7</v>
      </c>
      <c r="BU466" s="27" t="s">
        <v>8</v>
      </c>
      <c r="BV466" s="27" t="s">
        <v>7</v>
      </c>
      <c r="BW466" s="27" t="s">
        <v>8</v>
      </c>
      <c r="CC466" s="27" t="s">
        <v>8</v>
      </c>
      <c r="CD466" s="27" t="s">
        <v>7</v>
      </c>
      <c r="CE466" s="27" t="s">
        <v>8</v>
      </c>
      <c r="CF466" s="27" t="s">
        <v>7</v>
      </c>
      <c r="CG466" s="27" t="s">
        <v>8</v>
      </c>
      <c r="CH466" s="27" t="s">
        <v>7</v>
      </c>
      <c r="CK466" s="27" t="s">
        <v>8</v>
      </c>
      <c r="CL466" s="27" t="s">
        <v>7</v>
      </c>
      <c r="CM466" s="27" t="s">
        <v>8</v>
      </c>
      <c r="CN466" s="27" t="s">
        <v>7</v>
      </c>
      <c r="CO466" s="27" t="s">
        <v>8</v>
      </c>
      <c r="CR466" s="27" t="s">
        <v>7</v>
      </c>
      <c r="CV466" s="27" t="s">
        <v>7</v>
      </c>
      <c r="CX466" s="27" t="s">
        <v>7</v>
      </c>
      <c r="CY466" s="27" t="s">
        <v>8</v>
      </c>
      <c r="DD466" s="27" t="s">
        <v>7</v>
      </c>
      <c r="DE466" s="27" t="s">
        <v>8</v>
      </c>
      <c r="DF466" s="27" t="s">
        <v>7</v>
      </c>
      <c r="DG466" s="27" t="s">
        <v>8</v>
      </c>
      <c r="DH466" s="27" t="s">
        <v>7</v>
      </c>
      <c r="DJ466" s="27" t="s">
        <v>7</v>
      </c>
      <c r="DK466" s="27" t="s">
        <v>8</v>
      </c>
      <c r="DL466" s="27" t="s">
        <v>7</v>
      </c>
      <c r="DM466" s="27" t="s">
        <v>8</v>
      </c>
      <c r="DN466" s="27" t="s">
        <v>7</v>
      </c>
      <c r="DO466" s="27" t="s">
        <v>8</v>
      </c>
      <c r="DV466" s="27" t="s">
        <v>7</v>
      </c>
      <c r="DW466" s="27" t="s">
        <v>8</v>
      </c>
      <c r="DX466" s="27" t="s">
        <v>7</v>
      </c>
    </row>
    <row r="467" spans="1:132" x14ac:dyDescent="0.25">
      <c r="A467" s="7">
        <v>10.765163034201771</v>
      </c>
      <c r="B467"/>
      <c r="C467"/>
      <c r="D467"/>
      <c r="E467"/>
      <c r="BE467" s="27" t="s">
        <v>8</v>
      </c>
      <c r="BL467" s="27" t="s">
        <v>7</v>
      </c>
      <c r="BO467" s="27" t="s">
        <v>8</v>
      </c>
      <c r="BP467" s="27" t="s">
        <v>7</v>
      </c>
      <c r="BQ467" s="27" t="s">
        <v>8</v>
      </c>
      <c r="BR467" s="27" t="s">
        <v>7</v>
      </c>
      <c r="BS467" s="27" t="s">
        <v>8</v>
      </c>
      <c r="BT467" s="27" t="s">
        <v>7</v>
      </c>
      <c r="BV467" s="27" t="s">
        <v>7</v>
      </c>
      <c r="BW467" s="27" t="s">
        <v>8</v>
      </c>
      <c r="BX467" s="27" t="s">
        <v>7</v>
      </c>
      <c r="CA467" s="27" t="s">
        <v>8</v>
      </c>
      <c r="CC467" s="27" t="s">
        <v>8</v>
      </c>
      <c r="CD467" s="27" t="s">
        <v>7</v>
      </c>
      <c r="CE467" s="27" t="s">
        <v>8</v>
      </c>
      <c r="CF467" s="27" t="s">
        <v>7</v>
      </c>
      <c r="CG467" s="27" t="s">
        <v>8</v>
      </c>
      <c r="CH467" s="27" t="s">
        <v>7</v>
      </c>
      <c r="CI467" s="27" t="s">
        <v>8</v>
      </c>
      <c r="CK467" s="27" t="s">
        <v>8</v>
      </c>
      <c r="CL467" s="27" t="s">
        <v>7</v>
      </c>
      <c r="CN467" s="27" t="s">
        <v>7</v>
      </c>
      <c r="CO467" s="27" t="s">
        <v>8</v>
      </c>
      <c r="CX467" s="27" t="s">
        <v>7</v>
      </c>
      <c r="CY467" s="27" t="s">
        <v>8</v>
      </c>
      <c r="DD467" s="27" t="s">
        <v>7</v>
      </c>
      <c r="DE467" s="27" t="s">
        <v>8</v>
      </c>
      <c r="DF467" s="27" t="s">
        <v>7</v>
      </c>
      <c r="DG467" s="27" t="s">
        <v>8</v>
      </c>
      <c r="DJ467" s="27" t="s">
        <v>7</v>
      </c>
      <c r="DK467" s="27" t="s">
        <v>8</v>
      </c>
      <c r="DL467" s="27" t="s">
        <v>7</v>
      </c>
      <c r="DM467" s="27" t="s">
        <v>8</v>
      </c>
      <c r="DN467" s="27" t="s">
        <v>7</v>
      </c>
      <c r="DO467" s="27" t="s">
        <v>8</v>
      </c>
      <c r="DV467" s="27" t="s">
        <v>7</v>
      </c>
      <c r="DW467" s="27" t="s">
        <v>8</v>
      </c>
      <c r="DX467" s="27" t="s">
        <v>7</v>
      </c>
    </row>
    <row r="468" spans="1:132" x14ac:dyDescent="0.25">
      <c r="A468" s="7">
        <v>10.554081406080169</v>
      </c>
      <c r="B468"/>
      <c r="C468"/>
      <c r="D468"/>
      <c r="E468"/>
      <c r="BE468" s="27" t="s">
        <v>8</v>
      </c>
      <c r="BL468" s="27" t="s">
        <v>7</v>
      </c>
      <c r="BO468" s="27" t="s">
        <v>8</v>
      </c>
      <c r="BP468" s="27" t="s">
        <v>7</v>
      </c>
      <c r="BQ468" s="27" t="s">
        <v>8</v>
      </c>
      <c r="BR468" s="27" t="s">
        <v>7</v>
      </c>
      <c r="BS468" s="27" t="s">
        <v>8</v>
      </c>
      <c r="BV468" s="27" t="s">
        <v>7</v>
      </c>
      <c r="BW468" s="27" t="s">
        <v>8</v>
      </c>
      <c r="BX468" s="27" t="s">
        <v>7</v>
      </c>
      <c r="CA468" s="27" t="s">
        <v>8</v>
      </c>
      <c r="CB468" s="27" t="s">
        <v>7</v>
      </c>
      <c r="CC468" s="27" t="s">
        <v>8</v>
      </c>
      <c r="CD468" s="27" t="s">
        <v>7</v>
      </c>
      <c r="CE468" s="27" t="s">
        <v>8</v>
      </c>
      <c r="CF468" s="27" t="s">
        <v>7</v>
      </c>
      <c r="CG468" s="27" t="s">
        <v>8</v>
      </c>
      <c r="CH468" s="27" t="s">
        <v>7</v>
      </c>
      <c r="CI468" s="27" t="s">
        <v>8</v>
      </c>
      <c r="CJ468" s="27" t="s">
        <v>7</v>
      </c>
      <c r="CK468" s="27" t="s">
        <v>8</v>
      </c>
      <c r="CN468" s="27" t="s">
        <v>7</v>
      </c>
      <c r="CO468" s="27" t="s">
        <v>8</v>
      </c>
      <c r="CX468" s="27" t="s">
        <v>7</v>
      </c>
      <c r="CY468" s="27" t="s">
        <v>8</v>
      </c>
      <c r="DD468" s="27" t="s">
        <v>7</v>
      </c>
      <c r="DE468" s="27" t="s">
        <v>8</v>
      </c>
      <c r="DF468" s="27" t="s">
        <v>7</v>
      </c>
      <c r="DG468" s="27" t="s">
        <v>8</v>
      </c>
      <c r="DJ468" s="27" t="s">
        <v>7</v>
      </c>
      <c r="DK468" s="27" t="s">
        <v>8</v>
      </c>
      <c r="DL468" s="27" t="s">
        <v>7</v>
      </c>
      <c r="DM468" s="27" t="s">
        <v>8</v>
      </c>
      <c r="DN468" s="27" t="s">
        <v>7</v>
      </c>
      <c r="DO468" s="27" t="s">
        <v>8</v>
      </c>
      <c r="DV468" s="27" t="s">
        <v>7</v>
      </c>
      <c r="DX468" s="27" t="s">
        <v>7</v>
      </c>
    </row>
    <row r="469" spans="1:132" x14ac:dyDescent="0.25">
      <c r="A469" s="7">
        <v>10.34713863341193</v>
      </c>
      <c r="B469"/>
      <c r="C469"/>
      <c r="D469"/>
      <c r="E469"/>
      <c r="BE469" s="27" t="s">
        <v>8</v>
      </c>
      <c r="BL469" s="27" t="s">
        <v>7</v>
      </c>
      <c r="BO469" s="27" t="s">
        <v>8</v>
      </c>
      <c r="BP469" s="27" t="s">
        <v>7</v>
      </c>
      <c r="BQ469" s="27" t="s">
        <v>8</v>
      </c>
      <c r="BR469" s="27" t="s">
        <v>7</v>
      </c>
      <c r="BV469" s="27" t="s">
        <v>7</v>
      </c>
      <c r="BW469" s="27" t="s">
        <v>8</v>
      </c>
      <c r="BX469" s="27" t="s">
        <v>7</v>
      </c>
      <c r="CA469" s="27" t="s">
        <v>8</v>
      </c>
      <c r="CB469" s="27" t="s">
        <v>7</v>
      </c>
      <c r="CC469" s="27" t="s">
        <v>8</v>
      </c>
      <c r="CD469" s="27" t="s">
        <v>7</v>
      </c>
      <c r="CF469" s="27" t="s">
        <v>7</v>
      </c>
      <c r="CG469" s="27" t="s">
        <v>8</v>
      </c>
      <c r="CH469" s="27" t="s">
        <v>7</v>
      </c>
      <c r="CI469" s="27" t="s">
        <v>8</v>
      </c>
      <c r="CJ469" s="27" t="s">
        <v>7</v>
      </c>
      <c r="CK469" s="27" t="s">
        <v>8</v>
      </c>
      <c r="CN469" s="27" t="s">
        <v>7</v>
      </c>
      <c r="CO469" s="27" t="s">
        <v>8</v>
      </c>
      <c r="CX469" s="27" t="s">
        <v>7</v>
      </c>
      <c r="CY469" s="27" t="s">
        <v>8</v>
      </c>
      <c r="DD469" s="27" t="s">
        <v>7</v>
      </c>
      <c r="DE469" s="27" t="s">
        <v>8</v>
      </c>
      <c r="DF469" s="27" t="s">
        <v>7</v>
      </c>
      <c r="DG469" s="27" t="s">
        <v>8</v>
      </c>
      <c r="DJ469" s="27" t="s">
        <v>7</v>
      </c>
      <c r="DK469" s="27" t="s">
        <v>8</v>
      </c>
      <c r="DL469" s="27" t="s">
        <v>7</v>
      </c>
      <c r="DN469" s="27" t="s">
        <v>7</v>
      </c>
      <c r="DO469" s="27" t="s">
        <v>8</v>
      </c>
      <c r="DX469" s="27" t="s">
        <v>7</v>
      </c>
      <c r="EA469" s="27" t="s">
        <v>8</v>
      </c>
    </row>
    <row r="470" spans="1:132" x14ac:dyDescent="0.25">
      <c r="A470" s="7">
        <v>10.14425356216856</v>
      </c>
      <c r="B470"/>
      <c r="C470"/>
      <c r="D470"/>
      <c r="E470"/>
      <c r="BE470" s="27" t="s">
        <v>8</v>
      </c>
      <c r="BL470" s="27" t="s">
        <v>7</v>
      </c>
      <c r="BO470" s="27" t="s">
        <v>8</v>
      </c>
      <c r="BP470" s="27" t="s">
        <v>7</v>
      </c>
      <c r="BQ470" s="27" t="s">
        <v>8</v>
      </c>
      <c r="BV470" s="27" t="s">
        <v>7</v>
      </c>
      <c r="BW470" s="27" t="s">
        <v>8</v>
      </c>
      <c r="BX470" s="27" t="s">
        <v>7</v>
      </c>
      <c r="CA470" s="27" t="s">
        <v>8</v>
      </c>
      <c r="CB470" s="27" t="s">
        <v>7</v>
      </c>
      <c r="CC470" s="27" t="s">
        <v>8</v>
      </c>
      <c r="CF470" s="27" t="s">
        <v>7</v>
      </c>
      <c r="CG470" s="27" t="s">
        <v>8</v>
      </c>
      <c r="CH470" s="27" t="s">
        <v>7</v>
      </c>
      <c r="CI470" s="27" t="s">
        <v>8</v>
      </c>
      <c r="CJ470" s="27" t="s">
        <v>7</v>
      </c>
      <c r="CK470" s="27" t="s">
        <v>8</v>
      </c>
      <c r="CN470" s="27" t="s">
        <v>7</v>
      </c>
      <c r="CO470" s="27" t="s">
        <v>8</v>
      </c>
      <c r="CX470" s="27" t="s">
        <v>7</v>
      </c>
      <c r="DD470" s="27" t="s">
        <v>7</v>
      </c>
      <c r="DE470" s="27" t="s">
        <v>8</v>
      </c>
      <c r="DF470" s="27" t="s">
        <v>7</v>
      </c>
      <c r="DG470" s="27" t="s">
        <v>8</v>
      </c>
      <c r="DJ470" s="27" t="s">
        <v>7</v>
      </c>
      <c r="DK470" s="27" t="s">
        <v>8</v>
      </c>
      <c r="DN470" s="27" t="s">
        <v>7</v>
      </c>
      <c r="DO470" s="27" t="s">
        <v>8</v>
      </c>
      <c r="DX470" s="27" t="s">
        <v>7</v>
      </c>
      <c r="EA470" s="27" t="s">
        <v>8</v>
      </c>
      <c r="EB470" s="27" t="s">
        <v>7</v>
      </c>
    </row>
    <row r="471" spans="1:132" x14ac:dyDescent="0.25">
      <c r="A471" s="7">
        <v>9.9453466295770188</v>
      </c>
      <c r="B471"/>
      <c r="C471"/>
      <c r="D471"/>
      <c r="E471"/>
      <c r="BE471" s="27" t="s">
        <v>8</v>
      </c>
      <c r="BL471" s="27" t="s">
        <v>7</v>
      </c>
      <c r="BO471" s="27" t="s">
        <v>8</v>
      </c>
      <c r="BP471" s="27" t="s">
        <v>7</v>
      </c>
      <c r="BV471" s="27" t="s">
        <v>7</v>
      </c>
      <c r="BW471" s="27" t="s">
        <v>8</v>
      </c>
      <c r="BX471" s="27" t="s">
        <v>7</v>
      </c>
      <c r="CA471" s="27" t="s">
        <v>8</v>
      </c>
      <c r="CB471" s="27" t="s">
        <v>7</v>
      </c>
      <c r="CC471" s="27" t="s">
        <v>8</v>
      </c>
      <c r="CF471" s="27" t="s">
        <v>7</v>
      </c>
      <c r="CG471" s="27" t="s">
        <v>8</v>
      </c>
      <c r="CH471" s="27" t="s">
        <v>7</v>
      </c>
      <c r="CI471" s="27" t="s">
        <v>8</v>
      </c>
      <c r="CJ471" s="27" t="s">
        <v>7</v>
      </c>
      <c r="CK471" s="27" t="s">
        <v>8</v>
      </c>
      <c r="CN471" s="27" t="s">
        <v>7</v>
      </c>
      <c r="DD471" s="27" t="s">
        <v>7</v>
      </c>
      <c r="DE471" s="27" t="s">
        <v>8</v>
      </c>
      <c r="DF471" s="27" t="s">
        <v>7</v>
      </c>
      <c r="DJ471" s="27" t="s">
        <v>7</v>
      </c>
      <c r="DN471" s="27" t="s">
        <v>7</v>
      </c>
      <c r="DX471" s="27" t="s">
        <v>7</v>
      </c>
      <c r="EA471" s="27" t="s">
        <v>8</v>
      </c>
      <c r="EB471" s="27" t="s">
        <v>7</v>
      </c>
    </row>
    <row r="472" spans="1:132" x14ac:dyDescent="0.25">
      <c r="A472" s="7">
        <v>9.7503398329186464</v>
      </c>
      <c r="B472"/>
      <c r="C472"/>
      <c r="D472"/>
      <c r="E472"/>
      <c r="BE472" s="27" t="s">
        <v>8</v>
      </c>
      <c r="BL472" s="27" t="s">
        <v>7</v>
      </c>
      <c r="BM472" s="27" t="s">
        <v>8</v>
      </c>
      <c r="BO472" s="27" t="s">
        <v>8</v>
      </c>
      <c r="BV472" s="27" t="s">
        <v>7</v>
      </c>
      <c r="BW472" s="27" t="s">
        <v>8</v>
      </c>
      <c r="BX472" s="27" t="s">
        <v>7</v>
      </c>
      <c r="CA472" s="27" t="s">
        <v>8</v>
      </c>
      <c r="CB472" s="27" t="s">
        <v>7</v>
      </c>
      <c r="CC472" s="27" t="s">
        <v>8</v>
      </c>
      <c r="CF472" s="27" t="s">
        <v>7</v>
      </c>
      <c r="CG472" s="27" t="s">
        <v>8</v>
      </c>
      <c r="CH472" s="27" t="s">
        <v>7</v>
      </c>
      <c r="CJ472" s="27" t="s">
        <v>7</v>
      </c>
      <c r="CK472" s="27" t="s">
        <v>8</v>
      </c>
      <c r="DD472" s="27" t="s">
        <v>7</v>
      </c>
      <c r="DE472" s="27" t="s">
        <v>8</v>
      </c>
      <c r="DX472" s="27" t="s">
        <v>7</v>
      </c>
      <c r="DY472" s="27" t="s">
        <v>8</v>
      </c>
      <c r="EA472" s="27" t="s">
        <v>8</v>
      </c>
      <c r="EB472" s="27" t="s">
        <v>7</v>
      </c>
    </row>
    <row r="473" spans="1:132" x14ac:dyDescent="0.25">
      <c r="A473" s="7">
        <v>9.5591566989398498</v>
      </c>
      <c r="B473"/>
      <c r="C473"/>
      <c r="D473"/>
      <c r="E473"/>
      <c r="BE473" s="27" t="s">
        <v>8</v>
      </c>
      <c r="BL473" s="27" t="s">
        <v>7</v>
      </c>
      <c r="BM473" s="27" t="s">
        <v>8</v>
      </c>
      <c r="BN473" s="27" t="s">
        <v>7</v>
      </c>
      <c r="BO473" s="27" t="s">
        <v>8</v>
      </c>
      <c r="BV473" s="27" t="s">
        <v>7</v>
      </c>
      <c r="BW473" s="27" t="s">
        <v>8</v>
      </c>
      <c r="BX473" s="27" t="s">
        <v>7</v>
      </c>
      <c r="CA473" s="27" t="s">
        <v>8</v>
      </c>
      <c r="CB473" s="27" t="s">
        <v>7</v>
      </c>
      <c r="CF473" s="27" t="s">
        <v>7</v>
      </c>
      <c r="CG473" s="27" t="s">
        <v>8</v>
      </c>
      <c r="CJ473" s="27" t="s">
        <v>7</v>
      </c>
      <c r="CK473" s="27" t="s">
        <v>8</v>
      </c>
      <c r="DD473" s="27" t="s">
        <v>7</v>
      </c>
      <c r="DE473" s="27" t="s">
        <v>8</v>
      </c>
      <c r="DX473" s="27" t="s">
        <v>7</v>
      </c>
      <c r="DY473" s="27" t="s">
        <v>8</v>
      </c>
      <c r="DZ473" s="27" t="s">
        <v>7</v>
      </c>
      <c r="EA473" s="27" t="s">
        <v>8</v>
      </c>
      <c r="EB473" s="27" t="s">
        <v>7</v>
      </c>
    </row>
    <row r="474" spans="1:132" x14ac:dyDescent="0.25">
      <c r="A474" s="7">
        <v>9.3717222538625968</v>
      </c>
      <c r="B474"/>
      <c r="C474"/>
      <c r="D474"/>
      <c r="E474"/>
      <c r="BE474" s="27" t="s">
        <v>8</v>
      </c>
      <c r="BL474" s="27" t="s">
        <v>7</v>
      </c>
      <c r="BM474" s="27" t="s">
        <v>8</v>
      </c>
      <c r="BN474" s="27" t="s">
        <v>7</v>
      </c>
      <c r="BO474" s="27" t="s">
        <v>8</v>
      </c>
      <c r="BV474" s="27" t="s">
        <v>7</v>
      </c>
      <c r="BW474" s="27" t="s">
        <v>8</v>
      </c>
      <c r="BX474" s="27" t="s">
        <v>7</v>
      </c>
      <c r="BY474" s="27" t="s">
        <v>8</v>
      </c>
      <c r="CA474" s="27" t="s">
        <v>8</v>
      </c>
      <c r="CF474" s="27" t="s">
        <v>7</v>
      </c>
      <c r="CG474" s="27" t="s">
        <v>8</v>
      </c>
      <c r="CJ474" s="27" t="s">
        <v>7</v>
      </c>
      <c r="CK474" s="27" t="s">
        <v>8</v>
      </c>
      <c r="DD474" s="27" t="s">
        <v>7</v>
      </c>
      <c r="DE474" s="27" t="s">
        <v>8</v>
      </c>
      <c r="DX474" s="27" t="s">
        <v>7</v>
      </c>
      <c r="DY474" s="27" t="s">
        <v>8</v>
      </c>
      <c r="DZ474" s="27" t="s">
        <v>7</v>
      </c>
      <c r="EA474" s="27" t="s">
        <v>8</v>
      </c>
      <c r="EB474" s="27" t="s">
        <v>7</v>
      </c>
    </row>
    <row r="475" spans="1:132" x14ac:dyDescent="0.25">
      <c r="A475" s="7">
        <v>9.1879629939829375</v>
      </c>
      <c r="B475"/>
      <c r="C475"/>
      <c r="D475"/>
      <c r="E475"/>
      <c r="BE475" s="27" t="s">
        <v>8</v>
      </c>
      <c r="BL475" s="27" t="s">
        <v>7</v>
      </c>
      <c r="BM475" s="27" t="s">
        <v>8</v>
      </c>
      <c r="BN475" s="27" t="s">
        <v>7</v>
      </c>
      <c r="BO475" s="27" t="s">
        <v>8</v>
      </c>
      <c r="BV475" s="27" t="s">
        <v>7</v>
      </c>
      <c r="BW475" s="27" t="s">
        <v>8</v>
      </c>
      <c r="BX475" s="27" t="s">
        <v>7</v>
      </c>
      <c r="BY475" s="27" t="s">
        <v>8</v>
      </c>
      <c r="BZ475" s="27" t="s">
        <v>7</v>
      </c>
      <c r="CA475" s="27" t="s">
        <v>8</v>
      </c>
      <c r="CF475" s="27" t="s">
        <v>7</v>
      </c>
      <c r="CG475" s="27" t="s">
        <v>8</v>
      </c>
      <c r="CJ475" s="27" t="s">
        <v>7</v>
      </c>
      <c r="DD475" s="27" t="s">
        <v>7</v>
      </c>
      <c r="DE475" s="27" t="s">
        <v>8</v>
      </c>
      <c r="DX475" s="27" t="s">
        <v>7</v>
      </c>
      <c r="DZ475" s="27" t="s">
        <v>7</v>
      </c>
      <c r="EA475" s="27" t="s">
        <v>8</v>
      </c>
      <c r="EB475" s="27" t="s">
        <v>7</v>
      </c>
    </row>
    <row r="476" spans="1:132" x14ac:dyDescent="0.25">
      <c r="A476" s="7">
        <v>9.0078068568460168</v>
      </c>
      <c r="B476"/>
      <c r="C476"/>
      <c r="D476"/>
      <c r="E476"/>
      <c r="BE476" s="27" t="s">
        <v>8</v>
      </c>
      <c r="BL476" s="27" t="s">
        <v>7</v>
      </c>
      <c r="BM476" s="27" t="s">
        <v>8</v>
      </c>
      <c r="BN476" s="27" t="s">
        <v>7</v>
      </c>
      <c r="BO476" s="27" t="s">
        <v>8</v>
      </c>
      <c r="BV476" s="27" t="s">
        <v>7</v>
      </c>
      <c r="BW476" s="27" t="s">
        <v>8</v>
      </c>
      <c r="BX476" s="27" t="s">
        <v>7</v>
      </c>
      <c r="BY476" s="27" t="s">
        <v>8</v>
      </c>
      <c r="BZ476" s="27" t="s">
        <v>7</v>
      </c>
      <c r="CA476" s="27" t="s">
        <v>8</v>
      </c>
      <c r="CF476" s="27" t="s">
        <v>7</v>
      </c>
      <c r="CG476" s="27" t="s">
        <v>8</v>
      </c>
      <c r="DD476" s="27" t="s">
        <v>7</v>
      </c>
      <c r="DE476" s="27" t="s">
        <v>8</v>
      </c>
      <c r="DZ476" s="27" t="s">
        <v>7</v>
      </c>
      <c r="EA476" s="27" t="s">
        <v>8</v>
      </c>
      <c r="EB476" s="27" t="s">
        <v>7</v>
      </c>
    </row>
    <row r="477" spans="1:132" x14ac:dyDescent="0.25">
      <c r="A477" s="7">
        <v>8.8311831929862912</v>
      </c>
      <c r="B477"/>
      <c r="C477"/>
      <c r="D477"/>
      <c r="E477" t="s">
        <v>8</v>
      </c>
      <c r="BE477" s="27" t="s">
        <v>8</v>
      </c>
      <c r="BL477" s="27" t="s">
        <v>7</v>
      </c>
      <c r="BM477" s="27" t="s">
        <v>8</v>
      </c>
      <c r="BN477" s="27" t="s">
        <v>7</v>
      </c>
      <c r="BO477" s="27" t="s">
        <v>8</v>
      </c>
      <c r="BV477" s="27" t="s">
        <v>7</v>
      </c>
      <c r="BW477" s="27" t="s">
        <v>8</v>
      </c>
      <c r="BX477" s="27" t="s">
        <v>7</v>
      </c>
      <c r="BY477" s="27" t="s">
        <v>8</v>
      </c>
      <c r="BZ477" s="27" t="s">
        <v>7</v>
      </c>
      <c r="CA477" s="27" t="s">
        <v>8</v>
      </c>
      <c r="CF477" s="27" t="s">
        <v>7</v>
      </c>
      <c r="DD477" s="27" t="s">
        <v>7</v>
      </c>
      <c r="DE477" s="27" t="s">
        <v>8</v>
      </c>
      <c r="DZ477" s="27" t="s">
        <v>7</v>
      </c>
      <c r="EA477" s="27" t="s">
        <v>8</v>
      </c>
      <c r="EB477" s="27" t="s">
        <v>7</v>
      </c>
    </row>
    <row r="478" spans="1:132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BE478" s="27" t="s">
        <v>8</v>
      </c>
      <c r="BL478" s="27" t="s">
        <v>7</v>
      </c>
      <c r="BM478" s="27" t="s">
        <v>8</v>
      </c>
      <c r="BN478" s="27" t="s">
        <v>7</v>
      </c>
      <c r="BO478" s="27" t="s">
        <v>8</v>
      </c>
      <c r="BV478" s="27" t="s">
        <v>7</v>
      </c>
      <c r="BW478" s="27" t="s">
        <v>8</v>
      </c>
      <c r="BX478" s="27" t="s">
        <v>7</v>
      </c>
      <c r="BY478" s="27" t="s">
        <v>8</v>
      </c>
      <c r="BZ478" s="27" t="s">
        <v>7</v>
      </c>
      <c r="CA478" s="27" t="s">
        <v>8</v>
      </c>
      <c r="DD478" s="27" t="s">
        <v>7</v>
      </c>
      <c r="DZ478" s="27" t="s">
        <v>7</v>
      </c>
      <c r="EA478" s="27" t="s">
        <v>8</v>
      </c>
      <c r="EB478" s="27" t="s">
        <v>7</v>
      </c>
    </row>
    <row r="479" spans="1:132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BE479" s="27" t="s">
        <v>8</v>
      </c>
      <c r="BL479" s="27" t="s">
        <v>7</v>
      </c>
      <c r="BM479" s="27" t="s">
        <v>8</v>
      </c>
      <c r="BN479" s="27" t="s">
        <v>7</v>
      </c>
      <c r="BO479" s="27" t="s">
        <v>8</v>
      </c>
      <c r="BV479" s="27" t="s">
        <v>7</v>
      </c>
      <c r="BW479" s="27" t="s">
        <v>8</v>
      </c>
      <c r="BX479" s="27" t="s">
        <v>7</v>
      </c>
      <c r="BY479" s="27" t="s">
        <v>8</v>
      </c>
      <c r="BZ479" s="27" t="s">
        <v>7</v>
      </c>
      <c r="CA479" s="27" t="s">
        <v>8</v>
      </c>
      <c r="DZ479" s="27" t="s">
        <v>7</v>
      </c>
      <c r="EA479" s="27" t="s">
        <v>8</v>
      </c>
      <c r="EB479" s="27" t="s">
        <v>7</v>
      </c>
    </row>
    <row r="480" spans="1:132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BE480" s="27" t="s">
        <v>8</v>
      </c>
      <c r="BL480" s="27" t="s">
        <v>7</v>
      </c>
      <c r="BM480" s="27" t="s">
        <v>8</v>
      </c>
      <c r="BN480" s="27" t="s">
        <v>7</v>
      </c>
      <c r="BV480" s="27" t="s">
        <v>7</v>
      </c>
      <c r="BW480" s="27" t="s">
        <v>8</v>
      </c>
      <c r="BX480" s="27" t="s">
        <v>7</v>
      </c>
      <c r="BY480" s="27" t="s">
        <v>8</v>
      </c>
      <c r="BZ480" s="27" t="s">
        <v>7</v>
      </c>
      <c r="CA480" s="27" t="s">
        <v>8</v>
      </c>
      <c r="DZ480" s="27" t="s">
        <v>7</v>
      </c>
      <c r="EB480" s="27" t="s">
        <v>7</v>
      </c>
    </row>
    <row r="481" spans="1:136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BE481" s="27" t="s">
        <v>8</v>
      </c>
      <c r="BL481" s="27" t="s">
        <v>7</v>
      </c>
      <c r="BM481" s="27" t="s">
        <v>8</v>
      </c>
      <c r="BV481" s="27" t="s">
        <v>7</v>
      </c>
      <c r="BX481" s="27" t="s">
        <v>7</v>
      </c>
      <c r="BY481" s="27" t="s">
        <v>8</v>
      </c>
      <c r="BZ481" s="27" t="s">
        <v>7</v>
      </c>
      <c r="EB481" s="27" t="s">
        <v>7</v>
      </c>
    </row>
    <row r="482" spans="1:136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BE482" s="27" t="s">
        <v>8</v>
      </c>
      <c r="BL482" s="27" t="s">
        <v>7</v>
      </c>
      <c r="BM482" s="27" t="s">
        <v>8</v>
      </c>
      <c r="BX482" s="27" t="s">
        <v>7</v>
      </c>
      <c r="BY482" s="27" t="s">
        <v>8</v>
      </c>
      <c r="EB482" s="27" t="s">
        <v>7</v>
      </c>
    </row>
    <row r="483" spans="1:136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AU483" s="27" t="s">
        <v>8</v>
      </c>
      <c r="BE483" s="27" t="s">
        <v>8</v>
      </c>
      <c r="BL483" s="27" t="s">
        <v>7</v>
      </c>
      <c r="BM483" s="27" t="s">
        <v>8</v>
      </c>
      <c r="BX483" s="27" t="s">
        <v>7</v>
      </c>
      <c r="BY483" s="27" t="s">
        <v>8</v>
      </c>
      <c r="EB483" s="27" t="s">
        <v>7</v>
      </c>
    </row>
    <row r="484" spans="1:136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AU484" s="27" t="s">
        <v>8</v>
      </c>
      <c r="AV484" s="27" t="s">
        <v>7</v>
      </c>
      <c r="AY484" s="27" t="s">
        <v>8</v>
      </c>
      <c r="BE484" s="27" t="s">
        <v>8</v>
      </c>
      <c r="BL484" s="27" t="s">
        <v>7</v>
      </c>
      <c r="BM484" s="27" t="s">
        <v>8</v>
      </c>
      <c r="BX484" s="27" t="s">
        <v>7</v>
      </c>
      <c r="BY484" s="27" t="s">
        <v>8</v>
      </c>
      <c r="EB484" s="27" t="s">
        <v>7</v>
      </c>
    </row>
    <row r="485" spans="1:136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G485" s="27" t="s">
        <v>8</v>
      </c>
      <c r="AU485" s="27" t="s">
        <v>8</v>
      </c>
      <c r="AV485" s="27" t="s">
        <v>7</v>
      </c>
      <c r="AY485" s="27" t="s">
        <v>8</v>
      </c>
      <c r="AZ485" s="27" t="s">
        <v>7</v>
      </c>
      <c r="BA485" s="27" t="s">
        <v>8</v>
      </c>
      <c r="BE485" s="27" t="s">
        <v>8</v>
      </c>
      <c r="BL485" s="27" t="s">
        <v>7</v>
      </c>
      <c r="BX485" s="27" t="s">
        <v>7</v>
      </c>
      <c r="BY485" s="27" t="s">
        <v>8</v>
      </c>
      <c r="EB485" s="27" t="s">
        <v>7</v>
      </c>
    </row>
    <row r="486" spans="1:136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G486" s="27" t="s">
        <v>8</v>
      </c>
      <c r="H486" s="27" t="s">
        <v>7</v>
      </c>
      <c r="AS486" s="27" t="s">
        <v>8</v>
      </c>
      <c r="AU486" s="27" t="s">
        <v>8</v>
      </c>
      <c r="AV486" s="27" t="s">
        <v>7</v>
      </c>
      <c r="AY486" s="27" t="s">
        <v>8</v>
      </c>
      <c r="AZ486" s="27" t="s">
        <v>7</v>
      </c>
      <c r="BA486" s="27" t="s">
        <v>8</v>
      </c>
      <c r="BB486" s="27" t="s">
        <v>7</v>
      </c>
      <c r="BE486" s="27" t="s">
        <v>8</v>
      </c>
      <c r="BX486" s="27" t="s">
        <v>7</v>
      </c>
      <c r="EB486" s="27" t="s">
        <v>7</v>
      </c>
    </row>
    <row r="487" spans="1:136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G487" s="27" t="s">
        <v>8</v>
      </c>
      <c r="H487" s="27" t="s">
        <v>7</v>
      </c>
      <c r="AS487" s="27" t="s">
        <v>8</v>
      </c>
      <c r="AT487" s="27" t="s">
        <v>7</v>
      </c>
      <c r="AU487" s="27" t="s">
        <v>8</v>
      </c>
      <c r="AV487" s="27" t="s">
        <v>7</v>
      </c>
      <c r="AW487" s="27" t="s">
        <v>8</v>
      </c>
      <c r="AY487" s="27" t="s">
        <v>8</v>
      </c>
      <c r="AZ487" s="27" t="s">
        <v>7</v>
      </c>
      <c r="BA487" s="27" t="s">
        <v>8</v>
      </c>
      <c r="BB487" s="27" t="s">
        <v>7</v>
      </c>
      <c r="BE487" s="27" t="s">
        <v>8</v>
      </c>
      <c r="EB487" s="27" t="s">
        <v>7</v>
      </c>
    </row>
    <row r="488" spans="1:136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G488" s="27" t="s">
        <v>8</v>
      </c>
      <c r="H488" s="27" t="s">
        <v>7</v>
      </c>
      <c r="I488" s="27" t="s">
        <v>8</v>
      </c>
      <c r="AS488" s="27" t="s">
        <v>8</v>
      </c>
      <c r="AT488" s="27" t="s">
        <v>7</v>
      </c>
      <c r="AU488" s="27" t="s">
        <v>8</v>
      </c>
      <c r="AV488" s="27" t="s">
        <v>7</v>
      </c>
      <c r="AW488" s="27" t="s">
        <v>8</v>
      </c>
      <c r="AX488" s="27" t="s">
        <v>7</v>
      </c>
      <c r="AY488" s="27" t="s">
        <v>8</v>
      </c>
      <c r="AZ488" s="27" t="s">
        <v>7</v>
      </c>
      <c r="BA488" s="27" t="s">
        <v>8</v>
      </c>
      <c r="BB488" s="27" t="s">
        <v>7</v>
      </c>
      <c r="BE488" s="27" t="s">
        <v>8</v>
      </c>
      <c r="EB488" s="27" t="s">
        <v>7</v>
      </c>
    </row>
    <row r="489" spans="1:136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G489" s="27" t="s">
        <v>8</v>
      </c>
      <c r="H489" s="27" t="s">
        <v>7</v>
      </c>
      <c r="I489" s="27" t="s">
        <v>8</v>
      </c>
      <c r="J489" s="27" t="s">
        <v>7</v>
      </c>
      <c r="AS489" s="27" t="s">
        <v>8</v>
      </c>
      <c r="AT489" s="27" t="s">
        <v>7</v>
      </c>
      <c r="AU489" s="27" t="s">
        <v>8</v>
      </c>
      <c r="AV489" s="27" t="s">
        <v>7</v>
      </c>
      <c r="AW489" s="27" t="s">
        <v>8</v>
      </c>
      <c r="AX489" s="27" t="s">
        <v>7</v>
      </c>
      <c r="AY489" s="27" t="s">
        <v>8</v>
      </c>
      <c r="AZ489" s="27" t="s">
        <v>7</v>
      </c>
      <c r="BA489" s="27" t="s">
        <v>8</v>
      </c>
      <c r="BB489" s="27" t="s">
        <v>7</v>
      </c>
      <c r="BE489" s="27" t="s">
        <v>8</v>
      </c>
      <c r="EB489" s="27" t="s">
        <v>7</v>
      </c>
    </row>
    <row r="490" spans="1:136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H490" s="27" t="s">
        <v>7</v>
      </c>
      <c r="I490" s="27" t="s">
        <v>8</v>
      </c>
      <c r="J490" s="27" t="s">
        <v>7</v>
      </c>
      <c r="AS490" s="27" t="s">
        <v>8</v>
      </c>
      <c r="AT490" s="27" t="s">
        <v>7</v>
      </c>
      <c r="AU490" s="27" t="s">
        <v>8</v>
      </c>
      <c r="AV490" s="27" t="s">
        <v>7</v>
      </c>
      <c r="AW490" s="27" t="s">
        <v>8</v>
      </c>
      <c r="AX490" s="27" t="s">
        <v>7</v>
      </c>
      <c r="AY490" s="27" t="s">
        <v>8</v>
      </c>
      <c r="AZ490" s="27" t="s">
        <v>7</v>
      </c>
      <c r="BA490" s="27" t="s">
        <v>8</v>
      </c>
      <c r="BB490" s="27" t="s">
        <v>7</v>
      </c>
      <c r="BC490" s="27" t="s">
        <v>8</v>
      </c>
      <c r="BE490" s="27" t="s">
        <v>8</v>
      </c>
      <c r="EB490" s="27" t="s">
        <v>7</v>
      </c>
    </row>
    <row r="491" spans="1:136" x14ac:dyDescent="0.25">
      <c r="A491" s="7">
        <v>6.692933179528171</v>
      </c>
      <c r="B491"/>
      <c r="C491"/>
      <c r="D491"/>
      <c r="E491" t="s">
        <v>8</v>
      </c>
      <c r="H491" s="27" t="s">
        <v>7</v>
      </c>
      <c r="I491" s="27" t="s">
        <v>8</v>
      </c>
      <c r="J491" s="27" t="s">
        <v>7</v>
      </c>
      <c r="K491" s="27" t="s">
        <v>8</v>
      </c>
      <c r="AS491" s="27" t="s">
        <v>8</v>
      </c>
      <c r="AT491" s="27" t="s">
        <v>7</v>
      </c>
      <c r="AU491" s="27" t="s">
        <v>8</v>
      </c>
      <c r="AV491" s="27" t="s">
        <v>7</v>
      </c>
      <c r="AW491" s="27" t="s">
        <v>8</v>
      </c>
      <c r="AX491" s="27" t="s">
        <v>7</v>
      </c>
      <c r="AY491" s="27" t="s">
        <v>8</v>
      </c>
      <c r="AZ491" s="27" t="s">
        <v>7</v>
      </c>
      <c r="BA491" s="27" t="s">
        <v>8</v>
      </c>
      <c r="BB491" s="27" t="s">
        <v>7</v>
      </c>
      <c r="BC491" s="27" t="s">
        <v>8</v>
      </c>
      <c r="BD491" s="27" t="s">
        <v>7</v>
      </c>
      <c r="BE491" s="27" t="s">
        <v>8</v>
      </c>
      <c r="EB491" s="27" t="s">
        <v>7</v>
      </c>
    </row>
    <row r="492" spans="1:136" x14ac:dyDescent="0.25">
      <c r="A492" s="7">
        <v>6.5616991956158541</v>
      </c>
      <c r="B492"/>
      <c r="C492"/>
      <c r="D492"/>
      <c r="E492" t="s">
        <v>8</v>
      </c>
      <c r="H492" s="27" t="s">
        <v>7</v>
      </c>
      <c r="I492" s="27" t="s">
        <v>8</v>
      </c>
      <c r="J492" s="27" t="s">
        <v>7</v>
      </c>
      <c r="K492" s="27" t="s">
        <v>8</v>
      </c>
      <c r="L492" s="27" t="s">
        <v>7</v>
      </c>
      <c r="AS492" s="27" t="s">
        <v>8</v>
      </c>
      <c r="AT492" s="27" t="s">
        <v>7</v>
      </c>
      <c r="AU492" s="27" t="s">
        <v>8</v>
      </c>
      <c r="AV492" s="27" t="s">
        <v>7</v>
      </c>
      <c r="AW492" s="27" t="s">
        <v>8</v>
      </c>
      <c r="AX492" s="27" t="s">
        <v>7</v>
      </c>
      <c r="AY492" s="27" t="s">
        <v>8</v>
      </c>
      <c r="AZ492" s="27" t="s">
        <v>7</v>
      </c>
      <c r="BB492" s="27" t="s">
        <v>7</v>
      </c>
      <c r="BC492" s="27" t="s">
        <v>8</v>
      </c>
      <c r="BD492" s="27" t="s">
        <v>7</v>
      </c>
      <c r="BE492" s="27" t="s">
        <v>8</v>
      </c>
      <c r="EB492" s="27" t="s">
        <v>7</v>
      </c>
    </row>
    <row r="493" spans="1:136" x14ac:dyDescent="0.25">
      <c r="A493" s="7">
        <v>6.4330384270743668</v>
      </c>
      <c r="B493"/>
      <c r="C493"/>
      <c r="D493"/>
      <c r="E493" t="s">
        <v>8</v>
      </c>
      <c r="H493" s="27" t="s">
        <v>7</v>
      </c>
      <c r="I493" s="27" t="s">
        <v>8</v>
      </c>
      <c r="J493" s="27" t="s">
        <v>7</v>
      </c>
      <c r="K493" s="27" t="s">
        <v>8</v>
      </c>
      <c r="L493" s="27" t="s">
        <v>7</v>
      </c>
      <c r="AS493" s="27" t="s">
        <v>8</v>
      </c>
      <c r="AT493" s="27" t="s">
        <v>7</v>
      </c>
      <c r="AU493" s="27" t="s">
        <v>8</v>
      </c>
      <c r="AV493" s="27" t="s">
        <v>7</v>
      </c>
      <c r="AX493" s="27" t="s">
        <v>7</v>
      </c>
      <c r="AY493" s="27" t="s">
        <v>8</v>
      </c>
      <c r="BB493" s="27" t="s">
        <v>7</v>
      </c>
      <c r="BC493" s="27" t="s">
        <v>8</v>
      </c>
      <c r="BD493" s="27" t="s">
        <v>7</v>
      </c>
      <c r="EB493" s="27" t="s">
        <v>7</v>
      </c>
    </row>
    <row r="494" spans="1:136" x14ac:dyDescent="0.25">
      <c r="A494" s="7">
        <v>6.3069004187003594</v>
      </c>
      <c r="B494"/>
      <c r="C494"/>
      <c r="D494"/>
      <c r="E494" t="s">
        <v>8</v>
      </c>
      <c r="H494" s="27" t="s">
        <v>7</v>
      </c>
      <c r="J494" s="27" t="s">
        <v>7</v>
      </c>
      <c r="K494" s="27" t="s">
        <v>8</v>
      </c>
      <c r="L494" s="27" t="s">
        <v>7</v>
      </c>
      <c r="AS494" s="27" t="s">
        <v>8</v>
      </c>
      <c r="AT494" s="27" t="s">
        <v>7</v>
      </c>
      <c r="AU494" s="27" t="s">
        <v>8</v>
      </c>
      <c r="AX494" s="27" t="s">
        <v>7</v>
      </c>
      <c r="AY494" s="27" t="s">
        <v>8</v>
      </c>
      <c r="BB494" s="27" t="s">
        <v>7</v>
      </c>
      <c r="BC494" s="27" t="s">
        <v>8</v>
      </c>
      <c r="EB494" s="27" t="s">
        <v>7</v>
      </c>
    </row>
    <row r="495" spans="1:136" x14ac:dyDescent="0.25">
      <c r="A495" s="7">
        <v>6.1832357046081956</v>
      </c>
      <c r="B495"/>
      <c r="C495"/>
      <c r="D495"/>
      <c r="E495" t="s">
        <v>8</v>
      </c>
      <c r="J495" s="27" t="s">
        <v>7</v>
      </c>
      <c r="L495" s="27" t="s">
        <v>7</v>
      </c>
      <c r="Q495" s="27" t="s">
        <v>8</v>
      </c>
      <c r="AS495" s="27" t="s">
        <v>8</v>
      </c>
      <c r="AT495" s="27" t="s">
        <v>7</v>
      </c>
      <c r="AU495" s="27" t="s">
        <v>8</v>
      </c>
      <c r="AX495" s="27" t="s">
        <v>7</v>
      </c>
      <c r="AY495" s="27" t="s">
        <v>8</v>
      </c>
      <c r="BB495" s="27" t="s">
        <v>7</v>
      </c>
      <c r="EB495" s="27" t="s">
        <v>7</v>
      </c>
      <c r="EE495" s="27" t="s">
        <v>8</v>
      </c>
    </row>
    <row r="496" spans="1:136" x14ac:dyDescent="0.25">
      <c r="A496" s="7">
        <v>6.0619957888315641</v>
      </c>
      <c r="B496"/>
      <c r="C496"/>
      <c r="D496"/>
      <c r="E496" t="s">
        <v>8</v>
      </c>
      <c r="L496" s="27" t="s">
        <v>7</v>
      </c>
      <c r="Q496" s="27" t="s">
        <v>8</v>
      </c>
      <c r="R496" s="27" t="s">
        <v>7</v>
      </c>
      <c r="AS496" s="27" t="s">
        <v>8</v>
      </c>
      <c r="AT496" s="27" t="s">
        <v>7</v>
      </c>
      <c r="AU496" s="27" t="s">
        <v>8</v>
      </c>
      <c r="AX496" s="27" t="s">
        <v>7</v>
      </c>
      <c r="AY496" s="27" t="s">
        <v>8</v>
      </c>
      <c r="EB496" s="27" t="s">
        <v>7</v>
      </c>
      <c r="EC496" s="27" t="s">
        <v>8</v>
      </c>
      <c r="EE496" s="27" t="s">
        <v>8</v>
      </c>
      <c r="EF496" s="27" t="s">
        <v>7</v>
      </c>
    </row>
    <row r="497" spans="1:136" x14ac:dyDescent="0.25">
      <c r="A497" s="7">
        <v>5.9431331263054545</v>
      </c>
      <c r="B497"/>
      <c r="C497"/>
      <c r="D497"/>
      <c r="E497" t="s">
        <v>8</v>
      </c>
      <c r="L497" s="27" t="s">
        <v>7</v>
      </c>
      <c r="Q497" s="27" t="s">
        <v>8</v>
      </c>
      <c r="R497" s="27" t="s">
        <v>7</v>
      </c>
      <c r="AS497" s="27" t="s">
        <v>8</v>
      </c>
      <c r="AT497" s="27" t="s">
        <v>7</v>
      </c>
      <c r="AU497" s="27" t="s">
        <v>8</v>
      </c>
      <c r="AX497" s="27" t="s">
        <v>7</v>
      </c>
      <c r="EB497" s="27" t="s">
        <v>7</v>
      </c>
      <c r="EC497" s="27" t="s">
        <v>8</v>
      </c>
      <c r="ED497" s="27" t="s">
        <v>7</v>
      </c>
      <c r="EE497" s="27" t="s">
        <v>8</v>
      </c>
      <c r="EF497" s="27" t="s">
        <v>7</v>
      </c>
    </row>
    <row r="498" spans="1:136" x14ac:dyDescent="0.25">
      <c r="A498" s="7">
        <v>5.8266011042210337</v>
      </c>
      <c r="B498"/>
      <c r="C498"/>
      <c r="D498"/>
      <c r="E498" t="s">
        <v>8</v>
      </c>
      <c r="L498" s="27" t="s">
        <v>7</v>
      </c>
      <c r="Q498" s="27" t="s">
        <v>8</v>
      </c>
      <c r="R498" s="27" t="s">
        <v>7</v>
      </c>
      <c r="AE498" s="27" t="s">
        <v>8</v>
      </c>
      <c r="AS498" s="27" t="s">
        <v>8</v>
      </c>
      <c r="AT498" s="27" t="s">
        <v>7</v>
      </c>
      <c r="EB498" s="27" t="s">
        <v>7</v>
      </c>
      <c r="EC498" s="27" t="s">
        <v>8</v>
      </c>
      <c r="ED498" s="27" t="s">
        <v>7</v>
      </c>
      <c r="EE498" s="27" t="s">
        <v>8</v>
      </c>
      <c r="EF498" s="27" t="s">
        <v>7</v>
      </c>
    </row>
    <row r="499" spans="1:136" x14ac:dyDescent="0.25">
      <c r="A499" s="7">
        <v>5.7123540237461112</v>
      </c>
      <c r="B499"/>
      <c r="C499"/>
      <c r="D499"/>
      <c r="E499" t="s">
        <v>8</v>
      </c>
      <c r="L499" s="27" t="s">
        <v>7</v>
      </c>
      <c r="Q499" s="27" t="s">
        <v>8</v>
      </c>
      <c r="R499" s="27" t="s">
        <v>7</v>
      </c>
      <c r="AE499" s="27" t="s">
        <v>8</v>
      </c>
      <c r="AF499" s="27" t="s">
        <v>7</v>
      </c>
      <c r="AS499" s="27" t="s">
        <v>8</v>
      </c>
      <c r="EB499" s="27" t="s">
        <v>7</v>
      </c>
      <c r="EC499" s="27" t="s">
        <v>8</v>
      </c>
      <c r="ED499" s="27" t="s">
        <v>7</v>
      </c>
      <c r="EE499" s="27" t="s">
        <v>8</v>
      </c>
      <c r="EF499" s="27" t="s">
        <v>7</v>
      </c>
    </row>
    <row r="500" spans="1:136" x14ac:dyDescent="0.25">
      <c r="A500" s="7">
        <v>5.6003470821040304</v>
      </c>
      <c r="B500"/>
      <c r="C500"/>
      <c r="D500"/>
      <c r="E500" t="s">
        <v>8</v>
      </c>
      <c r="L500" s="27" t="s">
        <v>7</v>
      </c>
      <c r="O500" s="27" t="s">
        <v>8</v>
      </c>
      <c r="Q500" s="27" t="s">
        <v>8</v>
      </c>
      <c r="R500" s="27" t="s">
        <v>7</v>
      </c>
      <c r="AE500" s="27" t="s">
        <v>8</v>
      </c>
      <c r="AF500" s="27" t="s">
        <v>7</v>
      </c>
      <c r="AQ500" s="27" t="s">
        <v>8</v>
      </c>
      <c r="AS500" s="27" t="s">
        <v>8</v>
      </c>
      <c r="EB500" s="27" t="s">
        <v>7</v>
      </c>
      <c r="EC500" s="27" t="s">
        <v>8</v>
      </c>
      <c r="ED500" s="27" t="s">
        <v>7</v>
      </c>
      <c r="EE500" s="27" t="s">
        <v>8</v>
      </c>
      <c r="EF500" s="27" t="s">
        <v>7</v>
      </c>
    </row>
    <row r="501" spans="1:136" x14ac:dyDescent="0.25">
      <c r="A501" s="7">
        <v>5.4905363550039512</v>
      </c>
      <c r="B501"/>
      <c r="C501"/>
      <c r="D501"/>
      <c r="E501" t="s">
        <v>8</v>
      </c>
      <c r="L501" s="27" t="s">
        <v>7</v>
      </c>
      <c r="O501" s="27" t="s">
        <v>8</v>
      </c>
      <c r="P501" s="27" t="s">
        <v>7</v>
      </c>
      <c r="Q501" s="27" t="s">
        <v>8</v>
      </c>
      <c r="R501" s="27" t="s">
        <v>7</v>
      </c>
      <c r="AE501" s="27" t="s">
        <v>8</v>
      </c>
      <c r="AF501" s="27" t="s">
        <v>7</v>
      </c>
      <c r="AQ501" s="27" t="s">
        <v>8</v>
      </c>
      <c r="AR501" s="27" t="s">
        <v>7</v>
      </c>
      <c r="AS501" s="27" t="s">
        <v>8</v>
      </c>
      <c r="EB501" s="27" t="s">
        <v>7</v>
      </c>
      <c r="EC501" s="27" t="s">
        <v>8</v>
      </c>
      <c r="ED501" s="27" t="s">
        <v>7</v>
      </c>
      <c r="EE501" s="27" t="s">
        <v>8</v>
      </c>
    </row>
    <row r="502" spans="1:136" x14ac:dyDescent="0.25">
      <c r="A502" s="7">
        <v>5.3828787794156385</v>
      </c>
      <c r="B502"/>
      <c r="C502"/>
      <c r="D502"/>
      <c r="E502" t="s">
        <v>8</v>
      </c>
      <c r="L502" s="27" t="s">
        <v>7</v>
      </c>
      <c r="M502" s="27" t="s">
        <v>8</v>
      </c>
      <c r="O502" s="27" t="s">
        <v>8</v>
      </c>
      <c r="P502" s="27" t="s">
        <v>7</v>
      </c>
      <c r="Q502" s="27" t="s">
        <v>8</v>
      </c>
      <c r="R502" s="27" t="s">
        <v>7</v>
      </c>
      <c r="AE502" s="27" t="s">
        <v>8</v>
      </c>
      <c r="AF502" s="27" t="s">
        <v>7</v>
      </c>
      <c r="AQ502" s="27" t="s">
        <v>8</v>
      </c>
      <c r="AR502" s="27" t="s">
        <v>7</v>
      </c>
      <c r="AS502" s="27" t="s">
        <v>8</v>
      </c>
      <c r="EB502" s="27" t="s">
        <v>7</v>
      </c>
      <c r="EC502" s="27" t="s">
        <v>8</v>
      </c>
      <c r="ED502" s="27" t="s">
        <v>7</v>
      </c>
      <c r="EE502" s="27" t="s">
        <v>8</v>
      </c>
    </row>
    <row r="503" spans="1:136" x14ac:dyDescent="0.25">
      <c r="A503" s="7">
        <v>5.2773321366819985</v>
      </c>
      <c r="B503"/>
      <c r="C503"/>
      <c r="D503"/>
      <c r="E503" t="s">
        <v>8</v>
      </c>
      <c r="L503" s="27" t="s">
        <v>7</v>
      </c>
      <c r="M503" s="27" t="s">
        <v>8</v>
      </c>
      <c r="N503" s="27" t="s">
        <v>7</v>
      </c>
      <c r="O503" s="27" t="s">
        <v>8</v>
      </c>
      <c r="P503" s="27" t="s">
        <v>7</v>
      </c>
      <c r="Q503" s="27" t="s">
        <v>8</v>
      </c>
      <c r="R503" s="27" t="s">
        <v>7</v>
      </c>
      <c r="AE503" s="27" t="s">
        <v>8</v>
      </c>
      <c r="AF503" s="27" t="s">
        <v>7</v>
      </c>
      <c r="AQ503" s="27" t="s">
        <v>8</v>
      </c>
      <c r="AR503" s="27" t="s">
        <v>7</v>
      </c>
      <c r="AS503" s="27" t="s">
        <v>8</v>
      </c>
      <c r="EB503" s="27" t="s">
        <v>7</v>
      </c>
      <c r="EC503" s="27" t="s">
        <v>8</v>
      </c>
      <c r="ED503" s="27" t="s">
        <v>7</v>
      </c>
      <c r="EE503" s="27" t="s">
        <v>8</v>
      </c>
    </row>
    <row r="504" spans="1:136" x14ac:dyDescent="0.25">
      <c r="A504" s="7">
        <v>5.1738550359627435</v>
      </c>
      <c r="B504"/>
      <c r="C504"/>
      <c r="D504"/>
      <c r="E504" t="s">
        <v>8</v>
      </c>
      <c r="L504" s="27" t="s">
        <v>7</v>
      </c>
      <c r="M504" s="27" t="s">
        <v>8</v>
      </c>
      <c r="N504" s="27" t="s">
        <v>7</v>
      </c>
      <c r="O504" s="27" t="s">
        <v>8</v>
      </c>
      <c r="P504" s="27" t="s">
        <v>7</v>
      </c>
      <c r="Q504" s="27" t="s">
        <v>8</v>
      </c>
      <c r="R504" s="27" t="s">
        <v>7</v>
      </c>
      <c r="AE504" s="27" t="s">
        <v>8</v>
      </c>
      <c r="AF504" s="27" t="s">
        <v>7</v>
      </c>
      <c r="AQ504" s="27" t="s">
        <v>8</v>
      </c>
      <c r="AR504" s="27" t="s">
        <v>7</v>
      </c>
      <c r="AS504" s="27" t="s">
        <v>8</v>
      </c>
      <c r="EB504" s="27" t="s">
        <v>7</v>
      </c>
      <c r="ED504" s="27" t="s">
        <v>7</v>
      </c>
      <c r="EE504" s="27" t="s">
        <v>8</v>
      </c>
    </row>
    <row r="505" spans="1:136" x14ac:dyDescent="0.25">
      <c r="A505" s="7">
        <v>5.07240689800269</v>
      </c>
      <c r="B505"/>
      <c r="C505"/>
      <c r="D505"/>
      <c r="E505" t="s">
        <v>8</v>
      </c>
      <c r="L505" s="27" t="s">
        <v>7</v>
      </c>
      <c r="M505" s="27" t="s">
        <v>8</v>
      </c>
      <c r="N505" s="27" t="s">
        <v>7</v>
      </c>
      <c r="O505" s="27" t="s">
        <v>8</v>
      </c>
      <c r="P505" s="27" t="s">
        <v>7</v>
      </c>
      <c r="Q505" s="27" t="s">
        <v>8</v>
      </c>
      <c r="R505" s="27" t="s">
        <v>7</v>
      </c>
      <c r="AE505" s="27" t="s">
        <v>8</v>
      </c>
      <c r="AF505" s="27" t="s">
        <v>7</v>
      </c>
      <c r="AQ505" s="27" t="s">
        <v>8</v>
      </c>
      <c r="AR505" s="27" t="s">
        <v>7</v>
      </c>
      <c r="AS505" s="27" t="s">
        <v>8</v>
      </c>
      <c r="ED505" s="27" t="s">
        <v>7</v>
      </c>
      <c r="EE505" s="27" t="s">
        <v>8</v>
      </c>
    </row>
    <row r="506" spans="1:136" x14ac:dyDescent="0.25">
      <c r="A506" s="7">
        <v>4.9729479392183231</v>
      </c>
      <c r="B506"/>
      <c r="C506"/>
      <c r="D506"/>
      <c r="E506" t="s">
        <v>8</v>
      </c>
      <c r="L506" s="27" t="s">
        <v>7</v>
      </c>
      <c r="M506" s="27" t="s">
        <v>8</v>
      </c>
      <c r="N506" s="27" t="s">
        <v>7</v>
      </c>
      <c r="O506" s="27" t="s">
        <v>8</v>
      </c>
      <c r="P506" s="27" t="s">
        <v>7</v>
      </c>
      <c r="Q506" s="27" t="s">
        <v>8</v>
      </c>
      <c r="R506" s="27" t="s">
        <v>7</v>
      </c>
      <c r="AE506" s="27" t="s">
        <v>8</v>
      </c>
      <c r="AF506" s="27" t="s">
        <v>7</v>
      </c>
      <c r="AQ506" s="27" t="s">
        <v>8</v>
      </c>
      <c r="AR506" s="27" t="s">
        <v>7</v>
      </c>
      <c r="AS506" s="27" t="s">
        <v>8</v>
      </c>
      <c r="ED506" s="27" t="s">
        <v>7</v>
      </c>
      <c r="EE506" s="27" t="s">
        <v>8</v>
      </c>
    </row>
    <row r="507" spans="1:136" x14ac:dyDescent="0.25">
      <c r="A507" s="7">
        <v>4.8754391560963954</v>
      </c>
      <c r="B507"/>
      <c r="C507"/>
      <c r="D507"/>
      <c r="E507" t="s">
        <v>8</v>
      </c>
      <c r="L507" s="27" t="s">
        <v>7</v>
      </c>
      <c r="M507" s="27" t="s">
        <v>8</v>
      </c>
      <c r="N507" s="27" t="s">
        <v>7</v>
      </c>
      <c r="O507" s="27" t="s">
        <v>8</v>
      </c>
      <c r="P507" s="27" t="s">
        <v>7</v>
      </c>
      <c r="Q507" s="27" t="s">
        <v>8</v>
      </c>
      <c r="R507" s="27" t="s">
        <v>7</v>
      </c>
      <c r="AE507" s="27" t="s">
        <v>8</v>
      </c>
      <c r="AF507" s="27" t="s">
        <v>7</v>
      </c>
      <c r="AQ507" s="27" t="s">
        <v>8</v>
      </c>
      <c r="AR507" s="27" t="s">
        <v>7</v>
      </c>
      <c r="AS507" s="27" t="s">
        <v>8</v>
      </c>
      <c r="ED507" s="27" t="s">
        <v>7</v>
      </c>
      <c r="EE507" s="27" t="s">
        <v>8</v>
      </c>
    </row>
    <row r="508" spans="1:136" x14ac:dyDescent="0.25">
      <c r="A508" s="7">
        <v>4.7798423098984264</v>
      </c>
      <c r="B508"/>
      <c r="C508"/>
      <c r="D508"/>
      <c r="E508" t="s">
        <v>8</v>
      </c>
      <c r="L508" s="27" t="s">
        <v>7</v>
      </c>
      <c r="M508" s="27" t="s">
        <v>8</v>
      </c>
      <c r="N508" s="27" t="s">
        <v>7</v>
      </c>
      <c r="O508" s="27" t="s">
        <v>8</v>
      </c>
      <c r="P508" s="27" t="s">
        <v>7</v>
      </c>
      <c r="Q508" s="27" t="s">
        <v>8</v>
      </c>
      <c r="R508" s="27" t="s">
        <v>7</v>
      </c>
      <c r="AE508" s="27" t="s">
        <v>8</v>
      </c>
      <c r="AF508" s="27" t="s">
        <v>7</v>
      </c>
      <c r="AQ508" s="27" t="s">
        <v>8</v>
      </c>
      <c r="AR508" s="27" t="s">
        <v>7</v>
      </c>
      <c r="AS508" s="27" t="s">
        <v>8</v>
      </c>
      <c r="ED508" s="27" t="s">
        <v>7</v>
      </c>
    </row>
    <row r="509" spans="1:136" x14ac:dyDescent="0.25">
      <c r="A509" s="7">
        <v>4.6861199116651235</v>
      </c>
      <c r="B509"/>
      <c r="C509"/>
      <c r="D509"/>
      <c r="E509" t="s">
        <v>8</v>
      </c>
      <c r="L509" s="27" t="s">
        <v>7</v>
      </c>
      <c r="N509" s="27" t="s">
        <v>7</v>
      </c>
      <c r="O509" s="27" t="s">
        <v>8</v>
      </c>
      <c r="P509" s="27" t="s">
        <v>7</v>
      </c>
      <c r="Q509" s="27" t="s">
        <v>8</v>
      </c>
      <c r="R509" s="27" t="s">
        <v>7</v>
      </c>
      <c r="AE509" s="27" t="s">
        <v>8</v>
      </c>
      <c r="AF509" s="27" t="s">
        <v>7</v>
      </c>
      <c r="AQ509" s="27" t="s">
        <v>8</v>
      </c>
      <c r="AR509" s="27" t="s">
        <v>7</v>
      </c>
      <c r="AS509" s="27" t="s">
        <v>8</v>
      </c>
    </row>
    <row r="510" spans="1:136" x14ac:dyDescent="0.25">
      <c r="A510" s="7">
        <v>4.5942352075148269</v>
      </c>
      <c r="B510"/>
      <c r="C510"/>
      <c r="D510"/>
      <c r="E510" t="s">
        <v>8</v>
      </c>
      <c r="N510" s="27" t="s">
        <v>7</v>
      </c>
      <c r="O510" s="27" t="s">
        <v>8</v>
      </c>
      <c r="P510" s="27" t="s">
        <v>7</v>
      </c>
      <c r="Q510" s="27" t="s">
        <v>8</v>
      </c>
      <c r="R510" s="27" t="s">
        <v>7</v>
      </c>
      <c r="AE510" s="27" t="s">
        <v>8</v>
      </c>
      <c r="AF510" s="27" t="s">
        <v>7</v>
      </c>
      <c r="AM510" s="27" t="s">
        <v>8</v>
      </c>
      <c r="AQ510" s="27" t="s">
        <v>8</v>
      </c>
      <c r="AR510" s="27" t="s">
        <v>7</v>
      </c>
      <c r="AS510" s="27" t="s">
        <v>8</v>
      </c>
    </row>
    <row r="511" spans="1:136" x14ac:dyDescent="0.25">
      <c r="A511" s="7">
        <v>4.5041521642302227</v>
      </c>
      <c r="B511"/>
      <c r="C511"/>
      <c r="D511"/>
      <c r="E511" t="s">
        <v>8</v>
      </c>
      <c r="N511" s="27" t="s">
        <v>7</v>
      </c>
      <c r="O511" s="27" t="s">
        <v>8</v>
      </c>
      <c r="P511" s="27" t="s">
        <v>7</v>
      </c>
      <c r="Q511" s="27" t="s">
        <v>8</v>
      </c>
      <c r="R511" s="27" t="s">
        <v>7</v>
      </c>
      <c r="AE511" s="27" t="s">
        <v>8</v>
      </c>
      <c r="AF511" s="27" t="s">
        <v>7</v>
      </c>
      <c r="AM511" s="27" t="s">
        <v>8</v>
      </c>
      <c r="AN511" s="27" t="s">
        <v>7</v>
      </c>
      <c r="AQ511" s="27" t="s">
        <v>8</v>
      </c>
      <c r="AR511" s="27" t="s">
        <v>7</v>
      </c>
    </row>
    <row r="512" spans="1:136" x14ac:dyDescent="0.25">
      <c r="A512" s="7">
        <v>4.4158354551276693</v>
      </c>
      <c r="B512"/>
      <c r="C512"/>
      <c r="D512"/>
      <c r="E512" t="s">
        <v>8</v>
      </c>
      <c r="N512" s="27" t="s">
        <v>7</v>
      </c>
      <c r="O512" s="27" t="s">
        <v>8</v>
      </c>
      <c r="P512" s="27" t="s">
        <v>7</v>
      </c>
      <c r="Q512" s="27" t="s">
        <v>8</v>
      </c>
      <c r="R512" s="27" t="s">
        <v>7</v>
      </c>
      <c r="AE512" s="27" t="s">
        <v>8</v>
      </c>
      <c r="AF512" s="27" t="s">
        <v>7</v>
      </c>
      <c r="AM512" s="27" t="s">
        <v>8</v>
      </c>
      <c r="AN512" s="27" t="s">
        <v>7</v>
      </c>
      <c r="AQ512" s="27" t="s">
        <v>8</v>
      </c>
    </row>
    <row r="513" spans="1:43" x14ac:dyDescent="0.25">
      <c r="A513" s="7">
        <v>4.3292504462035977</v>
      </c>
      <c r="B513"/>
      <c r="C513"/>
      <c r="D513"/>
      <c r="E513" t="s">
        <v>8</v>
      </c>
      <c r="N513" s="27" t="s">
        <v>7</v>
      </c>
      <c r="O513" s="27" t="s">
        <v>8</v>
      </c>
      <c r="P513" s="27" t="s">
        <v>7</v>
      </c>
      <c r="Q513" s="27" t="s">
        <v>8</v>
      </c>
      <c r="R513" s="27" t="s">
        <v>7</v>
      </c>
      <c r="AE513" s="27" t="s">
        <v>8</v>
      </c>
      <c r="AF513" s="27" t="s">
        <v>7</v>
      </c>
      <c r="AM513" s="27" t="s">
        <v>8</v>
      </c>
      <c r="AN513" s="27" t="s">
        <v>7</v>
      </c>
      <c r="AO513" s="27" t="s">
        <v>8</v>
      </c>
      <c r="AQ513" s="27" t="s">
        <v>8</v>
      </c>
    </row>
    <row r="514" spans="1:43" x14ac:dyDescent="0.25">
      <c r="A514" s="7">
        <v>4.2443631825525463</v>
      </c>
      <c r="B514"/>
      <c r="C514"/>
      <c r="D514"/>
      <c r="E514" t="s">
        <v>8</v>
      </c>
      <c r="N514" s="27" t="s">
        <v>7</v>
      </c>
      <c r="P514" s="27" t="s">
        <v>7</v>
      </c>
      <c r="Q514" s="27" t="s">
        <v>8</v>
      </c>
      <c r="R514" s="27" t="s">
        <v>7</v>
      </c>
      <c r="AE514" s="27" t="s">
        <v>8</v>
      </c>
      <c r="AF514" s="27" t="s">
        <v>7</v>
      </c>
      <c r="AM514" s="27" t="s">
        <v>8</v>
      </c>
      <c r="AN514" s="27" t="s">
        <v>7</v>
      </c>
      <c r="AO514" s="27" t="s">
        <v>8</v>
      </c>
      <c r="AP514" s="27" t="s">
        <v>7</v>
      </c>
      <c r="AQ514" s="27" t="s">
        <v>8</v>
      </c>
    </row>
    <row r="515" spans="1:43" x14ac:dyDescent="0.25">
      <c r="A515" s="7">
        <v>4.1611403750515157</v>
      </c>
      <c r="B515"/>
      <c r="C515"/>
      <c r="D515"/>
      <c r="E515" t="s">
        <v>8</v>
      </c>
      <c r="P515" s="27" t="s">
        <v>7</v>
      </c>
      <c r="Q515" s="27" t="s">
        <v>8</v>
      </c>
      <c r="R515" s="27" t="s">
        <v>7</v>
      </c>
      <c r="S515" s="27" t="s">
        <v>8</v>
      </c>
      <c r="AE515" s="27" t="s">
        <v>8</v>
      </c>
      <c r="AF515" s="27" t="s">
        <v>7</v>
      </c>
      <c r="AK515" s="27" t="s">
        <v>8</v>
      </c>
      <c r="AM515" s="27" t="s">
        <v>8</v>
      </c>
      <c r="AN515" s="27" t="s">
        <v>7</v>
      </c>
      <c r="AO515" s="27" t="s">
        <v>8</v>
      </c>
      <c r="AP515" s="27" t="s">
        <v>7</v>
      </c>
      <c r="AQ515" s="27" t="s">
        <v>8</v>
      </c>
    </row>
    <row r="516" spans="1:43" x14ac:dyDescent="0.25">
      <c r="A516" s="7">
        <v>4.0795493873054074</v>
      </c>
      <c r="B516"/>
      <c r="C516"/>
      <c r="D516"/>
      <c r="E516" t="s">
        <v>8</v>
      </c>
      <c r="P516" s="27" t="s">
        <v>7</v>
      </c>
      <c r="R516" s="27" t="s">
        <v>7</v>
      </c>
      <c r="S516" s="27" t="s">
        <v>8</v>
      </c>
      <c r="T516" s="27" t="s">
        <v>7</v>
      </c>
      <c r="Y516" s="27" t="s">
        <v>8</v>
      </c>
      <c r="AE516" s="27" t="s">
        <v>8</v>
      </c>
      <c r="AF516" s="27" t="s">
        <v>7</v>
      </c>
      <c r="AG516" s="27" t="s">
        <v>8</v>
      </c>
      <c r="AK516" s="27" t="s">
        <v>8</v>
      </c>
      <c r="AL516" s="27" t="s">
        <v>7</v>
      </c>
      <c r="AM516" s="27" t="s">
        <v>8</v>
      </c>
      <c r="AN516" s="27" t="s">
        <v>7</v>
      </c>
      <c r="AO516" s="27" t="s">
        <v>8</v>
      </c>
      <c r="AP516" s="27" t="s">
        <v>7</v>
      </c>
      <c r="AQ516" s="27" t="s">
        <v>8</v>
      </c>
    </row>
    <row r="517" spans="1:43" x14ac:dyDescent="0.25">
      <c r="A517" s="7">
        <v>3.9995582228484383</v>
      </c>
      <c r="B517"/>
      <c r="C517"/>
      <c r="D517"/>
      <c r="E517" t="s">
        <v>8</v>
      </c>
      <c r="R517" s="27" t="s">
        <v>7</v>
      </c>
      <c r="S517" s="27" t="s">
        <v>8</v>
      </c>
      <c r="T517" s="27" t="s">
        <v>7</v>
      </c>
      <c r="W517" s="27" t="s">
        <v>8</v>
      </c>
      <c r="Y517" s="27" t="s">
        <v>8</v>
      </c>
      <c r="Z517" s="27" t="s">
        <v>7</v>
      </c>
      <c r="AE517" s="27" t="s">
        <v>8</v>
      </c>
      <c r="AF517" s="27" t="s">
        <v>7</v>
      </c>
      <c r="AG517" s="27" t="s">
        <v>8</v>
      </c>
      <c r="AH517" s="27" t="s">
        <v>7</v>
      </c>
      <c r="AK517" s="27" t="s">
        <v>8</v>
      </c>
      <c r="AL517" s="27" t="s">
        <v>7</v>
      </c>
      <c r="AM517" s="27" t="s">
        <v>8</v>
      </c>
      <c r="AN517" s="27" t="s">
        <v>7</v>
      </c>
      <c r="AO517" s="27" t="s">
        <v>8</v>
      </c>
      <c r="AP517" s="27" t="s">
        <v>7</v>
      </c>
      <c r="AQ517" s="27" t="s">
        <v>8</v>
      </c>
    </row>
    <row r="518" spans="1:43" x14ac:dyDescent="0.25">
      <c r="A518" s="7">
        <v>3.9211355125965079</v>
      </c>
      <c r="B518"/>
      <c r="C518"/>
      <c r="D518"/>
      <c r="E518" t="s">
        <v>8</v>
      </c>
      <c r="R518" s="27" t="s">
        <v>7</v>
      </c>
      <c r="S518" s="27" t="s">
        <v>8</v>
      </c>
      <c r="T518" s="27" t="s">
        <v>7</v>
      </c>
      <c r="U518" s="27" t="s">
        <v>8</v>
      </c>
      <c r="W518" s="27" t="s">
        <v>8</v>
      </c>
      <c r="X518" s="27" t="s">
        <v>7</v>
      </c>
      <c r="Y518" s="27" t="s">
        <v>8</v>
      </c>
      <c r="Z518" s="27" t="s">
        <v>7</v>
      </c>
      <c r="AA518" s="27" t="s">
        <v>8</v>
      </c>
      <c r="AE518" s="27" t="s">
        <v>8</v>
      </c>
      <c r="AF518" s="27" t="s">
        <v>7</v>
      </c>
      <c r="AG518" s="27" t="s">
        <v>8</v>
      </c>
      <c r="AH518" s="27" t="s">
        <v>7</v>
      </c>
      <c r="AK518" s="27" t="s">
        <v>8</v>
      </c>
      <c r="AL518" s="27" t="s">
        <v>7</v>
      </c>
      <c r="AM518" s="27" t="s">
        <v>8</v>
      </c>
      <c r="AN518" s="27" t="s">
        <v>7</v>
      </c>
      <c r="AO518" s="27" t="s">
        <v>8</v>
      </c>
      <c r="AP518" s="27" t="s">
        <v>7</v>
      </c>
      <c r="AQ518" s="27" t="s">
        <v>8</v>
      </c>
    </row>
    <row r="519" spans="1:43" x14ac:dyDescent="0.25">
      <c r="A519" s="7">
        <v>3.844250502545596</v>
      </c>
      <c r="B519"/>
      <c r="C519"/>
      <c r="D519"/>
      <c r="E519" t="s">
        <v>8</v>
      </c>
      <c r="R519" s="27" t="s">
        <v>7</v>
      </c>
      <c r="S519" s="27" t="s">
        <v>8</v>
      </c>
      <c r="T519" s="27" t="s">
        <v>7</v>
      </c>
      <c r="U519" s="27" t="s">
        <v>8</v>
      </c>
      <c r="V519" s="27" t="s">
        <v>7</v>
      </c>
      <c r="W519" s="27" t="s">
        <v>8</v>
      </c>
      <c r="X519" s="27" t="s">
        <v>7</v>
      </c>
      <c r="Y519" s="27" t="s">
        <v>8</v>
      </c>
      <c r="Z519" s="27" t="s">
        <v>7</v>
      </c>
      <c r="AA519" s="27" t="s">
        <v>8</v>
      </c>
      <c r="AB519" s="27" t="s">
        <v>7</v>
      </c>
      <c r="AE519" s="27" t="s">
        <v>8</v>
      </c>
      <c r="AF519" s="27" t="s">
        <v>7</v>
      </c>
      <c r="AH519" s="27" t="s">
        <v>7</v>
      </c>
      <c r="AK519" s="27" t="s">
        <v>8</v>
      </c>
      <c r="AL519" s="27" t="s">
        <v>7</v>
      </c>
      <c r="AM519" s="27" t="s">
        <v>8</v>
      </c>
      <c r="AN519" s="27" t="s">
        <v>7</v>
      </c>
      <c r="AO519" s="27" t="s">
        <v>8</v>
      </c>
      <c r="AP519" s="27" t="s">
        <v>7</v>
      </c>
    </row>
    <row r="520" spans="1:43" x14ac:dyDescent="0.25">
      <c r="A520" s="7">
        <v>3.7688730417113687</v>
      </c>
      <c r="B520"/>
      <c r="C520"/>
      <c r="D520"/>
      <c r="E520" t="s">
        <v>8</v>
      </c>
      <c r="R520" s="27" t="s">
        <v>7</v>
      </c>
      <c r="S520" s="27" t="s">
        <v>8</v>
      </c>
      <c r="T520" s="27" t="s">
        <v>7</v>
      </c>
      <c r="U520" s="27" t="s">
        <v>8</v>
      </c>
      <c r="V520" s="27" t="s">
        <v>7</v>
      </c>
      <c r="W520" s="27" t="s">
        <v>8</v>
      </c>
      <c r="X520" s="27" t="s">
        <v>7</v>
      </c>
      <c r="Y520" s="27" t="s">
        <v>8</v>
      </c>
      <c r="Z520" s="27" t="s">
        <v>7</v>
      </c>
      <c r="AA520" s="27" t="s">
        <v>8</v>
      </c>
      <c r="AB520" s="27" t="s">
        <v>7</v>
      </c>
      <c r="AE520" s="27" t="s">
        <v>8</v>
      </c>
      <c r="AH520" s="27" t="s">
        <v>7</v>
      </c>
      <c r="AK520" s="27" t="s">
        <v>8</v>
      </c>
      <c r="AL520" s="27" t="s">
        <v>7</v>
      </c>
      <c r="AM520" s="27" t="s">
        <v>8</v>
      </c>
      <c r="AN520" s="27" t="s">
        <v>7</v>
      </c>
    </row>
    <row r="521" spans="1:43" x14ac:dyDescent="0.25">
      <c r="A521" s="7">
        <v>3.6949735703052635</v>
      </c>
      <c r="B521"/>
      <c r="C521"/>
      <c r="D521"/>
      <c r="E521" t="s">
        <v>8</v>
      </c>
      <c r="R521" s="27" t="s">
        <v>7</v>
      </c>
      <c r="S521" s="27" t="s">
        <v>8</v>
      </c>
      <c r="T521" s="27" t="s">
        <v>7</v>
      </c>
      <c r="U521" s="27" t="s">
        <v>8</v>
      </c>
      <c r="V521" s="27" t="s">
        <v>7</v>
      </c>
      <c r="X521" s="27" t="s">
        <v>7</v>
      </c>
      <c r="Y521" s="27" t="s">
        <v>8</v>
      </c>
      <c r="Z521" s="27" t="s">
        <v>7</v>
      </c>
      <c r="AA521" s="27" t="s">
        <v>8</v>
      </c>
      <c r="AB521" s="27" t="s">
        <v>7</v>
      </c>
      <c r="AC521" s="27" t="s">
        <v>8</v>
      </c>
      <c r="AE521" s="27" t="s">
        <v>8</v>
      </c>
      <c r="AH521" s="27" t="s">
        <v>7</v>
      </c>
      <c r="AK521" s="27" t="s">
        <v>8</v>
      </c>
      <c r="AL521" s="27" t="s">
        <v>7</v>
      </c>
      <c r="AM521" s="27" t="s">
        <v>8</v>
      </c>
    </row>
    <row r="522" spans="1:43" x14ac:dyDescent="0.25">
      <c r="A522" s="7">
        <v>3.6225231081424152</v>
      </c>
      <c r="B522"/>
      <c r="C522"/>
      <c r="D522"/>
      <c r="E522" t="s">
        <v>8</v>
      </c>
      <c r="R522" s="27" t="s">
        <v>7</v>
      </c>
      <c r="S522" s="27" t="s">
        <v>8</v>
      </c>
      <c r="T522" s="27" t="s">
        <v>7</v>
      </c>
      <c r="U522" s="27" t="s">
        <v>8</v>
      </c>
      <c r="X522" s="27" t="s">
        <v>7</v>
      </c>
      <c r="Y522" s="27" t="s">
        <v>8</v>
      </c>
      <c r="Z522" s="27" t="s">
        <v>7</v>
      </c>
      <c r="AA522" s="27" t="s">
        <v>8</v>
      </c>
      <c r="AB522" s="27" t="s">
        <v>7</v>
      </c>
      <c r="AC522" s="27" t="s">
        <v>8</v>
      </c>
      <c r="AD522" s="27" t="s">
        <v>7</v>
      </c>
      <c r="AE522" s="27" t="s">
        <v>8</v>
      </c>
      <c r="AH522" s="27" t="s">
        <v>7</v>
      </c>
      <c r="AK522" s="27" t="s">
        <v>8</v>
      </c>
      <c r="AL522" s="27" t="s">
        <v>7</v>
      </c>
      <c r="AM522" s="27" t="s">
        <v>8</v>
      </c>
    </row>
    <row r="523" spans="1:43" x14ac:dyDescent="0.25">
      <c r="A523" s="7">
        <v>3.5514932432768775</v>
      </c>
      <c r="B523"/>
      <c r="C523"/>
      <c r="D523"/>
      <c r="E523" t="s">
        <v>8</v>
      </c>
      <c r="R523" s="27" t="s">
        <v>7</v>
      </c>
      <c r="S523" s="27" t="s">
        <v>8</v>
      </c>
      <c r="T523" s="27" t="s">
        <v>7</v>
      </c>
      <c r="U523" s="27" t="s">
        <v>8</v>
      </c>
      <c r="X523" s="27" t="s">
        <v>7</v>
      </c>
      <c r="Y523" s="27" t="s">
        <v>8</v>
      </c>
      <c r="Z523" s="27" t="s">
        <v>7</v>
      </c>
      <c r="AA523" s="27" t="s">
        <v>8</v>
      </c>
      <c r="AB523" s="27" t="s">
        <v>7</v>
      </c>
      <c r="AC523" s="27" t="s">
        <v>8</v>
      </c>
      <c r="AD523" s="27" t="s">
        <v>7</v>
      </c>
      <c r="AE523" s="27" t="s">
        <v>8</v>
      </c>
      <c r="AH523" s="27" t="s">
        <v>7</v>
      </c>
      <c r="AK523" s="27" t="s">
        <v>8</v>
      </c>
      <c r="AL523" s="27" t="s">
        <v>7</v>
      </c>
    </row>
    <row r="524" spans="1:43" x14ac:dyDescent="0.25">
      <c r="A524" s="7">
        <v>3.4818561208596837</v>
      </c>
      <c r="B524"/>
      <c r="C524"/>
      <c r="D524"/>
      <c r="E524" t="s">
        <v>8</v>
      </c>
      <c r="R524" s="27" t="s">
        <v>7</v>
      </c>
      <c r="S524" s="27" t="s">
        <v>8</v>
      </c>
      <c r="T524" s="27" t="s">
        <v>7</v>
      </c>
      <c r="U524" s="27" t="s">
        <v>8</v>
      </c>
      <c r="X524" s="27" t="s">
        <v>7</v>
      </c>
      <c r="Y524" s="27" t="s">
        <v>8</v>
      </c>
      <c r="Z524" s="27" t="s">
        <v>7</v>
      </c>
      <c r="AA524" s="27" t="s">
        <v>8</v>
      </c>
      <c r="AB524" s="27" t="s">
        <v>7</v>
      </c>
      <c r="AC524" s="27" t="s">
        <v>8</v>
      </c>
      <c r="AD524" s="27" t="s">
        <v>7</v>
      </c>
      <c r="AH524" s="27" t="s">
        <v>7</v>
      </c>
      <c r="AI524" s="27" t="s">
        <v>8</v>
      </c>
      <c r="AK524" s="27" t="s">
        <v>8</v>
      </c>
    </row>
    <row r="525" spans="1:43" x14ac:dyDescent="0.25">
      <c r="A525" s="7">
        <v>3.4135844322153761</v>
      </c>
      <c r="B525"/>
      <c r="C525"/>
      <c r="D525"/>
      <c r="E525" t="s">
        <v>8</v>
      </c>
      <c r="R525" s="27" t="s">
        <v>7</v>
      </c>
      <c r="S525" s="27" t="s">
        <v>8</v>
      </c>
      <c r="T525" s="27" t="s">
        <v>7</v>
      </c>
      <c r="U525" s="27" t="s">
        <v>8</v>
      </c>
      <c r="X525" s="27" t="s">
        <v>7</v>
      </c>
      <c r="Z525" s="27" t="s">
        <v>7</v>
      </c>
      <c r="AB525" s="27" t="s">
        <v>7</v>
      </c>
      <c r="AH525" s="18" t="s">
        <v>7</v>
      </c>
      <c r="AI525" s="27" t="s">
        <v>8</v>
      </c>
      <c r="AJ525" s="27" t="s">
        <v>7</v>
      </c>
      <c r="AK525" s="27" t="s">
        <v>8</v>
      </c>
    </row>
    <row r="526" spans="1:43" x14ac:dyDescent="0.25">
      <c r="A526" s="7">
        <v>3.3466514041327216</v>
      </c>
      <c r="B526"/>
      <c r="C526"/>
      <c r="D526"/>
      <c r="E526" t="s">
        <v>8</v>
      </c>
      <c r="R526" s="27" t="s">
        <v>7</v>
      </c>
      <c r="T526" s="27" t="s">
        <v>7</v>
      </c>
      <c r="AH526" s="27" t="s">
        <v>7</v>
      </c>
      <c r="AI526" s="27" t="s">
        <v>8</v>
      </c>
      <c r="AJ526" s="27" t="s">
        <v>7</v>
      </c>
      <c r="AK526" s="27" t="s">
        <v>8</v>
      </c>
    </row>
    <row r="527" spans="1:43" x14ac:dyDescent="0.25">
      <c r="A527" s="7">
        <v>3.2810307883654133</v>
      </c>
      <c r="B527"/>
      <c r="C527"/>
      <c r="D527"/>
      <c r="E527" t="s">
        <v>8</v>
      </c>
      <c r="AH527" s="27" t="s">
        <v>7</v>
      </c>
      <c r="AI527" s="27" t="s">
        <v>8</v>
      </c>
      <c r="AJ527" s="27" t="s">
        <v>7</v>
      </c>
      <c r="AK527" s="27" t="s">
        <v>8</v>
      </c>
    </row>
    <row r="528" spans="1:43" x14ac:dyDescent="0.25">
      <c r="A528" s="7">
        <v>3.2166968513386403</v>
      </c>
      <c r="B528"/>
      <c r="C528"/>
      <c r="D528"/>
      <c r="E528" t="s">
        <v>8</v>
      </c>
      <c r="AH528" s="27" t="s">
        <v>7</v>
      </c>
      <c r="AI528" s="27" t="s">
        <v>8</v>
      </c>
      <c r="AJ528" s="27" t="s">
        <v>7</v>
      </c>
    </row>
    <row r="529" spans="1:35" x14ac:dyDescent="0.25">
      <c r="A529" s="7">
        <v>3.1536243640574906</v>
      </c>
      <c r="B529"/>
      <c r="C529"/>
      <c r="D529"/>
      <c r="E529" t="s">
        <v>8</v>
      </c>
      <c r="AH529" s="27" t="s">
        <v>7</v>
      </c>
      <c r="AI529" s="27" t="s">
        <v>8</v>
      </c>
    </row>
    <row r="530" spans="1:35" x14ac:dyDescent="0.25">
      <c r="A530" s="7">
        <v>3.0917885922132262</v>
      </c>
      <c r="B530"/>
      <c r="C530"/>
      <c r="D530"/>
      <c r="E530" t="s">
        <v>8</v>
      </c>
      <c r="AH530" s="27" t="s">
        <v>7</v>
      </c>
      <c r="AI530" s="27" t="s">
        <v>8</v>
      </c>
    </row>
    <row r="531" spans="1:35" x14ac:dyDescent="0.25">
      <c r="A531" s="7">
        <v>3.0311652864835552</v>
      </c>
      <c r="B531"/>
      <c r="C531"/>
      <c r="D531"/>
      <c r="E531" t="s">
        <v>8</v>
      </c>
      <c r="AH531" s="27" t="s">
        <v>7</v>
      </c>
    </row>
    <row r="532" spans="1:35" x14ac:dyDescent="0.25">
      <c r="A532" s="7">
        <v>2.9717306730230932</v>
      </c>
      <c r="B532"/>
      <c r="C532"/>
      <c r="D532"/>
      <c r="E532" t="s">
        <v>8</v>
      </c>
    </row>
    <row r="533" spans="1:35" x14ac:dyDescent="0.25">
      <c r="A533" s="7">
        <v>2.9134614441402875</v>
      </c>
      <c r="B533"/>
      <c r="C533"/>
      <c r="D533"/>
      <c r="E533" t="s">
        <v>8</v>
      </c>
    </row>
    <row r="534" spans="1:35" x14ac:dyDescent="0.25">
      <c r="A534" s="7">
        <v>2.8563347491571447</v>
      </c>
      <c r="B534"/>
      <c r="C534"/>
      <c r="D534"/>
      <c r="E534" t="s">
        <v>8</v>
      </c>
    </row>
    <row r="535" spans="1:35" x14ac:dyDescent="0.25">
      <c r="A535" s="7">
        <v>2.8003281854481812</v>
      </c>
      <c r="B535"/>
      <c r="C535"/>
      <c r="D535"/>
      <c r="E535" t="s">
        <v>8</v>
      </c>
    </row>
    <row r="536" spans="1:35" x14ac:dyDescent="0.25">
      <c r="A536" s="7">
        <v>2.7454197896550796</v>
      </c>
      <c r="B536"/>
      <c r="C536"/>
      <c r="D536"/>
      <c r="E536" t="s">
        <v>8</v>
      </c>
    </row>
    <row r="537" spans="1:35" x14ac:dyDescent="0.25">
      <c r="A537" s="7">
        <v>2.6915880290736074</v>
      </c>
      <c r="B537"/>
      <c r="C537"/>
      <c r="D537"/>
      <c r="E537" t="s">
        <v>8</v>
      </c>
    </row>
    <row r="538" spans="1:35" x14ac:dyDescent="0.25">
      <c r="A538" s="7">
        <v>2.6388117932094191</v>
      </c>
      <c r="B538"/>
      <c r="C538"/>
      <c r="D538"/>
      <c r="E538" t="s">
        <v>8</v>
      </c>
    </row>
    <row r="539" spans="1:35" x14ac:dyDescent="0.25">
      <c r="A539" s="7">
        <v>2.5870703854994304</v>
      </c>
      <c r="B539"/>
      <c r="C539"/>
      <c r="D539"/>
      <c r="E539" t="s">
        <v>8</v>
      </c>
    </row>
    <row r="540" spans="1:35" x14ac:dyDescent="0.25">
      <c r="A540" s="7">
        <v>2.53634351519552</v>
      </c>
      <c r="B540"/>
      <c r="C540"/>
      <c r="D540"/>
      <c r="E540" t="s">
        <v>8</v>
      </c>
    </row>
    <row r="541" spans="1:35" x14ac:dyDescent="0.25">
      <c r="A541" s="7">
        <v>2.4866112894073726</v>
      </c>
      <c r="B541"/>
      <c r="C541"/>
      <c r="D541"/>
      <c r="E541" t="s">
        <v>8</v>
      </c>
    </row>
    <row r="542" spans="1:35" x14ac:dyDescent="0.25">
      <c r="A542" s="7">
        <v>2.4378542053013459</v>
      </c>
      <c r="B542"/>
      <c r="C542"/>
      <c r="D542"/>
      <c r="E542" t="s">
        <v>8</v>
      </c>
    </row>
    <row r="543" spans="1:35" x14ac:dyDescent="0.25">
      <c r="A543" s="7">
        <v>2.3900531424522997</v>
      </c>
      <c r="B543"/>
      <c r="C543"/>
      <c r="D543"/>
      <c r="E543" t="s">
        <v>8</v>
      </c>
    </row>
    <row r="544" spans="1:3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53" operator="equal">
      <formula>$U$1</formula>
    </cfRule>
    <cfRule type="cellIs" dxfId="89" priority="654" operator="equal">
      <formula>$S$1</formula>
    </cfRule>
  </conditionalFormatting>
  <conditionalFormatting sqref="D27">
    <cfRule type="cellIs" dxfId="88" priority="651" operator="equal">
      <formula>$S$1</formula>
    </cfRule>
    <cfRule type="cellIs" dxfId="87" priority="652" operator="equal">
      <formula>$U$1</formula>
    </cfRule>
  </conditionalFormatting>
  <conditionalFormatting sqref="C164">
    <cfRule type="cellIs" dxfId="86" priority="649" operator="equal">
      <formula>$U$1</formula>
    </cfRule>
    <cfRule type="cellIs" dxfId="85" priority="650" operator="equal">
      <formula>$S$1</formula>
    </cfRule>
  </conditionalFormatting>
  <conditionalFormatting sqref="D164">
    <cfRule type="cellIs" dxfId="84" priority="647" operator="equal">
      <formula>$S$1</formula>
    </cfRule>
    <cfRule type="cellIs" dxfId="83" priority="648" operator="equal">
      <formula>$U$1</formula>
    </cfRule>
  </conditionalFormatting>
  <conditionalFormatting sqref="C55">
    <cfRule type="cellIs" dxfId="82" priority="645" operator="equal">
      <formula>$U$1</formula>
    </cfRule>
    <cfRule type="cellIs" dxfId="81" priority="646" operator="equal">
      <formula>$S$1</formula>
    </cfRule>
  </conditionalFormatting>
  <conditionalFormatting sqref="D55">
    <cfRule type="cellIs" dxfId="80" priority="643" operator="equal">
      <formula>$S$1</formula>
    </cfRule>
    <cfRule type="cellIs" dxfId="79" priority="644" operator="equal">
      <formula>$U$1</formula>
    </cfRule>
  </conditionalFormatting>
  <conditionalFormatting sqref="C89">
    <cfRule type="cellIs" dxfId="78" priority="641" operator="equal">
      <formula>$U$1</formula>
    </cfRule>
    <cfRule type="cellIs" dxfId="77" priority="642" operator="equal">
      <formula>$S$1</formula>
    </cfRule>
  </conditionalFormatting>
  <conditionalFormatting sqref="D89">
    <cfRule type="cellIs" dxfId="76" priority="639" operator="equal">
      <formula>$S$1</formula>
    </cfRule>
    <cfRule type="cellIs" dxfId="75" priority="640" operator="equal">
      <formula>$U$1</formula>
    </cfRule>
  </conditionalFormatting>
  <conditionalFormatting sqref="C136">
    <cfRule type="cellIs" dxfId="74" priority="637" operator="equal">
      <formula>$U$1</formula>
    </cfRule>
    <cfRule type="cellIs" dxfId="73" priority="638" operator="equal">
      <formula>$S$1</formula>
    </cfRule>
  </conditionalFormatting>
  <conditionalFormatting sqref="D136">
    <cfRule type="cellIs" dxfId="72" priority="635" operator="equal">
      <formula>$S$1</formula>
    </cfRule>
    <cfRule type="cellIs" dxfId="71" priority="636" operator="equal">
      <formula>$U$1</formula>
    </cfRule>
  </conditionalFormatting>
  <conditionalFormatting sqref="C1">
    <cfRule type="cellIs" dxfId="70" priority="63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Q203" sqref="BQ20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$A$202</v>
      </c>
      <c r="D111" s="1" t="str">
        <f>ADDRESS(C121-1,D121,1,1)</f>
        <v>$BQ$202</v>
      </c>
      <c r="E111"/>
    </row>
    <row r="112" spans="1:5" x14ac:dyDescent="0.25">
      <c r="A112" s="30">
        <v>515.50191262726139</v>
      </c>
      <c r="C112" s="1" t="str">
        <f>ADDRESS(C121,1,1,1)</f>
        <v>$A$203</v>
      </c>
      <c r="D112" s="1" t="str">
        <f>ADDRESS(C121,D121-1,1,1)</f>
        <v>$BP$203</v>
      </c>
      <c r="E112"/>
    </row>
    <row r="113" spans="1:5" x14ac:dyDescent="0.25">
      <c r="A113" s="30">
        <v>490.95420250215363</v>
      </c>
      <c r="C113" s="1" t="str">
        <f>ADDRESS(C121+1,1,1,1)</f>
        <v>$A$204</v>
      </c>
      <c r="D113" s="1" t="str">
        <f>ADDRESS(C121-1,D121+1,1,1)</f>
        <v>$BR$202</v>
      </c>
    </row>
    <row r="114" spans="1:5" x14ac:dyDescent="0.25">
      <c r="A114" s="30">
        <v>467.57543095443202</v>
      </c>
      <c r="C114" s="1" t="str">
        <f>ADDRESS(C121,D121,1,1)</f>
        <v>$BQ$203</v>
      </c>
      <c r="D114" s="1" t="str">
        <f>ADDRESS(C121+1,D121+1,1,1)</f>
        <v>$BR$204</v>
      </c>
    </row>
    <row r="115" spans="1:5" x14ac:dyDescent="0.25">
      <c r="A115" s="30">
        <v>445.30993424231622</v>
      </c>
      <c r="C115" s="1" t="str">
        <f>ADDRESS(C121+1,D121,1,1)</f>
        <v>$BQ$204</v>
      </c>
    </row>
    <row r="116" spans="1:5" x14ac:dyDescent="0.25">
      <c r="A116" s="30">
        <v>424.10469927839637</v>
      </c>
      <c r="C116" s="1">
        <f>C117-1</f>
        <v>202</v>
      </c>
    </row>
    <row r="117" spans="1:5" x14ac:dyDescent="0.25">
      <c r="A117" s="30">
        <v>403.9092374079965</v>
      </c>
      <c r="C117" s="1">
        <f>C121</f>
        <v>203</v>
      </c>
      <c r="D117" s="1">
        <f>D121</f>
        <v>69</v>
      </c>
    </row>
    <row r="118" spans="1:5" x14ac:dyDescent="0.25">
      <c r="A118" s="30">
        <v>384.6754641980919</v>
      </c>
      <c r="C118" s="1">
        <f>C117+1</f>
        <v>204</v>
      </c>
      <c r="D118" s="1">
        <f>D117+1</f>
        <v>70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203</v>
      </c>
      <c r="D121" s="19">
        <v>69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R203</v>
      </c>
      <c r="D123" s="1" t="str">
        <f>"C"&amp;D121</f>
        <v>C69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6.0814069427704647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65" x14ac:dyDescent="0.25">
      <c r="A177" s="30">
        <v>21.623492570684135</v>
      </c>
      <c r="E177"/>
      <c r="BA177" s="27" t="s">
        <v>8</v>
      </c>
    </row>
    <row r="178" spans="1:65" x14ac:dyDescent="0.25">
      <c r="A178" s="30">
        <v>20.593802448270605</v>
      </c>
      <c r="C178" s="7"/>
      <c r="D178"/>
      <c r="E178"/>
      <c r="AA178" s="27" t="s">
        <v>8</v>
      </c>
      <c r="BA178" s="27" t="s">
        <v>8</v>
      </c>
      <c r="BB178" s="27" t="s">
        <v>7</v>
      </c>
    </row>
    <row r="179" spans="1:65" x14ac:dyDescent="0.25">
      <c r="A179" s="30">
        <v>19.613145188829147</v>
      </c>
      <c r="E179"/>
      <c r="AA179" s="27" t="s">
        <v>8</v>
      </c>
      <c r="AB179" s="27" t="s">
        <v>7</v>
      </c>
      <c r="AY179" s="27" t="s">
        <v>8</v>
      </c>
      <c r="BA179" s="27" t="s">
        <v>8</v>
      </c>
      <c r="BB179" s="27" t="s">
        <v>7</v>
      </c>
    </row>
    <row r="180" spans="1:65" x14ac:dyDescent="0.25">
      <c r="A180" s="30">
        <v>18.679185894122998</v>
      </c>
      <c r="E180"/>
      <c r="AA180" s="27" t="s">
        <v>8</v>
      </c>
      <c r="AB180" s="27" t="s">
        <v>7</v>
      </c>
      <c r="AY180" s="27" t="s">
        <v>8</v>
      </c>
      <c r="AZ180" s="27" t="s">
        <v>7</v>
      </c>
      <c r="BA180" s="27" t="s">
        <v>8</v>
      </c>
      <c r="BB180" s="27" t="s">
        <v>7</v>
      </c>
    </row>
    <row r="181" spans="1:65" x14ac:dyDescent="0.25">
      <c r="A181" s="30">
        <v>17.78970085154571</v>
      </c>
      <c r="C181"/>
      <c r="D181"/>
      <c r="E181"/>
      <c r="AA181" s="27" t="s">
        <v>8</v>
      </c>
      <c r="AB181" s="27" t="s">
        <v>7</v>
      </c>
      <c r="AU181" s="27" t="s">
        <v>8</v>
      </c>
      <c r="AY181" s="27" t="s">
        <v>8</v>
      </c>
      <c r="AZ181" s="27" t="s">
        <v>7</v>
      </c>
      <c r="BA181" s="27" t="s">
        <v>8</v>
      </c>
      <c r="BB181" s="27" t="s">
        <v>7</v>
      </c>
      <c r="BC181" s="27" t="s">
        <v>8</v>
      </c>
    </row>
    <row r="182" spans="1:65" x14ac:dyDescent="0.25">
      <c r="A182" s="30">
        <v>16.942572239567344</v>
      </c>
      <c r="E182"/>
      <c r="AA182" s="27" t="s">
        <v>8</v>
      </c>
      <c r="AB182" s="27" t="s">
        <v>7</v>
      </c>
      <c r="AU182" s="27" t="s">
        <v>8</v>
      </c>
      <c r="AV182" s="27" t="s">
        <v>7</v>
      </c>
      <c r="AY182" s="27" t="s">
        <v>8</v>
      </c>
      <c r="AZ182" s="27" t="s">
        <v>7</v>
      </c>
      <c r="BA182" s="27" t="s">
        <v>8</v>
      </c>
      <c r="BB182" s="27" t="s">
        <v>7</v>
      </c>
      <c r="BC182" s="27" t="s">
        <v>8</v>
      </c>
      <c r="BD182" s="27" t="s">
        <v>7</v>
      </c>
    </row>
    <row r="183" spans="1:65" x14ac:dyDescent="0.25">
      <c r="A183" s="30">
        <v>16.135783085302233</v>
      </c>
      <c r="E183"/>
      <c r="AA183" s="27" t="s">
        <v>8</v>
      </c>
      <c r="AB183" s="27" t="s">
        <v>7</v>
      </c>
      <c r="AC183" s="27" t="s">
        <v>8</v>
      </c>
      <c r="AU183" s="27" t="s">
        <v>8</v>
      </c>
      <c r="AV183" s="27" t="s">
        <v>7</v>
      </c>
      <c r="AY183" s="27" t="s">
        <v>8</v>
      </c>
      <c r="AZ183" s="27" t="s">
        <v>7</v>
      </c>
      <c r="BA183" s="27" t="s">
        <v>8</v>
      </c>
      <c r="BB183" s="27" t="s">
        <v>7</v>
      </c>
      <c r="BC183" s="27" t="s">
        <v>8</v>
      </c>
      <c r="BD183" s="27" t="s">
        <v>7</v>
      </c>
    </row>
    <row r="184" spans="1:65" x14ac:dyDescent="0.25">
      <c r="A184" s="30">
        <v>15.367412462192602</v>
      </c>
      <c r="E184"/>
      <c r="AA184" s="27" t="s">
        <v>8</v>
      </c>
      <c r="AB184" s="27" t="s">
        <v>7</v>
      </c>
      <c r="AC184" s="27" t="s">
        <v>8</v>
      </c>
      <c r="AD184" s="27" t="s">
        <v>7</v>
      </c>
      <c r="AU184" s="27" t="s">
        <v>8</v>
      </c>
      <c r="AV184" s="27" t="s">
        <v>7</v>
      </c>
      <c r="AY184" s="27" t="s">
        <v>8</v>
      </c>
      <c r="AZ184" s="27" t="s">
        <v>7</v>
      </c>
      <c r="BA184" s="27" t="s">
        <v>8</v>
      </c>
      <c r="BB184" s="27" t="s">
        <v>7</v>
      </c>
      <c r="BC184" s="27" t="s">
        <v>8</v>
      </c>
      <c r="BD184" s="27" t="s">
        <v>7</v>
      </c>
    </row>
    <row r="185" spans="1:65" x14ac:dyDescent="0.25">
      <c r="A185" s="30">
        <v>14.635630916373906</v>
      </c>
      <c r="C185"/>
      <c r="E185"/>
      <c r="AA185" s="27" t="s">
        <v>8</v>
      </c>
      <c r="AB185" s="27" t="s">
        <v>7</v>
      </c>
      <c r="AC185" s="27" t="s">
        <v>8</v>
      </c>
      <c r="AD185" s="27" t="s">
        <v>7</v>
      </c>
      <c r="AU185" s="27" t="s">
        <v>8</v>
      </c>
      <c r="AV185" s="27" t="s">
        <v>7</v>
      </c>
      <c r="AY185" s="27" t="s">
        <v>8</v>
      </c>
      <c r="AZ185" s="27" t="s">
        <v>7</v>
      </c>
      <c r="BA185" s="27" t="s">
        <v>8</v>
      </c>
      <c r="BB185" s="27" t="s">
        <v>7</v>
      </c>
      <c r="BD185" s="27" t="s">
        <v>7</v>
      </c>
    </row>
    <row r="186" spans="1:65" x14ac:dyDescent="0.25">
      <c r="A186" s="30">
        <v>13.938696110832291</v>
      </c>
      <c r="E186"/>
      <c r="AA186" s="27" t="s">
        <v>8</v>
      </c>
      <c r="AB186" s="27" t="s">
        <v>7</v>
      </c>
      <c r="AC186" s="27" t="s">
        <v>8</v>
      </c>
      <c r="AD186" s="27" t="s">
        <v>7</v>
      </c>
      <c r="AU186" s="27" t="s">
        <v>8</v>
      </c>
      <c r="AV186" s="27" t="s">
        <v>7</v>
      </c>
      <c r="AW186" s="27" t="s">
        <v>8</v>
      </c>
      <c r="AY186" s="27" t="s">
        <v>8</v>
      </c>
      <c r="AZ186" s="27" t="s">
        <v>7</v>
      </c>
      <c r="BA186" s="27" t="s">
        <v>8</v>
      </c>
      <c r="BD186" s="27" t="s">
        <v>7</v>
      </c>
      <c r="BG186" s="27" t="s">
        <v>8</v>
      </c>
      <c r="BK186" s="27" t="s">
        <v>8</v>
      </c>
    </row>
    <row r="187" spans="1:6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A187" s="27" t="s">
        <v>8</v>
      </c>
      <c r="AB187" s="27" t="s">
        <v>7</v>
      </c>
      <c r="AD187" s="27" t="s">
        <v>7</v>
      </c>
      <c r="AE187" s="27" t="s">
        <v>8</v>
      </c>
      <c r="AG187" s="27" t="s">
        <v>8</v>
      </c>
      <c r="AU187" s="27" t="s">
        <v>8</v>
      </c>
      <c r="AV187" s="27" t="s">
        <v>7</v>
      </c>
      <c r="AW187" s="27" t="s">
        <v>8</v>
      </c>
      <c r="AX187" s="27" t="s">
        <v>7</v>
      </c>
      <c r="AY187" s="27" t="s">
        <v>8</v>
      </c>
      <c r="AZ187" s="27" t="s">
        <v>7</v>
      </c>
      <c r="BA187" s="27" t="s">
        <v>8</v>
      </c>
      <c r="BD187" s="27" t="s">
        <v>7</v>
      </c>
      <c r="BG187" s="27" t="s">
        <v>8</v>
      </c>
      <c r="BH187" s="27" t="s">
        <v>7</v>
      </c>
      <c r="BK187" s="27" t="s">
        <v>8</v>
      </c>
      <c r="BL187" s="27" t="s">
        <v>7</v>
      </c>
    </row>
    <row r="188" spans="1:65" x14ac:dyDescent="0.25">
      <c r="A188" s="30">
        <v>12.64280826379346</v>
      </c>
      <c r="E188"/>
      <c r="AA188" s="27" t="s">
        <v>8</v>
      </c>
      <c r="AD188" s="27" t="s">
        <v>7</v>
      </c>
      <c r="AE188" s="27" t="s">
        <v>8</v>
      </c>
      <c r="AF188" s="27" t="s">
        <v>7</v>
      </c>
      <c r="AG188" s="27" t="s">
        <v>8</v>
      </c>
      <c r="AH188" s="27" t="s">
        <v>7</v>
      </c>
      <c r="AI188" s="27" t="s">
        <v>8</v>
      </c>
      <c r="AU188" s="27" t="s">
        <v>8</v>
      </c>
      <c r="AV188" s="27" t="s">
        <v>7</v>
      </c>
      <c r="AW188" s="27" t="s">
        <v>8</v>
      </c>
      <c r="AX188" s="27" t="s">
        <v>7</v>
      </c>
      <c r="AY188" s="27" t="s">
        <v>8</v>
      </c>
      <c r="AZ188" s="27" t="s">
        <v>7</v>
      </c>
      <c r="BA188" s="27" t="s">
        <v>8</v>
      </c>
      <c r="BD188" s="27" t="s">
        <v>7</v>
      </c>
      <c r="BG188" s="27" t="s">
        <v>8</v>
      </c>
      <c r="BH188" s="27" t="s">
        <v>7</v>
      </c>
      <c r="BK188" s="27" t="s">
        <v>8</v>
      </c>
      <c r="BL188" s="27" t="s">
        <v>7</v>
      </c>
    </row>
    <row r="189" spans="1:65" x14ac:dyDescent="0.25">
      <c r="A189" s="30">
        <v>12.04076977504139</v>
      </c>
      <c r="E189"/>
      <c r="AA189" s="27" t="s">
        <v>8</v>
      </c>
      <c r="AD189" s="27" t="s">
        <v>7</v>
      </c>
      <c r="AE189" s="27" t="s">
        <v>8</v>
      </c>
      <c r="AF189" s="27" t="s">
        <v>7</v>
      </c>
      <c r="AG189" s="27" t="s">
        <v>8</v>
      </c>
      <c r="AH189" s="27" t="s">
        <v>7</v>
      </c>
      <c r="AI189" s="27" t="s">
        <v>8</v>
      </c>
      <c r="AJ189" s="27" t="s">
        <v>7</v>
      </c>
      <c r="AQ189" s="27" t="s">
        <v>8</v>
      </c>
      <c r="AU189" s="27" t="s">
        <v>8</v>
      </c>
      <c r="AV189" s="27" t="s">
        <v>7</v>
      </c>
      <c r="AW189" s="27" t="s">
        <v>8</v>
      </c>
      <c r="AX189" s="27" t="s">
        <v>7</v>
      </c>
      <c r="AY189" s="27" t="s">
        <v>8</v>
      </c>
      <c r="AZ189" s="27" t="s">
        <v>7</v>
      </c>
      <c r="BA189" s="27" t="s">
        <v>8</v>
      </c>
      <c r="BD189" s="27" t="s">
        <v>7</v>
      </c>
      <c r="BE189" s="27" t="s">
        <v>8</v>
      </c>
      <c r="BG189" s="27" t="s">
        <v>8</v>
      </c>
      <c r="BH189" s="27" t="s">
        <v>7</v>
      </c>
      <c r="BK189" s="27" t="s">
        <v>8</v>
      </c>
      <c r="BL189" s="27" t="s">
        <v>7</v>
      </c>
    </row>
    <row r="190" spans="1:65" x14ac:dyDescent="0.25">
      <c r="A190" s="30">
        <v>11.467399785753704</v>
      </c>
      <c r="E190"/>
      <c r="AA190" s="27" t="s">
        <v>8</v>
      </c>
      <c r="AD190" s="27" t="s">
        <v>7</v>
      </c>
      <c r="AE190" s="27" t="s">
        <v>8</v>
      </c>
      <c r="AF190" s="27" t="s">
        <v>7</v>
      </c>
      <c r="AG190" s="27" t="s">
        <v>8</v>
      </c>
      <c r="AH190" s="27" t="s">
        <v>7</v>
      </c>
      <c r="AI190" s="27" t="s">
        <v>8</v>
      </c>
      <c r="AJ190" s="27" t="s">
        <v>7</v>
      </c>
      <c r="AQ190" s="27" t="s">
        <v>8</v>
      </c>
      <c r="AR190" s="27" t="s">
        <v>7</v>
      </c>
      <c r="AU190" s="27" t="s">
        <v>8</v>
      </c>
      <c r="AV190" s="27" t="s">
        <v>7</v>
      </c>
      <c r="AW190" s="27" t="s">
        <v>8</v>
      </c>
      <c r="AX190" s="27" t="s">
        <v>7</v>
      </c>
      <c r="AZ190" s="27" t="s">
        <v>7</v>
      </c>
      <c r="BA190" s="27" t="s">
        <v>8</v>
      </c>
      <c r="BD190" s="27" t="s">
        <v>7</v>
      </c>
      <c r="BE190" s="27" t="s">
        <v>8</v>
      </c>
      <c r="BF190" s="27" t="s">
        <v>7</v>
      </c>
      <c r="BG190" s="27" t="s">
        <v>8</v>
      </c>
      <c r="BH190" s="27" t="s">
        <v>7</v>
      </c>
      <c r="BI190" s="27" t="s">
        <v>8</v>
      </c>
      <c r="BK190" s="27" t="s">
        <v>8</v>
      </c>
      <c r="BL190" s="27" t="s">
        <v>7</v>
      </c>
    </row>
    <row r="191" spans="1:65" x14ac:dyDescent="0.25">
      <c r="A191" s="30">
        <v>10.921333129289241</v>
      </c>
      <c r="E191"/>
      <c r="AA191" s="27" t="s">
        <v>8</v>
      </c>
      <c r="AD191" s="27" t="s">
        <v>7</v>
      </c>
      <c r="AF191" s="27" t="s">
        <v>7</v>
      </c>
      <c r="AG191" s="27" t="s">
        <v>8</v>
      </c>
      <c r="AH191" s="27" t="s">
        <v>7</v>
      </c>
      <c r="AI191" s="27" t="s">
        <v>8</v>
      </c>
      <c r="AJ191" s="27" t="s">
        <v>7</v>
      </c>
      <c r="AK191" s="27" t="s">
        <v>8</v>
      </c>
      <c r="AO191" s="27" t="s">
        <v>8</v>
      </c>
      <c r="AQ191" s="27" t="s">
        <v>8</v>
      </c>
      <c r="AR191" s="27" t="s">
        <v>7</v>
      </c>
      <c r="AS191" s="27" t="s">
        <v>8</v>
      </c>
      <c r="AU191" s="27" t="s">
        <v>8</v>
      </c>
      <c r="AV191" s="27" t="s">
        <v>7</v>
      </c>
      <c r="AW191" s="27" t="s">
        <v>8</v>
      </c>
      <c r="AZ191" s="27" t="s">
        <v>7</v>
      </c>
      <c r="BA191" s="27" t="s">
        <v>8</v>
      </c>
      <c r="BD191" s="27" t="s">
        <v>7</v>
      </c>
      <c r="BE191" s="27" t="s">
        <v>8</v>
      </c>
      <c r="BF191" s="27" t="s">
        <v>7</v>
      </c>
      <c r="BG191" s="27" t="s">
        <v>8</v>
      </c>
      <c r="BH191" s="27" t="s">
        <v>7</v>
      </c>
      <c r="BI191" s="27" t="s">
        <v>8</v>
      </c>
      <c r="BJ191" s="27" t="s">
        <v>7</v>
      </c>
      <c r="BK191" s="27" t="s">
        <v>8</v>
      </c>
      <c r="BL191" s="27" t="s">
        <v>7</v>
      </c>
    </row>
    <row r="192" spans="1:65" x14ac:dyDescent="0.25">
      <c r="A192" s="30">
        <v>10.401269646942135</v>
      </c>
      <c r="E192"/>
      <c r="AA192" s="27" t="s">
        <v>8</v>
      </c>
      <c r="AF192" s="27" t="s">
        <v>7</v>
      </c>
      <c r="AG192" s="27" t="s">
        <v>8</v>
      </c>
      <c r="AH192" s="27" t="s">
        <v>7</v>
      </c>
      <c r="AI192" s="27" t="s">
        <v>8</v>
      </c>
      <c r="AJ192" s="27" t="s">
        <v>7</v>
      </c>
      <c r="AK192" s="27" t="s">
        <v>8</v>
      </c>
      <c r="AL192" s="27" t="s">
        <v>7</v>
      </c>
      <c r="AO192" s="27" t="s">
        <v>8</v>
      </c>
      <c r="AP192" s="27" t="s">
        <v>7</v>
      </c>
      <c r="AQ192" s="27" t="s">
        <v>8</v>
      </c>
      <c r="AR192" s="27" t="s">
        <v>7</v>
      </c>
      <c r="AS192" s="27" t="s">
        <v>8</v>
      </c>
      <c r="AT192" s="27" t="s">
        <v>7</v>
      </c>
      <c r="AU192" s="27" t="s">
        <v>8</v>
      </c>
      <c r="AV192" s="27" t="s">
        <v>7</v>
      </c>
      <c r="AW192" s="27" t="s">
        <v>8</v>
      </c>
      <c r="AZ192" s="27" t="s">
        <v>7</v>
      </c>
      <c r="BA192" s="27" t="s">
        <v>8</v>
      </c>
      <c r="BD192" s="27" t="s">
        <v>7</v>
      </c>
      <c r="BE192" s="27" t="s">
        <v>8</v>
      </c>
      <c r="BF192" s="27" t="s">
        <v>7</v>
      </c>
      <c r="BH192" s="27" t="s">
        <v>7</v>
      </c>
      <c r="BI192" s="27" t="s">
        <v>8</v>
      </c>
      <c r="BJ192" s="27" t="s">
        <v>7</v>
      </c>
      <c r="BK192" s="27" t="s">
        <v>8</v>
      </c>
      <c r="BL192" s="27" t="s">
        <v>7</v>
      </c>
      <c r="BM192" s="27" t="s">
        <v>8</v>
      </c>
    </row>
    <row r="193" spans="1:69" x14ac:dyDescent="0.25">
      <c r="A193" s="30">
        <v>9.9059710923258422</v>
      </c>
      <c r="E193"/>
      <c r="AA193" s="27" t="s">
        <v>8</v>
      </c>
      <c r="AF193" s="27" t="s">
        <v>7</v>
      </c>
      <c r="AG193" s="27" t="s">
        <v>8</v>
      </c>
      <c r="AH193" s="27" t="s">
        <v>7</v>
      </c>
      <c r="AJ193" s="27" t="s">
        <v>7</v>
      </c>
      <c r="AK193" s="27" t="s">
        <v>8</v>
      </c>
      <c r="AL193" s="27" t="s">
        <v>7</v>
      </c>
      <c r="AO193" s="27" t="s">
        <v>8</v>
      </c>
      <c r="AP193" s="27" t="s">
        <v>7</v>
      </c>
      <c r="AQ193" s="27" t="s">
        <v>8</v>
      </c>
      <c r="AR193" s="27" t="s">
        <v>7</v>
      </c>
      <c r="AS193" s="27" t="s">
        <v>8</v>
      </c>
      <c r="AT193" s="27" t="s">
        <v>7</v>
      </c>
      <c r="AU193" s="27" t="s">
        <v>8</v>
      </c>
      <c r="AV193" s="27" t="s">
        <v>7</v>
      </c>
      <c r="AZ193" s="27" t="s">
        <v>7</v>
      </c>
      <c r="BD193" s="27" t="s">
        <v>7</v>
      </c>
      <c r="BE193" s="27" t="s">
        <v>8</v>
      </c>
      <c r="BH193" s="27" t="s">
        <v>7</v>
      </c>
      <c r="BJ193" s="27" t="s">
        <v>7</v>
      </c>
      <c r="BL193" s="27" t="s">
        <v>7</v>
      </c>
      <c r="BM193" s="27" t="s">
        <v>8</v>
      </c>
      <c r="BN193" s="27" t="s">
        <v>7</v>
      </c>
    </row>
    <row r="194" spans="1:69" x14ac:dyDescent="0.25">
      <c r="A194" s="30">
        <v>9.4342581831674686</v>
      </c>
      <c r="E194"/>
      <c r="AA194" s="27" t="s">
        <v>8</v>
      </c>
      <c r="AF194" s="27" t="s">
        <v>7</v>
      </c>
      <c r="AG194" s="27" t="s">
        <v>8</v>
      </c>
      <c r="AJ194" s="27" t="s">
        <v>7</v>
      </c>
      <c r="AK194" s="27" t="s">
        <v>8</v>
      </c>
      <c r="AL194" s="27" t="s">
        <v>7</v>
      </c>
      <c r="AM194" s="27" t="s">
        <v>8</v>
      </c>
      <c r="AO194" s="27" t="s">
        <v>8</v>
      </c>
      <c r="AP194" s="27" t="s">
        <v>7</v>
      </c>
      <c r="AR194" s="27" t="s">
        <v>7</v>
      </c>
      <c r="AS194" s="27" t="s">
        <v>8</v>
      </c>
      <c r="AT194" s="27" t="s">
        <v>7</v>
      </c>
      <c r="BD194" s="27" t="s">
        <v>7</v>
      </c>
      <c r="BE194" s="27" t="s">
        <v>8</v>
      </c>
      <c r="BL194" s="27" t="s">
        <v>7</v>
      </c>
      <c r="BM194" s="27" t="s">
        <v>8</v>
      </c>
      <c r="BN194" s="27" t="s">
        <v>7</v>
      </c>
    </row>
    <row r="195" spans="1:69" x14ac:dyDescent="0.25">
      <c r="A195" s="30">
        <v>8.9850077934928265</v>
      </c>
      <c r="E195"/>
      <c r="AA195" s="27" t="s">
        <v>8</v>
      </c>
      <c r="AF195" s="27" t="s">
        <v>7</v>
      </c>
      <c r="AG195" s="27" t="s">
        <v>8</v>
      </c>
      <c r="AJ195" s="27" t="s">
        <v>7</v>
      </c>
      <c r="AK195" s="27" t="s">
        <v>8</v>
      </c>
      <c r="AL195" s="27" t="s">
        <v>7</v>
      </c>
      <c r="AM195" s="27" t="s">
        <v>8</v>
      </c>
      <c r="AN195" s="27" t="s">
        <v>7</v>
      </c>
      <c r="AO195" s="27" t="s">
        <v>8</v>
      </c>
      <c r="AR195" s="27" t="s">
        <v>7</v>
      </c>
      <c r="BD195" s="27" t="s">
        <v>7</v>
      </c>
      <c r="BE195" s="27" t="s">
        <v>8</v>
      </c>
      <c r="BL195" s="27" t="s">
        <v>7</v>
      </c>
      <c r="BM195" s="27" t="s">
        <v>8</v>
      </c>
      <c r="BN195" s="27" t="s">
        <v>7</v>
      </c>
    </row>
    <row r="196" spans="1:69" x14ac:dyDescent="0.25">
      <c r="A196" s="30">
        <v>8.5571502795169767</v>
      </c>
      <c r="E196" t="s">
        <v>8</v>
      </c>
      <c r="AA196" s="27" t="s">
        <v>8</v>
      </c>
      <c r="AF196" s="27" t="s">
        <v>7</v>
      </c>
      <c r="AG196" s="27" t="s">
        <v>8</v>
      </c>
      <c r="AJ196" s="27" t="s">
        <v>7</v>
      </c>
      <c r="AK196" s="27" t="s">
        <v>8</v>
      </c>
      <c r="AL196" s="27" t="s">
        <v>7</v>
      </c>
      <c r="AM196" s="27" t="s">
        <v>8</v>
      </c>
      <c r="AN196" s="27" t="s">
        <v>7</v>
      </c>
      <c r="AO196" s="27" t="s">
        <v>8</v>
      </c>
      <c r="BD196" s="27" t="s">
        <v>7</v>
      </c>
      <c r="BL196" s="27" t="s">
        <v>7</v>
      </c>
      <c r="BN196" s="27" t="s">
        <v>7</v>
      </c>
    </row>
    <row r="197" spans="1:69" x14ac:dyDescent="0.25">
      <c r="A197" s="30">
        <v>8.1496669328733109</v>
      </c>
      <c r="E197" t="s">
        <v>8</v>
      </c>
      <c r="F197" s="27" t="s">
        <v>7</v>
      </c>
      <c r="AA197" s="27" t="s">
        <v>8</v>
      </c>
      <c r="AF197" s="27" t="s">
        <v>7</v>
      </c>
      <c r="AG197" s="27" t="s">
        <v>8</v>
      </c>
      <c r="AJ197" s="27" t="s">
        <v>7</v>
      </c>
      <c r="AL197" s="27" t="s">
        <v>7</v>
      </c>
      <c r="AM197" s="27" t="s">
        <v>8</v>
      </c>
      <c r="AN197" s="27" t="s">
        <v>7</v>
      </c>
      <c r="BN197" s="27" t="s">
        <v>7</v>
      </c>
    </row>
    <row r="198" spans="1:69" x14ac:dyDescent="0.25">
      <c r="A198" s="30">
        <v>7.7615875551174378</v>
      </c>
      <c r="E198" t="s">
        <v>8</v>
      </c>
      <c r="F198" s="27" t="s">
        <v>7</v>
      </c>
      <c r="W198" s="27" t="s">
        <v>8</v>
      </c>
      <c r="Y198" s="27" t="s">
        <v>8</v>
      </c>
      <c r="AA198" s="27" t="s">
        <v>8</v>
      </c>
      <c r="AF198" s="27" t="s">
        <v>7</v>
      </c>
      <c r="AL198" s="27" t="s">
        <v>7</v>
      </c>
      <c r="AM198" s="27" t="s">
        <v>8</v>
      </c>
      <c r="BN198" s="27" t="s">
        <v>7</v>
      </c>
    </row>
    <row r="199" spans="1:69" x14ac:dyDescent="0.25">
      <c r="A199" s="30">
        <v>7.3919881477308929</v>
      </c>
      <c r="E199" t="s">
        <v>8</v>
      </c>
      <c r="F199" s="27" t="s">
        <v>7</v>
      </c>
      <c r="U199" s="27" t="s">
        <v>8</v>
      </c>
      <c r="W199" s="27" t="s">
        <v>8</v>
      </c>
      <c r="X199" s="27" t="s">
        <v>7</v>
      </c>
      <c r="Y199" s="27" t="s">
        <v>8</v>
      </c>
      <c r="Z199" s="27" t="s">
        <v>7</v>
      </c>
      <c r="AA199" s="27" t="s">
        <v>8</v>
      </c>
      <c r="AL199" s="27" t="s">
        <v>7</v>
      </c>
      <c r="BN199" s="27" t="s">
        <v>7</v>
      </c>
    </row>
    <row r="200" spans="1:69" x14ac:dyDescent="0.25">
      <c r="A200" s="30">
        <v>7.0399887121246598</v>
      </c>
      <c r="E200" t="s">
        <v>8</v>
      </c>
      <c r="F200" s="27" t="s">
        <v>7</v>
      </c>
      <c r="U200" s="27" t="s">
        <v>8</v>
      </c>
      <c r="V200" s="27" t="s">
        <v>7</v>
      </c>
      <c r="W200" s="27" t="s">
        <v>8</v>
      </c>
      <c r="X200" s="27" t="s">
        <v>7</v>
      </c>
      <c r="Y200" s="27" t="s">
        <v>8</v>
      </c>
      <c r="Z200" s="27" t="s">
        <v>7</v>
      </c>
      <c r="AA200" s="27" t="s">
        <v>8</v>
      </c>
      <c r="BN200" s="27" t="s">
        <v>7</v>
      </c>
    </row>
    <row r="201" spans="1:69" x14ac:dyDescent="0.25">
      <c r="A201" s="30">
        <v>6.7047511544044376</v>
      </c>
      <c r="E201" t="s">
        <v>8</v>
      </c>
      <c r="F201" s="27" t="s">
        <v>7</v>
      </c>
      <c r="U201" s="27" t="s">
        <v>8</v>
      </c>
      <c r="V201" s="27" t="s">
        <v>7</v>
      </c>
      <c r="W201" s="27" t="s">
        <v>8</v>
      </c>
      <c r="X201" s="27" t="s">
        <v>7</v>
      </c>
      <c r="Y201" s="27" t="s">
        <v>8</v>
      </c>
      <c r="Z201" s="27" t="s">
        <v>7</v>
      </c>
      <c r="AA201" s="27" t="s">
        <v>8</v>
      </c>
      <c r="BN201" s="27" t="s">
        <v>7</v>
      </c>
    </row>
    <row r="202" spans="1:69" x14ac:dyDescent="0.25">
      <c r="A202" s="30">
        <v>6.3854772899089882</v>
      </c>
      <c r="E202" t="s">
        <v>8</v>
      </c>
      <c r="F202" s="27" t="s">
        <v>7</v>
      </c>
      <c r="U202" s="27" t="s">
        <v>8</v>
      </c>
      <c r="V202" s="27" t="s">
        <v>7</v>
      </c>
      <c r="W202" s="27" t="s">
        <v>8</v>
      </c>
      <c r="X202" s="27" t="s">
        <v>7</v>
      </c>
      <c r="Y202" s="27" t="s">
        <v>8</v>
      </c>
      <c r="Z202" s="27" t="s">
        <v>7</v>
      </c>
      <c r="AA202" s="27" t="s">
        <v>8</v>
      </c>
      <c r="BN202" s="27" t="s">
        <v>7</v>
      </c>
    </row>
    <row r="203" spans="1:69" x14ac:dyDescent="0.25">
      <c r="A203" s="30">
        <v>6.0814069427704647</v>
      </c>
      <c r="C203" s="7"/>
      <c r="D203"/>
      <c r="E203" t="s">
        <v>8</v>
      </c>
      <c r="F203" s="27" t="s">
        <v>7</v>
      </c>
      <c r="I203" s="27" t="s">
        <v>8</v>
      </c>
      <c r="U203" s="27" t="s">
        <v>8</v>
      </c>
      <c r="V203" s="27" t="s">
        <v>7</v>
      </c>
      <c r="W203" s="27" t="s">
        <v>8</v>
      </c>
      <c r="X203" s="27" t="s">
        <v>7</v>
      </c>
      <c r="Z203" s="27" t="s">
        <v>7</v>
      </c>
      <c r="BN203" s="27" t="s">
        <v>7</v>
      </c>
      <c r="BO203" s="27" t="s">
        <v>8</v>
      </c>
      <c r="BQ203" s="27" t="s">
        <v>8</v>
      </c>
    </row>
    <row r="204" spans="1:69" x14ac:dyDescent="0.25">
      <c r="A204" s="30">
        <v>5.7918161359718709</v>
      </c>
      <c r="E204" t="s">
        <v>8</v>
      </c>
      <c r="F204" s="27" t="s">
        <v>7</v>
      </c>
      <c r="I204" s="27" t="s">
        <v>8</v>
      </c>
      <c r="J204" s="27" t="s">
        <v>7</v>
      </c>
      <c r="O204" s="27" t="s">
        <v>8</v>
      </c>
      <c r="U204" s="27" t="s">
        <v>8</v>
      </c>
      <c r="V204" s="27" t="s">
        <v>7</v>
      </c>
      <c r="BN204" s="27" t="s">
        <v>7</v>
      </c>
      <c r="BO204" s="27" t="s">
        <v>8</v>
      </c>
      <c r="BP204" s="27" t="s">
        <v>7</v>
      </c>
      <c r="BQ204" s="27" t="s">
        <v>8</v>
      </c>
    </row>
    <row r="205" spans="1:69" x14ac:dyDescent="0.25">
      <c r="A205" s="30">
        <v>5.5160153675922574</v>
      </c>
      <c r="E205" t="s">
        <v>8</v>
      </c>
      <c r="F205" s="27" t="s">
        <v>7</v>
      </c>
      <c r="G205" s="27" t="s">
        <v>8</v>
      </c>
      <c r="I205" s="27" t="s">
        <v>8</v>
      </c>
      <c r="J205" s="27" t="s">
        <v>7</v>
      </c>
      <c r="O205" s="27" t="s">
        <v>8</v>
      </c>
      <c r="P205" s="27" t="s">
        <v>7</v>
      </c>
      <c r="S205" s="27" t="s">
        <v>8</v>
      </c>
      <c r="U205" s="27" t="s">
        <v>8</v>
      </c>
      <c r="BN205" s="27" t="s">
        <v>7</v>
      </c>
      <c r="BO205" s="27" t="s">
        <v>8</v>
      </c>
      <c r="BP205" s="27" t="s">
        <v>7</v>
      </c>
      <c r="BQ205" s="27" t="s">
        <v>8</v>
      </c>
    </row>
    <row r="206" spans="1:69" x14ac:dyDescent="0.25">
      <c r="A206" s="30">
        <v>5.2533479691354827</v>
      </c>
      <c r="C206"/>
      <c r="D206"/>
      <c r="E206" t="s">
        <v>8</v>
      </c>
      <c r="F206" s="27" t="s">
        <v>7</v>
      </c>
      <c r="G206" s="27" t="s">
        <v>8</v>
      </c>
      <c r="H206" s="27" t="s">
        <v>7</v>
      </c>
      <c r="I206" s="27" t="s">
        <v>8</v>
      </c>
      <c r="J206" s="27" t="s">
        <v>7</v>
      </c>
      <c r="O206" s="27" t="s">
        <v>8</v>
      </c>
      <c r="P206" s="27" t="s">
        <v>7</v>
      </c>
      <c r="S206" s="27" t="s">
        <v>8</v>
      </c>
      <c r="T206" s="27" t="s">
        <v>7</v>
      </c>
      <c r="U206" s="27" t="s">
        <v>8</v>
      </c>
      <c r="BN206" s="27" t="s">
        <v>7</v>
      </c>
      <c r="BP206" s="27" t="s">
        <v>7</v>
      </c>
      <c r="BQ206" s="27" t="s">
        <v>8</v>
      </c>
    </row>
    <row r="207" spans="1:69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H207" s="27" t="s">
        <v>7</v>
      </c>
      <c r="I207" s="27" t="s">
        <v>8</v>
      </c>
      <c r="J207" s="27" t="s">
        <v>7</v>
      </c>
      <c r="O207" s="27" t="s">
        <v>8</v>
      </c>
      <c r="P207" s="27" t="s">
        <v>7</v>
      </c>
      <c r="S207" s="27" t="s">
        <v>8</v>
      </c>
      <c r="T207" s="27" t="s">
        <v>7</v>
      </c>
      <c r="U207" s="27" t="s">
        <v>8</v>
      </c>
      <c r="BP207" s="27" t="s">
        <v>7</v>
      </c>
      <c r="BQ207" s="27" t="s">
        <v>8</v>
      </c>
    </row>
    <row r="208" spans="1:69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  <c r="I208" s="27" t="s">
        <v>8</v>
      </c>
      <c r="J208" s="27" t="s">
        <v>7</v>
      </c>
      <c r="O208" s="27" t="s">
        <v>8</v>
      </c>
      <c r="P208" s="27" t="s">
        <v>7</v>
      </c>
      <c r="S208" s="27" t="s">
        <v>8</v>
      </c>
      <c r="T208" s="27" t="s">
        <v>7</v>
      </c>
      <c r="U208" s="27" t="s">
        <v>8</v>
      </c>
      <c r="BP208" s="27" t="s">
        <v>7</v>
      </c>
    </row>
    <row r="209" spans="1:20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  <c r="J209" s="27" t="s">
        <v>7</v>
      </c>
      <c r="O209" s="27" t="s">
        <v>8</v>
      </c>
      <c r="P209" s="27" t="s">
        <v>7</v>
      </c>
      <c r="Q209" s="27" t="s">
        <v>8</v>
      </c>
      <c r="S209" s="27" t="s">
        <v>8</v>
      </c>
      <c r="T209" s="27" t="s">
        <v>7</v>
      </c>
    </row>
    <row r="210" spans="1:20" x14ac:dyDescent="0.25">
      <c r="A210" s="30">
        <v>4.3219423751506678</v>
      </c>
      <c r="C210"/>
      <c r="E210" t="s">
        <v>8</v>
      </c>
      <c r="F210" s="27" t="s">
        <v>7</v>
      </c>
      <c r="H210" s="27" t="s">
        <v>7</v>
      </c>
      <c r="I210" s="27" t="s">
        <v>8</v>
      </c>
      <c r="J210" s="27" t="s">
        <v>7</v>
      </c>
      <c r="O210" s="27" t="s">
        <v>8</v>
      </c>
      <c r="P210" s="27" t="s">
        <v>7</v>
      </c>
      <c r="Q210" s="27" t="s">
        <v>8</v>
      </c>
      <c r="R210" s="27" t="s">
        <v>7</v>
      </c>
      <c r="S210" s="27" t="s">
        <v>8</v>
      </c>
    </row>
    <row r="211" spans="1:20" x14ac:dyDescent="0.25">
      <c r="A211" s="30">
        <v>4.1161355953815884</v>
      </c>
      <c r="E211" t="s">
        <v>8</v>
      </c>
      <c r="H211" s="27" t="s">
        <v>7</v>
      </c>
      <c r="J211" s="27" t="s">
        <v>7</v>
      </c>
      <c r="K211" s="27" t="s">
        <v>8</v>
      </c>
      <c r="M211" s="27" t="s">
        <v>8</v>
      </c>
      <c r="O211" s="27" t="s">
        <v>8</v>
      </c>
      <c r="P211" s="27" t="s">
        <v>7</v>
      </c>
      <c r="Q211" s="27" t="s">
        <v>8</v>
      </c>
      <c r="R211" s="27" t="s">
        <v>7</v>
      </c>
      <c r="S211" s="27" t="s">
        <v>8</v>
      </c>
    </row>
    <row r="212" spans="1:20" x14ac:dyDescent="0.25">
      <c r="A212" s="30">
        <v>3.9201291384586554</v>
      </c>
      <c r="E212" t="s">
        <v>8</v>
      </c>
      <c r="J212" s="27" t="s">
        <v>7</v>
      </c>
      <c r="K212" s="27" t="s">
        <v>8</v>
      </c>
      <c r="L212" s="27" t="s">
        <v>7</v>
      </c>
      <c r="M212" s="27" t="s">
        <v>8</v>
      </c>
      <c r="N212" s="27" t="s">
        <v>7</v>
      </c>
      <c r="O212" s="27" t="s">
        <v>8</v>
      </c>
      <c r="P212" s="27" t="s">
        <v>7</v>
      </c>
      <c r="Q212" s="27" t="s">
        <v>8</v>
      </c>
      <c r="R212" s="27" t="s">
        <v>7</v>
      </c>
    </row>
    <row r="213" spans="1:20" x14ac:dyDescent="0.25">
      <c r="A213" s="30">
        <v>3.7334563223415764</v>
      </c>
      <c r="E213" t="s">
        <v>8</v>
      </c>
      <c r="J213" s="27" t="s">
        <v>7</v>
      </c>
      <c r="K213" s="27" t="s">
        <v>8</v>
      </c>
      <c r="L213" s="27" t="s">
        <v>7</v>
      </c>
      <c r="M213" s="27" t="s">
        <v>8</v>
      </c>
      <c r="N213" s="27" t="s">
        <v>7</v>
      </c>
      <c r="O213" s="27" t="s">
        <v>8</v>
      </c>
      <c r="P213" s="27" t="s">
        <v>7</v>
      </c>
      <c r="Q213" s="27" t="s">
        <v>8</v>
      </c>
    </row>
    <row r="214" spans="1:20" x14ac:dyDescent="0.25">
      <c r="A214" s="30">
        <v>3.5556726879443583</v>
      </c>
      <c r="E214" t="s">
        <v>8</v>
      </c>
      <c r="J214" s="27" t="s">
        <v>7</v>
      </c>
      <c r="K214" s="27" t="s">
        <v>8</v>
      </c>
      <c r="L214" s="27" t="s">
        <v>7</v>
      </c>
      <c r="M214" s="27" t="s">
        <v>8</v>
      </c>
      <c r="N214" s="27" t="s">
        <v>7</v>
      </c>
      <c r="O214" s="27" t="s">
        <v>8</v>
      </c>
      <c r="P214" s="18" t="s">
        <v>7</v>
      </c>
      <c r="Q214" s="27" t="s">
        <v>8</v>
      </c>
    </row>
    <row r="215" spans="1:20" x14ac:dyDescent="0.25">
      <c r="A215" s="30">
        <v>3.3863549408993889</v>
      </c>
      <c r="E215" t="s">
        <v>8</v>
      </c>
      <c r="J215" s="27" t="s">
        <v>7</v>
      </c>
      <c r="L215" s="27" t="s">
        <v>7</v>
      </c>
      <c r="N215" s="27" t="s">
        <v>7</v>
      </c>
      <c r="P215" s="27" t="s">
        <v>7</v>
      </c>
      <c r="Q215" s="27" t="s">
        <v>8</v>
      </c>
    </row>
    <row r="216" spans="1:20" x14ac:dyDescent="0.25">
      <c r="A216" s="30">
        <v>3.2250999437137038</v>
      </c>
      <c r="E216" t="s">
        <v>8</v>
      </c>
      <c r="P216" s="27" t="s">
        <v>7</v>
      </c>
      <c r="Q216" s="27" t="s">
        <v>8</v>
      </c>
    </row>
    <row r="217" spans="1:20" x14ac:dyDescent="0.25">
      <c r="A217" s="30">
        <v>3.0715237559178128</v>
      </c>
      <c r="E217" t="s">
        <v>8</v>
      </c>
      <c r="P217" s="27" t="s">
        <v>7</v>
      </c>
    </row>
    <row r="218" spans="1:20" x14ac:dyDescent="0.25">
      <c r="A218" s="30">
        <v>2.9252607199217264</v>
      </c>
      <c r="E218" t="s">
        <v>8</v>
      </c>
    </row>
    <row r="219" spans="1:20" x14ac:dyDescent="0.25">
      <c r="A219" s="30">
        <v>2.7859625904016441</v>
      </c>
      <c r="E219" t="s">
        <v>8</v>
      </c>
    </row>
    <row r="220" spans="1:20" x14ac:dyDescent="0.25">
      <c r="A220" s="30">
        <v>2.6532977051444226</v>
      </c>
      <c r="E220" t="s">
        <v>8</v>
      </c>
    </row>
    <row r="221" spans="1:20" x14ac:dyDescent="0.25">
      <c r="A221" s="30">
        <v>2.5269501953756404</v>
      </c>
      <c r="E221" t="s">
        <v>8</v>
      </c>
    </row>
    <row r="222" spans="1:20" x14ac:dyDescent="0.25">
      <c r="A222" s="30">
        <v>2.4066192336910861</v>
      </c>
      <c r="E222" t="s">
        <v>8</v>
      </c>
    </row>
    <row r="223" spans="1:20" x14ac:dyDescent="0.25">
      <c r="A223" s="30">
        <v>2.2920183178010345</v>
      </c>
      <c r="E223" t="s">
        <v>8</v>
      </c>
    </row>
    <row r="224" spans="1:20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68" operator="equal">
      <formula>$U$1</formula>
    </cfRule>
    <cfRule type="cellIs" dxfId="67" priority="669" operator="equal">
      <formula>$S$1</formula>
    </cfRule>
  </conditionalFormatting>
  <conditionalFormatting sqref="D136">
    <cfRule type="cellIs" dxfId="66" priority="666" operator="equal">
      <formula>$S$1</formula>
    </cfRule>
    <cfRule type="cellIs" dxfId="65" priority="667" operator="equal">
      <formula>$U$1</formula>
    </cfRule>
  </conditionalFormatting>
  <conditionalFormatting sqref="C162">
    <cfRule type="cellIs" dxfId="64" priority="664" operator="equal">
      <formula>$U$1</formula>
    </cfRule>
    <cfRule type="cellIs" dxfId="63" priority="665" operator="equal">
      <formula>$S$1</formula>
    </cfRule>
  </conditionalFormatting>
  <conditionalFormatting sqref="D162">
    <cfRule type="cellIs" dxfId="62" priority="662" operator="equal">
      <formula>$S$1</formula>
    </cfRule>
    <cfRule type="cellIs" dxfId="61" priority="663" operator="equal">
      <formula>$U$1</formula>
    </cfRule>
  </conditionalFormatting>
  <conditionalFormatting sqref="C187">
    <cfRule type="cellIs" dxfId="60" priority="660" operator="equal">
      <formula>$U$1</formula>
    </cfRule>
    <cfRule type="cellIs" dxfId="59" priority="661" operator="equal">
      <formula>$S$1</formula>
    </cfRule>
  </conditionalFormatting>
  <conditionalFormatting sqref="D187">
    <cfRule type="cellIs" dxfId="58" priority="658" operator="equal">
      <formula>$S$1</formula>
    </cfRule>
    <cfRule type="cellIs" dxfId="57" priority="659" operator="equal">
      <formula>$U$1</formula>
    </cfRule>
  </conditionalFormatting>
  <conditionalFormatting sqref="C212">
    <cfRule type="cellIs" dxfId="56" priority="656" operator="equal">
      <formula>$U$1</formula>
    </cfRule>
    <cfRule type="cellIs" dxfId="55" priority="657" operator="equal">
      <formula>$S$1</formula>
    </cfRule>
  </conditionalFormatting>
  <conditionalFormatting sqref="D212">
    <cfRule type="cellIs" dxfId="54" priority="654" operator="equal">
      <formula>$S$1</formula>
    </cfRule>
    <cfRule type="cellIs" dxfId="53" priority="655" operator="equal">
      <formula>$U$1</formula>
    </cfRule>
  </conditionalFormatting>
  <conditionalFormatting sqref="C237">
    <cfRule type="cellIs" dxfId="52" priority="652" operator="equal">
      <formula>$U$1</formula>
    </cfRule>
    <cfRule type="cellIs" dxfId="51" priority="653" operator="equal">
      <formula>$S$1</formula>
    </cfRule>
  </conditionalFormatting>
  <conditionalFormatting sqref="D237">
    <cfRule type="cellIs" dxfId="50" priority="650" operator="equal">
      <formula>$S$1</formula>
    </cfRule>
    <cfRule type="cellIs" dxfId="49" priority="651" operator="equal">
      <formula>$U$1</formula>
    </cfRule>
  </conditionalFormatting>
  <conditionalFormatting sqref="C106">
    <cfRule type="cellIs" dxfId="48" priority="648" operator="equal">
      <formula>$U$1</formula>
    </cfRule>
    <cfRule type="cellIs" dxfId="47" priority="649" operator="equal">
      <formula>$S$1</formula>
    </cfRule>
  </conditionalFormatting>
  <conditionalFormatting sqref="D106">
    <cfRule type="cellIs" dxfId="46" priority="646" operator="equal">
      <formula>$S$1</formula>
    </cfRule>
    <cfRule type="cellIs" dxfId="45" priority="647" operator="equal">
      <formula>$U$1</formula>
    </cfRule>
  </conditionalFormatting>
  <conditionalFormatting sqref="C81">
    <cfRule type="cellIs" dxfId="44" priority="644" operator="equal">
      <formula>$U$1</formula>
    </cfRule>
    <cfRule type="cellIs" dxfId="43" priority="645" operator="equal">
      <formula>$S$1</formula>
    </cfRule>
  </conditionalFormatting>
  <conditionalFormatting sqref="D81">
    <cfRule type="cellIs" dxfId="42" priority="642" operator="equal">
      <formula>$S$1</formula>
    </cfRule>
    <cfRule type="cellIs" dxfId="41" priority="643" operator="equal">
      <formula>$U$1</formula>
    </cfRule>
  </conditionalFormatting>
  <conditionalFormatting sqref="C56">
    <cfRule type="cellIs" dxfId="40" priority="640" operator="equal">
      <formula>$U$1</formula>
    </cfRule>
    <cfRule type="cellIs" dxfId="39" priority="641" operator="equal">
      <formula>$S$1</formula>
    </cfRule>
  </conditionalFormatting>
  <conditionalFormatting sqref="D56">
    <cfRule type="cellIs" dxfId="38" priority="638" operator="equal">
      <formula>$S$1</formula>
    </cfRule>
    <cfRule type="cellIs" dxfId="37" priority="639" operator="equal">
      <formula>$U$1</formula>
    </cfRule>
  </conditionalFormatting>
  <conditionalFormatting sqref="C31">
    <cfRule type="cellIs" dxfId="36" priority="636" operator="equal">
      <formula>$U$1</formula>
    </cfRule>
    <cfRule type="cellIs" dxfId="35" priority="637" operator="equal">
      <formula>$S$1</formula>
    </cfRule>
  </conditionalFormatting>
  <conditionalFormatting sqref="D31">
    <cfRule type="cellIs" dxfId="34" priority="634" operator="equal">
      <formula>$S$1</formula>
    </cfRule>
    <cfRule type="cellIs" dxfId="33" priority="63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F104" sqref="AF10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32" x14ac:dyDescent="0.25">
      <c r="A81" s="30">
        <v>45.259255568176073</v>
      </c>
      <c r="E81"/>
    </row>
    <row r="82" spans="1:32" x14ac:dyDescent="0.25">
      <c r="A82" s="30">
        <v>41.144777789250973</v>
      </c>
      <c r="E82"/>
    </row>
    <row r="83" spans="1:32" x14ac:dyDescent="0.25">
      <c r="A83" s="30">
        <v>37.404343444773609</v>
      </c>
      <c r="E83"/>
    </row>
    <row r="84" spans="1:32" x14ac:dyDescent="0.25">
      <c r="A84" s="30">
        <v>34.003948586157826</v>
      </c>
      <c r="E84"/>
    </row>
    <row r="85" spans="1:32" x14ac:dyDescent="0.25">
      <c r="A85" s="30">
        <v>30.912680532870748</v>
      </c>
      <c r="E85"/>
    </row>
    <row r="86" spans="1:32" x14ac:dyDescent="0.25">
      <c r="A86" s="30">
        <v>28.102436848064315</v>
      </c>
      <c r="E86"/>
    </row>
    <row r="87" spans="1:32" x14ac:dyDescent="0.25">
      <c r="A87" s="30">
        <v>25.547669861876649</v>
      </c>
      <c r="E87"/>
    </row>
    <row r="88" spans="1:32" x14ac:dyDescent="0.25">
      <c r="A88" s="30">
        <v>23.225154419887861</v>
      </c>
      <c r="E88"/>
    </row>
    <row r="89" spans="1:32" x14ac:dyDescent="0.25">
      <c r="A89" s="30">
        <v>21.113776745352599</v>
      </c>
      <c r="E89"/>
      <c r="AA89" s="27" t="s">
        <v>8</v>
      </c>
    </row>
    <row r="90" spans="1:32" x14ac:dyDescent="0.25">
      <c r="A90" s="30">
        <v>19.194342495775089</v>
      </c>
      <c r="E90"/>
      <c r="M90" s="27" t="s">
        <v>8</v>
      </c>
      <c r="Y90" s="27" t="s">
        <v>8</v>
      </c>
      <c r="AA90" s="27" t="s">
        <v>8</v>
      </c>
      <c r="AB90" s="27" t="s">
        <v>7</v>
      </c>
    </row>
    <row r="91" spans="1:32" x14ac:dyDescent="0.25">
      <c r="A91" s="30">
        <v>17.449402268886445</v>
      </c>
      <c r="E91"/>
      <c r="M91" s="27" t="s">
        <v>8</v>
      </c>
      <c r="N91" s="27" t="s">
        <v>7</v>
      </c>
      <c r="W91" s="27" t="s">
        <v>8</v>
      </c>
      <c r="Y91" s="27" t="s">
        <v>8</v>
      </c>
      <c r="Z91" s="27" t="s">
        <v>7</v>
      </c>
      <c r="AA91" s="27" t="s">
        <v>8</v>
      </c>
      <c r="AB91" s="27" t="s">
        <v>7</v>
      </c>
    </row>
    <row r="92" spans="1:32" x14ac:dyDescent="0.25">
      <c r="A92" s="30">
        <v>15.863092971714948</v>
      </c>
      <c r="C92" s="1" t="s">
        <v>15</v>
      </c>
      <c r="E92"/>
      <c r="M92" s="27" t="s">
        <v>8</v>
      </c>
      <c r="N92" s="27" t="s">
        <v>7</v>
      </c>
      <c r="W92" s="27" t="s">
        <v>8</v>
      </c>
      <c r="X92" s="27" t="s">
        <v>7</v>
      </c>
      <c r="Y92" s="27" t="s">
        <v>8</v>
      </c>
      <c r="Z92" s="27" t="s">
        <v>7</v>
      </c>
      <c r="AA92" s="27" t="s">
        <v>8</v>
      </c>
      <c r="AB92" s="27" t="s">
        <v>7</v>
      </c>
    </row>
    <row r="93" spans="1:32" x14ac:dyDescent="0.25">
      <c r="A93" s="30">
        <v>14.420993610649951</v>
      </c>
      <c r="C93" s="7">
        <v>0.11167815779424731</v>
      </c>
      <c r="D93"/>
      <c r="E93"/>
      <c r="M93" s="27" t="s">
        <v>8</v>
      </c>
      <c r="N93" s="27" t="s">
        <v>7</v>
      </c>
      <c r="W93" s="27" t="s">
        <v>8</v>
      </c>
      <c r="X93" s="27" t="s">
        <v>7</v>
      </c>
      <c r="Y93" s="27" t="s">
        <v>8</v>
      </c>
      <c r="Z93" s="27" t="s">
        <v>7</v>
      </c>
      <c r="AA93" s="27" t="s">
        <v>8</v>
      </c>
      <c r="AB93" s="27" t="s">
        <v>7</v>
      </c>
      <c r="AC93" s="27" t="s">
        <v>8</v>
      </c>
    </row>
    <row r="94" spans="1:32" x14ac:dyDescent="0.25">
      <c r="A94" s="30">
        <v>13.109994191499954</v>
      </c>
      <c r="E94"/>
      <c r="M94" s="27" t="s">
        <v>8</v>
      </c>
      <c r="N94" s="27" t="s">
        <v>7</v>
      </c>
      <c r="O94" s="27" t="s">
        <v>8</v>
      </c>
      <c r="Q94" s="27" t="s">
        <v>8</v>
      </c>
      <c r="W94" s="27" t="s">
        <v>8</v>
      </c>
      <c r="X94" s="27" t="s">
        <v>7</v>
      </c>
      <c r="Y94" s="27" t="s">
        <v>8</v>
      </c>
      <c r="Z94" s="27" t="s">
        <v>7</v>
      </c>
      <c r="AA94" s="27" t="s">
        <v>8</v>
      </c>
      <c r="AB94" s="27" t="s">
        <v>7</v>
      </c>
      <c r="AC94" s="27" t="s">
        <v>8</v>
      </c>
      <c r="AD94" s="27" t="s">
        <v>7</v>
      </c>
      <c r="AE94" s="27" t="s">
        <v>8</v>
      </c>
    </row>
    <row r="95" spans="1:32" x14ac:dyDescent="0.25">
      <c r="A95" s="30">
        <v>11.918176537727231</v>
      </c>
      <c r="C95" s="1" t="s">
        <v>11</v>
      </c>
      <c r="D95" s="1" t="s">
        <v>12</v>
      </c>
      <c r="E95"/>
      <c r="M95" s="27" t="s">
        <v>8</v>
      </c>
      <c r="N95" s="27" t="s">
        <v>7</v>
      </c>
      <c r="O95" s="27" t="s">
        <v>8</v>
      </c>
      <c r="P95" s="27" t="s">
        <v>7</v>
      </c>
      <c r="Q95" s="27" t="s">
        <v>8</v>
      </c>
      <c r="R95" s="27" t="s">
        <v>7</v>
      </c>
      <c r="U95" s="27" t="s">
        <v>8</v>
      </c>
      <c r="W95" s="27" t="s">
        <v>8</v>
      </c>
      <c r="X95" s="27" t="s">
        <v>7</v>
      </c>
      <c r="Y95" s="27" t="s">
        <v>8</v>
      </c>
      <c r="Z95" s="27" t="s">
        <v>7</v>
      </c>
      <c r="AA95" s="27" t="s">
        <v>8</v>
      </c>
      <c r="AB95" s="27" t="s">
        <v>7</v>
      </c>
      <c r="AC95" s="27" t="s">
        <v>8</v>
      </c>
      <c r="AD95" s="27" t="s">
        <v>7</v>
      </c>
      <c r="AE95" s="27" t="s">
        <v>8</v>
      </c>
      <c r="AF95" s="27" t="s">
        <v>7</v>
      </c>
    </row>
    <row r="96" spans="1:32" x14ac:dyDescent="0.25">
      <c r="A96" s="30">
        <v>10.834705943388391</v>
      </c>
      <c r="C96"/>
      <c r="D96"/>
      <c r="E96"/>
      <c r="M96" s="27" t="s">
        <v>8</v>
      </c>
      <c r="N96" s="27" t="s">
        <v>7</v>
      </c>
      <c r="O96" s="27" t="s">
        <v>8</v>
      </c>
      <c r="P96" s="27" t="s">
        <v>7</v>
      </c>
      <c r="Q96" s="27" t="s">
        <v>8</v>
      </c>
      <c r="R96" s="27" t="s">
        <v>7</v>
      </c>
      <c r="S96" s="27" t="s">
        <v>8</v>
      </c>
      <c r="U96" s="27" t="s">
        <v>8</v>
      </c>
      <c r="V96" s="27" t="s">
        <v>7</v>
      </c>
      <c r="W96" s="27" t="s">
        <v>8</v>
      </c>
      <c r="X96" s="27" t="s">
        <v>7</v>
      </c>
      <c r="Z96" s="27" t="s">
        <v>7</v>
      </c>
      <c r="AB96" s="27" t="s">
        <v>7</v>
      </c>
      <c r="AC96" s="27" t="s">
        <v>8</v>
      </c>
      <c r="AD96" s="27" t="s">
        <v>7</v>
      </c>
      <c r="AE96" s="27" t="s">
        <v>8</v>
      </c>
      <c r="AF96" s="27" t="s">
        <v>7</v>
      </c>
    </row>
    <row r="97" spans="1:32" x14ac:dyDescent="0.25">
      <c r="A97" s="30">
        <v>9.849732675807628</v>
      </c>
      <c r="E97"/>
      <c r="M97" s="27" t="s">
        <v>8</v>
      </c>
      <c r="N97" s="27" t="s">
        <v>7</v>
      </c>
      <c r="O97" s="27" t="s">
        <v>8</v>
      </c>
      <c r="P97" s="27" t="s">
        <v>7</v>
      </c>
      <c r="R97" s="27" t="s">
        <v>7</v>
      </c>
      <c r="S97" s="27" t="s">
        <v>8</v>
      </c>
      <c r="T97" s="27" t="s">
        <v>7</v>
      </c>
      <c r="U97" s="27" t="s">
        <v>8</v>
      </c>
      <c r="V97" s="27" t="s">
        <v>7</v>
      </c>
      <c r="W97" s="27" t="s">
        <v>8</v>
      </c>
      <c r="AB97" s="27" t="s">
        <v>7</v>
      </c>
      <c r="AC97" s="27" t="s">
        <v>8</v>
      </c>
      <c r="AD97" s="27" t="s">
        <v>7</v>
      </c>
      <c r="AF97" s="27" t="s">
        <v>7</v>
      </c>
    </row>
    <row r="98" spans="1:32" x14ac:dyDescent="0.25">
      <c r="A98" s="30">
        <v>8.9543024325523888</v>
      </c>
      <c r="C98" s="1" t="s">
        <v>13</v>
      </c>
      <c r="E98"/>
      <c r="M98" s="27" t="s">
        <v>8</v>
      </c>
      <c r="N98" s="27" t="s">
        <v>7</v>
      </c>
      <c r="O98" s="27" t="s">
        <v>8</v>
      </c>
      <c r="R98" s="27" t="s">
        <v>7</v>
      </c>
      <c r="S98" s="27" t="s">
        <v>8</v>
      </c>
      <c r="T98" s="27" t="s">
        <v>7</v>
      </c>
      <c r="U98" s="27" t="s">
        <v>8</v>
      </c>
      <c r="V98" s="27" t="s">
        <v>7</v>
      </c>
      <c r="AB98" s="27" t="s">
        <v>7</v>
      </c>
      <c r="AF98" s="27" t="s">
        <v>7</v>
      </c>
    </row>
    <row r="99" spans="1:32" x14ac:dyDescent="0.25">
      <c r="A99" s="30">
        <v>8.140274938683989</v>
      </c>
      <c r="C99" s="1">
        <f>C88</f>
        <v>0</v>
      </c>
      <c r="E99" t="s">
        <v>8</v>
      </c>
      <c r="K99" s="27" t="s">
        <v>8</v>
      </c>
      <c r="M99" s="27" t="s">
        <v>8</v>
      </c>
      <c r="N99" s="27" t="s">
        <v>7</v>
      </c>
      <c r="R99" s="27" t="s">
        <v>7</v>
      </c>
      <c r="T99" s="27" t="s">
        <v>7</v>
      </c>
      <c r="U99" s="27" t="s">
        <v>8</v>
      </c>
      <c r="AF99" s="27" t="s">
        <v>7</v>
      </c>
    </row>
    <row r="100" spans="1:32" x14ac:dyDescent="0.25">
      <c r="A100" s="30">
        <v>7.4002499442581717</v>
      </c>
      <c r="C100"/>
      <c r="D100"/>
      <c r="E100" t="s">
        <v>8</v>
      </c>
      <c r="F100" s="27" t="s">
        <v>7</v>
      </c>
      <c r="K100" s="27" t="s">
        <v>8</v>
      </c>
      <c r="L100" s="27" t="s">
        <v>7</v>
      </c>
      <c r="M100" s="27" t="s">
        <v>8</v>
      </c>
      <c r="T100" s="27" t="s">
        <v>7</v>
      </c>
      <c r="AF100" s="27" t="s">
        <v>7</v>
      </c>
    </row>
    <row r="101" spans="1:32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K101" s="27" t="s">
        <v>8</v>
      </c>
      <c r="L101" s="27" t="s">
        <v>7</v>
      </c>
      <c r="M101" s="27" t="s">
        <v>8</v>
      </c>
      <c r="AF101" s="27" t="s">
        <v>7</v>
      </c>
    </row>
    <row r="102" spans="1:3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K102" s="27" t="s">
        <v>8</v>
      </c>
      <c r="L102" s="27" t="s">
        <v>7</v>
      </c>
      <c r="AF102" s="27" t="s">
        <v>7</v>
      </c>
    </row>
    <row r="103" spans="1:32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H103" s="27" t="s">
        <v>7</v>
      </c>
      <c r="I103" s="27" t="s">
        <v>8</v>
      </c>
      <c r="K103" s="27" t="s">
        <v>8</v>
      </c>
      <c r="AF103" s="27" t="s">
        <v>7</v>
      </c>
    </row>
    <row r="104" spans="1:32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I104" s="27" t="s">
        <v>8</v>
      </c>
      <c r="J104" s="27" t="s">
        <v>7</v>
      </c>
      <c r="K104" s="27" t="s">
        <v>8</v>
      </c>
      <c r="AF104" s="27" t="s">
        <v>7</v>
      </c>
    </row>
    <row r="105" spans="1:32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I105" s="27" t="s">
        <v>8</v>
      </c>
      <c r="J105" s="27" t="s">
        <v>7</v>
      </c>
      <c r="K105" s="27" t="s">
        <v>8</v>
      </c>
    </row>
    <row r="106" spans="1:32" x14ac:dyDescent="0.25">
      <c r="A106" s="30">
        <v>4.1772481694156562</v>
      </c>
      <c r="E106" t="s">
        <v>8</v>
      </c>
      <c r="F106" s="27" t="s">
        <v>7</v>
      </c>
      <c r="H106" s="27" t="s">
        <v>7</v>
      </c>
      <c r="I106" s="27" t="s">
        <v>8</v>
      </c>
      <c r="J106" s="27" t="s">
        <v>7</v>
      </c>
      <c r="K106" s="27" t="s">
        <v>8</v>
      </c>
    </row>
    <row r="107" spans="1:32" x14ac:dyDescent="0.25">
      <c r="A107" s="30">
        <v>3.7974983358324148</v>
      </c>
      <c r="E107" t="s">
        <v>8</v>
      </c>
      <c r="H107" s="27" t="s">
        <v>7</v>
      </c>
      <c r="I107" s="27" t="s">
        <v>8</v>
      </c>
      <c r="J107" s="27" t="s">
        <v>7</v>
      </c>
      <c r="K107" s="27" t="s">
        <v>8</v>
      </c>
    </row>
    <row r="108" spans="1:32" x14ac:dyDescent="0.25">
      <c r="A108" s="30">
        <v>3.4522712143931042</v>
      </c>
      <c r="E108" t="s">
        <v>8</v>
      </c>
      <c r="H108" s="27" t="s">
        <v>7</v>
      </c>
      <c r="J108" s="18" t="s">
        <v>7</v>
      </c>
      <c r="K108" s="27" t="s">
        <v>8</v>
      </c>
    </row>
    <row r="109" spans="1:32" x14ac:dyDescent="0.25">
      <c r="A109" s="30">
        <v>3.1384283767210035</v>
      </c>
      <c r="E109" t="s">
        <v>8</v>
      </c>
      <c r="J109" s="27" t="s">
        <v>7</v>
      </c>
    </row>
    <row r="110" spans="1:32" x14ac:dyDescent="0.25">
      <c r="A110" s="30">
        <v>2.8531167061100029</v>
      </c>
      <c r="E110" t="s">
        <v>8</v>
      </c>
    </row>
    <row r="111" spans="1:32" x14ac:dyDescent="0.25">
      <c r="A111" s="30">
        <v>2.5937424601000023</v>
      </c>
      <c r="C111" s="1" t="str">
        <f>ADDRESS(C121-1,1,1,1)</f>
        <v>$A$103</v>
      </c>
      <c r="D111" s="1" t="str">
        <f>ADDRESS(C121-1,D121,1,1)</f>
        <v>$AF$103</v>
      </c>
      <c r="E111" t="s">
        <v>8</v>
      </c>
    </row>
    <row r="112" spans="1:32" x14ac:dyDescent="0.25">
      <c r="A112" s="30">
        <v>2.3579476910000019</v>
      </c>
      <c r="C112" s="1" t="str">
        <f>ADDRESS(C121,1,1,1)</f>
        <v>$A$104</v>
      </c>
      <c r="D112" s="1" t="str">
        <f>ADDRESS(C121,D121-1,1,1)</f>
        <v>$AE$104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$A$105</v>
      </c>
      <c r="D113" s="1" t="str">
        <f>ADDRESS(C121-1,D121+1,1,1)</f>
        <v>$AG$103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$AF$104</v>
      </c>
      <c r="D114" s="1" t="str">
        <f>ADDRESS(C121+1,D121+1,1,1)</f>
        <v>$AG$105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$AF$105</v>
      </c>
      <c r="E115" s="1" t="s">
        <v>8</v>
      </c>
    </row>
    <row r="116" spans="1:5" x14ac:dyDescent="0.25">
      <c r="A116" s="30">
        <v>1.6105100000000008</v>
      </c>
      <c r="C116" s="1">
        <f>C117-1</f>
        <v>103</v>
      </c>
      <c r="E116" s="1" t="s">
        <v>8</v>
      </c>
    </row>
    <row r="117" spans="1:5" x14ac:dyDescent="0.25">
      <c r="A117" s="30">
        <v>1.4641000000000006</v>
      </c>
      <c r="C117" s="1">
        <f>C121</f>
        <v>104</v>
      </c>
      <c r="D117" s="1">
        <f>D121</f>
        <v>32</v>
      </c>
      <c r="E117" s="1" t="s">
        <v>8</v>
      </c>
    </row>
    <row r="118" spans="1:5" x14ac:dyDescent="0.25">
      <c r="A118" s="30">
        <v>1.3310000000000004</v>
      </c>
      <c r="C118" s="1">
        <f>C117+1</f>
        <v>105</v>
      </c>
      <c r="D118" s="1">
        <f>D117+1</f>
        <v>33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104</v>
      </c>
      <c r="D121" s="19">
        <v>32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R104</v>
      </c>
      <c r="D123" s="1" t="str">
        <f>"C"&amp;D121</f>
        <v>C32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5.0544702849929442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52" operator="equal">
      <formula>$U$1</formula>
    </cfRule>
    <cfRule type="cellIs" dxfId="30" priority="653" operator="equal">
      <formula>$S$1</formula>
    </cfRule>
  </conditionalFormatting>
  <conditionalFormatting sqref="D136">
    <cfRule type="cellIs" dxfId="29" priority="650" operator="equal">
      <formula>$S$1</formula>
    </cfRule>
    <cfRule type="cellIs" dxfId="28" priority="651" operator="equal">
      <formula>$U$1</formula>
    </cfRule>
  </conditionalFormatting>
  <conditionalFormatting sqref="C102">
    <cfRule type="cellIs" dxfId="27" priority="648" operator="equal">
      <formula>$U$1</formula>
    </cfRule>
    <cfRule type="cellIs" dxfId="26" priority="649" operator="equal">
      <formula>$S$1</formula>
    </cfRule>
  </conditionalFormatting>
  <conditionalFormatting sqref="D102">
    <cfRule type="cellIs" dxfId="25" priority="646" operator="equal">
      <formula>$S$1</formula>
    </cfRule>
    <cfRule type="cellIs" dxfId="24" priority="647" operator="equal">
      <formula>$U$1</formula>
    </cfRule>
  </conditionalFormatting>
  <conditionalFormatting sqref="C77">
    <cfRule type="cellIs" dxfId="23" priority="644" operator="equal">
      <formula>$U$1</formula>
    </cfRule>
    <cfRule type="cellIs" dxfId="22" priority="645" operator="equal">
      <formula>$S$1</formula>
    </cfRule>
  </conditionalFormatting>
  <conditionalFormatting sqref="D77">
    <cfRule type="cellIs" dxfId="21" priority="642" operator="equal">
      <formula>$S$1</formula>
    </cfRule>
    <cfRule type="cellIs" dxfId="20" priority="643" operator="equal">
      <formula>$U$1</formula>
    </cfRule>
  </conditionalFormatting>
  <conditionalFormatting sqref="C52">
    <cfRule type="cellIs" dxfId="19" priority="640" operator="equal">
      <formula>$U$1</formula>
    </cfRule>
    <cfRule type="cellIs" dxfId="18" priority="641" operator="equal">
      <formula>$S$1</formula>
    </cfRule>
  </conditionalFormatting>
  <conditionalFormatting sqref="D52">
    <cfRule type="cellIs" dxfId="17" priority="638" operator="equal">
      <formula>$S$1</formula>
    </cfRule>
    <cfRule type="cellIs" dxfId="16" priority="639" operator="equal">
      <formula>$U$1</formula>
    </cfRule>
  </conditionalFormatting>
  <conditionalFormatting sqref="C26">
    <cfRule type="cellIs" dxfId="15" priority="636" operator="equal">
      <formula>$U$1</formula>
    </cfRule>
    <cfRule type="cellIs" dxfId="14" priority="637" operator="equal">
      <formula>$S$1</formula>
    </cfRule>
  </conditionalFormatting>
  <conditionalFormatting sqref="D26">
    <cfRule type="cellIs" dxfId="13" priority="634" operator="equal">
      <formula>$S$1</formula>
    </cfRule>
    <cfRule type="cellIs" dxfId="12" priority="63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2022-01-28T01:18:45Z</dcterms:modified>
</cp:coreProperties>
</file>