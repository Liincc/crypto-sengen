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CE03DEA-A03A-492B-8913-CCE935455CB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D136" i="4" s="1"/>
  <c r="C118" i="4"/>
  <c r="R765" i="1"/>
  <c r="S766" i="1"/>
  <c r="T766" i="1" s="1"/>
  <c r="C122" i="3"/>
  <c r="C133" i="3" s="1"/>
  <c r="D136" i="3" s="1"/>
  <c r="C118" i="3"/>
  <c r="D136" i="5" l="1"/>
  <c r="C138" i="5" s="1"/>
  <c r="C136" i="4"/>
  <c r="C138" i="4" s="1"/>
  <c r="R764" i="1"/>
  <c r="S765" i="1"/>
  <c r="T765" i="1" s="1"/>
  <c r="C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S750" i="1" l="1"/>
  <c r="T750" i="1" s="1"/>
  <c r="R749" i="1"/>
  <c r="S749" i="1" l="1"/>
  <c r="T749" i="1" s="1"/>
  <c r="R748" i="1"/>
  <c r="R747" i="1" l="1"/>
  <c r="S748" i="1"/>
  <c r="T748" i="1" s="1"/>
  <c r="S747" i="1" l="1"/>
  <c r="T747" i="1" s="1"/>
  <c r="R746" i="1"/>
  <c r="R745" i="1" l="1"/>
  <c r="S746" i="1"/>
  <c r="T746" i="1" s="1"/>
  <c r="S745" i="1" l="1"/>
  <c r="T745" i="1" s="1"/>
  <c r="R744" i="1"/>
  <c r="S744" i="1" l="1"/>
  <c r="T744" i="1" s="1"/>
  <c r="R743" i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S698" i="1" l="1"/>
  <c r="T698" i="1" s="1"/>
  <c r="R697" i="1"/>
  <c r="R696" i="1" l="1"/>
  <c r="S697" i="1"/>
  <c r="T697" i="1" s="1"/>
  <c r="S696" i="1" l="1"/>
  <c r="T696" i="1" s="1"/>
  <c r="R695" i="1"/>
  <c r="R694" i="1" l="1"/>
  <c r="S695" i="1"/>
  <c r="T695" i="1" s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S645" i="1" l="1"/>
  <c r="T645" i="1" s="1"/>
  <c r="R644" i="1"/>
  <c r="R643" i="1" l="1"/>
  <c r="S644" i="1"/>
  <c r="T644" i="1" s="1"/>
  <c r="R642" i="1" l="1"/>
  <c r="S643" i="1"/>
  <c r="T643" i="1" s="1"/>
  <c r="S642" i="1" l="1"/>
  <c r="T642" i="1" s="1"/>
  <c r="R641" i="1"/>
  <c r="R640" i="1" l="1"/>
  <c r="S641" i="1"/>
  <c r="T641" i="1" s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R572" i="1" l="1"/>
  <c r="S573" i="1"/>
  <c r="T573" i="1" s="1"/>
  <c r="S572" i="1" l="1"/>
  <c r="T572" i="1" s="1"/>
  <c r="R571" i="1"/>
  <c r="R570" i="1" l="1"/>
  <c r="S571" i="1"/>
  <c r="T571" i="1" s="1"/>
  <c r="S570" i="1" l="1"/>
  <c r="T570" i="1" s="1"/>
  <c r="R569" i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S527" i="1" l="1"/>
  <c r="T527" i="1" s="1"/>
  <c r="R526" i="1"/>
  <c r="R525" i="1" l="1"/>
  <c r="S526" i="1"/>
  <c r="T526" i="1" s="1"/>
  <c r="S525" i="1" l="1"/>
  <c r="T525" i="1" s="1"/>
  <c r="R524" i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S484" i="1" l="1"/>
  <c r="T484" i="1" s="1"/>
  <c r="R483" i="1"/>
  <c r="R482" i="1" l="1"/>
  <c r="S483" i="1"/>
  <c r="T483" i="1" s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S430" i="1" l="1"/>
  <c r="T430" i="1" s="1"/>
  <c r="R429" i="1"/>
  <c r="R428" i="1" l="1"/>
  <c r="S429" i="1"/>
  <c r="T429" i="1" s="1"/>
  <c r="S428" i="1" l="1"/>
  <c r="T428" i="1" s="1"/>
  <c r="R427" i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S233" i="1" l="1"/>
  <c r="T233" i="1" s="1"/>
  <c r="R232" i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S203" i="1" l="1"/>
  <c r="T203" i="1" s="1"/>
  <c r="R202" i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S121" i="1" l="1"/>
  <c r="T121" i="1" s="1"/>
  <c r="R120" i="1"/>
  <c r="R119" i="1" l="1"/>
  <c r="S120" i="1"/>
  <c r="T120" i="1" s="1"/>
  <c r="S119" i="1" l="1"/>
  <c r="T119" i="1" s="1"/>
  <c r="R118" i="1"/>
  <c r="R117" i="1" l="1"/>
  <c r="S118" i="1"/>
  <c r="T118" i="1" s="1"/>
  <c r="S117" i="1" l="1"/>
  <c r="T117" i="1" s="1"/>
  <c r="R116" i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<sst xmlns="http://schemas.openxmlformats.org/spreadsheetml/2006/main" count="6502" uniqueCount="34">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</sst>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18.559999999999999</c:v>
                </c:pt>
                <c:pt idx="1">
                  <c:v>18.96</c:v>
                </c:pt>
                <c:pt idx="2">
                  <c:v>19.03</c:v>
                </c:pt>
                <c:pt idx="3">
                  <c:v>18.899999999999999</c:v>
                </c:pt>
                <c:pt idx="4">
                  <c:v>19.420000000000002</c:v>
                </c:pt>
                <c:pt idx="5">
                  <c:v>18.88</c:v>
                </c:pt>
                <c:pt idx="6">
                  <c:v>21.2</c:v>
                </c:pt>
                <c:pt idx="7">
                  <c:v>24.4</c:v>
                </c:pt>
                <c:pt idx="8">
                  <c:v>26.1</c:v>
                </c:pt>
                <c:pt idx="9">
                  <c:v>27.85</c:v>
                </c:pt>
                <c:pt idx="10">
                  <c:v>28.89</c:v>
                </c:pt>
                <c:pt idx="11">
                  <c:v>30.86</c:v>
                </c:pt>
                <c:pt idx="12">
                  <c:v>30.62</c:v>
                </c:pt>
                <c:pt idx="13">
                  <c:v>29.69</c:v>
                </c:pt>
                <c:pt idx="14">
                  <c:v>29.32</c:v>
                </c:pt>
                <c:pt idx="15">
                  <c:v>31.48</c:v>
                </c:pt>
                <c:pt idx="16">
                  <c:v>29.46</c:v>
                </c:pt>
                <c:pt idx="17">
                  <c:v>28.03</c:v>
                </c:pt>
                <c:pt idx="18">
                  <c:v>29.89</c:v>
                </c:pt>
                <c:pt idx="19">
                  <c:v>28.83</c:v>
                </c:pt>
                <c:pt idx="20">
                  <c:v>30.98</c:v>
                </c:pt>
                <c:pt idx="21">
                  <c:v>33.1</c:v>
                </c:pt>
                <c:pt idx="22">
                  <c:v>33.340000000000003</c:v>
                </c:pt>
                <c:pt idx="23">
                  <c:v>35.840000000000003</c:v>
                </c:pt>
                <c:pt idx="24">
                  <c:v>36.409999999999997</c:v>
                </c:pt>
                <c:pt idx="25">
                  <c:v>35.58</c:v>
                </c:pt>
                <c:pt idx="26">
                  <c:v>35.26</c:v>
                </c:pt>
                <c:pt idx="27">
                  <c:v>33.06</c:v>
                </c:pt>
                <c:pt idx="28">
                  <c:v>33.99</c:v>
                </c:pt>
                <c:pt idx="29">
                  <c:v>33.229999999999997</c:v>
                </c:pt>
                <c:pt idx="30">
                  <c:v>35.03</c:v>
                </c:pt>
                <c:pt idx="31">
                  <c:v>39.57</c:v>
                </c:pt>
                <c:pt idx="32">
                  <c:v>38.94</c:v>
                </c:pt>
                <c:pt idx="33">
                  <c:v>39.33</c:v>
                </c:pt>
                <c:pt idx="34">
                  <c:v>34.869999999999997</c:v>
                </c:pt>
                <c:pt idx="35">
                  <c:v>37.1</c:v>
                </c:pt>
                <c:pt idx="36">
                  <c:v>33.770000000000003</c:v>
                </c:pt>
                <c:pt idx="37">
                  <c:v>32.049999999999997</c:v>
                </c:pt>
                <c:pt idx="38">
                  <c:v>30.28</c:v>
                </c:pt>
                <c:pt idx="39">
                  <c:v>31.86</c:v>
                </c:pt>
                <c:pt idx="40">
                  <c:v>33.24</c:v>
                </c:pt>
                <c:pt idx="41">
                  <c:v>31.73</c:v>
                </c:pt>
                <c:pt idx="42">
                  <c:v>31.83</c:v>
                </c:pt>
                <c:pt idx="43">
                  <c:v>31.84</c:v>
                </c:pt>
                <c:pt idx="44">
                  <c:v>31.25</c:v>
                </c:pt>
                <c:pt idx="45">
                  <c:v>30.55</c:v>
                </c:pt>
                <c:pt idx="46">
                  <c:v>36.299999999999997</c:v>
                </c:pt>
                <c:pt idx="47">
                  <c:v>33.86</c:v>
                </c:pt>
                <c:pt idx="48">
                  <c:v>33.42</c:v>
                </c:pt>
                <c:pt idx="49">
                  <c:v>35.090000000000003</c:v>
                </c:pt>
                <c:pt idx="50">
                  <c:v>39.47</c:v>
                </c:pt>
                <c:pt idx="51">
                  <c:v>37.729999999999997</c:v>
                </c:pt>
                <c:pt idx="52">
                  <c:v>36.950000000000003</c:v>
                </c:pt>
                <c:pt idx="53">
                  <c:v>36.700000000000003</c:v>
                </c:pt>
                <c:pt idx="54">
                  <c:v>39.06</c:v>
                </c:pt>
                <c:pt idx="55">
                  <c:v>47.39</c:v>
                </c:pt>
                <c:pt idx="56">
                  <c:v>50.92</c:v>
                </c:pt>
                <c:pt idx="57">
                  <c:v>52.03</c:v>
                </c:pt>
                <c:pt idx="58">
                  <c:v>52.83</c:v>
                </c:pt>
                <c:pt idx="59">
                  <c:v>54.22</c:v>
                </c:pt>
                <c:pt idx="60">
                  <c:v>54.78</c:v>
                </c:pt>
                <c:pt idx="61">
                  <c:v>55.15</c:v>
                </c:pt>
                <c:pt idx="62">
                  <c:v>52.95</c:v>
                </c:pt>
                <c:pt idx="63">
                  <c:v>59.27</c:v>
                </c:pt>
                <c:pt idx="64">
                  <c:v>58.03</c:v>
                </c:pt>
                <c:pt idx="65">
                  <c:v>56.47</c:v>
                </c:pt>
                <c:pt idx="66">
                  <c:v>53.19</c:v>
                </c:pt>
                <c:pt idx="67">
                  <c:v>56.14</c:v>
                </c:pt>
                <c:pt idx="68">
                  <c:v>56.36</c:v>
                </c:pt>
                <c:pt idx="69">
                  <c:v>55.43</c:v>
                </c:pt>
                <c:pt idx="70">
                  <c:v>49.97</c:v>
                </c:pt>
                <c:pt idx="71">
                  <c:v>55.92</c:v>
                </c:pt>
                <c:pt idx="72">
                  <c:v>57.33</c:v>
                </c:pt>
                <c:pt idx="73">
                  <c:v>66.75</c:v>
                </c:pt>
                <c:pt idx="74">
                  <c:v>72.86</c:v>
                </c:pt>
                <c:pt idx="75">
                  <c:v>73.069999999999993</c:v>
                </c:pt>
                <c:pt idx="76">
                  <c:v>68.319999999999993</c:v>
                </c:pt>
                <c:pt idx="77">
                  <c:v>69.31</c:v>
                </c:pt>
                <c:pt idx="78">
                  <c:v>63.58</c:v>
                </c:pt>
                <c:pt idx="79">
                  <c:v>67.42</c:v>
                </c:pt>
                <c:pt idx="80">
                  <c:v>64.34</c:v>
                </c:pt>
                <c:pt idx="81">
                  <c:v>58.82</c:v>
                </c:pt>
                <c:pt idx="82">
                  <c:v>60.31</c:v>
                </c:pt>
                <c:pt idx="83">
                  <c:v>61.06</c:v>
                </c:pt>
                <c:pt idx="84">
                  <c:v>62.38</c:v>
                </c:pt>
                <c:pt idx="85">
                  <c:v>63.81</c:v>
                </c:pt>
                <c:pt idx="86">
                  <c:v>63.29</c:v>
                </c:pt>
                <c:pt idx="87">
                  <c:v>62.14</c:v>
                </c:pt>
                <c:pt idx="88">
                  <c:v>59.36</c:v>
                </c:pt>
                <c:pt idx="89">
                  <c:v>55.22</c:v>
                </c:pt>
                <c:pt idx="90">
                  <c:v>52.59</c:v>
                </c:pt>
                <c:pt idx="91">
                  <c:v>50.61</c:v>
                </c:pt>
                <c:pt idx="92">
                  <c:v>48.42</c:v>
                </c:pt>
                <c:pt idx="93">
                  <c:v>54.03</c:v>
                </c:pt>
                <c:pt idx="94">
                  <c:v>55.7</c:v>
                </c:pt>
                <c:pt idx="95">
                  <c:v>53.84</c:v>
                </c:pt>
                <c:pt idx="96">
                  <c:v>55.62</c:v>
                </c:pt>
                <c:pt idx="97">
                  <c:v>57.23</c:v>
                </c:pt>
                <c:pt idx="98">
                  <c:v>59</c:v>
                </c:pt>
                <c:pt idx="99">
                  <c:v>58.76</c:v>
                </c:pt>
                <c:pt idx="100">
                  <c:v>55.24</c:v>
                </c:pt>
                <c:pt idx="101">
                  <c:v>53.73</c:v>
                </c:pt>
                <c:pt idx="102">
                  <c:v>53.12</c:v>
                </c:pt>
                <c:pt idx="103">
                  <c:v>50.99</c:v>
                </c:pt>
                <c:pt idx="104">
                  <c:v>49.49</c:v>
                </c:pt>
                <c:pt idx="105">
                  <c:v>47.44</c:v>
                </c:pt>
                <c:pt idx="106">
                  <c:v>45.94</c:v>
                </c:pt>
                <c:pt idx="107">
                  <c:v>44.57</c:v>
                </c:pt>
                <c:pt idx="108">
                  <c:v>45.04</c:v>
                </c:pt>
                <c:pt idx="109">
                  <c:v>45.1</c:v>
                </c:pt>
                <c:pt idx="110">
                  <c:v>48.56</c:v>
                </c:pt>
                <c:pt idx="111">
                  <c:v>49.7</c:v>
                </c:pt>
                <c:pt idx="112">
                  <c:v>49.46</c:v>
                </c:pt>
                <c:pt idx="113">
                  <c:v>49.1</c:v>
                </c:pt>
                <c:pt idx="114">
                  <c:v>49.93</c:v>
                </c:pt>
                <c:pt idx="115">
                  <c:v>47.27</c:v>
                </c:pt>
                <c:pt idx="116">
                  <c:v>49.16</c:v>
                </c:pt>
                <c:pt idx="117">
                  <c:v>48.33</c:v>
                </c:pt>
                <c:pt idx="118">
                  <c:v>48.06</c:v>
                </c:pt>
                <c:pt idx="119">
                  <c:v>43.05</c:v>
                </c:pt>
                <c:pt idx="120">
                  <c:v>41.59</c:v>
                </c:pt>
                <c:pt idx="121">
                  <c:v>41.28</c:v>
                </c:pt>
                <c:pt idx="122">
                  <c:v>43.01</c:v>
                </c:pt>
                <c:pt idx="123">
                  <c:v>45.41</c:v>
                </c:pt>
                <c:pt idx="124">
                  <c:v>45.25</c:v>
                </c:pt>
                <c:pt idx="125">
                  <c:v>44.37</c:v>
                </c:pt>
                <c:pt idx="126">
                  <c:v>49.31</c:v>
                </c:pt>
                <c:pt idx="127">
                  <c:v>46.54</c:v>
                </c:pt>
                <c:pt idx="128">
                  <c:v>41.32</c:v>
                </c:pt>
                <c:pt idx="129">
                  <c:v>51.94</c:v>
                </c:pt>
                <c:pt idx="130">
                  <c:v>55.37</c:v>
                </c:pt>
                <c:pt idx="131">
                  <c:v>59.7</c:v>
                </c:pt>
                <c:pt idx="132">
                  <c:v>58.34</c:v>
                </c:pt>
                <c:pt idx="133">
                  <c:v>57.47</c:v>
                </c:pt>
                <c:pt idx="134">
                  <c:v>60.55</c:v>
                </c:pt>
                <c:pt idx="135">
                  <c:v>56.06</c:v>
                </c:pt>
                <c:pt idx="136">
                  <c:v>51.5</c:v>
                </c:pt>
                <c:pt idx="137">
                  <c:v>56.49</c:v>
                </c:pt>
                <c:pt idx="138">
                  <c:v>51.11</c:v>
                </c:pt>
                <c:pt idx="139">
                  <c:v>49.22</c:v>
                </c:pt>
                <c:pt idx="140">
                  <c:v>52.81</c:v>
                </c:pt>
                <c:pt idx="141">
                  <c:v>52.52</c:v>
                </c:pt>
                <c:pt idx="142">
                  <c:v>50.97</c:v>
                </c:pt>
                <c:pt idx="143">
                  <c:v>62.68</c:v>
                </c:pt>
                <c:pt idx="144">
                  <c:v>64.89</c:v>
                </c:pt>
                <c:pt idx="145">
                  <c:v>60.58</c:v>
                </c:pt>
                <c:pt idx="146">
                  <c:v>58.54</c:v>
                </c:pt>
                <c:pt idx="147">
                  <c:v>58.05</c:v>
                </c:pt>
                <c:pt idx="148">
                  <c:v>56.48</c:v>
                </c:pt>
                <c:pt idx="149">
                  <c:v>51.37</c:v>
                </c:pt>
                <c:pt idx="150">
                  <c:v>52.09</c:v>
                </c:pt>
                <c:pt idx="151">
                  <c:v>52.4</c:v>
                </c:pt>
                <c:pt idx="152">
                  <c:v>53.22</c:v>
                </c:pt>
                <c:pt idx="153">
                  <c:v>53.05</c:v>
                </c:pt>
                <c:pt idx="154">
                  <c:v>49.94</c:v>
                </c:pt>
                <c:pt idx="155">
                  <c:v>55.186999999999998</c:v>
                </c:pt>
                <c:pt idx="156">
                  <c:v>53.865000000000002</c:v>
                </c:pt>
                <c:pt idx="157">
                  <c:v>59.585000000000001</c:v>
                </c:pt>
                <c:pt idx="158">
                  <c:v>60.613999999999997</c:v>
                </c:pt>
                <c:pt idx="159">
                  <c:v>59.588000000000001</c:v>
                </c:pt>
                <c:pt idx="160">
                  <c:v>56.948999999999998</c:v>
                </c:pt>
                <c:pt idx="161">
                  <c:v>54.786999999999999</c:v>
                </c:pt>
                <c:pt idx="162">
                  <c:v>50.975000000000001</c:v>
                </c:pt>
                <c:pt idx="163">
                  <c:v>50.835999999999999</c:v>
                </c:pt>
                <c:pt idx="164">
                  <c:v>52.323</c:v>
                </c:pt>
                <c:pt idx="165">
                  <c:v>52.23</c:v>
                </c:pt>
                <c:pt idx="166">
                  <c:v>52.555999999999997</c:v>
                </c:pt>
                <c:pt idx="167">
                  <c:v>50.356999999999999</c:v>
                </c:pt>
                <c:pt idx="168">
                  <c:v>47.040999999999997</c:v>
                </c:pt>
                <c:pt idx="169">
                  <c:v>47.536999999999999</c:v>
                </c:pt>
                <c:pt idx="170">
                  <c:v>48.235999999999997</c:v>
                </c:pt>
                <c:pt idx="171">
                  <c:v>45.4</c:v>
                </c:pt>
                <c:pt idx="172">
                  <c:v>43.031999999999996</c:v>
                </c:pt>
                <c:pt idx="173">
                  <c:v>46.027000000000001</c:v>
                </c:pt>
                <c:pt idx="174">
                  <c:v>46.192</c:v>
                </c:pt>
                <c:pt idx="175">
                  <c:v>45.960999999999999</c:v>
                </c:pt>
                <c:pt idx="176">
                  <c:v>42.72</c:v>
                </c:pt>
                <c:pt idx="177">
                  <c:v>41.16</c:v>
                </c:pt>
                <c:pt idx="178">
                  <c:v>40.843000000000004</c:v>
                </c:pt>
                <c:pt idx="179">
                  <c:v>38.793999999999997</c:v>
                </c:pt>
                <c:pt idx="180">
                  <c:v>40.667000000000002</c:v>
                </c:pt>
                <c:pt idx="181">
                  <c:v>40.685000000000002</c:v>
                </c:pt>
                <c:pt idx="182">
                  <c:v>36.478000000000002</c:v>
                </c:pt>
                <c:pt idx="183">
                  <c:v>36.186999999999998</c:v>
                </c:pt>
                <c:pt idx="184">
                  <c:v>36.128999999999998</c:v>
                </c:pt>
                <c:pt idx="185">
                  <c:v>34.6</c:v>
                </c:pt>
                <c:pt idx="186">
                  <c:v>34.244999999999997</c:v>
                </c:pt>
                <c:pt idx="187">
                  <c:v>34.262</c:v>
                </c:pt>
                <c:pt idx="188">
                  <c:v>34.197000000000003</c:v>
                </c:pt>
                <c:pt idx="189">
                  <c:v>31.834</c:v>
                </c:pt>
                <c:pt idx="190">
                  <c:v>31.986000000000001</c:v>
                </c:pt>
                <c:pt idx="191">
                  <c:v>29.742000000000001</c:v>
                </c:pt>
                <c:pt idx="192">
                  <c:v>29.640999999999998</c:v>
                </c:pt>
                <c:pt idx="193">
                  <c:v>32.353000000000002</c:v>
                </c:pt>
                <c:pt idx="194">
                  <c:v>31.893000000000001</c:v>
                </c:pt>
                <c:pt idx="195">
                  <c:v>32.194000000000003</c:v>
                </c:pt>
                <c:pt idx="196">
                  <c:v>33.929000000000002</c:v>
                </c:pt>
                <c:pt idx="197">
                  <c:v>36.579000000000001</c:v>
                </c:pt>
                <c:pt idx="198">
                  <c:v>37.408999999999999</c:v>
                </c:pt>
                <c:pt idx="199">
                  <c:v>38.97</c:v>
                </c:pt>
                <c:pt idx="200">
                  <c:v>40.427</c:v>
                </c:pt>
                <c:pt idx="201">
                  <c:v>41.548999999999999</c:v>
                </c:pt>
                <c:pt idx="202">
                  <c:v>38.299999999999997</c:v>
                </c:pt>
                <c:pt idx="203">
                  <c:v>38.081000000000003</c:v>
                </c:pt>
                <c:pt idx="204">
                  <c:v>42.234999999999999</c:v>
                </c:pt>
                <c:pt idx="205">
                  <c:v>39.945999999999998</c:v>
                </c:pt>
                <c:pt idx="206">
                  <c:v>37.290999999999997</c:v>
                </c:pt>
                <c:pt idx="207">
                  <c:v>39.337000000000003</c:v>
                </c:pt>
                <c:pt idx="208">
                  <c:v>38.756999999999998</c:v>
                </c:pt>
                <c:pt idx="209">
                  <c:v>37.128</c:v>
                </c:pt>
                <c:pt idx="210">
                  <c:v>36.621000000000002</c:v>
                </c:pt>
                <c:pt idx="211">
                  <c:v>40.290999999999997</c:v>
                </c:pt>
                <c:pt idx="212">
                  <c:v>41.098999999999997</c:v>
                </c:pt>
                <c:pt idx="213">
                  <c:v>38.481999999999999</c:v>
                </c:pt>
                <c:pt idx="214">
                  <c:v>39.031999999999996</c:v>
                </c:pt>
                <c:pt idx="215">
                  <c:v>34.686</c:v>
                </c:pt>
                <c:pt idx="216">
                  <c:v>33.923999999999999</c:v>
                </c:pt>
                <c:pt idx="217">
                  <c:v>38.22</c:v>
                </c:pt>
                <c:pt idx="218">
                  <c:v>36.17</c:v>
                </c:pt>
                <c:pt idx="219">
                  <c:v>31.635999999999999</c:v>
                </c:pt>
                <c:pt idx="220">
                  <c:v>32.622999999999998</c:v>
                </c:pt>
                <c:pt idx="221">
                  <c:v>43.045999999999999</c:v>
                </c:pt>
                <c:pt idx="222">
                  <c:v>42.223999999999997</c:v>
                </c:pt>
                <c:pt idx="223">
                  <c:v>44.335999999999999</c:v>
                </c:pt>
                <c:pt idx="224">
                  <c:v>47.633000000000003</c:v>
                </c:pt>
                <c:pt idx="225">
                  <c:v>46.445</c:v>
                </c:pt>
                <c:pt idx="226">
                  <c:v>50</c:v>
                </c:pt>
                <c:pt idx="227">
                  <c:v>51.054000000000002</c:v>
                </c:pt>
                <c:pt idx="228">
                  <c:v>49.052</c:v>
                </c:pt>
                <c:pt idx="229">
                  <c:v>44.973999999999997</c:v>
                </c:pt>
                <c:pt idx="230">
                  <c:v>48.055999999999997</c:v>
                </c:pt>
                <c:pt idx="231">
                  <c:v>49.673000000000002</c:v>
                </c:pt>
                <c:pt idx="232">
                  <c:v>56.222000000000001</c:v>
                </c:pt>
                <c:pt idx="233">
                  <c:v>54.564</c:v>
                </c:pt>
                <c:pt idx="234">
                  <c:v>55.999000000000002</c:v>
                </c:pt>
                <c:pt idx="235">
                  <c:v>64.447000000000003</c:v>
                </c:pt>
                <c:pt idx="236">
                  <c:v>60.886000000000003</c:v>
                </c:pt>
                <c:pt idx="237">
                  <c:v>63.106999999999999</c:v>
                </c:pt>
                <c:pt idx="238">
                  <c:v>70.537000000000006</c:v>
                </c:pt>
                <c:pt idx="239">
                  <c:v>64.363</c:v>
                </c:pt>
                <c:pt idx="240">
                  <c:v>59.231999999999999</c:v>
                </c:pt>
                <c:pt idx="241">
                  <c:v>62.771999999999998</c:v>
                </c:pt>
                <c:pt idx="242">
                  <c:v>60.15</c:v>
                </c:pt>
                <c:pt idx="243">
                  <c:v>52.484000000000002</c:v>
                </c:pt>
                <c:pt idx="244">
                  <c:v>55.874000000000002</c:v>
                </c:pt>
                <c:pt idx="245">
                  <c:v>64.81</c:v>
                </c:pt>
                <c:pt idx="246">
                  <c:v>71.423000000000002</c:v>
                </c:pt>
                <c:pt idx="247">
                  <c:v>52.668999999999997</c:v>
                </c:pt>
                <c:pt idx="248">
                  <c:v>52.4</c:v>
                </c:pt>
                <c:pt idx="249">
                  <c:v>41.78</c:v>
                </c:pt>
                <c:pt idx="250">
                  <c:v>51.173999999999999</c:v>
                </c:pt>
                <c:pt idx="251">
                  <c:v>56.36</c:v>
                </c:pt>
                <c:pt idx="252">
                  <c:v>66.994</c:v>
                </c:pt>
                <c:pt idx="253">
                  <c:v>53.859000000000002</c:v>
                </c:pt>
                <c:pt idx="254">
                  <c:v>89.664000000000001</c:v>
                </c:pt>
                <c:pt idx="255">
                  <c:v>85.406000000000006</c:v>
                </c:pt>
                <c:pt idx="256">
                  <c:v>94.222999999999999</c:v>
                </c:pt>
                <c:pt idx="257">
                  <c:v>93.385000000000005</c:v>
                </c:pt>
                <c:pt idx="258">
                  <c:v>106.922</c:v>
                </c:pt>
                <c:pt idx="259">
                  <c:v>100.63800000000001</c:v>
                </c:pt>
                <c:pt idx="260">
                  <c:v>100</c:v>
                </c:pt>
                <c:pt idx="261">
                  <c:v>121.364</c:v>
                </c:pt>
                <c:pt idx="262">
                  <c:v>123.523</c:v>
                </c:pt>
                <c:pt idx="263">
                  <c:v>146.167</c:v>
                </c:pt>
                <c:pt idx="264">
                  <c:v>123.035</c:v>
                </c:pt>
                <c:pt idx="265">
                  <c:v>104.52500000000001</c:v>
                </c:pt>
                <c:pt idx="266">
                  <c:v>108.884</c:v>
                </c:pt>
                <c:pt idx="267">
                  <c:v>121.11799999999999</c:v>
                </c:pt>
                <c:pt idx="268">
                  <c:v>123.17400000000001</c:v>
                </c:pt>
                <c:pt idx="269">
                  <c:v>98.552999999999997</c:v>
                </c:pt>
                <c:pt idx="270">
                  <c:v>96.971000000000004</c:v>
                </c:pt>
                <c:pt idx="271">
                  <c:v>88.35</c:v>
                </c:pt>
                <c:pt idx="272">
                  <c:v>84.344999999999999</c:v>
                </c:pt>
                <c:pt idx="273">
                  <c:v>82.978999999999999</c:v>
                </c:pt>
                <c:pt idx="274">
                  <c:v>81.986999999999995</c:v>
                </c:pt>
                <c:pt idx="275">
                  <c:v>86.924999999999997</c:v>
                </c:pt>
                <c:pt idx="276">
                  <c:v>88.823999999999998</c:v>
                </c:pt>
                <c:pt idx="277">
                  <c:v>61.853000000000002</c:v>
                </c:pt>
                <c:pt idx="278">
                  <c:v>64.718000000000004</c:v>
                </c:pt>
                <c:pt idx="279">
                  <c:v>64.286000000000001</c:v>
                </c:pt>
                <c:pt idx="280">
                  <c:v>69.402000000000001</c:v>
                </c:pt>
                <c:pt idx="281">
                  <c:v>78.031999999999996</c:v>
                </c:pt>
                <c:pt idx="282">
                  <c:v>92.382999999999996</c:v>
                </c:pt>
                <c:pt idx="283">
                  <c:v>86.2</c:v>
                </c:pt>
                <c:pt idx="284">
                  <c:v>76.046000000000006</c:v>
                </c:pt>
                <c:pt idx="285">
                  <c:v>82.897000000000006</c:v>
                </c:pt>
                <c:pt idx="286">
                  <c:v>84.846999999999994</c:v>
                </c:pt>
                <c:pt idx="287">
                  <c:v>79.981999999999999</c:v>
                </c:pt>
                <c:pt idx="288">
                  <c:v>73.784999999999997</c:v>
                </c:pt>
                <c:pt idx="289">
                  <c:v>72.817999999999998</c:v>
                </c:pt>
                <c:pt idx="290">
                  <c:v>73.626999999999995</c:v>
                </c:pt>
                <c:pt idx="291">
                  <c:v>78.7</c:v>
                </c:pt>
                <c:pt idx="292">
                  <c:v>78.959999999999994</c:v>
                </c:pt>
                <c:pt idx="293">
                  <c:v>82.894000000000005</c:v>
                </c:pt>
                <c:pt idx="294">
                  <c:v>74.119</c:v>
                </c:pt>
                <c:pt idx="295">
                  <c:v>70.501000000000005</c:v>
                </c:pt>
                <c:pt idx="296">
                  <c:v>78.626999999999995</c:v>
                </c:pt>
                <c:pt idx="297">
                  <c:v>74.912000000000006</c:v>
                </c:pt>
                <c:pt idx="298">
                  <c:v>79.984999999999999</c:v>
                </c:pt>
                <c:pt idx="299">
                  <c:v>67.38</c:v>
                </c:pt>
                <c:pt idx="300">
                  <c:v>74.634</c:v>
                </c:pt>
                <c:pt idx="301">
                  <c:v>75.917000000000002</c:v>
                </c:pt>
                <c:pt idx="302">
                  <c:v>79.87</c:v>
                </c:pt>
                <c:pt idx="303">
                  <c:v>86.664000000000001</c:v>
                </c:pt>
                <c:pt idx="304">
                  <c:v>83.259</c:v>
                </c:pt>
                <c:pt idx="305">
                  <c:v>73.638999999999996</c:v>
                </c:pt>
                <c:pt idx="306">
                  <c:v>76.647999999999996</c:v>
                </c:pt>
                <c:pt idx="307">
                  <c:v>64.320999999999998</c:v>
                </c:pt>
                <c:pt idx="308">
                  <c:v>48.7</c:v>
                </c:pt>
                <c:pt idx="309">
                  <c:v>52.823</c:v>
                </c:pt>
                <c:pt idx="310">
                  <c:v>56.011000000000003</c:v>
                </c:pt>
                <c:pt idx="311">
                  <c:v>60.012</c:v>
                </c:pt>
                <c:pt idx="312">
                  <c:v>54.662999999999997</c:v>
                </c:pt>
                <c:pt idx="313">
                  <c:v>49.078000000000003</c:v>
                </c:pt>
                <c:pt idx="314">
                  <c:v>51.738</c:v>
                </c:pt>
                <c:pt idx="315">
                  <c:v>51.665999999999997</c:v>
                </c:pt>
                <c:pt idx="316">
                  <c:v>48.08</c:v>
                </c:pt>
                <c:pt idx="317">
                  <c:v>51.622999999999998</c:v>
                </c:pt>
                <c:pt idx="318">
                  <c:v>48.924999999999997</c:v>
                </c:pt>
                <c:pt idx="319">
                  <c:v>44.037999999999997</c:v>
                </c:pt>
                <c:pt idx="320">
                  <c:v>46.521999999999998</c:v>
                </c:pt>
                <c:pt idx="321">
                  <c:v>43.12</c:v>
                </c:pt>
                <c:pt idx="322">
                  <c:v>42.180999999999997</c:v>
                </c:pt>
                <c:pt idx="323">
                  <c:v>40.776000000000003</c:v>
                </c:pt>
                <c:pt idx="324">
                  <c:v>45.029000000000003</c:v>
                </c:pt>
                <c:pt idx="325">
                  <c:v>43.762999999999998</c:v>
                </c:pt>
                <c:pt idx="326">
                  <c:v>42.655000000000001</c:v>
                </c:pt>
                <c:pt idx="327">
                  <c:v>37.707999999999998</c:v>
                </c:pt>
                <c:pt idx="328">
                  <c:v>39.121000000000002</c:v>
                </c:pt>
                <c:pt idx="329">
                  <c:v>37.933999999999997</c:v>
                </c:pt>
                <c:pt idx="330">
                  <c:v>38.433</c:v>
                </c:pt>
                <c:pt idx="331">
                  <c:v>35.209000000000003</c:v>
                </c:pt>
                <c:pt idx="332">
                  <c:v>34.787999999999997</c:v>
                </c:pt>
                <c:pt idx="333">
                  <c:v>31.765999999999998</c:v>
                </c:pt>
                <c:pt idx="334">
                  <c:v>33.609000000000002</c:v>
                </c:pt>
                <c:pt idx="335">
                  <c:v>33.223999999999997</c:v>
                </c:pt>
                <c:pt idx="336">
                  <c:v>36.106000000000002</c:v>
                </c:pt>
                <c:pt idx="337">
                  <c:v>34.758000000000003</c:v>
                </c:pt>
                <c:pt idx="338">
                  <c:v>31.786000000000001</c:v>
                </c:pt>
                <c:pt idx="339">
                  <c:v>40.645000000000003</c:v>
                </c:pt>
                <c:pt idx="340">
                  <c:v>47.619</c:v>
                </c:pt>
                <c:pt idx="341">
                  <c:v>47.747999999999998</c:v>
                </c:pt>
                <c:pt idx="342">
                  <c:v>54</c:v>
                </c:pt>
                <c:pt idx="343">
                  <c:v>50.378</c:v>
                </c:pt>
                <c:pt idx="344">
                  <c:v>49.646000000000001</c:v>
                </c:pt>
                <c:pt idx="345">
                  <c:v>45.247999999999998</c:v>
                </c:pt>
                <c:pt idx="346">
                  <c:v>44.182000000000002</c:v>
                </c:pt>
                <c:pt idx="347">
                  <c:v>50.746000000000002</c:v>
                </c:pt>
                <c:pt idx="348">
                  <c:v>56.451999999999998</c:v>
                </c:pt>
                <c:pt idx="349">
                  <c:v>59.215000000000003</c:v>
                </c:pt>
                <c:pt idx="350">
                  <c:v>56.508000000000003</c:v>
                </c:pt>
                <c:pt idx="351">
                  <c:v>51.823</c:v>
                </c:pt>
                <c:pt idx="352">
                  <c:v>41.698</c:v>
                </c:pt>
                <c:pt idx="353">
                  <c:v>37.94</c:v>
                </c:pt>
                <c:pt idx="354">
                  <c:v>35.968000000000004</c:v>
                </c:pt>
                <c:pt idx="355">
                  <c:v>36.308</c:v>
                </c:pt>
                <c:pt idx="356">
                  <c:v>39.231000000000002</c:v>
                </c:pt>
                <c:pt idx="357">
                  <c:v>37.094999999999999</c:v>
                </c:pt>
                <c:pt idx="358">
                  <c:v>37.25</c:v>
                </c:pt>
                <c:pt idx="359">
                  <c:v>31.850999999999999</c:v>
                </c:pt>
                <c:pt idx="360">
                  <c:v>30.654</c:v>
                </c:pt>
                <c:pt idx="361">
                  <c:v>29.968</c:v>
                </c:pt>
                <c:pt idx="362">
                  <c:v>31.963999999999999</c:v>
                </c:pt>
                <c:pt idx="363">
                  <c:v>32.298999999999999</c:v>
                </c:pt>
                <c:pt idx="364">
                  <c:v>32.773000000000003</c:v>
                </c:pt>
                <c:pt idx="365">
                  <c:v>31.196000000000002</c:v>
                </c:pt>
                <c:pt idx="366">
                  <c:v>29.536000000000001</c:v>
                </c:pt>
                <c:pt idx="367">
                  <c:v>28.19</c:v>
                </c:pt>
                <c:pt idx="368">
                  <c:v>28.594000000000001</c:v>
                </c:pt>
                <c:pt idx="369">
                  <c:v>29.317</c:v>
                </c:pt>
                <c:pt idx="370">
                  <c:v>25.734000000000002</c:v>
                </c:pt>
                <c:pt idx="371">
                  <c:v>23.65</c:v>
                </c:pt>
                <c:pt idx="372">
                  <c:v>29.483000000000001</c:v>
                </c:pt>
                <c:pt idx="373">
                  <c:v>27.779</c:v>
                </c:pt>
                <c:pt idx="374">
                  <c:v>32.192999999999998</c:v>
                </c:pt>
                <c:pt idx="375">
                  <c:v>34.651000000000003</c:v>
                </c:pt>
                <c:pt idx="376">
                  <c:v>26.45</c:v>
                </c:pt>
                <c:pt idx="377">
                  <c:v>27.228999999999999</c:v>
                </c:pt>
                <c:pt idx="378">
                  <c:v>21.257000000000001</c:v>
                </c:pt>
                <c:pt idx="379">
                  <c:v>21.486999999999998</c:v>
                </c:pt>
                <c:pt idx="380">
                  <c:v>18.827000000000002</c:v>
                </c:pt>
                <c:pt idx="381">
                  <c:v>19.565000000000001</c:v>
                </c:pt>
                <c:pt idx="382">
                  <c:v>22.654</c:v>
                </c:pt>
                <c:pt idx="383">
                  <c:v>23.792999999999999</c:v>
                </c:pt>
                <c:pt idx="384">
                  <c:v>22.277000000000001</c:v>
                </c:pt>
                <c:pt idx="385">
                  <c:v>22.579000000000001</c:v>
                </c:pt>
                <c:pt idx="386">
                  <c:v>23.427</c:v>
                </c:pt>
                <c:pt idx="387">
                  <c:v>20.263999999999999</c:v>
                </c:pt>
                <c:pt idx="388">
                  <c:v>19.396999999999998</c:v>
                </c:pt>
                <c:pt idx="389">
                  <c:v>19.902999999999999</c:v>
                </c:pt>
                <c:pt idx="390">
                  <c:v>17.861999999999998</c:v>
                </c:pt>
                <c:pt idx="391">
                  <c:v>17.736999999999998</c:v>
                </c:pt>
                <c:pt idx="392">
                  <c:v>17.738</c:v>
                </c:pt>
                <c:pt idx="393">
                  <c:v>17.533000000000001</c:v>
                </c:pt>
                <c:pt idx="394">
                  <c:v>18.198</c:v>
                </c:pt>
                <c:pt idx="395">
                  <c:v>19.846</c:v>
                </c:pt>
                <c:pt idx="396">
                  <c:v>17.771000000000001</c:v>
                </c:pt>
                <c:pt idx="397">
                  <c:v>17.204000000000001</c:v>
                </c:pt>
                <c:pt idx="398">
                  <c:v>18.158000000000001</c:v>
                </c:pt>
                <c:pt idx="399">
                  <c:v>18.433</c:v>
                </c:pt>
                <c:pt idx="400">
                  <c:v>16.652999999999999</c:v>
                </c:pt>
                <c:pt idx="401">
                  <c:v>20.771999999999998</c:v>
                </c:pt>
                <c:pt idx="402">
                  <c:v>20.122</c:v>
                </c:pt>
                <c:pt idx="403">
                  <c:v>22.623000000000001</c:v>
                </c:pt>
                <c:pt idx="404">
                  <c:v>24.524999999999999</c:v>
                </c:pt>
                <c:pt idx="405">
                  <c:v>24.625</c:v>
                </c:pt>
                <c:pt idx="406">
                  <c:v>25.079000000000001</c:v>
                </c:pt>
                <c:pt idx="407">
                  <c:v>24.84</c:v>
                </c:pt>
                <c:pt idx="408">
                  <c:v>24.902999999999999</c:v>
                </c:pt>
                <c:pt idx="409">
                  <c:v>24.957999999999998</c:v>
                </c:pt>
                <c:pt idx="410">
                  <c:v>23.969000000000001</c:v>
                </c:pt>
                <c:pt idx="411">
                  <c:v>23.206</c:v>
                </c:pt>
                <c:pt idx="412">
                  <c:v>22.369</c:v>
                </c:pt>
                <c:pt idx="413">
                  <c:v>23.420999999999999</c:v>
                </c:pt>
                <c:pt idx="414">
                  <c:v>23.369</c:v>
                </c:pt>
                <c:pt idx="415">
                  <c:v>23.242000000000001</c:v>
                </c:pt>
                <c:pt idx="416">
                  <c:v>25.745000000000001</c:v>
                </c:pt>
                <c:pt idx="417">
                  <c:v>26.05</c:v>
                </c:pt>
                <c:pt idx="418">
                  <c:v>26.32</c:v>
                </c:pt>
                <c:pt idx="419">
                  <c:v>25.117999999999999</c:v>
                </c:pt>
                <c:pt idx="420">
                  <c:v>28.405000000000001</c:v>
                </c:pt>
                <c:pt idx="421">
                  <c:v>26.29</c:v>
                </c:pt>
                <c:pt idx="422">
                  <c:v>24.620999999999999</c:v>
                </c:pt>
                <c:pt idx="423">
                  <c:v>26.204999999999998</c:v>
                </c:pt>
                <c:pt idx="424">
                  <c:v>25.295999999999999</c:v>
                </c:pt>
                <c:pt idx="425">
                  <c:v>24.373999999999999</c:v>
                </c:pt>
                <c:pt idx="426">
                  <c:v>24.295000000000002</c:v>
                </c:pt>
                <c:pt idx="427">
                  <c:v>24.396000000000001</c:v>
                </c:pt>
                <c:pt idx="428">
                  <c:v>29.196000000000002</c:v>
                </c:pt>
                <c:pt idx="429">
                  <c:v>31.172000000000001</c:v>
                </c:pt>
                <c:pt idx="430">
                  <c:v>32.35</c:v>
                </c:pt>
                <c:pt idx="431">
                  <c:v>32.524999999999999</c:v>
                </c:pt>
                <c:pt idx="432">
                  <c:v>32.597000000000001</c:v>
                </c:pt>
                <c:pt idx="433">
                  <c:v>29.428999999999998</c:v>
                </c:pt>
                <c:pt idx="434">
                  <c:v>27.916</c:v>
                </c:pt>
                <c:pt idx="435">
                  <c:v>28.155999999999999</c:v>
                </c:pt>
                <c:pt idx="436">
                  <c:v>31.178000000000001</c:v>
                </c:pt>
                <c:pt idx="437">
                  <c:v>29.88</c:v>
                </c:pt>
                <c:pt idx="438">
                  <c:v>24.210999999999999</c:v>
                </c:pt>
                <c:pt idx="439">
                  <c:v>23.292000000000002</c:v>
                </c:pt>
                <c:pt idx="440">
                  <c:v>24.33</c:v>
                </c:pt>
                <c:pt idx="441">
                  <c:v>22.465</c:v>
                </c:pt>
                <c:pt idx="442">
                  <c:v>23.59</c:v>
                </c:pt>
                <c:pt idx="443">
                  <c:v>24.739000000000001</c:v>
                </c:pt>
                <c:pt idx="444">
                  <c:v>22</c:v>
                </c:pt>
                <c:pt idx="445">
                  <c:v>23.587</c:v>
                </c:pt>
                <c:pt idx="446">
                  <c:v>22.79</c:v>
                </c:pt>
                <c:pt idx="447">
                  <c:v>25.504000000000001</c:v>
                </c:pt>
                <c:pt idx="448">
                  <c:v>20.6</c:v>
                </c:pt>
                <c:pt idx="449">
                  <c:v>18.771999999999998</c:v>
                </c:pt>
                <c:pt idx="450">
                  <c:v>17.928999999999998</c:v>
                </c:pt>
                <c:pt idx="451">
                  <c:v>18.574000000000002</c:v>
                </c:pt>
                <c:pt idx="452">
                  <c:v>20.838000000000001</c:v>
                </c:pt>
                <c:pt idx="453">
                  <c:v>20.742999999999999</c:v>
                </c:pt>
                <c:pt idx="454">
                  <c:v>21.225000000000001</c:v>
                </c:pt>
                <c:pt idx="455">
                  <c:v>20.646000000000001</c:v>
                </c:pt>
                <c:pt idx="456">
                  <c:v>23.234999999999999</c:v>
                </c:pt>
                <c:pt idx="457">
                  <c:v>26.111999999999998</c:v>
                </c:pt>
                <c:pt idx="458">
                  <c:v>26.31</c:v>
                </c:pt>
                <c:pt idx="459">
                  <c:v>28.18</c:v>
                </c:pt>
                <c:pt idx="460">
                  <c:v>29.547000000000001</c:v>
                </c:pt>
                <c:pt idx="461">
                  <c:v>25.890999999999998</c:v>
                </c:pt>
                <c:pt idx="462">
                  <c:v>24.024999999999999</c:v>
                </c:pt>
                <c:pt idx="463">
                  <c:v>20.541</c:v>
                </c:pt>
                <c:pt idx="464">
                  <c:v>19.155999999999999</c:v>
                </c:pt>
                <c:pt idx="465">
                  <c:v>22.05</c:v>
                </c:pt>
                <c:pt idx="466">
                  <c:v>24.442</c:v>
                </c:pt>
                <c:pt idx="467">
                  <c:v>23.599</c:v>
                </c:pt>
                <c:pt idx="468">
                  <c:v>19.802</c:v>
                </c:pt>
                <c:pt idx="469">
                  <c:v>21.064</c:v>
                </c:pt>
                <c:pt idx="470">
                  <c:v>21.706</c:v>
                </c:pt>
                <c:pt idx="471">
                  <c:v>24.82</c:v>
                </c:pt>
                <c:pt idx="472">
                  <c:v>25.562000000000001</c:v>
                </c:pt>
                <c:pt idx="473">
                  <c:v>22.706</c:v>
                </c:pt>
                <c:pt idx="474">
                  <c:v>24.45</c:v>
                </c:pt>
                <c:pt idx="475">
                  <c:v>21</c:v>
                </c:pt>
                <c:pt idx="476">
                  <c:v>17.189</c:v>
                </c:pt>
                <c:pt idx="477">
                  <c:v>16.169</c:v>
                </c:pt>
                <c:pt idx="478">
                  <c:v>13.877000000000001</c:v>
                </c:pt>
                <c:pt idx="479">
                  <c:v>17.303000000000001</c:v>
                </c:pt>
                <c:pt idx="480">
                  <c:v>18.449000000000002</c:v>
                </c:pt>
                <c:pt idx="481">
                  <c:v>18.835000000000001</c:v>
                </c:pt>
                <c:pt idx="482">
                  <c:v>20.108000000000001</c:v>
                </c:pt>
                <c:pt idx="483">
                  <c:v>20.707999999999998</c:v>
                </c:pt>
                <c:pt idx="484">
                  <c:v>22.402999999999999</c:v>
                </c:pt>
                <c:pt idx="485">
                  <c:v>23.401</c:v>
                </c:pt>
                <c:pt idx="486">
                  <c:v>24.916</c:v>
                </c:pt>
                <c:pt idx="487">
                  <c:v>23.059000000000001</c:v>
                </c:pt>
                <c:pt idx="488">
                  <c:v>23.567</c:v>
                </c:pt>
                <c:pt idx="489">
                  <c:v>23.06</c:v>
                </c:pt>
                <c:pt idx="490">
                  <c:v>22.45</c:v>
                </c:pt>
                <c:pt idx="491">
                  <c:v>19.251999999999999</c:v>
                </c:pt>
                <c:pt idx="492">
                  <c:v>21.4</c:v>
                </c:pt>
                <c:pt idx="493">
                  <c:v>21.71</c:v>
                </c:pt>
                <c:pt idx="494">
                  <c:v>27.736999999999998</c:v>
                </c:pt>
                <c:pt idx="495">
                  <c:v>30.792000000000002</c:v>
                </c:pt>
                <c:pt idx="496">
                  <c:v>31.311</c:v>
                </c:pt>
                <c:pt idx="497">
                  <c:v>30.483000000000001</c:v>
                </c:pt>
                <c:pt idx="498">
                  <c:v>30.443000000000001</c:v>
                </c:pt>
                <c:pt idx="499">
                  <c:v>32</c:v>
                </c:pt>
                <c:pt idx="500">
                  <c:v>39.07</c:v>
                </c:pt>
                <c:pt idx="501">
                  <c:v>39.203000000000003</c:v>
                </c:pt>
                <c:pt idx="502">
                  <c:v>44.448999999999998</c:v>
                </c:pt>
                <c:pt idx="503">
                  <c:v>37.92</c:v>
                </c:pt>
                <c:pt idx="504">
                  <c:v>37.036000000000001</c:v>
                </c:pt>
                <c:pt idx="505">
                  <c:v>34.567999999999998</c:v>
                </c:pt>
                <c:pt idx="506">
                  <c:v>32.841000000000001</c:v>
                </c:pt>
                <c:pt idx="507">
                  <c:v>37.848999999999997</c:v>
                </c:pt>
                <c:pt idx="508">
                  <c:v>38.404000000000003</c:v>
                </c:pt>
                <c:pt idx="509">
                  <c:v>30.78</c:v>
                </c:pt>
                <c:pt idx="510">
                  <c:v>45.418999999999997</c:v>
                </c:pt>
                <c:pt idx="511">
                  <c:v>43.052</c:v>
                </c:pt>
                <c:pt idx="512">
                  <c:v>59.371000000000002</c:v>
                </c:pt>
                <c:pt idx="513">
                  <c:v>60.222000000000001</c:v>
                </c:pt>
                <c:pt idx="514">
                  <c:v>68.369</c:v>
                </c:pt>
                <c:pt idx="515">
                  <c:v>71.8</c:v>
                </c:pt>
                <c:pt idx="516">
                  <c:v>74.989000000000004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DD-44B2-9C2A-323122FFFE0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-1.7442691669818901E-2</c:v>
                </c:pt>
                <c:pt idx="1">
                  <c:v>-1.7380837581413108E-2</c:v>
                </c:pt>
                <c:pt idx="2">
                  <c:v>-1.6724462042502601E-2</c:v>
                </c:pt>
                <c:pt idx="3">
                  <c:v>-1.6944388675835934E-2</c:v>
                </c:pt>
                <c:pt idx="4">
                  <c:v>-1.7794220796943202E-2</c:v>
                </c:pt>
                <c:pt idx="5">
                  <c:v>-1.8282245956436873E-2</c:v>
                </c:pt>
                <c:pt idx="6">
                  <c:v>-1.6521583334519061E-2</c:v>
                </c:pt>
                <c:pt idx="7">
                  <c:v>-1.5464741257123714E-2</c:v>
                </c:pt>
                <c:pt idx="8">
                  <c:v>-1.4849096008620721E-2</c:v>
                </c:pt>
                <c:pt idx="9">
                  <c:v>-1.4201490069161262E-2</c:v>
                </c:pt>
                <c:pt idx="10">
                  <c:v>-1.4018630041383488E-2</c:v>
                </c:pt>
                <c:pt idx="11">
                  <c:v>-1.3789475167470443E-2</c:v>
                </c:pt>
                <c:pt idx="12">
                  <c:v>-1.398197194145418E-2</c:v>
                </c:pt>
                <c:pt idx="13">
                  <c:v>-1.4071836666687824E-2</c:v>
                </c:pt>
                <c:pt idx="14">
                  <c:v>-1.4298372708354492E-2</c:v>
                </c:pt>
                <c:pt idx="15">
                  <c:v>-1.3863565890172673E-2</c:v>
                </c:pt>
                <c:pt idx="16">
                  <c:v>-1.4355319336915969E-2</c:v>
                </c:pt>
                <c:pt idx="17">
                  <c:v>-1.4663472496336257E-2</c:v>
                </c:pt>
                <c:pt idx="18">
                  <c:v>-1.4496164748159178E-2</c:v>
                </c:pt>
                <c:pt idx="19">
                  <c:v>-1.4678030946217431E-2</c:v>
                </c:pt>
                <c:pt idx="20">
                  <c:v>-1.4024931026308963E-2</c:v>
                </c:pt>
                <c:pt idx="21">
                  <c:v>-1.3564198398920429E-2</c:v>
                </c:pt>
                <c:pt idx="22">
                  <c:v>-1.3583186316728647E-2</c:v>
                </c:pt>
                <c:pt idx="23">
                  <c:v>-1.2385629610846296E-2</c:v>
                </c:pt>
                <c:pt idx="24">
                  <c:v>-1.2056092113671155E-2</c:v>
                </c:pt>
                <c:pt idx="25">
                  <c:v>-1.2639636984755493E-2</c:v>
                </c:pt>
                <c:pt idx="26">
                  <c:v>-1.2995955523253144E-2</c:v>
                </c:pt>
                <c:pt idx="27">
                  <c:v>-1.3264497339423358E-2</c:v>
                </c:pt>
                <c:pt idx="28">
                  <c:v>-1.3047578058572295E-2</c:v>
                </c:pt>
                <c:pt idx="29">
                  <c:v>-1.3389619758572295E-2</c:v>
                </c:pt>
                <c:pt idx="30">
                  <c:v>-1.2808896567600071E-2</c:v>
                </c:pt>
                <c:pt idx="31">
                  <c:v>-1.118964087646083E-2</c:v>
                </c:pt>
                <c:pt idx="32">
                  <c:v>-1.0468533662460833E-2</c:v>
                </c:pt>
                <c:pt idx="33">
                  <c:v>-1.0546118717342986E-2</c:v>
                </c:pt>
                <c:pt idx="34">
                  <c:v>-1.2080375857342986E-2</c:v>
                </c:pt>
                <c:pt idx="35">
                  <c:v>-1.1298612025311735E-2</c:v>
                </c:pt>
                <c:pt idx="36">
                  <c:v>-1.2592922925311736E-2</c:v>
                </c:pt>
                <c:pt idx="37">
                  <c:v>-1.2599747734943467E-2</c:v>
                </c:pt>
                <c:pt idx="38">
                  <c:v>-1.3362482527800607E-2</c:v>
                </c:pt>
                <c:pt idx="39">
                  <c:v>-1.3040591190064761E-2</c:v>
                </c:pt>
                <c:pt idx="40">
                  <c:v>-1.2607778493768465E-2</c:v>
                </c:pt>
                <c:pt idx="41">
                  <c:v>-1.2712473042006948E-2</c:v>
                </c:pt>
                <c:pt idx="42">
                  <c:v>-1.2433319620098821E-2</c:v>
                </c:pt>
                <c:pt idx="43">
                  <c:v>-1.1789311006984066E-2</c:v>
                </c:pt>
                <c:pt idx="44">
                  <c:v>-1.2337007488298943E-2</c:v>
                </c:pt>
                <c:pt idx="45">
                  <c:v>-1.281215990067008E-2</c:v>
                </c:pt>
                <c:pt idx="46">
                  <c:v>-1.1492103163890167E-2</c:v>
                </c:pt>
                <c:pt idx="47">
                  <c:v>-1.1708956843242394E-2</c:v>
                </c:pt>
                <c:pt idx="48">
                  <c:v>-1.1737500800619442E-2</c:v>
                </c:pt>
                <c:pt idx="49">
                  <c:v>-1.0999877231297906E-2</c:v>
                </c:pt>
                <c:pt idx="50">
                  <c:v>-9.4551100988261843E-3</c:v>
                </c:pt>
                <c:pt idx="51">
                  <c:v>-1.0259980873127857E-2</c:v>
                </c:pt>
                <c:pt idx="52">
                  <c:v>-9.8727499868533457E-3</c:v>
                </c:pt>
                <c:pt idx="53">
                  <c:v>-1.0893944504661567E-2</c:v>
                </c:pt>
                <c:pt idx="54">
                  <c:v>-1.0701970242689736E-2</c:v>
                </c:pt>
                <c:pt idx="55">
                  <c:v>-1.1004957422113605E-2</c:v>
                </c:pt>
                <c:pt idx="56">
                  <c:v>-1.0550355654348037E-2</c:v>
                </c:pt>
                <c:pt idx="57">
                  <c:v>-1.0391951134807809E-2</c:v>
                </c:pt>
                <c:pt idx="58">
                  <c:v>-9.7464812802623528E-3</c:v>
                </c:pt>
                <c:pt idx="59">
                  <c:v>-9.5646898073046063E-3</c:v>
                </c:pt>
                <c:pt idx="60">
                  <c:v>-9.2469916243932138E-3</c:v>
                </c:pt>
                <c:pt idx="61">
                  <c:v>-9.7021664581409938E-3</c:v>
                </c:pt>
                <c:pt idx="62">
                  <c:v>-9.6944335783022851E-3</c:v>
                </c:pt>
                <c:pt idx="63">
                  <c:v>-9.3628272016688403E-3</c:v>
                </c:pt>
                <c:pt idx="64">
                  <c:v>-9.9053391212207791E-3</c:v>
                </c:pt>
                <c:pt idx="65">
                  <c:v>-1.0357158668454823E-2</c:v>
                </c:pt>
                <c:pt idx="66">
                  <c:v>-1.0558120155180485E-2</c:v>
                </c:pt>
                <c:pt idx="67">
                  <c:v>-1.0236051255180484E-2</c:v>
                </c:pt>
                <c:pt idx="68">
                  <c:v>-8.835669463617208E-3</c:v>
                </c:pt>
                <c:pt idx="69">
                  <c:v>-9.4641172817990279E-3</c:v>
                </c:pt>
                <c:pt idx="70">
                  <c:v>-1.0376642335757972E-2</c:v>
                </c:pt>
                <c:pt idx="71">
                  <c:v>-9.6222744010046081E-3</c:v>
                </c:pt>
                <c:pt idx="72">
                  <c:v>-9.4829591628227926E-3</c:v>
                </c:pt>
                <c:pt idx="73">
                  <c:v>-8.0569727766260247E-3</c:v>
                </c:pt>
                <c:pt idx="74">
                  <c:v>-7.359627541227794E-3</c:v>
                </c:pt>
                <c:pt idx="75">
                  <c:v>-7.4503327191938968E-3</c:v>
                </c:pt>
                <c:pt idx="76">
                  <c:v>-7.1564076056946976E-3</c:v>
                </c:pt>
                <c:pt idx="77">
                  <c:v>-7.222819976324066E-3</c:v>
                </c:pt>
                <c:pt idx="78">
                  <c:v>-8.1531907296235589E-3</c:v>
                </c:pt>
                <c:pt idx="79">
                  <c:v>-7.4368794377387398E-3</c:v>
                </c:pt>
                <c:pt idx="80">
                  <c:v>-8.0702493970607764E-3</c:v>
                </c:pt>
                <c:pt idx="81">
                  <c:v>-8.9223775104769268E-3</c:v>
                </c:pt>
                <c:pt idx="82">
                  <c:v>-8.7685921864769263E-3</c:v>
                </c:pt>
                <c:pt idx="83">
                  <c:v>-8.9850454927832349E-3</c:v>
                </c:pt>
                <c:pt idx="84">
                  <c:v>-8.43386624495715E-3</c:v>
                </c:pt>
                <c:pt idx="85">
                  <c:v>-6.8982940357369031E-3</c:v>
                </c:pt>
                <c:pt idx="86">
                  <c:v>-7.8030514093732689E-3</c:v>
                </c:pt>
                <c:pt idx="87">
                  <c:v>-7.7475070560507394E-3</c:v>
                </c:pt>
                <c:pt idx="88">
                  <c:v>-7.6893108937130779E-3</c:v>
                </c:pt>
                <c:pt idx="89">
                  <c:v>-8.4078778763720385E-3</c:v>
                </c:pt>
                <c:pt idx="90">
                  <c:v>-9.0072400763720369E-3</c:v>
                </c:pt>
                <c:pt idx="91">
                  <c:v>-9.1184863929925364E-3</c:v>
                </c:pt>
                <c:pt idx="92">
                  <c:v>-9.3953666635807724E-3</c:v>
                </c:pt>
                <c:pt idx="93">
                  <c:v>-9.028003308380772E-3</c:v>
                </c:pt>
                <c:pt idx="94">
                  <c:v>-7.9373229698093441E-3</c:v>
                </c:pt>
                <c:pt idx="95">
                  <c:v>-8.0871996073451618E-3</c:v>
                </c:pt>
                <c:pt idx="96">
                  <c:v>-7.8475884338157532E-3</c:v>
                </c:pt>
                <c:pt idx="97">
                  <c:v>-7.5844008617851006E-3</c:v>
                </c:pt>
                <c:pt idx="98">
                  <c:v>-6.4511674020886417E-3</c:v>
                </c:pt>
                <c:pt idx="99">
                  <c:v>-7.2239920919671833E-3</c:v>
                </c:pt>
                <c:pt idx="100">
                  <c:v>-7.6098608978303738E-3</c:v>
                </c:pt>
                <c:pt idx="101">
                  <c:v>-7.5861290619813207E-3</c:v>
                </c:pt>
                <c:pt idx="102">
                  <c:v>-8.1653122415088764E-3</c:v>
                </c:pt>
                <c:pt idx="103">
                  <c:v>-7.1129035590732793E-3</c:v>
                </c:pt>
                <c:pt idx="104">
                  <c:v>-4.3153072928995301E-3</c:v>
                </c:pt>
                <c:pt idx="105">
                  <c:v>-4.6303890814336389E-3</c:v>
                </c:pt>
                <c:pt idx="106">
                  <c:v>-4.7484593155444231E-3</c:v>
                </c:pt>
                <c:pt idx="107">
                  <c:v>-5.3742999391664702E-3</c:v>
                </c:pt>
                <c:pt idx="108">
                  <c:v>-5.8258881786874281E-3</c:v>
                </c:pt>
                <c:pt idx="109">
                  <c:v>-5.7069571458831956E-3</c:v>
                </c:pt>
                <c:pt idx="110">
                  <c:v>-5.1288450132797904E-3</c:v>
                </c:pt>
                <c:pt idx="111">
                  <c:v>-4.9052246364202877E-3</c:v>
                </c:pt>
                <c:pt idx="112">
                  <c:v>-4.3664979913871768E-3</c:v>
                </c:pt>
                <c:pt idx="113">
                  <c:v>-4.2766931050022012E-3</c:v>
                </c:pt>
                <c:pt idx="114">
                  <c:v>-3.9847357294635448E-3</c:v>
                </c:pt>
                <c:pt idx="115">
                  <c:v>-4.6104498325169789E-3</c:v>
                </c:pt>
                <c:pt idx="116">
                  <c:v>-4.6048276236934499E-3</c:v>
                </c:pt>
                <c:pt idx="117">
                  <c:v>-4.3407243761247371E-3</c:v>
                </c:pt>
                <c:pt idx="118">
                  <c:v>-4.1161603517769103E-3</c:v>
                </c:pt>
                <c:pt idx="119">
                  <c:v>-5.1473130400954961E-3</c:v>
                </c:pt>
                <c:pt idx="120">
                  <c:v>-5.4624879915477773E-3</c:v>
                </c:pt>
                <c:pt idx="121">
                  <c:v>-4.9192304870701664E-3</c:v>
                </c:pt>
                <c:pt idx="122">
                  <c:v>-4.4811711934921849E-3</c:v>
                </c:pt>
                <c:pt idx="123">
                  <c:v>-3.828804246509426E-3</c:v>
                </c:pt>
                <c:pt idx="124">
                  <c:v>-4.4523242966836418E-3</c:v>
                </c:pt>
                <c:pt idx="125">
                  <c:v>-4.9642666819295425E-3</c:v>
                </c:pt>
                <c:pt idx="126">
                  <c:v>-4.2432273243876422E-3</c:v>
                </c:pt>
                <c:pt idx="127">
                  <c:v>-4.9649665796871823E-3</c:v>
                </c:pt>
                <c:pt idx="128">
                  <c:v>-5.8904687209427884E-3</c:v>
                </c:pt>
                <c:pt idx="129">
                  <c:v>-4.5322571844761978E-3</c:v>
                </c:pt>
                <c:pt idx="130">
                  <c:v>-4.1093144271232554E-3</c:v>
                </c:pt>
                <c:pt idx="131">
                  <c:v>-3.3820380364690487E-3</c:v>
                </c:pt>
                <c:pt idx="132">
                  <c:v>-3.1570837768199272E-3</c:v>
                </c:pt>
                <c:pt idx="133">
                  <c:v>-3.884603424634933E-4</c:v>
                </c:pt>
                <c:pt idx="134">
                  <c:v>-1.2183246962884775E-4</c:v>
                </c:pt>
                <c:pt idx="135">
                  <c:v>-1.096884453543056E-3</c:v>
                </c:pt>
                <c:pt idx="136">
                  <c:v>-2.2420073434288642E-3</c:v>
                </c:pt>
                <c:pt idx="137">
                  <c:v>1.6759175362649506E-4</c:v>
                </c:pt>
                <c:pt idx="138">
                  <c:v>-7.1486582799382018E-4</c:v>
                </c:pt>
                <c:pt idx="139">
                  <c:v>-7.1135510589644124E-4</c:v>
                </c:pt>
                <c:pt idx="140">
                  <c:v>1.748957869802718E-4</c:v>
                </c:pt>
                <c:pt idx="141">
                  <c:v>8.7985886994970317E-4</c:v>
                </c:pt>
                <c:pt idx="142">
                  <c:v>3.9692819527159068E-4</c:v>
                </c:pt>
                <c:pt idx="143">
                  <c:v>1.2256698248187326E-3</c:v>
                </c:pt>
                <c:pt idx="144">
                  <c:v>1.1082135013247556E-3</c:v>
                </c:pt>
                <c:pt idx="145">
                  <c:v>4.2047442044592932E-4</c:v>
                </c:pt>
                <c:pt idx="146">
                  <c:v>8.1747589871297547E-4</c:v>
                </c:pt>
                <c:pt idx="147">
                  <c:v>4.0600647429138377E-4</c:v>
                </c:pt>
                <c:pt idx="148">
                  <c:v>1.5097263045286832E-3</c:v>
                </c:pt>
                <c:pt idx="149">
                  <c:v>7.0915123073575373E-5</c:v>
                </c:pt>
                <c:pt idx="150">
                  <c:v>6.2270519244066419E-4</c:v>
                </c:pt>
                <c:pt idx="151">
                  <c:v>1.15981723463674E-3</c:v>
                </c:pt>
                <c:pt idx="152">
                  <c:v>1.164696718053826E-3</c:v>
                </c:pt>
                <c:pt idx="153">
                  <c:v>1.1831626350349588E-3</c:v>
                </c:pt>
                <c:pt idx="154">
                  <c:v>-2.2893773130167261E-4</c:v>
                </c:pt>
                <c:pt idx="155">
                  <c:v>1.0812471090532775E-3</c:v>
                </c:pt>
                <c:pt idx="156">
                  <c:v>1.1613533768857757E-4</c:v>
                </c:pt>
                <c:pt idx="157">
                  <c:v>1.0107906941831941E-3</c:v>
                </c:pt>
                <c:pt idx="158">
                  <c:v>1.5383851170758299E-3</c:v>
                </c:pt>
                <c:pt idx="159">
                  <c:v>1.37904732707583E-3</c:v>
                </c:pt>
                <c:pt idx="160">
                  <c:v>1.5252483073360703E-3</c:v>
                </c:pt>
                <c:pt idx="161">
                  <c:v>6.2828521322779243E-4</c:v>
                </c:pt>
                <c:pt idx="162">
                  <c:v>-7.4675260831866762E-4</c:v>
                </c:pt>
                <c:pt idx="163">
                  <c:v>-5.5120882610910254E-4</c:v>
                </c:pt>
                <c:pt idx="164">
                  <c:v>2.3128775297693422E-3</c:v>
                </c:pt>
                <c:pt idx="165">
                  <c:v>4.6985412417046481E-3</c:v>
                </c:pt>
                <c:pt idx="166">
                  <c:v>3.925735037686293E-3</c:v>
                </c:pt>
                <c:pt idx="167">
                  <c:v>3.2305377976402654E-3</c:v>
                </c:pt>
                <c:pt idx="168">
                  <c:v>2.3454888310005229E-3</c:v>
                </c:pt>
                <c:pt idx="169">
                  <c:v>2.7220453701987434E-3</c:v>
                </c:pt>
                <c:pt idx="170">
                  <c:v>4.7857101479587437E-3</c:v>
                </c:pt>
                <c:pt idx="171">
                  <c:v>3.5123842383451309E-3</c:v>
                </c:pt>
                <c:pt idx="172">
                  <c:v>3.0735566177527486E-3</c:v>
                </c:pt>
                <c:pt idx="173">
                  <c:v>3.8215026372615236E-3</c:v>
                </c:pt>
                <c:pt idx="174">
                  <c:v>4.2577730518863323E-3</c:v>
                </c:pt>
                <c:pt idx="175">
                  <c:v>5.4097802718863332E-3</c:v>
                </c:pt>
                <c:pt idx="176">
                  <c:v>3.6826250214491156E-3</c:v>
                </c:pt>
                <c:pt idx="177">
                  <c:v>2.3147798838671963E-3</c:v>
                </c:pt>
                <c:pt idx="178">
                  <c:v>1.4525487090351046E-3</c:v>
                </c:pt>
                <c:pt idx="179">
                  <c:v>1.1208989130674803E-3</c:v>
                </c:pt>
                <c:pt idx="180">
                  <c:v>2.6070717259951779E-3</c:v>
                </c:pt>
                <c:pt idx="181">
                  <c:v>4.7516038653765578E-3</c:v>
                </c:pt>
                <c:pt idx="182">
                  <c:v>1.3926632964867567E-3</c:v>
                </c:pt>
                <c:pt idx="183">
                  <c:v>1.5480854966517718E-3</c:v>
                </c:pt>
                <c:pt idx="184">
                  <c:v>1.3936172654369942E-3</c:v>
                </c:pt>
                <c:pt idx="185">
                  <c:v>9.1121512196199502E-4</c:v>
                </c:pt>
                <c:pt idx="186">
                  <c:v>2.3923409199328787E-3</c:v>
                </c:pt>
                <c:pt idx="187">
                  <c:v>2.4328422828113982E-3</c:v>
                </c:pt>
                <c:pt idx="188">
                  <c:v>2.53032492313309E-3</c:v>
                </c:pt>
                <c:pt idx="189">
                  <c:v>1.5812272368883906E-3</c:v>
                </c:pt>
                <c:pt idx="190">
                  <c:v>2.5676281218192389E-3</c:v>
                </c:pt>
                <c:pt idx="191">
                  <c:v>1.7553782022162586E-3</c:v>
                </c:pt>
                <c:pt idx="192">
                  <c:v>1.2401553789693704E-3</c:v>
                </c:pt>
                <c:pt idx="193">
                  <c:v>2.0064571654617464E-3</c:v>
                </c:pt>
                <c:pt idx="194">
                  <c:v>2.2332435692188212E-3</c:v>
                </c:pt>
                <c:pt idx="195">
                  <c:v>2.3758388632180408E-3</c:v>
                </c:pt>
                <c:pt idx="196">
                  <c:v>2.8561967867792139E-3</c:v>
                </c:pt>
                <c:pt idx="197">
                  <c:v>3.5489067930124644E-3</c:v>
                </c:pt>
                <c:pt idx="198">
                  <c:v>2.8175785476038506E-3</c:v>
                </c:pt>
                <c:pt idx="199">
                  <c:v>3.1791747122585923E-3</c:v>
                </c:pt>
                <c:pt idx="200">
                  <c:v>3.7024517865672404E-3</c:v>
                </c:pt>
                <c:pt idx="201">
                  <c:v>4.7853337467652591E-3</c:v>
                </c:pt>
                <c:pt idx="202">
                  <c:v>3.8335114582875342E-3</c:v>
                </c:pt>
                <c:pt idx="203">
                  <c:v>3.4915203820695875E-3</c:v>
                </c:pt>
                <c:pt idx="204">
                  <c:v>4.2835785901507552E-3</c:v>
                </c:pt>
                <c:pt idx="205">
                  <c:v>4.1216178657819897E-3</c:v>
                </c:pt>
                <c:pt idx="206">
                  <c:v>4.1857101714879146E-3</c:v>
                </c:pt>
                <c:pt idx="207">
                  <c:v>4.8057345179977323E-3</c:v>
                </c:pt>
                <c:pt idx="208">
                  <c:v>4.6323334766566497E-3</c:v>
                </c:pt>
                <c:pt idx="209">
                  <c:v>4.2291894458055873E-3</c:v>
                </c:pt>
                <c:pt idx="210">
                  <c:v>3.5156418277616018E-3</c:v>
                </c:pt>
                <c:pt idx="211">
                  <c:v>4.3484874788881599E-3</c:v>
                </c:pt>
                <c:pt idx="212">
                  <c:v>4.0811805742479159E-3</c:v>
                </c:pt>
                <c:pt idx="213">
                  <c:v>4.0698584702611364E-3</c:v>
                </c:pt>
                <c:pt idx="214">
                  <c:v>4.416298332127434E-3</c:v>
                </c:pt>
                <c:pt idx="215">
                  <c:v>3.0278969821274336E-3</c:v>
                </c:pt>
                <c:pt idx="216">
                  <c:v>2.7774279136216877E-3</c:v>
                </c:pt>
                <c:pt idx="217">
                  <c:v>3.7900933724098864E-3</c:v>
                </c:pt>
                <c:pt idx="218">
                  <c:v>3.0812057615849991E-3</c:v>
                </c:pt>
                <c:pt idx="219">
                  <c:v>2.4583627801871761E-3</c:v>
                </c:pt>
                <c:pt idx="220">
                  <c:v>2.550808247920647E-3</c:v>
                </c:pt>
                <c:pt idx="221">
                  <c:v>4.3187091248235573E-3</c:v>
                </c:pt>
                <c:pt idx="222">
                  <c:v>2.7896427876471955E-3</c:v>
                </c:pt>
                <c:pt idx="223">
                  <c:v>3.3324879812098142E-3</c:v>
                </c:pt>
                <c:pt idx="224">
                  <c:v>4.1451220194961159E-3</c:v>
                </c:pt>
                <c:pt idx="225">
                  <c:v>4.1288989855474299E-3</c:v>
                </c:pt>
                <c:pt idx="226">
                  <c:v>5.1101565316105865E-3</c:v>
                </c:pt>
                <c:pt idx="227">
                  <c:v>5.6161820828894782E-3</c:v>
                </c:pt>
                <c:pt idx="228">
                  <c:v>5.049415579048029E-3</c:v>
                </c:pt>
                <c:pt idx="229">
                  <c:v>4.3839554370850489E-3</c:v>
                </c:pt>
                <c:pt idx="230">
                  <c:v>4.585248953488932E-3</c:v>
                </c:pt>
                <c:pt idx="231">
                  <c:v>4.5650393076432936E-3</c:v>
                </c:pt>
                <c:pt idx="232">
                  <c:v>5.7044809830374384E-3</c:v>
                </c:pt>
                <c:pt idx="233">
                  <c:v>4.4585483064933555E-3</c:v>
                </c:pt>
                <c:pt idx="234">
                  <c:v>3.7385388253530559E-3</c:v>
                </c:pt>
                <c:pt idx="235">
                  <c:v>4.7458560114926962E-3</c:v>
                </c:pt>
                <c:pt idx="236">
                  <c:v>4.3948528111665483E-3</c:v>
                </c:pt>
                <c:pt idx="237">
                  <c:v>5.3651423650061493E-3</c:v>
                </c:pt>
                <c:pt idx="238">
                  <c:v>5.8937530372732382E-3</c:v>
                </c:pt>
                <c:pt idx="239">
                  <c:v>5.4160376961156134E-3</c:v>
                </c:pt>
                <c:pt idx="240">
                  <c:v>4.9165644461098253E-3</c:v>
                </c:pt>
                <c:pt idx="241">
                  <c:v>5.4916314542245792E-3</c:v>
                </c:pt>
                <c:pt idx="242">
                  <c:v>3.8894943786654482E-3</c:v>
                </c:pt>
                <c:pt idx="243">
                  <c:v>2.8168304053823924E-3</c:v>
                </c:pt>
                <c:pt idx="244">
                  <c:v>3.1728164772194525E-3</c:v>
                </c:pt>
                <c:pt idx="245">
                  <c:v>4.6898310810290847E-3</c:v>
                </c:pt>
                <c:pt idx="246">
                  <c:v>6.1781998698195529E-3</c:v>
                </c:pt>
                <c:pt idx="247">
                  <c:v>4.4669539145338584E-3</c:v>
                </c:pt>
                <c:pt idx="248">
                  <c:v>4.0374901728151089E-3</c:v>
                </c:pt>
                <c:pt idx="249">
                  <c:v>2.9395335455263192E-3</c:v>
                </c:pt>
                <c:pt idx="250">
                  <c:v>3.4901906364909721E-3</c:v>
                </c:pt>
                <c:pt idx="251">
                  <c:v>4.2991502847229074E-3</c:v>
                </c:pt>
                <c:pt idx="252">
                  <c:v>5.1174891469294784E-3</c:v>
                </c:pt>
                <c:pt idx="253">
                  <c:v>3.6537584950454552E-3</c:v>
                </c:pt>
                <c:pt idx="254">
                  <c:v>6.1426911890930021E-3</c:v>
                </c:pt>
                <c:pt idx="255">
                  <c:v>5.8383402889899284E-3</c:v>
                </c:pt>
                <c:pt idx="256">
                  <c:v>6.5535035734868297E-3</c:v>
                </c:pt>
                <c:pt idx="257">
                  <c:v>6.6856885384822522E-3</c:v>
                </c:pt>
                <c:pt idx="258">
                  <c:v>8.3503851827575314E-3</c:v>
                </c:pt>
                <c:pt idx="259">
                  <c:v>8.7683695616082337E-3</c:v>
                </c:pt>
                <c:pt idx="260">
                  <c:v>9.0089107641385478E-3</c:v>
                </c:pt>
                <c:pt idx="261">
                  <c:v>1.2389850471966005E-2</c:v>
                </c:pt>
                <c:pt idx="262">
                  <c:v>1.2409775209721904E-2</c:v>
                </c:pt>
                <c:pt idx="263">
                  <c:v>1.624481734917399E-2</c:v>
                </c:pt>
                <c:pt idx="264">
                  <c:v>8.80158008938931E-3</c:v>
                </c:pt>
                <c:pt idx="265">
                  <c:v>6.1486345335809199E-3</c:v>
                </c:pt>
                <c:pt idx="266">
                  <c:v>7.296255681039766E-3</c:v>
                </c:pt>
                <c:pt idx="267">
                  <c:v>1.2819126355033125E-2</c:v>
                </c:pt>
                <c:pt idx="268">
                  <c:v>1.4784154456040834E-2</c:v>
                </c:pt>
                <c:pt idx="269">
                  <c:v>1.4202385113986107E-2</c:v>
                </c:pt>
                <c:pt idx="270">
                  <c:v>1.4948443171784096E-2</c:v>
                </c:pt>
                <c:pt idx="271">
                  <c:v>1.37268461416834E-2</c:v>
                </c:pt>
                <c:pt idx="272">
                  <c:v>1.3323335381430875E-2</c:v>
                </c:pt>
                <c:pt idx="273">
                  <c:v>1.2752673561991765E-2</c:v>
                </c:pt>
                <c:pt idx="274">
                  <c:v>1.2407874314016949E-2</c:v>
                </c:pt>
                <c:pt idx="275">
                  <c:v>1.5580394022972217E-2</c:v>
                </c:pt>
                <c:pt idx="276">
                  <c:v>2.0284734976624624E-2</c:v>
                </c:pt>
                <c:pt idx="277">
                  <c:v>1.7161223708363725E-2</c:v>
                </c:pt>
                <c:pt idx="278">
                  <c:v>1.7779318550706847E-2</c:v>
                </c:pt>
                <c:pt idx="279">
                  <c:v>1.6710382077633541E-2</c:v>
                </c:pt>
                <c:pt idx="280">
                  <c:v>1.5809364414005322E-2</c:v>
                </c:pt>
                <c:pt idx="281">
                  <c:v>1.7344226106478369E-2</c:v>
                </c:pt>
                <c:pt idx="282">
                  <c:v>2.2236449107881105E-2</c:v>
                </c:pt>
                <c:pt idx="283">
                  <c:v>2.0479121385527887E-2</c:v>
                </c:pt>
                <c:pt idx="284">
                  <c:v>1.7313529305578265E-2</c:v>
                </c:pt>
                <c:pt idx="285">
                  <c:v>1.6201693490694571E-2</c:v>
                </c:pt>
                <c:pt idx="286">
                  <c:v>1.7994681319857236E-2</c:v>
                </c:pt>
                <c:pt idx="287">
                  <c:v>1.7828035467079631E-2</c:v>
                </c:pt>
                <c:pt idx="288">
                  <c:v>1.7493494928603321E-2</c:v>
                </c:pt>
                <c:pt idx="289">
                  <c:v>1.6521700153863329E-2</c:v>
                </c:pt>
                <c:pt idx="290">
                  <c:v>1.6397608615628209E-2</c:v>
                </c:pt>
                <c:pt idx="291">
                  <c:v>1.7076990507122015E-2</c:v>
                </c:pt>
                <c:pt idx="292">
                  <c:v>1.6969359206932374E-2</c:v>
                </c:pt>
                <c:pt idx="293">
                  <c:v>1.8069240552411006E-2</c:v>
                </c:pt>
                <c:pt idx="294">
                  <c:v>1.7302266582496818E-2</c:v>
                </c:pt>
                <c:pt idx="295">
                  <c:v>1.7186789401835618E-2</c:v>
                </c:pt>
                <c:pt idx="296">
                  <c:v>1.9017324543805263E-2</c:v>
                </c:pt>
                <c:pt idx="297">
                  <c:v>1.8505620837912608E-2</c:v>
                </c:pt>
                <c:pt idx="298">
                  <c:v>1.9686531827302744E-2</c:v>
                </c:pt>
                <c:pt idx="299">
                  <c:v>1.8328498219015363E-2</c:v>
                </c:pt>
                <c:pt idx="300">
                  <c:v>2.0051011734647621E-2</c:v>
                </c:pt>
                <c:pt idx="301">
                  <c:v>1.9137249007521062E-2</c:v>
                </c:pt>
                <c:pt idx="302">
                  <c:v>2.0612486312724179E-2</c:v>
                </c:pt>
                <c:pt idx="303">
                  <c:v>2.1183061038754794E-2</c:v>
                </c:pt>
                <c:pt idx="304">
                  <c:v>2.0790044268299793E-2</c:v>
                </c:pt>
                <c:pt idx="305">
                  <c:v>1.9065563053490171E-2</c:v>
                </c:pt>
                <c:pt idx="306">
                  <c:v>1.9670434447006828E-2</c:v>
                </c:pt>
                <c:pt idx="307">
                  <c:v>1.58665957127E-2</c:v>
                </c:pt>
                <c:pt idx="308">
                  <c:v>1.3075833328476161E-2</c:v>
                </c:pt>
                <c:pt idx="309">
                  <c:v>1.457188660299547E-2</c:v>
                </c:pt>
                <c:pt idx="310">
                  <c:v>1.6482947835783791E-2</c:v>
                </c:pt>
                <c:pt idx="311">
                  <c:v>2.054748639507735E-2</c:v>
                </c:pt>
                <c:pt idx="312">
                  <c:v>1.9242787631293664E-2</c:v>
                </c:pt>
                <c:pt idx="313">
                  <c:v>1.7408979739374445E-2</c:v>
                </c:pt>
                <c:pt idx="314">
                  <c:v>1.8247176889962094E-2</c:v>
                </c:pt>
                <c:pt idx="315">
                  <c:v>1.8484201050793261E-2</c:v>
                </c:pt>
                <c:pt idx="316">
                  <c:v>1.7792099353421253E-2</c:v>
                </c:pt>
                <c:pt idx="317">
                  <c:v>1.8658377185641135E-2</c:v>
                </c:pt>
                <c:pt idx="318">
                  <c:v>1.6185891554750143E-2</c:v>
                </c:pt>
                <c:pt idx="319">
                  <c:v>1.517815129192894E-2</c:v>
                </c:pt>
                <c:pt idx="320">
                  <c:v>1.6384230881928939E-2</c:v>
                </c:pt>
                <c:pt idx="321">
                  <c:v>1.5402151529862608E-2</c:v>
                </c:pt>
                <c:pt idx="322">
                  <c:v>1.6462237138105032E-2</c:v>
                </c:pt>
                <c:pt idx="323">
                  <c:v>1.5907755568894684E-2</c:v>
                </c:pt>
                <c:pt idx="324">
                  <c:v>1.6743994457915454E-2</c:v>
                </c:pt>
                <c:pt idx="325">
                  <c:v>1.6081370466390028E-2</c:v>
                </c:pt>
                <c:pt idx="326">
                  <c:v>1.6514372264998727E-2</c:v>
                </c:pt>
                <c:pt idx="327">
                  <c:v>1.5146184190073589E-2</c:v>
                </c:pt>
                <c:pt idx="328">
                  <c:v>1.5129144129164033E-2</c:v>
                </c:pt>
                <c:pt idx="329">
                  <c:v>1.4243371690413233E-2</c:v>
                </c:pt>
                <c:pt idx="330">
                  <c:v>1.4752791157662095E-2</c:v>
                </c:pt>
                <c:pt idx="331">
                  <c:v>1.4281005630414421E-2</c:v>
                </c:pt>
                <c:pt idx="332">
                  <c:v>1.4448973645072938E-2</c:v>
                </c:pt>
                <c:pt idx="333">
                  <c:v>1.3922910459636286E-2</c:v>
                </c:pt>
                <c:pt idx="334">
                  <c:v>1.3813292849593999E-2</c:v>
                </c:pt>
                <c:pt idx="335">
                  <c:v>1.4668362745082897E-2</c:v>
                </c:pt>
                <c:pt idx="336">
                  <c:v>1.5692449717629706E-2</c:v>
                </c:pt>
                <c:pt idx="337">
                  <c:v>1.7650185597438903E-2</c:v>
                </c:pt>
                <c:pt idx="338">
                  <c:v>1.6473438839626393E-2</c:v>
                </c:pt>
                <c:pt idx="339">
                  <c:v>1.8473863545819095E-2</c:v>
                </c:pt>
                <c:pt idx="340">
                  <c:v>1.8316079282367486E-2</c:v>
                </c:pt>
                <c:pt idx="341">
                  <c:v>1.8814835929490778E-2</c:v>
                </c:pt>
                <c:pt idx="342">
                  <c:v>1.9801344101480458E-2</c:v>
                </c:pt>
                <c:pt idx="343">
                  <c:v>1.7740588775871417E-2</c:v>
                </c:pt>
                <c:pt idx="344">
                  <c:v>1.7391877935267142E-2</c:v>
                </c:pt>
                <c:pt idx="345">
                  <c:v>1.4139735979063E-2</c:v>
                </c:pt>
                <c:pt idx="346">
                  <c:v>1.5535749958744608E-2</c:v>
                </c:pt>
                <c:pt idx="347">
                  <c:v>1.5017377684292881E-2</c:v>
                </c:pt>
                <c:pt idx="348">
                  <c:v>1.6543664548207208E-2</c:v>
                </c:pt>
                <c:pt idx="349">
                  <c:v>1.6540048683904348E-2</c:v>
                </c:pt>
                <c:pt idx="350">
                  <c:v>1.5763210358794449E-2</c:v>
                </c:pt>
                <c:pt idx="351">
                  <c:v>1.4007699185389624E-2</c:v>
                </c:pt>
                <c:pt idx="352">
                  <c:v>1.3028389007642138E-2</c:v>
                </c:pt>
                <c:pt idx="353">
                  <c:v>1.1737345494128321E-2</c:v>
                </c:pt>
                <c:pt idx="354">
                  <c:v>1.1657363536262446E-2</c:v>
                </c:pt>
                <c:pt idx="355">
                  <c:v>1.2860148105761656E-2</c:v>
                </c:pt>
                <c:pt idx="356">
                  <c:v>1.4307313120905848E-2</c:v>
                </c:pt>
                <c:pt idx="357">
                  <c:v>1.5045411071138689E-2</c:v>
                </c:pt>
                <c:pt idx="358">
                  <c:v>1.4446740446587841E-2</c:v>
                </c:pt>
                <c:pt idx="359">
                  <c:v>1.2307688467271604E-2</c:v>
                </c:pt>
                <c:pt idx="360">
                  <c:v>1.287765657241898E-2</c:v>
                </c:pt>
                <c:pt idx="361">
                  <c:v>1.1980694452530577E-2</c:v>
                </c:pt>
                <c:pt idx="362">
                  <c:v>1.3414132967341169E-2</c:v>
                </c:pt>
                <c:pt idx="363">
                  <c:v>1.2707817836979485E-2</c:v>
                </c:pt>
                <c:pt idx="364">
                  <c:v>1.2284627946012398E-2</c:v>
                </c:pt>
                <c:pt idx="365">
                  <c:v>1.3302032187353926E-2</c:v>
                </c:pt>
                <c:pt idx="366">
                  <c:v>1.1292504676210915E-2</c:v>
                </c:pt>
                <c:pt idx="367">
                  <c:v>9.4896616899075546E-3</c:v>
                </c:pt>
                <c:pt idx="368">
                  <c:v>1.2195582906305629E-2</c:v>
                </c:pt>
                <c:pt idx="369">
                  <c:v>1.2985042778769395E-2</c:v>
                </c:pt>
                <c:pt idx="370">
                  <c:v>1.1775580631899204E-2</c:v>
                </c:pt>
                <c:pt idx="371">
                  <c:v>1.0216403334203629E-2</c:v>
                </c:pt>
                <c:pt idx="372">
                  <c:v>1.2719515427342317E-2</c:v>
                </c:pt>
                <c:pt idx="373">
                  <c:v>9.6199767437105781E-3</c:v>
                </c:pt>
                <c:pt idx="374">
                  <c:v>1.1943992851545798E-2</c:v>
                </c:pt>
                <c:pt idx="375">
                  <c:v>1.2163130138407193E-2</c:v>
                </c:pt>
                <c:pt idx="376">
                  <c:v>7.0091110834195258E-3</c:v>
                </c:pt>
                <c:pt idx="377">
                  <c:v>1.0798132795995636E-2</c:v>
                </c:pt>
                <c:pt idx="378">
                  <c:v>4.66018037742568E-3</c:v>
                </c:pt>
                <c:pt idx="379">
                  <c:v>4.0986222908839711E-3</c:v>
                </c:pt>
                <c:pt idx="380">
                  <c:v>2.6492151663292285E-3</c:v>
                </c:pt>
                <c:pt idx="381">
                  <c:v>3.7299282301379638E-3</c:v>
                </c:pt>
                <c:pt idx="382">
                  <c:v>4.1318706502460698E-3</c:v>
                </c:pt>
                <c:pt idx="383">
                  <c:v>5.2675948428337598E-3</c:v>
                </c:pt>
                <c:pt idx="384">
                  <c:v>5.854933464276583E-3</c:v>
                </c:pt>
                <c:pt idx="385">
                  <c:v>5.6246943177283926E-3</c:v>
                </c:pt>
                <c:pt idx="386">
                  <c:v>6.2700032581200008E-3</c:v>
                </c:pt>
                <c:pt idx="387">
                  <c:v>4.2697044040575019E-3</c:v>
                </c:pt>
                <c:pt idx="388">
                  <c:v>3.4109325898837614E-3</c:v>
                </c:pt>
                <c:pt idx="389">
                  <c:v>3.97952527362091E-3</c:v>
                </c:pt>
                <c:pt idx="390">
                  <c:v>2.617424063702265E-3</c:v>
                </c:pt>
                <c:pt idx="391">
                  <c:v>1.966058710674257E-3</c:v>
                </c:pt>
                <c:pt idx="392">
                  <c:v>2.6268172578573575E-3</c:v>
                </c:pt>
                <c:pt idx="393">
                  <c:v>1.766346393848391E-3</c:v>
                </c:pt>
                <c:pt idx="394">
                  <c:v>2.3758652678369939E-3</c:v>
                </c:pt>
                <c:pt idx="395">
                  <c:v>3.1503182779158288E-3</c:v>
                </c:pt>
                <c:pt idx="396">
                  <c:v>1.8892292888249215E-3</c:v>
                </c:pt>
                <c:pt idx="397">
                  <c:v>1.4218448576570853E-3</c:v>
                </c:pt>
                <c:pt idx="398">
                  <c:v>1.911746514633829E-3</c:v>
                </c:pt>
                <c:pt idx="399">
                  <c:v>2.4530833022423032E-3</c:v>
                </c:pt>
                <c:pt idx="400">
                  <c:v>7.3205968899256913E-4</c:v>
                </c:pt>
                <c:pt idx="401">
                  <c:v>1.5549361251849154E-3</c:v>
                </c:pt>
                <c:pt idx="402">
                  <c:v>6.2865211452209249E-4</c:v>
                </c:pt>
                <c:pt idx="403">
                  <c:v>1.8280096305784747E-3</c:v>
                </c:pt>
                <c:pt idx="404">
                  <c:v>2.5164378704212406E-3</c:v>
                </c:pt>
                <c:pt idx="405">
                  <c:v>3.1724667331798633E-3</c:v>
                </c:pt>
                <c:pt idx="406">
                  <c:v>3.3395443575095622E-3</c:v>
                </c:pt>
                <c:pt idx="407">
                  <c:v>3.9908382928141419E-3</c:v>
                </c:pt>
                <c:pt idx="408">
                  <c:v>3.6254264637320174E-3</c:v>
                </c:pt>
                <c:pt idx="409">
                  <c:v>3.7605426936600764E-3</c:v>
                </c:pt>
                <c:pt idx="410">
                  <c:v>3.1268877349161193E-3</c:v>
                </c:pt>
                <c:pt idx="411">
                  <c:v>2.4577500698754681E-3</c:v>
                </c:pt>
                <c:pt idx="412">
                  <c:v>2.3254444645544985E-3</c:v>
                </c:pt>
                <c:pt idx="413">
                  <c:v>2.5067618392764402E-3</c:v>
                </c:pt>
                <c:pt idx="414">
                  <c:v>2.7829234207050126E-3</c:v>
                </c:pt>
                <c:pt idx="415">
                  <c:v>1.3760959498292842E-3</c:v>
                </c:pt>
                <c:pt idx="416">
                  <c:v>3.1591173528045281E-3</c:v>
                </c:pt>
                <c:pt idx="417">
                  <c:v>3.6135227079143279E-3</c:v>
                </c:pt>
                <c:pt idx="418">
                  <c:v>3.3905326312492347E-3</c:v>
                </c:pt>
                <c:pt idx="419">
                  <c:v>2.633361299800662E-3</c:v>
                </c:pt>
                <c:pt idx="420">
                  <c:v>4.1988943278785228E-3</c:v>
                </c:pt>
                <c:pt idx="421">
                  <c:v>2.8908901645520132E-3</c:v>
                </c:pt>
                <c:pt idx="422">
                  <c:v>1.929444600334716E-3</c:v>
                </c:pt>
                <c:pt idx="423">
                  <c:v>3.1636170781385374E-3</c:v>
                </c:pt>
                <c:pt idx="424">
                  <c:v>2.1019872163684835E-3</c:v>
                </c:pt>
                <c:pt idx="425">
                  <c:v>8.5122026808613269E-4</c:v>
                </c:pt>
                <c:pt idx="426">
                  <c:v>7.1906656984879204E-4</c:v>
                </c:pt>
                <c:pt idx="427">
                  <c:v>-7.0077266134792305E-5</c:v>
                </c:pt>
                <c:pt idx="428">
                  <c:v>1.8634395357599418E-3</c:v>
                </c:pt>
                <c:pt idx="429">
                  <c:v>3.3383649767967302E-3</c:v>
                </c:pt>
                <c:pt idx="430">
                  <c:v>3.9076030191463936E-3</c:v>
                </c:pt>
                <c:pt idx="431">
                  <c:v>4.5287834658937097E-3</c:v>
                </c:pt>
                <c:pt idx="432">
                  <c:v>3.1452920255390301E-3</c:v>
                </c:pt>
                <c:pt idx="433">
                  <c:v>5.0976376563444429E-4</c:v>
                </c:pt>
                <c:pt idx="434">
                  <c:v>9.5369002238119367E-4</c:v>
                </c:pt>
                <c:pt idx="435">
                  <c:v>9.5251668715072156E-4</c:v>
                </c:pt>
                <c:pt idx="436">
                  <c:v>1.30045258019689E-3</c:v>
                </c:pt>
                <c:pt idx="437">
                  <c:v>-1.5449742263999011E-4</c:v>
                </c:pt>
                <c:pt idx="438">
                  <c:v>-3.4800625821182988E-3</c:v>
                </c:pt>
                <c:pt idx="439">
                  <c:v>-2.9145963097710875E-3</c:v>
                </c:pt>
                <c:pt idx="440">
                  <c:v>-1.6558517856384526E-3</c:v>
                </c:pt>
                <c:pt idx="441">
                  <c:v>-3.1565390669637508E-3</c:v>
                </c:pt>
                <c:pt idx="442">
                  <c:v>-2.3967002011099484E-3</c:v>
                </c:pt>
                <c:pt idx="443">
                  <c:v>-7.1136260175464654E-4</c:v>
                </c:pt>
                <c:pt idx="444">
                  <c:v>-2.453684158727073E-3</c:v>
                </c:pt>
                <c:pt idx="445">
                  <c:v>-1.7395774749201123E-3</c:v>
                </c:pt>
                <c:pt idx="446">
                  <c:v>-2.810840168318029E-3</c:v>
                </c:pt>
                <c:pt idx="447">
                  <c:v>-9.8874282695977597E-4</c:v>
                </c:pt>
                <c:pt idx="448">
                  <c:v>-3.8948100966073561E-3</c:v>
                </c:pt>
                <c:pt idx="449">
                  <c:v>-4.5187835220084826E-3</c:v>
                </c:pt>
                <c:pt idx="450">
                  <c:v>-5.623152380398927E-3</c:v>
                </c:pt>
                <c:pt idx="451">
                  <c:v>-6.3927919834544803E-3</c:v>
                </c:pt>
                <c:pt idx="452">
                  <c:v>-4.6025036834351774E-3</c:v>
                </c:pt>
                <c:pt idx="453">
                  <c:v>-5.2792461885386287E-3</c:v>
                </c:pt>
                <c:pt idx="454">
                  <c:v>-4.4720465977802935E-3</c:v>
                </c:pt>
                <c:pt idx="455">
                  <c:v>-6.2909776466631307E-3</c:v>
                </c:pt>
                <c:pt idx="456">
                  <c:v>-4.6340229970567529E-3</c:v>
                </c:pt>
                <c:pt idx="457">
                  <c:v>-3.5252164300614681E-3</c:v>
                </c:pt>
                <c:pt idx="458">
                  <c:v>-2.3430352866418403E-3</c:v>
                </c:pt>
                <c:pt idx="459">
                  <c:v>-1.6097520944658007E-3</c:v>
                </c:pt>
                <c:pt idx="460">
                  <c:v>-1.2286992947038249E-3</c:v>
                </c:pt>
                <c:pt idx="461">
                  <c:v>-3.664174138394166E-3</c:v>
                </c:pt>
                <c:pt idx="462">
                  <c:v>-6.1791125495827409E-3</c:v>
                </c:pt>
                <c:pt idx="463">
                  <c:v>-7.6216342743349701E-3</c:v>
                </c:pt>
                <c:pt idx="464">
                  <c:v>-7.5362536458698408E-3</c:v>
                </c:pt>
                <c:pt idx="465">
                  <c:v>-6.2660198749607474E-3</c:v>
                </c:pt>
                <c:pt idx="466">
                  <c:v>-5.3071775689719786E-3</c:v>
                </c:pt>
                <c:pt idx="467">
                  <c:v>-6.3476880973865231E-3</c:v>
                </c:pt>
                <c:pt idx="468">
                  <c:v>-7.9396247180436464E-3</c:v>
                </c:pt>
                <c:pt idx="469">
                  <c:v>-7.5564952031698281E-3</c:v>
                </c:pt>
                <c:pt idx="470">
                  <c:v>-7.8655124116264671E-3</c:v>
                </c:pt>
                <c:pt idx="471">
                  <c:v>-6.7371251820458862E-3</c:v>
                </c:pt>
                <c:pt idx="472">
                  <c:v>-6.3401710663580661E-3</c:v>
                </c:pt>
                <c:pt idx="473">
                  <c:v>-7.2277495550960996E-3</c:v>
                </c:pt>
                <c:pt idx="474">
                  <c:v>-6.0775169401774158E-3</c:v>
                </c:pt>
                <c:pt idx="475">
                  <c:v>-6.7597400746018587E-3</c:v>
                </c:pt>
                <c:pt idx="476">
                  <c:v>-8.0604227947178395E-3</c:v>
                </c:pt>
                <c:pt idx="477">
                  <c:v>-8.8772686681498885E-3</c:v>
                </c:pt>
                <c:pt idx="478">
                  <c:v>-1.0819367481690994E-2</c:v>
                </c:pt>
                <c:pt idx="479">
                  <c:v>-9.4030215402799849E-3</c:v>
                </c:pt>
                <c:pt idx="480">
                  <c:v>-8.8730160491868673E-3</c:v>
                </c:pt>
                <c:pt idx="481">
                  <c:v>-8.8366188182696717E-3</c:v>
                </c:pt>
                <c:pt idx="482">
                  <c:v>-8.2894136837048417E-3</c:v>
                </c:pt>
                <c:pt idx="483">
                  <c:v>-8.9824016083589076E-3</c:v>
                </c:pt>
                <c:pt idx="484">
                  <c:v>-8.2140582619659591E-3</c:v>
                </c:pt>
                <c:pt idx="485">
                  <c:v>-7.9472824104227183E-3</c:v>
                </c:pt>
                <c:pt idx="486">
                  <c:v>-7.3988980074905899E-3</c:v>
                </c:pt>
                <c:pt idx="487">
                  <c:v>-7.4804881638490806E-3</c:v>
                </c:pt>
                <c:pt idx="488">
                  <c:v>-7.5824793561567738E-3</c:v>
                </c:pt>
                <c:pt idx="489">
                  <c:v>-7.6237986397106874E-3</c:v>
                </c:pt>
                <c:pt idx="490">
                  <c:v>-8.3898373253771929E-3</c:v>
                </c:pt>
                <c:pt idx="491">
                  <c:v>-9.9487098353771945E-3</c:v>
                </c:pt>
                <c:pt idx="492">
                  <c:v>-7.1715199578460849E-3</c:v>
                </c:pt>
                <c:pt idx="493">
                  <c:v>-7.2851672157859685E-3</c:v>
                </c:pt>
                <c:pt idx="494">
                  <c:v>-5.7776687570573505E-3</c:v>
                </c:pt>
                <c:pt idx="495">
                  <c:v>-5.1449716056537025E-3</c:v>
                </c:pt>
                <c:pt idx="496">
                  <c:v>-5.818326742526159E-3</c:v>
                </c:pt>
                <c:pt idx="497">
                  <c:v>-5.5875496562921784E-3</c:v>
                </c:pt>
                <c:pt idx="498">
                  <c:v>-5.3805661793941573E-3</c:v>
                </c:pt>
                <c:pt idx="499">
                  <c:v>-5.0065651457206475E-3</c:v>
                </c:pt>
                <c:pt idx="500">
                  <c:v>-3.8664165959431443E-3</c:v>
                </c:pt>
                <c:pt idx="501">
                  <c:v>-3.7359332109667305E-3</c:v>
                </c:pt>
                <c:pt idx="502">
                  <c:v>-3.2933894531436011E-3</c:v>
                </c:pt>
                <c:pt idx="503">
                  <c:v>-4.5123439557526249E-3</c:v>
                </c:pt>
                <c:pt idx="504">
                  <c:v>-5.0491230758696604E-3</c:v>
                </c:pt>
                <c:pt idx="505">
                  <c:v>-4.9022415105576516E-3</c:v>
                </c:pt>
                <c:pt idx="506">
                  <c:v>-5.0436635555660154E-3</c:v>
                </c:pt>
                <c:pt idx="507">
                  <c:v>-4.3575328997402874E-3</c:v>
                </c:pt>
                <c:pt idx="508">
                  <c:v>-4.6400986048022799E-3</c:v>
                </c:pt>
                <c:pt idx="509">
                  <c:v>-6.4323923454512773E-3</c:v>
                </c:pt>
                <c:pt idx="510">
                  <c:v>-5.5293588240482982E-3</c:v>
                </c:pt>
                <c:pt idx="511">
                  <c:v>-5.6793410938987005E-3</c:v>
                </c:pt>
                <c:pt idx="512">
                  <c:v>-4.2990023986749625E-3</c:v>
                </c:pt>
                <c:pt idx="513">
                  <c:v>-4.0397214690645637E-3</c:v>
                </c:pt>
                <c:pt idx="514">
                  <c:v>-2.8105815052737598E-3</c:v>
                </c:pt>
                <c:pt idx="515">
                  <c:v>-2.4974472640618404E-3</c:v>
                </c:pt>
                <c:pt idx="516">
                  <c:v>1.846113749492084E-4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DD-44B2-9C2A-323122FF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188016"/>
        <c:axId val="582189264"/>
      </c:lineChart>
      <c:dateAx>
        <c:axId val="582188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89264"/>
        <c:crosses val="autoZero"/>
        <c:auto val="1"/>
        <c:lblOffset val="100"/>
        <c:baseTimeUnit val="days"/>
      </c:dateAx>
      <c:valAx>
        <c:axId val="5821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8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B0F21B5-393D-420C-B493-5E94C22D3D8E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A542E2-8DED-4785-8660-82459A37BB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164.05</v>
      </c>
      <c r="D2" s="4">
        <f>MIN(D3:D1912)</f>
        <v>12.788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18.96</v>
      </c>
      <c r="C5">
        <v>19.21</v>
      </c>
      <c r="D5">
        <v>18.52</v>
      </c>
      <c r="E5">
        <v>18.559999999999999</v>
      </c>
      <c r="F5">
        <v>6996.61</v>
      </c>
      <c r="G5">
        <v>18.559999999999999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-0.88405797101449546</v>
      </c>
      <c r="Q5">
        <f t="shared" ref="Q5" si="1">F5*P5</f>
        <v>-6185.4088405797283</v>
      </c>
      <c r="R5">
        <f t="shared" ref="R5" si="2">R6+Q5</f>
        <v>-1744269.1669818903</v>
      </c>
      <c r="S5">
        <f t="shared" ref="S5" si="3">R5/100000</f>
        <v>-17.442691669818903</v>
      </c>
      <c r="T5">
        <f t="shared" ref="T5" si="4">S5/1000</f>
        <v>-1.7442691669818901E-2</v>
      </c>
    </row>
    <row r="6" spans="1:20" x14ac:dyDescent="0.25">
      <c r="A6" s="5">
        <v>44587</v>
      </c>
      <c r="B6">
        <v>19.05</v>
      </c>
      <c r="C6">
        <v>21.22</v>
      </c>
      <c r="D6">
        <v>18.649999999999999</v>
      </c>
      <c r="E6">
        <v>18.96</v>
      </c>
      <c r="F6">
        <v>86506.93</v>
      </c>
      <c r="G6">
        <v>18.96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-0.75875486381322788</v>
      </c>
      <c r="Q6">
        <f t="shared" ref="Q6" si="6">F6*P6</f>
        <v>-65637.553891050426</v>
      </c>
      <c r="R6">
        <f t="shared" ref="R6" si="7">R7+Q6</f>
        <v>-1738083.7581413107</v>
      </c>
      <c r="S6">
        <f t="shared" ref="S6" si="8">R6/100000</f>
        <v>-17.380837581413108</v>
      </c>
      <c r="T6">
        <f t="shared" ref="T6" si="9">S6/1000</f>
        <v>-1.7380837581413108E-2</v>
      </c>
    </row>
    <row r="7" spans="1:20" x14ac:dyDescent="0.25">
      <c r="A7" s="5">
        <v>44586</v>
      </c>
      <c r="B7">
        <v>18.91</v>
      </c>
      <c r="C7">
        <v>19.53</v>
      </c>
      <c r="D7">
        <v>18.27</v>
      </c>
      <c r="E7">
        <v>19.03</v>
      </c>
      <c r="F7">
        <v>106579.83</v>
      </c>
      <c r="G7">
        <v>19.03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0.20634920634920734</v>
      </c>
      <c r="Q7">
        <f t="shared" ref="Q7" si="11">F7*P7</f>
        <v>21992.663333333439</v>
      </c>
      <c r="R7">
        <f t="shared" ref="R7" si="12">R8+Q7</f>
        <v>-1672446.2042502603</v>
      </c>
      <c r="S7">
        <f t="shared" ref="S7" si="13">R7/100000</f>
        <v>-16.724462042502601</v>
      </c>
      <c r="T7">
        <f t="shared" ref="T7" si="14">S7/1000</f>
        <v>-1.6724462042502601E-2</v>
      </c>
    </row>
    <row r="8" spans="1:20" x14ac:dyDescent="0.25">
      <c r="A8" s="5">
        <v>44585</v>
      </c>
      <c r="B8">
        <v>19.46</v>
      </c>
      <c r="C8">
        <v>19.46</v>
      </c>
      <c r="D8">
        <v>16.57</v>
      </c>
      <c r="E8">
        <v>18.899999999999999</v>
      </c>
      <c r="F8">
        <v>138757.9</v>
      </c>
      <c r="G8">
        <v>18.899999999999999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0.61245674740484279</v>
      </c>
      <c r="Q8">
        <f t="shared" ref="Q8" si="16">F8*P8</f>
        <v>84983.212110726439</v>
      </c>
      <c r="R8">
        <f t="shared" ref="R8" si="17">R9+Q8</f>
        <v>-1694438.8675835936</v>
      </c>
      <c r="S8">
        <f t="shared" ref="S8" si="18">R8/100000</f>
        <v>-16.944388675835935</v>
      </c>
      <c r="T8">
        <f t="shared" ref="T8" si="19">S8/1000</f>
        <v>-1.6944388675835934E-2</v>
      </c>
    </row>
    <row r="9" spans="1:20" x14ac:dyDescent="0.25">
      <c r="A9" s="5">
        <v>44584</v>
      </c>
      <c r="B9">
        <v>18.91</v>
      </c>
      <c r="C9">
        <v>19.850000000000001</v>
      </c>
      <c r="D9">
        <v>18.27</v>
      </c>
      <c r="E9">
        <v>19.420000000000002</v>
      </c>
      <c r="F9">
        <v>107094.41</v>
      </c>
      <c r="G9">
        <v>19.420000000000002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0.45569620253164655</v>
      </c>
      <c r="Q9">
        <f t="shared" ref="Q9" si="21">F9*P9</f>
        <v>48802.515949367196</v>
      </c>
      <c r="R9">
        <f t="shared" ref="R9" si="22">R10+Q9</f>
        <v>-1779422.07969432</v>
      </c>
      <c r="S9">
        <f t="shared" ref="S9" si="23">R9/100000</f>
        <v>-17.7942207969432</v>
      </c>
      <c r="T9">
        <f t="shared" ref="T9" si="24">S9/1000</f>
        <v>-1.7794220796943202E-2</v>
      </c>
    </row>
    <row r="10" spans="1:20" x14ac:dyDescent="0.25">
      <c r="A10" s="5">
        <v>44583</v>
      </c>
      <c r="B10">
        <v>21.18</v>
      </c>
      <c r="C10">
        <v>23.96</v>
      </c>
      <c r="D10">
        <v>16.66</v>
      </c>
      <c r="E10">
        <v>18.88</v>
      </c>
      <c r="F10">
        <v>449399.9</v>
      </c>
      <c r="G10">
        <v>18.88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-0.39178082191780861</v>
      </c>
      <c r="Q10">
        <f t="shared" ref="Q10" si="26">F10*P10</f>
        <v>-176066.26219178102</v>
      </c>
      <c r="R10">
        <f t="shared" ref="R10" si="27">R11+Q10</f>
        <v>-1828224.5956436873</v>
      </c>
      <c r="S10">
        <f t="shared" ref="S10" si="28">R10/100000</f>
        <v>-18.282245956436874</v>
      </c>
      <c r="T10">
        <f t="shared" ref="T10" si="29">S10/1000</f>
        <v>-1.8282245956436873E-2</v>
      </c>
    </row>
    <row r="11" spans="1:20" x14ac:dyDescent="0.25">
      <c r="A11" s="5">
        <v>44582</v>
      </c>
      <c r="B11">
        <v>24.38</v>
      </c>
      <c r="C11">
        <v>24.61</v>
      </c>
      <c r="D11">
        <v>20.309999999999999</v>
      </c>
      <c r="E11">
        <v>21.2</v>
      </c>
      <c r="F11">
        <v>180334.16399999999</v>
      </c>
      <c r="G11">
        <v>21.2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-0.58604651162790677</v>
      </c>
      <c r="Q11">
        <f t="shared" ref="Q11" si="31">F11*P11</f>
        <v>-105684.20773953485</v>
      </c>
      <c r="R11">
        <f t="shared" ref="R11" si="32">R12+Q11</f>
        <v>-1652158.3334519062</v>
      </c>
      <c r="S11">
        <f t="shared" ref="S11" si="33">R11/100000</f>
        <v>-16.521583334519061</v>
      </c>
      <c r="T11">
        <f t="shared" ref="T11" si="34">S11/1000</f>
        <v>-1.6521583334519061E-2</v>
      </c>
    </row>
    <row r="12" spans="1:20" x14ac:dyDescent="0.25">
      <c r="A12" s="5">
        <v>44581</v>
      </c>
      <c r="B12">
        <v>26.08</v>
      </c>
      <c r="C12">
        <v>27.56</v>
      </c>
      <c r="D12">
        <v>24.22</v>
      </c>
      <c r="E12">
        <v>24.4</v>
      </c>
      <c r="F12">
        <v>69001.850000000006</v>
      </c>
      <c r="G12">
        <v>24.4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-0.8922155688622756</v>
      </c>
      <c r="Q12">
        <f t="shared" ref="Q12" si="36">F12*P12</f>
        <v>-61564.524850299415</v>
      </c>
      <c r="R12">
        <f t="shared" ref="R12" si="37">R13+Q12</f>
        <v>-1546474.1257123714</v>
      </c>
      <c r="S12">
        <f t="shared" ref="S12" si="38">R12/100000</f>
        <v>-15.464741257123714</v>
      </c>
      <c r="T12">
        <f t="shared" ref="T12" si="39">S12/1000</f>
        <v>-1.5464741257123714E-2</v>
      </c>
    </row>
    <row r="13" spans="1:20" x14ac:dyDescent="0.25">
      <c r="A13" s="5">
        <v>44580</v>
      </c>
      <c r="B13">
        <v>27.86</v>
      </c>
      <c r="C13">
        <v>27.94</v>
      </c>
      <c r="D13">
        <v>26.09</v>
      </c>
      <c r="E13">
        <v>26.1</v>
      </c>
      <c r="F13">
        <v>65468.36</v>
      </c>
      <c r="G13">
        <v>26.1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-0.98918918918918752</v>
      </c>
      <c r="Q13">
        <f t="shared" ref="Q13" si="41">F13*P13</f>
        <v>-64760.593945945839</v>
      </c>
      <c r="R13">
        <f t="shared" ref="R13" si="42">R14+Q13</f>
        <v>-1484909.6008620721</v>
      </c>
      <c r="S13">
        <f t="shared" ref="S13" si="43">R13/100000</f>
        <v>-14.849096008620721</v>
      </c>
      <c r="T13">
        <f t="shared" ref="T13" si="44">S13/1000</f>
        <v>-1.4849096008620721E-2</v>
      </c>
    </row>
    <row r="14" spans="1:20" x14ac:dyDescent="0.25">
      <c r="A14" s="5">
        <v>44579</v>
      </c>
      <c r="B14">
        <v>28.94</v>
      </c>
      <c r="C14">
        <v>29.23</v>
      </c>
      <c r="D14">
        <v>27.07</v>
      </c>
      <c r="E14">
        <v>27.85</v>
      </c>
      <c r="F14">
        <v>65829.61</v>
      </c>
      <c r="G14">
        <v>27.85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-0.27777777777777679</v>
      </c>
      <c r="Q14">
        <f t="shared" ref="Q14" si="46">F14*P14</f>
        <v>-18286.002777777714</v>
      </c>
      <c r="R14">
        <f t="shared" ref="R14" si="47">R15+Q14</f>
        <v>-1420149.0069161262</v>
      </c>
      <c r="S14">
        <f t="shared" ref="S14" si="48">R14/100000</f>
        <v>-14.201490069161263</v>
      </c>
      <c r="T14">
        <f t="shared" ref="T14" si="49">S14/1000</f>
        <v>-1.4201490069161262E-2</v>
      </c>
    </row>
    <row r="15" spans="1:20" x14ac:dyDescent="0.25">
      <c r="A15" s="5">
        <v>44578</v>
      </c>
      <c r="B15">
        <v>30.89</v>
      </c>
      <c r="C15">
        <v>30.9</v>
      </c>
      <c r="D15">
        <v>28.37</v>
      </c>
      <c r="E15">
        <v>28.89</v>
      </c>
      <c r="F15">
        <v>38910.19</v>
      </c>
      <c r="G15">
        <v>28.89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-0.5889328063241106</v>
      </c>
      <c r="Q15">
        <f t="shared" ref="Q15" si="51">F15*P15</f>
        <v>-22915.487391304345</v>
      </c>
      <c r="R15">
        <f t="shared" ref="R15" si="52">R16+Q15</f>
        <v>-1401863.0041383486</v>
      </c>
      <c r="S15">
        <f t="shared" ref="S15" si="53">R15/100000</f>
        <v>-14.018630041383487</v>
      </c>
      <c r="T15">
        <f t="shared" ref="T15" si="54">S15/1000</f>
        <v>-1.4018630041383488E-2</v>
      </c>
    </row>
    <row r="16" spans="1:20" x14ac:dyDescent="0.25">
      <c r="A16" s="5">
        <v>44577</v>
      </c>
      <c r="B16">
        <v>30.6</v>
      </c>
      <c r="C16">
        <v>31.14</v>
      </c>
      <c r="D16">
        <v>29.91</v>
      </c>
      <c r="E16">
        <v>30.86</v>
      </c>
      <c r="F16">
        <v>35338.959999999999</v>
      </c>
      <c r="G16">
        <v>30.86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0.54471544715446985</v>
      </c>
      <c r="Q16">
        <f t="shared" ref="Q16" si="56">F16*P16</f>
        <v>19249.677398373922</v>
      </c>
      <c r="R16">
        <f t="shared" ref="R16" si="57">R17+Q16</f>
        <v>-1378947.5167470442</v>
      </c>
      <c r="S16">
        <f t="shared" ref="S16" si="58">R16/100000</f>
        <v>-13.789475167470442</v>
      </c>
      <c r="T16">
        <f t="shared" ref="T16" si="59">S16/1000</f>
        <v>-1.3789475167470443E-2</v>
      </c>
    </row>
    <row r="17" spans="1:20" x14ac:dyDescent="0.25">
      <c r="A17" s="5">
        <v>44576</v>
      </c>
      <c r="B17">
        <v>29.69</v>
      </c>
      <c r="C17">
        <v>31.45</v>
      </c>
      <c r="D17">
        <v>29.31</v>
      </c>
      <c r="E17">
        <v>30.62</v>
      </c>
      <c r="F17">
        <v>40064.69</v>
      </c>
      <c r="G17">
        <v>30.62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0.22429906542056255</v>
      </c>
      <c r="Q17">
        <f t="shared" ref="Q17" si="61">F17*P17</f>
        <v>8986.4725233645586</v>
      </c>
      <c r="R17">
        <f t="shared" ref="R17" si="62">R18+Q17</f>
        <v>-1398197.194145418</v>
      </c>
      <c r="S17">
        <f t="shared" ref="S17" si="63">R17/100000</f>
        <v>-13.98197194145418</v>
      </c>
      <c r="T17">
        <f t="shared" ref="T17" si="64">S17/1000</f>
        <v>-1.398197194145418E-2</v>
      </c>
    </row>
    <row r="18" spans="1:20" x14ac:dyDescent="0.25">
      <c r="A18" s="5">
        <v>44575</v>
      </c>
      <c r="B18">
        <v>29.34</v>
      </c>
      <c r="C18">
        <v>30.11</v>
      </c>
      <c r="D18">
        <v>28.67</v>
      </c>
      <c r="E18">
        <v>29.69</v>
      </c>
      <c r="F18">
        <v>54368.65</v>
      </c>
      <c r="G18">
        <v>29.69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0.41666666666666829</v>
      </c>
      <c r="Q18">
        <f t="shared" ref="Q18" si="66">F18*P18</f>
        <v>22653.604166666755</v>
      </c>
      <c r="R18">
        <f t="shared" ref="R18" si="67">R19+Q18</f>
        <v>-1407183.6666687825</v>
      </c>
      <c r="S18">
        <f t="shared" ref="S18" si="68">R18/100000</f>
        <v>-14.071836666687824</v>
      </c>
      <c r="T18">
        <f t="shared" ref="T18" si="69">S18/1000</f>
        <v>-1.4071836666687824E-2</v>
      </c>
    </row>
    <row r="19" spans="1:20" x14ac:dyDescent="0.25">
      <c r="A19" s="5">
        <v>44574</v>
      </c>
      <c r="B19">
        <v>31.52</v>
      </c>
      <c r="C19">
        <v>32.47</v>
      </c>
      <c r="D19">
        <v>29.17</v>
      </c>
      <c r="E19">
        <v>29.32</v>
      </c>
      <c r="F19">
        <v>47828.75</v>
      </c>
      <c r="G19">
        <v>29.32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-0.90909090909090984</v>
      </c>
      <c r="Q19">
        <f t="shared" ref="Q19" si="71">F19*P19</f>
        <v>-43480.681818181853</v>
      </c>
      <c r="R19">
        <f t="shared" ref="R19" si="72">R20+Q19</f>
        <v>-1429837.2708354492</v>
      </c>
      <c r="S19">
        <f t="shared" ref="S19" si="73">R19/100000</f>
        <v>-14.298372708354492</v>
      </c>
      <c r="T19">
        <f t="shared" ref="T19" si="74">S19/1000</f>
        <v>-1.4298372708354492E-2</v>
      </c>
    </row>
    <row r="20" spans="1:20" x14ac:dyDescent="0.25">
      <c r="A20" s="5">
        <v>44573</v>
      </c>
      <c r="B20">
        <v>29.48</v>
      </c>
      <c r="C20">
        <v>31.95</v>
      </c>
      <c r="D20">
        <v>29.34</v>
      </c>
      <c r="E20">
        <v>31.48</v>
      </c>
      <c r="F20">
        <v>76854.880000000005</v>
      </c>
      <c r="G20">
        <v>31.48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0.63984674329502</v>
      </c>
      <c r="Q20">
        <f t="shared" ref="Q20" si="76">F20*P20</f>
        <v>49175.344674329572</v>
      </c>
      <c r="R20">
        <f t="shared" ref="R20" si="77">R21+Q20</f>
        <v>-1386356.5890172673</v>
      </c>
      <c r="S20">
        <f t="shared" ref="S20" si="78">R20/100000</f>
        <v>-13.863565890172673</v>
      </c>
      <c r="T20">
        <f t="shared" ref="T20" si="79">S20/1000</f>
        <v>-1.3863565890172673E-2</v>
      </c>
    </row>
    <row r="21" spans="1:20" x14ac:dyDescent="0.25">
      <c r="A21" s="5">
        <v>44572</v>
      </c>
      <c r="B21">
        <v>28.03</v>
      </c>
      <c r="C21">
        <v>29.77</v>
      </c>
      <c r="D21">
        <v>27.7</v>
      </c>
      <c r="E21">
        <v>29.46</v>
      </c>
      <c r="F21">
        <v>43991.519999999997</v>
      </c>
      <c r="G21">
        <v>29.46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0.70048309178744084</v>
      </c>
      <c r="Q21">
        <f t="shared" ref="Q21" si="81">F21*P21</f>
        <v>30815.315942029036</v>
      </c>
      <c r="R21">
        <f t="shared" ref="R21" si="82">R22+Q21</f>
        <v>-1435531.9336915968</v>
      </c>
      <c r="S21">
        <f t="shared" ref="S21" si="83">R21/100000</f>
        <v>-14.355319336915969</v>
      </c>
      <c r="T21">
        <f t="shared" ref="T21" si="84">S21/1000</f>
        <v>-1.4355319336915969E-2</v>
      </c>
    </row>
    <row r="22" spans="1:20" x14ac:dyDescent="0.25">
      <c r="A22" s="5">
        <v>44571</v>
      </c>
      <c r="B22">
        <v>29.92</v>
      </c>
      <c r="C22">
        <v>30.38</v>
      </c>
      <c r="D22">
        <v>26.54</v>
      </c>
      <c r="E22">
        <v>28.03</v>
      </c>
      <c r="F22">
        <v>74704.854999999996</v>
      </c>
      <c r="G22">
        <v>28.03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-0.22395833333333226</v>
      </c>
      <c r="Q22">
        <f t="shared" ref="Q22" si="86">F22*P22</f>
        <v>-16730.774817708254</v>
      </c>
      <c r="R22">
        <f t="shared" ref="R22" si="87">R23+Q22</f>
        <v>-1466347.2496336258</v>
      </c>
      <c r="S22">
        <f t="shared" ref="S22" si="88">R22/100000</f>
        <v>-14.663472496336258</v>
      </c>
      <c r="T22">
        <f t="shared" ref="T22" si="89">S22/1000</f>
        <v>-1.4663472496336257E-2</v>
      </c>
    </row>
    <row r="23" spans="1:20" x14ac:dyDescent="0.25">
      <c r="A23" s="5">
        <v>44570</v>
      </c>
      <c r="B23">
        <v>28.83</v>
      </c>
      <c r="C23">
        <v>30.58</v>
      </c>
      <c r="D23">
        <v>28.52</v>
      </c>
      <c r="E23">
        <v>29.89</v>
      </c>
      <c r="F23">
        <v>55094.76</v>
      </c>
      <c r="G23">
        <v>29.89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0.33009708737864257</v>
      </c>
      <c r="Q23">
        <f t="shared" ref="Q23" si="91">F23*P23</f>
        <v>18186.619805825343</v>
      </c>
      <c r="R23">
        <f t="shared" ref="R23" si="92">R24+Q23</f>
        <v>-1449616.4748159177</v>
      </c>
      <c r="S23">
        <f t="shared" ref="S23" si="93">R23/100000</f>
        <v>-14.496164748159178</v>
      </c>
      <c r="T23">
        <f t="shared" ref="T23" si="94">S23/1000</f>
        <v>-1.4496164748159178E-2</v>
      </c>
    </row>
    <row r="24" spans="1:20" x14ac:dyDescent="0.25">
      <c r="A24" s="5">
        <v>44569</v>
      </c>
      <c r="B24">
        <v>30.99</v>
      </c>
      <c r="C24">
        <v>32.24</v>
      </c>
      <c r="D24">
        <v>27.87</v>
      </c>
      <c r="E24">
        <v>28.83</v>
      </c>
      <c r="F24">
        <v>116491.7</v>
      </c>
      <c r="G24">
        <v>28.83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-0.56064073226544753</v>
      </c>
      <c r="Q24">
        <f t="shared" ref="Q24" si="96">F24*P24</f>
        <v>-65309.991990846829</v>
      </c>
      <c r="R24">
        <f t="shared" ref="R24" si="97">R25+Q24</f>
        <v>-1467803.0946217431</v>
      </c>
      <c r="S24">
        <f t="shared" ref="S24" si="98">R24/100000</f>
        <v>-14.678030946217431</v>
      </c>
      <c r="T24">
        <f t="shared" ref="T24" si="99">S24/1000</f>
        <v>-1.4678030946217431E-2</v>
      </c>
    </row>
    <row r="25" spans="1:20" x14ac:dyDescent="0.25">
      <c r="A25" s="5">
        <v>44568</v>
      </c>
      <c r="B25">
        <v>33.11</v>
      </c>
      <c r="C25">
        <v>33.200000000000003</v>
      </c>
      <c r="D25">
        <v>30.06</v>
      </c>
      <c r="E25">
        <v>30.98</v>
      </c>
      <c r="F25">
        <v>111284.65</v>
      </c>
      <c r="G25">
        <v>30.98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-0.41401273885350287</v>
      </c>
      <c r="Q25">
        <f t="shared" ref="Q25" si="101">F25*P25</f>
        <v>-46073.262738853467</v>
      </c>
      <c r="R25">
        <f t="shared" ref="R25" si="102">R26+Q25</f>
        <v>-1402493.1026308963</v>
      </c>
      <c r="S25">
        <f t="shared" ref="S25" si="103">R25/100000</f>
        <v>-14.024931026308963</v>
      </c>
      <c r="T25">
        <f t="shared" ref="T25" si="104">S25/1000</f>
        <v>-1.4024931026308963E-2</v>
      </c>
    </row>
    <row r="26" spans="1:20" x14ac:dyDescent="0.25">
      <c r="A26" s="5">
        <v>44567</v>
      </c>
      <c r="B26">
        <v>33.35</v>
      </c>
      <c r="C26">
        <v>34.520000000000003</v>
      </c>
      <c r="D26">
        <v>31.6</v>
      </c>
      <c r="E26">
        <v>33.1</v>
      </c>
      <c r="F26">
        <v>69305.899999999994</v>
      </c>
      <c r="G26">
        <v>33.1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2.7397260273972001E-2</v>
      </c>
      <c r="Q26">
        <f t="shared" ref="Q26" si="106">F26*P26</f>
        <v>1898.791780821876</v>
      </c>
      <c r="R26">
        <f t="shared" ref="R26" si="107">R27+Q26</f>
        <v>-1356419.8398920428</v>
      </c>
      <c r="S26">
        <f t="shared" ref="S26" si="108">R26/100000</f>
        <v>-13.564198398920428</v>
      </c>
      <c r="T26">
        <f t="shared" ref="T26" si="109">S26/1000</f>
        <v>-1.3564198398920429E-2</v>
      </c>
    </row>
    <row r="27" spans="1:20" x14ac:dyDescent="0.25">
      <c r="A27" s="5">
        <v>44566</v>
      </c>
      <c r="B27">
        <v>35.799999999999997</v>
      </c>
      <c r="C27">
        <v>39.28</v>
      </c>
      <c r="D27">
        <v>31.46</v>
      </c>
      <c r="E27">
        <v>33.340000000000003</v>
      </c>
      <c r="F27">
        <v>230662.39999999999</v>
      </c>
      <c r="G27">
        <v>33.340000000000003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-0.51918158567774875</v>
      </c>
      <c r="Q27">
        <f t="shared" ref="Q27" si="111">F27*P27</f>
        <v>-119755.67058823515</v>
      </c>
      <c r="R27">
        <f t="shared" ref="R27" si="112">R28+Q27</f>
        <v>-1358318.6316728648</v>
      </c>
      <c r="S27">
        <f t="shared" ref="S27" si="113">R27/100000</f>
        <v>-13.583186316728648</v>
      </c>
      <c r="T27">
        <f t="shared" ref="T27" si="114">S27/1000</f>
        <v>-1.3583186316728647E-2</v>
      </c>
    </row>
    <row r="28" spans="1:20" x14ac:dyDescent="0.25">
      <c r="A28" s="5">
        <v>44565</v>
      </c>
      <c r="B28">
        <v>36.450000000000003</v>
      </c>
      <c r="C28">
        <v>37.96</v>
      </c>
      <c r="D28">
        <v>34.42</v>
      </c>
      <c r="E28">
        <v>35.840000000000003</v>
      </c>
      <c r="F28">
        <v>166651.82</v>
      </c>
      <c r="G28">
        <v>35.840000000000003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-0.19774011299434913</v>
      </c>
      <c r="Q28">
        <f t="shared" ref="Q28" si="116">F28*P28</f>
        <v>-32953.749717513936</v>
      </c>
      <c r="R28">
        <f t="shared" ref="R28" si="117">R29+Q28</f>
        <v>-1238562.9610846296</v>
      </c>
      <c r="S28">
        <f t="shared" ref="S28" si="118">R28/100000</f>
        <v>-12.385629610846296</v>
      </c>
      <c r="T28">
        <f t="shared" ref="T28" si="119">S28/1000</f>
        <v>-1.2385629610846296E-2</v>
      </c>
    </row>
    <row r="29" spans="1:20" x14ac:dyDescent="0.25">
      <c r="A29" s="5">
        <v>44564</v>
      </c>
      <c r="B29">
        <v>35.5</v>
      </c>
      <c r="C29">
        <v>36.5</v>
      </c>
      <c r="D29">
        <v>34.01</v>
      </c>
      <c r="E29">
        <v>36.409999999999997</v>
      </c>
      <c r="F29">
        <v>62901.59</v>
      </c>
      <c r="G29">
        <v>36.409999999999997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0.9277108433734913</v>
      </c>
      <c r="Q29">
        <f t="shared" ref="Q29" si="121">F29*P29</f>
        <v>58354.487108433561</v>
      </c>
      <c r="R29">
        <f t="shared" ref="R29" si="122">R30+Q29</f>
        <v>-1205609.2113671156</v>
      </c>
      <c r="S29">
        <f t="shared" ref="S29" si="123">R29/100000</f>
        <v>-12.056092113671156</v>
      </c>
      <c r="T29">
        <f t="shared" ref="T29" si="124">S29/1000</f>
        <v>-1.2056092113671155E-2</v>
      </c>
    </row>
    <row r="30" spans="1:20" x14ac:dyDescent="0.25">
      <c r="A30" s="5">
        <v>44563</v>
      </c>
      <c r="B30">
        <v>35.29</v>
      </c>
      <c r="C30">
        <v>35.950000000000003</v>
      </c>
      <c r="D30">
        <v>33.82</v>
      </c>
      <c r="E30">
        <v>35.58</v>
      </c>
      <c r="F30">
        <v>54601.33</v>
      </c>
      <c r="G30">
        <v>35.58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0.65258215962440924</v>
      </c>
      <c r="Q30">
        <f t="shared" ref="Q30" si="126">F30*P30</f>
        <v>35631.853849765044</v>
      </c>
      <c r="R30">
        <f t="shared" ref="R30" si="127">R31+Q30</f>
        <v>-1263963.6984755492</v>
      </c>
      <c r="S30">
        <f t="shared" ref="S30" si="128">R30/100000</f>
        <v>-12.639636984755493</v>
      </c>
      <c r="T30">
        <f t="shared" ref="T30" si="129">S30/1000</f>
        <v>-1.2639636984755493E-2</v>
      </c>
    </row>
    <row r="31" spans="1:20" x14ac:dyDescent="0.25">
      <c r="A31" s="5">
        <v>44562</v>
      </c>
      <c r="B31">
        <v>33.11</v>
      </c>
      <c r="C31">
        <v>35.43</v>
      </c>
      <c r="D31">
        <v>33.08</v>
      </c>
      <c r="E31">
        <v>35.26</v>
      </c>
      <c r="F31">
        <v>31396.68</v>
      </c>
      <c r="G31">
        <v>35.26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0.85531914893616889</v>
      </c>
      <c r="Q31">
        <f t="shared" ref="Q31" si="131">F31*P31</f>
        <v>26854.181617021237</v>
      </c>
      <c r="R31">
        <f t="shared" ref="R31" si="132">R32+Q31</f>
        <v>-1299595.5523253144</v>
      </c>
      <c r="S31">
        <f t="shared" ref="S31" si="133">R31/100000</f>
        <v>-12.995955523253144</v>
      </c>
      <c r="T31">
        <f t="shared" ref="T31" si="134">S31/1000</f>
        <v>-1.2995955523253144E-2</v>
      </c>
    </row>
    <row r="32" spans="1:20" x14ac:dyDescent="0.25">
      <c r="A32" s="5">
        <v>44561</v>
      </c>
      <c r="B32">
        <v>33.96</v>
      </c>
      <c r="C32">
        <v>35.04</v>
      </c>
      <c r="D32">
        <v>32.22</v>
      </c>
      <c r="E32">
        <v>33.06</v>
      </c>
      <c r="F32">
        <v>53658.98</v>
      </c>
      <c r="G32">
        <v>33.06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-0.40425531914893381</v>
      </c>
      <c r="Q32">
        <f t="shared" ref="Q32" si="136">F32*P32</f>
        <v>-21691.928085106258</v>
      </c>
      <c r="R32">
        <f t="shared" ref="R32" si="137">R33+Q32</f>
        <v>-1326449.7339423357</v>
      </c>
      <c r="S32">
        <f t="shared" ref="S32" si="138">R32/100000</f>
        <v>-13.264497339423357</v>
      </c>
      <c r="T32">
        <f t="shared" ref="T32" si="139">S32/1000</f>
        <v>-1.3264497339423358E-2</v>
      </c>
    </row>
    <row r="33" spans="1:20" x14ac:dyDescent="0.25">
      <c r="A33" s="5">
        <v>44560</v>
      </c>
      <c r="B33">
        <v>33.229999999999997</v>
      </c>
      <c r="C33">
        <v>34.4</v>
      </c>
      <c r="D33">
        <v>32.35</v>
      </c>
      <c r="E33">
        <v>33.99</v>
      </c>
      <c r="F33">
        <v>57006.95</v>
      </c>
      <c r="G33">
        <v>33.99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0.60000000000000275</v>
      </c>
      <c r="Q33">
        <f t="shared" ref="Q33" si="141">F33*P33</f>
        <v>34204.170000000158</v>
      </c>
      <c r="R33">
        <f t="shared" ref="R33" si="142">R34+Q33</f>
        <v>-1304757.8058572295</v>
      </c>
      <c r="S33">
        <f t="shared" ref="S33" si="143">R33/100000</f>
        <v>-13.047578058572295</v>
      </c>
      <c r="T33">
        <f t="shared" ref="T33" si="144">S33/1000</f>
        <v>-1.3047578058572295E-2</v>
      </c>
    </row>
    <row r="34" spans="1:20" x14ac:dyDescent="0.25">
      <c r="A34" s="5">
        <v>44559</v>
      </c>
      <c r="B34">
        <v>35.08</v>
      </c>
      <c r="C34">
        <v>35.619999999999997</v>
      </c>
      <c r="D34">
        <v>32.74</v>
      </c>
      <c r="E34">
        <v>33.229999999999997</v>
      </c>
      <c r="F34">
        <v>88025.41</v>
      </c>
      <c r="G34">
        <v>33.229999999999997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-0.65972222222222521</v>
      </c>
      <c r="Q34">
        <f t="shared" ref="Q34" si="146">F34*P34</f>
        <v>-58072.319097222484</v>
      </c>
      <c r="R34">
        <f t="shared" ref="R34" si="147">R35+Q34</f>
        <v>-1338961.9758572297</v>
      </c>
      <c r="S34">
        <f t="shared" ref="S34" si="148">R34/100000</f>
        <v>-13.389619758572296</v>
      </c>
      <c r="T34">
        <f t="shared" ref="T34" si="149">S34/1000</f>
        <v>-1.3389619758572295E-2</v>
      </c>
    </row>
    <row r="35" spans="1:20" x14ac:dyDescent="0.25">
      <c r="A35" s="5">
        <v>44558</v>
      </c>
      <c r="B35">
        <v>39.53</v>
      </c>
      <c r="C35">
        <v>39.590000000000003</v>
      </c>
      <c r="D35">
        <v>34.85</v>
      </c>
      <c r="E35">
        <v>35.03</v>
      </c>
      <c r="F35">
        <v>175234.52</v>
      </c>
      <c r="G35">
        <v>35.03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-0.92405063291139256</v>
      </c>
      <c r="Q35">
        <f t="shared" ref="Q35" si="151">F35*P35</f>
        <v>-161925.56911392408</v>
      </c>
      <c r="R35">
        <f t="shared" ref="R35" si="152">R36+Q35</f>
        <v>-1280889.6567600071</v>
      </c>
      <c r="S35">
        <f t="shared" ref="S35" si="153">R35/100000</f>
        <v>-12.808896567600071</v>
      </c>
      <c r="T35">
        <f t="shared" ref="T35" si="154">S35/1000</f>
        <v>-1.2808896567600071E-2</v>
      </c>
    </row>
    <row r="36" spans="1:20" x14ac:dyDescent="0.25">
      <c r="A36" s="5">
        <v>44557</v>
      </c>
      <c r="B36">
        <v>38.94</v>
      </c>
      <c r="C36">
        <v>41.94</v>
      </c>
      <c r="D36">
        <v>38.94</v>
      </c>
      <c r="E36">
        <v>39.57</v>
      </c>
      <c r="F36">
        <v>124328.83</v>
      </c>
      <c r="G36">
        <v>39.57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-0.57999999999999829</v>
      </c>
      <c r="Q36">
        <f t="shared" ref="Q36" si="156">F36*P36</f>
        <v>-72110.721399999791</v>
      </c>
      <c r="R36">
        <f t="shared" ref="R36" si="157">R37+Q36</f>
        <v>-1118964.087646083</v>
      </c>
      <c r="S36">
        <f t="shared" ref="S36" si="158">R36/100000</f>
        <v>-11.18964087646083</v>
      </c>
      <c r="T36">
        <f t="shared" ref="T36" si="159">S36/1000</f>
        <v>-1.118964087646083E-2</v>
      </c>
    </row>
    <row r="37" spans="1:20" x14ac:dyDescent="0.25">
      <c r="A37" s="5">
        <v>44556</v>
      </c>
      <c r="B37">
        <v>39.35</v>
      </c>
      <c r="C37">
        <v>40.36</v>
      </c>
      <c r="D37">
        <v>37.39</v>
      </c>
      <c r="E37">
        <v>38.94</v>
      </c>
      <c r="F37">
        <v>177252.01</v>
      </c>
      <c r="G37">
        <v>38.94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4.3771043771042253E-2</v>
      </c>
      <c r="Q37">
        <f t="shared" ref="Q37" si="161">F37*P37</f>
        <v>7758.5054882152199</v>
      </c>
      <c r="R37">
        <f t="shared" ref="R37" si="162">R38+Q37</f>
        <v>-1046853.3662460833</v>
      </c>
      <c r="S37">
        <f t="shared" ref="S37" si="163">R37/100000</f>
        <v>-10.468533662460834</v>
      </c>
      <c r="T37">
        <f t="shared" ref="T37" si="164">S37/1000</f>
        <v>-1.0468533662460833E-2</v>
      </c>
    </row>
    <row r="38" spans="1:20" x14ac:dyDescent="0.25">
      <c r="A38" s="5">
        <v>44555</v>
      </c>
      <c r="B38">
        <v>34.92</v>
      </c>
      <c r="C38">
        <v>39.659999999999997</v>
      </c>
      <c r="D38">
        <v>34.71</v>
      </c>
      <c r="E38">
        <v>39.33</v>
      </c>
      <c r="F38">
        <v>177029.67</v>
      </c>
      <c r="G38">
        <v>39.33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0.86666666666666725</v>
      </c>
      <c r="Q38">
        <f t="shared" ref="Q38" si="166">F38*P38</f>
        <v>153425.71400000012</v>
      </c>
      <c r="R38">
        <f t="shared" ref="R38" si="167">R39+Q38</f>
        <v>-1054611.8717342985</v>
      </c>
      <c r="S38">
        <f t="shared" ref="S38" si="168">R38/100000</f>
        <v>-10.546118717342985</v>
      </c>
      <c r="T38">
        <f t="shared" ref="T38" si="169">S38/1000</f>
        <v>-1.0546118717342986E-2</v>
      </c>
    </row>
    <row r="39" spans="1:20" x14ac:dyDescent="0.25">
      <c r="A39" s="5">
        <v>44554</v>
      </c>
      <c r="B39">
        <v>37.1</v>
      </c>
      <c r="C39">
        <v>37.1</v>
      </c>
      <c r="D39">
        <v>34.54</v>
      </c>
      <c r="E39">
        <v>34.869999999999997</v>
      </c>
      <c r="F39">
        <v>105332.39</v>
      </c>
      <c r="G39">
        <v>34.869999999999997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-0.74218750000000155</v>
      </c>
      <c r="Q39">
        <f t="shared" ref="Q39" si="171">F39*P39</f>
        <v>-78176.383203125166</v>
      </c>
      <c r="R39">
        <f t="shared" ref="R39" si="172">R40+Q39</f>
        <v>-1208037.5857342987</v>
      </c>
      <c r="S39">
        <f t="shared" ref="S39" si="173">R39/100000</f>
        <v>-12.080375857342986</v>
      </c>
      <c r="T39">
        <f t="shared" ref="T39" si="174">S39/1000</f>
        <v>-1.2080375857342986E-2</v>
      </c>
    </row>
    <row r="40" spans="1:20" x14ac:dyDescent="0.25">
      <c r="A40" s="5">
        <v>44553</v>
      </c>
      <c r="B40">
        <v>33.79</v>
      </c>
      <c r="C40">
        <v>37.1</v>
      </c>
      <c r="D40">
        <v>33.1</v>
      </c>
      <c r="E40">
        <v>37.1</v>
      </c>
      <c r="F40">
        <v>129431.09</v>
      </c>
      <c r="G40">
        <v>37.1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1</v>
      </c>
      <c r="Q40">
        <f t="shared" ref="Q40" si="176">F40*P40</f>
        <v>129431.09</v>
      </c>
      <c r="R40">
        <f t="shared" ref="R40" si="177">R41+Q40</f>
        <v>-1129861.2025311736</v>
      </c>
      <c r="S40">
        <f t="shared" ref="S40" si="178">R40/100000</f>
        <v>-11.298612025311735</v>
      </c>
      <c r="T40">
        <f t="shared" ref="T40" si="179">S40/1000</f>
        <v>-1.1298612025311735E-2</v>
      </c>
    </row>
    <row r="41" spans="1:20" x14ac:dyDescent="0.25">
      <c r="A41" s="5">
        <v>44552</v>
      </c>
      <c r="B41">
        <v>32.020000000000003</v>
      </c>
      <c r="C41">
        <v>35.53</v>
      </c>
      <c r="D41">
        <v>32</v>
      </c>
      <c r="E41">
        <v>33.770000000000003</v>
      </c>
      <c r="F41">
        <v>240915.78</v>
      </c>
      <c r="G41">
        <v>33.770000000000003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2.8328611898031479E-3</v>
      </c>
      <c r="Q41">
        <f t="shared" ref="Q41" si="181">F41*P41</f>
        <v>682.48096317315344</v>
      </c>
      <c r="R41">
        <f t="shared" ref="R41" si="182">R42+Q41</f>
        <v>-1259292.2925311737</v>
      </c>
      <c r="S41">
        <f t="shared" ref="S41" si="183">R41/100000</f>
        <v>-12.592922925311736</v>
      </c>
      <c r="T41">
        <f t="shared" ref="T41" si="184">S41/1000</f>
        <v>-1.2592922925311736E-2</v>
      </c>
    </row>
    <row r="42" spans="1:20" x14ac:dyDescent="0.25">
      <c r="A42" s="5">
        <v>44551</v>
      </c>
      <c r="B42">
        <v>30.34</v>
      </c>
      <c r="C42">
        <v>32.130000000000003</v>
      </c>
      <c r="D42">
        <v>29.89</v>
      </c>
      <c r="E42">
        <v>32.049999999999997</v>
      </c>
      <c r="F42">
        <v>82140.67</v>
      </c>
      <c r="G42">
        <v>32.049999999999997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0.92857142857142383</v>
      </c>
      <c r="Q42">
        <f t="shared" ref="Q42" si="186">F42*P42</f>
        <v>76273.479285713896</v>
      </c>
      <c r="R42">
        <f t="shared" ref="R42" si="187">R43+Q42</f>
        <v>-1259974.7734943468</v>
      </c>
      <c r="S42">
        <f t="shared" ref="S42" si="188">R42/100000</f>
        <v>-12.599747734943467</v>
      </c>
      <c r="T42">
        <f t="shared" ref="T42" si="189">S42/1000</f>
        <v>-1.2599747734943467E-2</v>
      </c>
    </row>
    <row r="43" spans="1:20" x14ac:dyDescent="0.25">
      <c r="A43" s="5">
        <v>44550</v>
      </c>
      <c r="B43">
        <v>31.87</v>
      </c>
      <c r="C43">
        <v>32.049999999999997</v>
      </c>
      <c r="D43">
        <v>29.4</v>
      </c>
      <c r="E43">
        <v>30.28</v>
      </c>
      <c r="F43">
        <v>95844.05</v>
      </c>
      <c r="G43">
        <v>30.28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-0.33584905660377129</v>
      </c>
      <c r="Q43">
        <f t="shared" ref="Q43" si="191">F43*P43</f>
        <v>-32189.133773584686</v>
      </c>
      <c r="R43">
        <f t="shared" ref="R43" si="192">R44+Q43</f>
        <v>-1336248.2527800607</v>
      </c>
      <c r="S43">
        <f t="shared" ref="S43" si="193">R43/100000</f>
        <v>-13.362482527800607</v>
      </c>
      <c r="T43">
        <f t="shared" ref="T43" si="194">S43/1000</f>
        <v>-1.3362482527800607E-2</v>
      </c>
    </row>
    <row r="44" spans="1:20" x14ac:dyDescent="0.25">
      <c r="A44" s="5">
        <v>44549</v>
      </c>
      <c r="B44">
        <v>33.25</v>
      </c>
      <c r="C44">
        <v>34.4</v>
      </c>
      <c r="D44">
        <v>31.7</v>
      </c>
      <c r="E44">
        <v>31.86</v>
      </c>
      <c r="F44">
        <v>49100.6</v>
      </c>
      <c r="G44">
        <v>31.86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-0.88148148148148131</v>
      </c>
      <c r="Q44">
        <f t="shared" ref="Q44" si="196">F44*P44</f>
        <v>-43281.26962962962</v>
      </c>
      <c r="R44">
        <f t="shared" ref="R44" si="197">R45+Q44</f>
        <v>-1304059.1190064761</v>
      </c>
      <c r="S44">
        <f t="shared" ref="S44" si="198">R44/100000</f>
        <v>-13.040591190064761</v>
      </c>
      <c r="T44">
        <f t="shared" ref="T44" si="199">S44/1000</f>
        <v>-1.3040591190064761E-2</v>
      </c>
    </row>
    <row r="45" spans="1:20" x14ac:dyDescent="0.25">
      <c r="A45" s="5">
        <v>44548</v>
      </c>
      <c r="B45">
        <v>31.68</v>
      </c>
      <c r="C45">
        <v>34.9</v>
      </c>
      <c r="D45">
        <v>31.21</v>
      </c>
      <c r="E45">
        <v>33.24</v>
      </c>
      <c r="F45">
        <v>104411.59</v>
      </c>
      <c r="G45">
        <v>33.24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0.1002710027100284</v>
      </c>
      <c r="Q45">
        <f t="shared" ref="Q45" si="201">F45*P45</f>
        <v>10469.454823848373</v>
      </c>
      <c r="R45">
        <f t="shared" ref="R45" si="202">R46+Q45</f>
        <v>-1260777.8493768466</v>
      </c>
      <c r="S45">
        <f t="shared" ref="S45" si="203">R45/100000</f>
        <v>-12.607778493768466</v>
      </c>
      <c r="T45">
        <f t="shared" ref="T45" si="204">S45/1000</f>
        <v>-1.2607778493768465E-2</v>
      </c>
    </row>
    <row r="46" spans="1:20" x14ac:dyDescent="0.25">
      <c r="A46" s="5">
        <v>44547</v>
      </c>
      <c r="B46">
        <v>31.87</v>
      </c>
      <c r="C46">
        <v>33.49</v>
      </c>
      <c r="D46">
        <v>30.66</v>
      </c>
      <c r="E46">
        <v>31.73</v>
      </c>
      <c r="F46">
        <v>114493.36</v>
      </c>
      <c r="G46">
        <v>31.73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-0.24381625441696142</v>
      </c>
      <c r="Q46">
        <f t="shared" ref="Q46" si="206">F46*P46</f>
        <v>-27915.342190812753</v>
      </c>
      <c r="R46">
        <f t="shared" ref="R46" si="207">R47+Q46</f>
        <v>-1271247.3042006949</v>
      </c>
      <c r="S46">
        <f t="shared" ref="S46" si="208">R46/100000</f>
        <v>-12.712473042006948</v>
      </c>
      <c r="T46">
        <f t="shared" ref="T46" si="209">S46/1000</f>
        <v>-1.2712473042006948E-2</v>
      </c>
    </row>
    <row r="47" spans="1:20" x14ac:dyDescent="0.25">
      <c r="A47" s="5">
        <v>44546</v>
      </c>
      <c r="B47">
        <v>31.83</v>
      </c>
      <c r="C47">
        <v>33.6</v>
      </c>
      <c r="D47">
        <v>31.77</v>
      </c>
      <c r="E47">
        <v>31.83</v>
      </c>
      <c r="F47">
        <v>68920.22</v>
      </c>
      <c r="G47">
        <v>31.83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-0.9344262295081982</v>
      </c>
      <c r="Q47">
        <f t="shared" ref="Q47" si="211">F47*P47</f>
        <v>-64400.861311475514</v>
      </c>
      <c r="R47">
        <f t="shared" ref="R47" si="212">R48+Q47</f>
        <v>-1243331.9620098821</v>
      </c>
      <c r="S47">
        <f t="shared" ref="S47" si="213">R47/100000</f>
        <v>-12.433319620098821</v>
      </c>
      <c r="T47">
        <f t="shared" ref="T47" si="214">S47/1000</f>
        <v>-1.2433319620098821E-2</v>
      </c>
    </row>
    <row r="48" spans="1:20" x14ac:dyDescent="0.25">
      <c r="A48" s="5">
        <v>44545</v>
      </c>
      <c r="B48">
        <v>31.27</v>
      </c>
      <c r="C48">
        <v>32.22</v>
      </c>
      <c r="D48">
        <v>29.33</v>
      </c>
      <c r="E48">
        <v>31.84</v>
      </c>
      <c r="F48">
        <v>74311.87</v>
      </c>
      <c r="G48">
        <v>31.84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0.73702422145328794</v>
      </c>
      <c r="Q48">
        <f t="shared" ref="Q48" si="216">F48*P48</f>
        <v>54769.648131487942</v>
      </c>
      <c r="R48">
        <f t="shared" ref="R48" si="217">R49+Q48</f>
        <v>-1178931.1006984066</v>
      </c>
      <c r="S48">
        <f t="shared" ref="S48" si="218">R48/100000</f>
        <v>-11.789311006984066</v>
      </c>
      <c r="T48">
        <f t="shared" ref="T48" si="219">S48/1000</f>
        <v>-1.1789311006984066E-2</v>
      </c>
    </row>
    <row r="49" spans="1:20" x14ac:dyDescent="0.25">
      <c r="A49" s="5">
        <v>44544</v>
      </c>
      <c r="B49">
        <v>30.54</v>
      </c>
      <c r="C49">
        <v>31.57</v>
      </c>
      <c r="D49">
        <v>29.63</v>
      </c>
      <c r="E49">
        <v>31.25</v>
      </c>
      <c r="F49">
        <v>70907.360000000001</v>
      </c>
      <c r="G49">
        <v>31.25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0.67010309278350511</v>
      </c>
      <c r="Q49">
        <f t="shared" ref="Q49" si="221">F49*P49</f>
        <v>47515.241237113398</v>
      </c>
      <c r="R49">
        <f t="shared" ref="R49" si="222">R50+Q49</f>
        <v>-1233700.7488298945</v>
      </c>
      <c r="S49">
        <f t="shared" ref="S49" si="223">R49/100000</f>
        <v>-12.337007488298944</v>
      </c>
      <c r="T49">
        <f t="shared" ref="T49" si="224">S49/1000</f>
        <v>-1.2337007488298943E-2</v>
      </c>
    </row>
    <row r="50" spans="1:20" x14ac:dyDescent="0.25">
      <c r="A50" s="5">
        <v>44543</v>
      </c>
      <c r="B50">
        <v>36.32</v>
      </c>
      <c r="C50">
        <v>36.770000000000003</v>
      </c>
      <c r="D50">
        <v>30</v>
      </c>
      <c r="E50">
        <v>30.55</v>
      </c>
      <c r="F50">
        <v>157615.24</v>
      </c>
      <c r="G50">
        <v>30.55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-0.83751846381093042</v>
      </c>
      <c r="Q50">
        <f t="shared" ref="Q50" si="226">F50*P50</f>
        <v>-132005.67367799112</v>
      </c>
      <c r="R50">
        <f t="shared" ref="R50" si="227">R51+Q50</f>
        <v>-1281215.990067008</v>
      </c>
      <c r="S50">
        <f t="shared" ref="S50" si="228">R50/100000</f>
        <v>-12.81215990067008</v>
      </c>
      <c r="T50">
        <f t="shared" ref="T50" si="229">S50/1000</f>
        <v>-1.281215990067008E-2</v>
      </c>
    </row>
    <row r="51" spans="1:20" x14ac:dyDescent="0.25">
      <c r="A51" s="5">
        <v>44542</v>
      </c>
      <c r="B51">
        <v>35.82</v>
      </c>
      <c r="C51">
        <v>36.97</v>
      </c>
      <c r="D51">
        <v>34.5</v>
      </c>
      <c r="E51">
        <v>36.299999999999997</v>
      </c>
      <c r="F51">
        <v>47400.76</v>
      </c>
      <c r="G51">
        <v>36.299999999999997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0.4574898785425085</v>
      </c>
      <c r="Q51">
        <f t="shared" ref="Q51" si="231">F51*P51</f>
        <v>21685.367935222595</v>
      </c>
      <c r="R51">
        <f t="shared" ref="R51" si="232">R52+Q51</f>
        <v>-1149210.3163890168</v>
      </c>
      <c r="S51">
        <f t="shared" ref="S51" si="233">R51/100000</f>
        <v>-11.492103163890167</v>
      </c>
      <c r="T51">
        <f t="shared" ref="T51" si="234">S51/1000</f>
        <v>-1.1492103163890167E-2</v>
      </c>
    </row>
    <row r="52" spans="1:20" x14ac:dyDescent="0.25">
      <c r="A52" s="5">
        <v>44541</v>
      </c>
      <c r="B52">
        <v>33.4</v>
      </c>
      <c r="C52">
        <v>34.049999999999997</v>
      </c>
      <c r="D52">
        <v>32.83</v>
      </c>
      <c r="E52">
        <v>33.86</v>
      </c>
      <c r="F52">
        <v>4145.67</v>
      </c>
      <c r="G52">
        <v>33.86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0.68852459016393786</v>
      </c>
      <c r="Q52">
        <f t="shared" ref="Q52" si="236">F52*P52</f>
        <v>2854.3957377049323</v>
      </c>
      <c r="R52">
        <f t="shared" ref="R52" si="237">R53+Q52</f>
        <v>-1170895.6843242394</v>
      </c>
      <c r="S52">
        <f t="shared" ref="S52" si="238">R52/100000</f>
        <v>-11.708956843242394</v>
      </c>
      <c r="T52">
        <f t="shared" ref="T52" si="239">S52/1000</f>
        <v>-1.1708956843242394E-2</v>
      </c>
    </row>
    <row r="53" spans="1:20" x14ac:dyDescent="0.25">
      <c r="A53" s="5">
        <v>44540</v>
      </c>
      <c r="B53">
        <v>35.1</v>
      </c>
      <c r="C53">
        <v>36.590000000000003</v>
      </c>
      <c r="D53">
        <v>33.200000000000003</v>
      </c>
      <c r="E53">
        <v>33.42</v>
      </c>
      <c r="F53">
        <v>84764.2</v>
      </c>
      <c r="G53">
        <v>33.42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-0.87020648967551695</v>
      </c>
      <c r="Q53">
        <f t="shared" ref="Q53" si="241">F53*P53</f>
        <v>-73762.356932153445</v>
      </c>
      <c r="R53">
        <f t="shared" ref="R53" si="242">R54+Q53</f>
        <v>-1173750.0800619442</v>
      </c>
      <c r="S53">
        <f t="shared" ref="S53" si="243">R53/100000</f>
        <v>-11.737500800619442</v>
      </c>
      <c r="T53">
        <f t="shared" ref="T53" si="244">S53/1000</f>
        <v>-1.1737500800619442E-2</v>
      </c>
    </row>
    <row r="54" spans="1:20" x14ac:dyDescent="0.25">
      <c r="A54" s="5">
        <v>44539</v>
      </c>
      <c r="B54">
        <v>39.43</v>
      </c>
      <c r="C54">
        <v>41.06</v>
      </c>
      <c r="D54">
        <v>34.869999999999997</v>
      </c>
      <c r="E54">
        <v>35.090000000000003</v>
      </c>
      <c r="F54">
        <v>166297.54</v>
      </c>
      <c r="G54">
        <v>35.090000000000003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-0.92891760904684784</v>
      </c>
      <c r="Q54">
        <f t="shared" ref="Q54" si="246">F54*P54</f>
        <v>-154476.71324717253</v>
      </c>
      <c r="R54">
        <f t="shared" ref="R54" si="247">R55+Q54</f>
        <v>-1099987.7231297907</v>
      </c>
      <c r="S54">
        <f t="shared" ref="S54" si="248">R54/100000</f>
        <v>-10.999877231297907</v>
      </c>
      <c r="T54">
        <f t="shared" ref="T54" si="249">S54/1000</f>
        <v>-1.0999877231297906E-2</v>
      </c>
    </row>
    <row r="55" spans="1:20" x14ac:dyDescent="0.25">
      <c r="A55" s="5">
        <v>44538</v>
      </c>
      <c r="B55">
        <v>37.72</v>
      </c>
      <c r="C55">
        <v>39.590000000000003</v>
      </c>
      <c r="D55">
        <v>36.01</v>
      </c>
      <c r="E55">
        <v>39.47</v>
      </c>
      <c r="F55">
        <v>86270.58</v>
      </c>
      <c r="G55">
        <v>39.47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0.93296089385474612</v>
      </c>
      <c r="Q55">
        <f t="shared" ref="Q55" si="251">F55*P55</f>
        <v>80487.077430167381</v>
      </c>
      <c r="R55">
        <f t="shared" ref="R55" si="252">R56+Q55</f>
        <v>-945511.00988261832</v>
      </c>
      <c r="S55">
        <f t="shared" ref="S55" si="253">R55/100000</f>
        <v>-9.455110098826184</v>
      </c>
      <c r="T55">
        <f t="shared" ref="T55" si="254">S55/1000</f>
        <v>-9.4551100988261843E-3</v>
      </c>
    </row>
    <row r="56" spans="1:20" x14ac:dyDescent="0.25">
      <c r="A56" s="5">
        <v>44537</v>
      </c>
      <c r="B56">
        <v>36.909999999999997</v>
      </c>
      <c r="C56">
        <v>39.68</v>
      </c>
      <c r="D56">
        <v>36.619999999999997</v>
      </c>
      <c r="E56">
        <v>37.729999999999997</v>
      </c>
      <c r="F56">
        <v>141062.68</v>
      </c>
      <c r="G56">
        <v>37.729999999999997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-0.27450980392156954</v>
      </c>
      <c r="Q56">
        <f t="shared" ref="Q56" si="256">F56*P56</f>
        <v>-38723.088627451107</v>
      </c>
      <c r="R56">
        <f t="shared" ref="R56" si="257">R57+Q56</f>
        <v>-1025998.0873127857</v>
      </c>
      <c r="S56">
        <f t="shared" ref="S56" si="258">R56/100000</f>
        <v>-10.259980873127857</v>
      </c>
      <c r="T56">
        <f t="shared" ref="T56" si="259">S56/1000</f>
        <v>-1.0259980873127857E-2</v>
      </c>
    </row>
    <row r="57" spans="1:20" x14ac:dyDescent="0.25">
      <c r="A57" s="5">
        <v>44536</v>
      </c>
      <c r="B57">
        <v>36.74</v>
      </c>
      <c r="C57">
        <v>37.61</v>
      </c>
      <c r="D57">
        <v>33.229999999999997</v>
      </c>
      <c r="E57">
        <v>36.950000000000003</v>
      </c>
      <c r="F57">
        <v>146170.98000000001</v>
      </c>
      <c r="G57">
        <v>36.950000000000003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0.69863013698630305</v>
      </c>
      <c r="Q57">
        <f t="shared" ref="Q57" si="261">F57*P57</f>
        <v>102119.45178082217</v>
      </c>
      <c r="R57">
        <f t="shared" ref="R57" si="262">R58+Q57</f>
        <v>-987274.99868533458</v>
      </c>
      <c r="S57">
        <f t="shared" ref="S57" si="263">R57/100000</f>
        <v>-9.8727499868533464</v>
      </c>
      <c r="T57">
        <f t="shared" ref="T57" si="264">S57/1000</f>
        <v>-9.8727499868533457E-3</v>
      </c>
    </row>
    <row r="58" spans="1:20" x14ac:dyDescent="0.25">
      <c r="A58" s="5">
        <v>44535</v>
      </c>
      <c r="B58">
        <v>39.049999999999997</v>
      </c>
      <c r="C58">
        <v>40</v>
      </c>
      <c r="D58">
        <v>34.32</v>
      </c>
      <c r="E58">
        <v>36.700000000000003</v>
      </c>
      <c r="F58">
        <v>118523.24</v>
      </c>
      <c r="G58">
        <v>36.700000000000003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-0.16197183098591456</v>
      </c>
      <c r="Q58">
        <f t="shared" ref="Q58" si="266">F58*P58</f>
        <v>-19197.426197182987</v>
      </c>
      <c r="R58">
        <f t="shared" ref="R58" si="267">R59+Q58</f>
        <v>-1089394.4504661567</v>
      </c>
      <c r="S58">
        <f t="shared" ref="S58" si="268">R58/100000</f>
        <v>-10.893944504661567</v>
      </c>
      <c r="T58">
        <f t="shared" ref="T58" si="269">S58/1000</f>
        <v>-1.0893944504661567E-2</v>
      </c>
    </row>
    <row r="59" spans="1:20" x14ac:dyDescent="0.25">
      <c r="A59" s="5">
        <v>44534</v>
      </c>
      <c r="B59">
        <v>47.29</v>
      </c>
      <c r="C59">
        <v>47.44</v>
      </c>
      <c r="D59">
        <v>28</v>
      </c>
      <c r="E59">
        <v>39.06</v>
      </c>
      <c r="F59">
        <v>219778.76</v>
      </c>
      <c r="G59">
        <v>39.06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0.13786008230452712</v>
      </c>
      <c r="Q59">
        <f t="shared" ref="Q59" si="271">F59*P59</f>
        <v>30298.717942386913</v>
      </c>
      <c r="R59">
        <f t="shared" ref="R59" si="272">R60+Q59</f>
        <v>-1070197.0242689736</v>
      </c>
      <c r="S59">
        <f t="shared" ref="S59" si="273">R59/100000</f>
        <v>-10.701970242689736</v>
      </c>
      <c r="T59">
        <f t="shared" ref="T59" si="274">S59/1000</f>
        <v>-1.0701970242689736E-2</v>
      </c>
    </row>
    <row r="60" spans="1:20" x14ac:dyDescent="0.25">
      <c r="A60" s="5">
        <v>44533</v>
      </c>
      <c r="B60">
        <v>50.94</v>
      </c>
      <c r="C60">
        <v>53.09</v>
      </c>
      <c r="D60">
        <v>44.9</v>
      </c>
      <c r="E60">
        <v>47.39</v>
      </c>
      <c r="F60">
        <v>115987.18</v>
      </c>
      <c r="G60">
        <v>47.39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-0.39194139194139183</v>
      </c>
      <c r="Q60">
        <f t="shared" ref="Q60" si="276">F60*P60</f>
        <v>-45460.176776556764</v>
      </c>
      <c r="R60">
        <f t="shared" ref="R60" si="277">R61+Q60</f>
        <v>-1100495.7422113605</v>
      </c>
      <c r="S60">
        <f t="shared" ref="S60" si="278">R60/100000</f>
        <v>-11.004957422113606</v>
      </c>
      <c r="T60">
        <f t="shared" ref="T60" si="279">S60/1000</f>
        <v>-1.1004957422113605E-2</v>
      </c>
    </row>
    <row r="61" spans="1:20" x14ac:dyDescent="0.25">
      <c r="A61" s="5">
        <v>44532</v>
      </c>
      <c r="B61">
        <v>52.03</v>
      </c>
      <c r="C61">
        <v>52.53</v>
      </c>
      <c r="D61">
        <v>49.92</v>
      </c>
      <c r="E61">
        <v>50.92</v>
      </c>
      <c r="F61">
        <v>67776.36</v>
      </c>
      <c r="G61">
        <v>50.92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-0.23371647509578528</v>
      </c>
      <c r="Q61">
        <f t="shared" ref="Q61" si="281">F61*P61</f>
        <v>-15840.451954022978</v>
      </c>
      <c r="R61">
        <f t="shared" ref="R61" si="282">R62+Q61</f>
        <v>-1055035.5654348037</v>
      </c>
      <c r="S61">
        <f t="shared" ref="S61" si="283">R61/100000</f>
        <v>-10.550355654348037</v>
      </c>
      <c r="T61">
        <f t="shared" ref="T61" si="284">S61/1000</f>
        <v>-1.0550355654348037E-2</v>
      </c>
    </row>
    <row r="62" spans="1:20" x14ac:dyDescent="0.25">
      <c r="A62" s="5">
        <v>44531</v>
      </c>
      <c r="B62">
        <v>52.77</v>
      </c>
      <c r="C62">
        <v>56.73</v>
      </c>
      <c r="D62">
        <v>51.56</v>
      </c>
      <c r="E62">
        <v>52.03</v>
      </c>
      <c r="F62">
        <v>78890.759999999995</v>
      </c>
      <c r="G62">
        <v>52.03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-0.81818181818181845</v>
      </c>
      <c r="Q62">
        <f t="shared" ref="Q62" si="286">F62*P62</f>
        <v>-64546.985454545473</v>
      </c>
      <c r="R62">
        <f t="shared" ref="R62" si="287">R63+Q62</f>
        <v>-1039195.1134807809</v>
      </c>
      <c r="S62">
        <f t="shared" ref="S62" si="288">R62/100000</f>
        <v>-10.391951134807808</v>
      </c>
      <c r="T62">
        <f t="shared" ref="T62" si="289">S62/1000</f>
        <v>-1.0391951134807809E-2</v>
      </c>
    </row>
    <row r="63" spans="1:20" x14ac:dyDescent="0.25">
      <c r="A63" s="5">
        <v>44530</v>
      </c>
      <c r="B63">
        <v>54.2</v>
      </c>
      <c r="C63">
        <v>55.2</v>
      </c>
      <c r="D63">
        <v>51.65</v>
      </c>
      <c r="E63">
        <v>52.83</v>
      </c>
      <c r="F63">
        <v>54231.91</v>
      </c>
      <c r="G63">
        <v>52.83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-0.33521126760563474</v>
      </c>
      <c r="Q63">
        <f t="shared" ref="Q63" si="291">F63*P63</f>
        <v>-18179.147295774699</v>
      </c>
      <c r="R63">
        <f t="shared" ref="R63" si="292">R64+Q63</f>
        <v>-974648.12802623538</v>
      </c>
      <c r="S63">
        <f t="shared" ref="S63" si="293">R63/100000</f>
        <v>-9.7464812802623531</v>
      </c>
      <c r="T63">
        <f t="shared" ref="T63" si="294">S63/1000</f>
        <v>-9.7464812802623528E-3</v>
      </c>
    </row>
    <row r="64" spans="1:20" x14ac:dyDescent="0.25">
      <c r="A64" s="5">
        <v>44529</v>
      </c>
      <c r="B64">
        <v>54.79</v>
      </c>
      <c r="C64">
        <v>56.47</v>
      </c>
      <c r="D64">
        <v>53.31</v>
      </c>
      <c r="E64">
        <v>54.22</v>
      </c>
      <c r="F64">
        <v>74919.87</v>
      </c>
      <c r="G64">
        <v>54.22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-0.42405063291139394</v>
      </c>
      <c r="Q64">
        <f t="shared" ref="Q64" si="296">F64*P64</f>
        <v>-31769.818291139352</v>
      </c>
      <c r="R64">
        <f t="shared" ref="R64" si="297">R65+Q64</f>
        <v>-956468.98073046072</v>
      </c>
      <c r="S64">
        <f t="shared" ref="S64" si="298">R64/100000</f>
        <v>-9.5646898073046067</v>
      </c>
      <c r="T64">
        <f t="shared" ref="T64" si="299">S64/1000</f>
        <v>-9.5646898073046063E-3</v>
      </c>
    </row>
    <row r="65" spans="1:20" x14ac:dyDescent="0.25">
      <c r="A65" s="5">
        <v>44528</v>
      </c>
      <c r="B65">
        <v>55.14</v>
      </c>
      <c r="C65">
        <v>55.63</v>
      </c>
      <c r="D65">
        <v>50</v>
      </c>
      <c r="E65">
        <v>54.78</v>
      </c>
      <c r="F65">
        <v>65206.98</v>
      </c>
      <c r="G65">
        <v>54.78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0.69804618117229089</v>
      </c>
      <c r="Q65">
        <f t="shared" ref="Q65" si="301">F65*P65</f>
        <v>45517.483374777948</v>
      </c>
      <c r="R65">
        <f t="shared" ref="R65" si="302">R66+Q65</f>
        <v>-924699.1624393214</v>
      </c>
      <c r="S65">
        <f t="shared" ref="S65" si="303">R65/100000</f>
        <v>-9.246991624393214</v>
      </c>
      <c r="T65">
        <f t="shared" ref="T65" si="304">S65/1000</f>
        <v>-9.2469916243932138E-3</v>
      </c>
    </row>
    <row r="66" spans="1:20" x14ac:dyDescent="0.25">
      <c r="A66" s="5">
        <v>44527</v>
      </c>
      <c r="B66">
        <v>53</v>
      </c>
      <c r="C66">
        <v>57.66</v>
      </c>
      <c r="D66">
        <v>52.7</v>
      </c>
      <c r="E66">
        <v>55.15</v>
      </c>
      <c r="F66">
        <v>63925.14</v>
      </c>
      <c r="G66">
        <v>55.15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-1.209677419354886E-2</v>
      </c>
      <c r="Q66">
        <f t="shared" ref="Q66" si="306">F66*P66</f>
        <v>-773.287983870998</v>
      </c>
      <c r="R66">
        <f t="shared" ref="R66" si="307">R67+Q66</f>
        <v>-970216.64581409935</v>
      </c>
      <c r="S66">
        <f t="shared" ref="S66" si="308">R66/100000</f>
        <v>-9.7021664581409937</v>
      </c>
      <c r="T66">
        <f t="shared" ref="T66" si="309">S66/1000</f>
        <v>-9.7021664581409938E-3</v>
      </c>
    </row>
    <row r="67" spans="1:20" x14ac:dyDescent="0.25">
      <c r="A67" s="5">
        <v>44526</v>
      </c>
      <c r="B67">
        <v>59.29</v>
      </c>
      <c r="C67">
        <v>59.33</v>
      </c>
      <c r="D67">
        <v>50.3</v>
      </c>
      <c r="E67">
        <v>52.95</v>
      </c>
      <c r="F67">
        <v>80278.97</v>
      </c>
      <c r="G67">
        <v>52.95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-0.41306755260243516</v>
      </c>
      <c r="Q67">
        <f t="shared" ref="Q67" si="311">F67*P67</f>
        <v>-33160.637663344314</v>
      </c>
      <c r="R67">
        <f t="shared" ref="R67" si="312">R68+Q67</f>
        <v>-969443.3578302284</v>
      </c>
      <c r="S67">
        <f t="shared" ref="S67" si="313">R67/100000</f>
        <v>-9.6944335783022844</v>
      </c>
      <c r="T67">
        <f t="shared" ref="T67" si="314">S67/1000</f>
        <v>-9.6944335783022851E-3</v>
      </c>
    </row>
    <row r="68" spans="1:20" x14ac:dyDescent="0.25">
      <c r="A68" s="5">
        <v>44525</v>
      </c>
      <c r="B68">
        <v>55.81</v>
      </c>
      <c r="C68">
        <v>60.48</v>
      </c>
      <c r="D68">
        <v>55.57</v>
      </c>
      <c r="E68">
        <v>59.27</v>
      </c>
      <c r="F68">
        <v>106977.25</v>
      </c>
      <c r="G68">
        <v>59.27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0.50712830957230359</v>
      </c>
      <c r="Q68">
        <f t="shared" ref="Q68" si="316">F68*P68</f>
        <v>54251.191955193717</v>
      </c>
      <c r="R68">
        <f t="shared" ref="R68" si="317">R69+Q68</f>
        <v>-936282.72016688413</v>
      </c>
      <c r="S68">
        <f t="shared" ref="S68" si="318">R68/100000</f>
        <v>-9.362827201668841</v>
      </c>
      <c r="T68">
        <f t="shared" ref="T68" si="319">S68/1000</f>
        <v>-9.3628272016688403E-3</v>
      </c>
    </row>
    <row r="69" spans="1:20" x14ac:dyDescent="0.25">
      <c r="A69" s="5">
        <v>44524</v>
      </c>
      <c r="B69">
        <v>56.41</v>
      </c>
      <c r="C69">
        <v>58.35</v>
      </c>
      <c r="D69">
        <v>56</v>
      </c>
      <c r="E69">
        <v>58.03</v>
      </c>
      <c r="F69">
        <v>62092.160000000003</v>
      </c>
      <c r="G69">
        <v>58.03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0.72765957446808505</v>
      </c>
      <c r="Q69">
        <f t="shared" ref="Q69" si="321">F69*P69</f>
        <v>45181.954723404255</v>
      </c>
      <c r="R69">
        <f t="shared" ref="R69" si="322">R70+Q69</f>
        <v>-990533.91212207789</v>
      </c>
      <c r="S69">
        <f t="shared" ref="S69" si="323">R69/100000</f>
        <v>-9.9053391212207789</v>
      </c>
      <c r="T69">
        <f t="shared" ref="T69" si="324">S69/1000</f>
        <v>-9.9053391212207791E-3</v>
      </c>
    </row>
    <row r="70" spans="1:20" x14ac:dyDescent="0.25">
      <c r="A70" s="5">
        <v>44523</v>
      </c>
      <c r="B70">
        <v>53.18</v>
      </c>
      <c r="C70">
        <v>59.29</v>
      </c>
      <c r="D70">
        <v>52.51</v>
      </c>
      <c r="E70">
        <v>56.47</v>
      </c>
      <c r="F70">
        <v>119519.2</v>
      </c>
      <c r="G70">
        <v>56.47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0.16814159292035405</v>
      </c>
      <c r="Q70">
        <f t="shared" ref="Q70" si="326">F70*P70</f>
        <v>20096.148672566378</v>
      </c>
      <c r="R70">
        <f t="shared" ref="R70" si="327">R71+Q70</f>
        <v>-1035715.8668454821</v>
      </c>
      <c r="S70">
        <f t="shared" ref="S70" si="328">R70/100000</f>
        <v>-10.357158668454822</v>
      </c>
      <c r="T70">
        <f t="shared" ref="T70" si="329">S70/1000</f>
        <v>-1.0357158668454823E-2</v>
      </c>
    </row>
    <row r="71" spans="1:20" x14ac:dyDescent="0.25">
      <c r="A71" s="5">
        <v>44522</v>
      </c>
      <c r="B71">
        <v>56</v>
      </c>
      <c r="C71">
        <v>56.14</v>
      </c>
      <c r="D71">
        <v>52.01</v>
      </c>
      <c r="E71">
        <v>53.19</v>
      </c>
      <c r="F71">
        <v>75149.41</v>
      </c>
      <c r="G71">
        <v>53.19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-0.42857142857142905</v>
      </c>
      <c r="Q71">
        <f t="shared" ref="Q71" si="331">F71*P71</f>
        <v>-32206.890000000036</v>
      </c>
      <c r="R71">
        <f t="shared" ref="R71" si="332">R72+Q71</f>
        <v>-1055812.0155180485</v>
      </c>
      <c r="S71">
        <f t="shared" ref="S71" si="333">R71/100000</f>
        <v>-10.558120155180486</v>
      </c>
      <c r="T71">
        <f t="shared" ref="T71" si="334">S71/1000</f>
        <v>-1.0558120155180485E-2</v>
      </c>
    </row>
    <row r="72" spans="1:20" x14ac:dyDescent="0.25">
      <c r="A72" s="5">
        <v>44521</v>
      </c>
      <c r="B72">
        <v>56.36</v>
      </c>
      <c r="C72">
        <v>59.67</v>
      </c>
      <c r="D72">
        <v>55.64</v>
      </c>
      <c r="E72">
        <v>56.14</v>
      </c>
      <c r="F72">
        <v>186255.4</v>
      </c>
      <c r="G72">
        <v>56.14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-0.75186104218362293</v>
      </c>
      <c r="Q72">
        <f t="shared" ref="Q72" si="336">F72*P72</f>
        <v>-140038.17915632756</v>
      </c>
      <c r="R72">
        <f t="shared" ref="R72" si="337">R73+Q72</f>
        <v>-1023605.1255180484</v>
      </c>
      <c r="S72">
        <f t="shared" ref="S72" si="338">R72/100000</f>
        <v>-10.236051255180485</v>
      </c>
      <c r="T72">
        <f t="shared" ref="T72" si="339">S72/1000</f>
        <v>-1.0236051255180484E-2</v>
      </c>
    </row>
    <row r="73" spans="1:20" x14ac:dyDescent="0.25">
      <c r="A73" s="5">
        <v>44520</v>
      </c>
      <c r="B73">
        <v>55.43</v>
      </c>
      <c r="C73">
        <v>57.19</v>
      </c>
      <c r="D73">
        <v>53.23</v>
      </c>
      <c r="E73">
        <v>56.36</v>
      </c>
      <c r="F73">
        <v>108202.32</v>
      </c>
      <c r="G73">
        <v>56.36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0.58080808080808177</v>
      </c>
      <c r="Q73">
        <f t="shared" ref="Q73" si="341">F73*P73</f>
        <v>62844.781818181924</v>
      </c>
      <c r="R73">
        <f t="shared" ref="R73" si="342">R74+Q73</f>
        <v>-883566.94636172079</v>
      </c>
      <c r="S73">
        <f t="shared" ref="S73" si="343">R73/100000</f>
        <v>-8.835669463617208</v>
      </c>
      <c r="T73">
        <f t="shared" ref="T73" si="344">S73/1000</f>
        <v>-8.835669463617208E-3</v>
      </c>
    </row>
    <row r="74" spans="1:20" x14ac:dyDescent="0.25">
      <c r="A74" s="5">
        <v>44519</v>
      </c>
      <c r="B74">
        <v>49.98</v>
      </c>
      <c r="C74">
        <v>56.06</v>
      </c>
      <c r="D74">
        <v>49.24</v>
      </c>
      <c r="E74">
        <v>55.43</v>
      </c>
      <c r="F74">
        <v>111932.03</v>
      </c>
      <c r="G74">
        <v>55.43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0.81524926686216936</v>
      </c>
      <c r="Q74">
        <f t="shared" ref="Q74" si="346">F74*P74</f>
        <v>91252.505395894346</v>
      </c>
      <c r="R74">
        <f t="shared" ref="R74" si="347">R75+Q74</f>
        <v>-946411.72817990277</v>
      </c>
      <c r="S74">
        <f t="shared" ref="S74" si="348">R74/100000</f>
        <v>-9.4641172817990284</v>
      </c>
      <c r="T74">
        <f t="shared" ref="T74" si="349">S74/1000</f>
        <v>-9.4641172817990279E-3</v>
      </c>
    </row>
    <row r="75" spans="1:20" x14ac:dyDescent="0.25">
      <c r="A75" s="5">
        <v>44518</v>
      </c>
      <c r="B75">
        <v>55.86</v>
      </c>
      <c r="C75">
        <v>57.14</v>
      </c>
      <c r="D75">
        <v>48.22</v>
      </c>
      <c r="E75">
        <v>49.97</v>
      </c>
      <c r="F75">
        <v>124150.59</v>
      </c>
      <c r="G75">
        <v>49.97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-0.60762331838565031</v>
      </c>
      <c r="Q75">
        <f t="shared" ref="Q75" si="351">F75*P75</f>
        <v>-75436.793475336337</v>
      </c>
      <c r="R75">
        <f t="shared" ref="R75" si="352">R76+Q75</f>
        <v>-1037664.2335757972</v>
      </c>
      <c r="S75">
        <f t="shared" ref="S75" si="353">R75/100000</f>
        <v>-10.376642335757971</v>
      </c>
      <c r="T75">
        <f t="shared" ref="T75" si="354">S75/1000</f>
        <v>-1.0376642335757972E-2</v>
      </c>
    </row>
    <row r="76" spans="1:20" x14ac:dyDescent="0.25">
      <c r="A76" s="5">
        <v>44517</v>
      </c>
      <c r="B76">
        <v>57.31</v>
      </c>
      <c r="C76">
        <v>58.15</v>
      </c>
      <c r="D76">
        <v>54.3</v>
      </c>
      <c r="E76">
        <v>55.92</v>
      </c>
      <c r="F76">
        <v>87928.47</v>
      </c>
      <c r="G76">
        <v>55.92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-0.15844155844155638</v>
      </c>
      <c r="Q76">
        <f t="shared" ref="Q76" si="356">F76*P76</f>
        <v>-13931.523818181637</v>
      </c>
      <c r="R76">
        <f t="shared" ref="R76" si="357">R77+Q76</f>
        <v>-962227.4401004609</v>
      </c>
      <c r="S76">
        <f t="shared" ref="S76" si="358">R76/100000</f>
        <v>-9.6222744010046082</v>
      </c>
      <c r="T76">
        <f t="shared" ref="T76" si="359">S76/1000</f>
        <v>-9.6222744010046081E-3</v>
      </c>
    </row>
    <row r="77" spans="1:20" x14ac:dyDescent="0.25">
      <c r="A77" s="5">
        <v>44516</v>
      </c>
      <c r="B77">
        <v>66.7</v>
      </c>
      <c r="C77">
        <v>66.77</v>
      </c>
      <c r="D77">
        <v>53.15</v>
      </c>
      <c r="E77">
        <v>57.33</v>
      </c>
      <c r="F77">
        <v>369238.3</v>
      </c>
      <c r="G77">
        <v>57.33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-0.3861967694566813</v>
      </c>
      <c r="Q77">
        <f t="shared" ref="Q77" si="361">F77*P77</f>
        <v>-142598.63861967693</v>
      </c>
      <c r="R77">
        <f t="shared" ref="R77" si="362">R78+Q77</f>
        <v>-948295.9162822793</v>
      </c>
      <c r="S77">
        <f t="shared" ref="S77" si="363">R77/100000</f>
        <v>-9.4829591628227927</v>
      </c>
      <c r="T77">
        <f t="shared" ref="T77" si="364">S77/1000</f>
        <v>-9.4829591628227926E-3</v>
      </c>
    </row>
    <row r="78" spans="1:20" x14ac:dyDescent="0.25">
      <c r="A78" s="5">
        <v>44515</v>
      </c>
      <c r="B78">
        <v>72.849999999999994</v>
      </c>
      <c r="C78">
        <v>73.03</v>
      </c>
      <c r="D78">
        <v>66.25</v>
      </c>
      <c r="E78">
        <v>66.75</v>
      </c>
      <c r="F78">
        <v>81799.320000000007</v>
      </c>
      <c r="G78">
        <v>66.75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-0.85250737463126847</v>
      </c>
      <c r="Q78">
        <f t="shared" ref="Q78" si="366">F78*P78</f>
        <v>-69734.523539823014</v>
      </c>
      <c r="R78">
        <f t="shared" ref="R78" si="367">R79+Q78</f>
        <v>-805697.27766260237</v>
      </c>
      <c r="S78">
        <f t="shared" ref="S78" si="368">R78/100000</f>
        <v>-8.056972776626024</v>
      </c>
      <c r="T78">
        <f t="shared" ref="T78" si="369">S78/1000</f>
        <v>-8.0569727766260247E-3</v>
      </c>
    </row>
    <row r="79" spans="1:20" x14ac:dyDescent="0.25">
      <c r="A79" s="5">
        <v>44514</v>
      </c>
      <c r="B79">
        <v>73.11</v>
      </c>
      <c r="C79">
        <v>74.989999999999995</v>
      </c>
      <c r="D79">
        <v>70.27</v>
      </c>
      <c r="E79">
        <v>72.86</v>
      </c>
      <c r="F79">
        <v>93071.4</v>
      </c>
      <c r="G79">
        <v>72.86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9.7457627118645779E-2</v>
      </c>
      <c r="Q79">
        <f t="shared" ref="Q79" si="371">F79*P79</f>
        <v>9070.5177966103274</v>
      </c>
      <c r="R79">
        <f t="shared" ref="R79" si="372">R80+Q79</f>
        <v>-735962.75412277936</v>
      </c>
      <c r="S79">
        <f t="shared" ref="S79" si="373">R79/100000</f>
        <v>-7.3596275412277938</v>
      </c>
      <c r="T79">
        <f t="shared" ref="T79" si="374">S79/1000</f>
        <v>-7.359627541227794E-3</v>
      </c>
    </row>
    <row r="80" spans="1:20" x14ac:dyDescent="0.25">
      <c r="A80" s="5">
        <v>44513</v>
      </c>
      <c r="B80">
        <v>68.33</v>
      </c>
      <c r="C80">
        <v>79.989999999999995</v>
      </c>
      <c r="D80">
        <v>67.53</v>
      </c>
      <c r="E80">
        <v>73.069999999999993</v>
      </c>
      <c r="F80">
        <v>265384.55900000001</v>
      </c>
      <c r="G80">
        <v>73.069999999999993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-0.11075441412520147</v>
      </c>
      <c r="Q80">
        <f t="shared" ref="Q80" si="376">F80*P80</f>
        <v>-29392.511349919965</v>
      </c>
      <c r="R80">
        <f t="shared" ref="R80" si="377">R81+Q80</f>
        <v>-745033.27191938972</v>
      </c>
      <c r="S80">
        <f t="shared" ref="S80" si="378">R80/100000</f>
        <v>-7.4503327191938968</v>
      </c>
      <c r="T80">
        <f t="shared" ref="T80" si="379">S80/1000</f>
        <v>-7.4503327191938968E-3</v>
      </c>
    </row>
    <row r="81" spans="1:20" x14ac:dyDescent="0.25">
      <c r="A81" s="5">
        <v>44512</v>
      </c>
      <c r="B81">
        <v>69.22</v>
      </c>
      <c r="C81">
        <v>72.31</v>
      </c>
      <c r="D81">
        <v>63.73</v>
      </c>
      <c r="E81">
        <v>68.319999999999993</v>
      </c>
      <c r="F81">
        <v>94969.69</v>
      </c>
      <c r="G81">
        <v>68.319999999999993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6.9930069930068395E-2</v>
      </c>
      <c r="Q81">
        <f t="shared" ref="Q81" si="381">F81*P81</f>
        <v>6641.237062936917</v>
      </c>
      <c r="R81">
        <f t="shared" ref="R81" si="382">R82+Q81</f>
        <v>-715640.76056946977</v>
      </c>
      <c r="S81">
        <f t="shared" ref="S81" si="383">R81/100000</f>
        <v>-7.1564076056946977</v>
      </c>
      <c r="T81">
        <f t="shared" ref="T81" si="384">S81/1000</f>
        <v>-7.1564076056946976E-3</v>
      </c>
    </row>
    <row r="82" spans="1:20" x14ac:dyDescent="0.25">
      <c r="A82" s="5">
        <v>44511</v>
      </c>
      <c r="B82">
        <v>63.43</v>
      </c>
      <c r="C82">
        <v>69.510000000000005</v>
      </c>
      <c r="D82">
        <v>61.63</v>
      </c>
      <c r="E82">
        <v>69.31</v>
      </c>
      <c r="F82">
        <v>98012.32</v>
      </c>
      <c r="G82">
        <v>69.31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0.94923857868020234</v>
      </c>
      <c r="Q82">
        <f t="shared" ref="Q82" si="386">F82*P82</f>
        <v>93037.075329949177</v>
      </c>
      <c r="R82">
        <f t="shared" ref="R82" si="387">R83+Q82</f>
        <v>-722281.99763240665</v>
      </c>
      <c r="S82">
        <f t="shared" ref="S82" si="388">R82/100000</f>
        <v>-7.2228199763240664</v>
      </c>
      <c r="T82">
        <f t="shared" ref="T82" si="389">S82/1000</f>
        <v>-7.222819976324066E-3</v>
      </c>
    </row>
    <row r="83" spans="1:20" x14ac:dyDescent="0.25">
      <c r="A83" s="5">
        <v>44510</v>
      </c>
      <c r="B83">
        <v>67.510000000000005</v>
      </c>
      <c r="C83">
        <v>72.89</v>
      </c>
      <c r="D83">
        <v>59.52</v>
      </c>
      <c r="E83">
        <v>63.58</v>
      </c>
      <c r="F83">
        <v>182420.609</v>
      </c>
      <c r="G83">
        <v>63.58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-0.39267015706806341</v>
      </c>
      <c r="Q83">
        <f t="shared" ref="Q83" si="391">F83*P83</f>
        <v>-71631.129188481777</v>
      </c>
      <c r="R83">
        <f t="shared" ref="R83" si="392">R84+Q83</f>
        <v>-815319.0729623558</v>
      </c>
      <c r="S83">
        <f t="shared" ref="S83" si="393">R83/100000</f>
        <v>-8.1531907296235584</v>
      </c>
      <c r="T83">
        <f t="shared" ref="T83" si="394">S83/1000</f>
        <v>-8.1531907296235589E-3</v>
      </c>
    </row>
    <row r="84" spans="1:20" x14ac:dyDescent="0.25">
      <c r="A84" s="5">
        <v>44509</v>
      </c>
      <c r="B84">
        <v>64.290000000000006</v>
      </c>
      <c r="C84">
        <v>67.989999999999995</v>
      </c>
      <c r="D84">
        <v>63.27</v>
      </c>
      <c r="E84">
        <v>67.42</v>
      </c>
      <c r="F84">
        <v>83505.759999999995</v>
      </c>
      <c r="G84">
        <v>67.42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0.75847457627118886</v>
      </c>
      <c r="Q84">
        <f t="shared" ref="Q84" si="396">F84*P84</f>
        <v>63336.995932203587</v>
      </c>
      <c r="R84">
        <f t="shared" ref="R84" si="397">R85+Q84</f>
        <v>-743687.94377387397</v>
      </c>
      <c r="S84">
        <f t="shared" ref="S84" si="398">R84/100000</f>
        <v>-7.4368794377387397</v>
      </c>
      <c r="T84">
        <f t="shared" ref="T84" si="399">S84/1000</f>
        <v>-7.4368794377387398E-3</v>
      </c>
    </row>
    <row r="85" spans="1:20" x14ac:dyDescent="0.25">
      <c r="A85" s="5">
        <v>44508</v>
      </c>
      <c r="B85">
        <v>58.84</v>
      </c>
      <c r="C85">
        <v>65.8</v>
      </c>
      <c r="D85">
        <v>57.75</v>
      </c>
      <c r="E85">
        <v>64.34</v>
      </c>
      <c r="F85">
        <v>133716.01</v>
      </c>
      <c r="G85">
        <v>64.34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0.637267080745343</v>
      </c>
      <c r="Q85">
        <f t="shared" ref="Q85" si="401">F85*P85</f>
        <v>85212.811341615103</v>
      </c>
      <c r="R85">
        <f t="shared" ref="R85" si="402">R86+Q85</f>
        <v>-807024.93970607757</v>
      </c>
      <c r="S85">
        <f t="shared" ref="S85" si="403">R85/100000</f>
        <v>-8.0702493970607758</v>
      </c>
      <c r="T85">
        <f t="shared" ref="T85" si="404">S85/1000</f>
        <v>-8.0702493970607764E-3</v>
      </c>
    </row>
    <row r="86" spans="1:20" x14ac:dyDescent="0.25">
      <c r="A86" s="5">
        <v>44507</v>
      </c>
      <c r="B86">
        <v>60.31</v>
      </c>
      <c r="C86">
        <v>60.31</v>
      </c>
      <c r="D86">
        <v>58.31</v>
      </c>
      <c r="E86">
        <v>58.82</v>
      </c>
      <c r="F86">
        <v>31384.76</v>
      </c>
      <c r="G86">
        <v>58.82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-0.49000000000000199</v>
      </c>
      <c r="Q86">
        <f t="shared" ref="Q86" si="406">F86*P86</f>
        <v>-15378.532400000062</v>
      </c>
      <c r="R86">
        <f t="shared" ref="R86" si="407">R87+Q86</f>
        <v>-892237.75104769273</v>
      </c>
      <c r="S86">
        <f t="shared" ref="S86" si="408">R86/100000</f>
        <v>-8.9223775104769274</v>
      </c>
      <c r="T86">
        <f t="shared" ref="T86" si="409">S86/1000</f>
        <v>-8.9223775104769268E-3</v>
      </c>
    </row>
    <row r="87" spans="1:20" x14ac:dyDescent="0.25">
      <c r="A87" s="5">
        <v>44506</v>
      </c>
      <c r="B87">
        <v>61.05</v>
      </c>
      <c r="C87">
        <v>61.55</v>
      </c>
      <c r="D87">
        <v>57.11</v>
      </c>
      <c r="E87">
        <v>60.31</v>
      </c>
      <c r="F87">
        <v>49033.3</v>
      </c>
      <c r="G87">
        <v>60.31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0.44144144144144348</v>
      </c>
      <c r="Q87">
        <f t="shared" ref="Q87" si="411">F87*P87</f>
        <v>21645.330630630731</v>
      </c>
      <c r="R87">
        <f t="shared" ref="R87" si="412">R88+Q87</f>
        <v>-876859.2186476927</v>
      </c>
      <c r="S87">
        <f t="shared" ref="S87" si="413">R87/100000</f>
        <v>-8.7685921864769263</v>
      </c>
      <c r="T87">
        <f t="shared" ref="T87" si="414">S87/1000</f>
        <v>-8.7685921864769263E-3</v>
      </c>
    </row>
    <row r="88" spans="1:20" x14ac:dyDescent="0.25">
      <c r="A88" s="5">
        <v>44505</v>
      </c>
      <c r="B88">
        <v>62.37</v>
      </c>
      <c r="C88">
        <v>64.260000000000005</v>
      </c>
      <c r="D88">
        <v>60.58</v>
      </c>
      <c r="E88">
        <v>61.06</v>
      </c>
      <c r="F88">
        <v>74571.31</v>
      </c>
      <c r="G88">
        <v>61.06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-0.73913043478260698</v>
      </c>
      <c r="Q88">
        <f t="shared" ref="Q88" si="416">F88*P88</f>
        <v>-55117.924782608563</v>
      </c>
      <c r="R88">
        <f t="shared" ref="R88" si="417">R89+Q88</f>
        <v>-898504.54927832342</v>
      </c>
      <c r="S88">
        <f t="shared" ref="S88" si="418">R88/100000</f>
        <v>-8.9850454927832342</v>
      </c>
      <c r="T88">
        <f t="shared" ref="T88" si="419">S88/1000</f>
        <v>-8.9850454927832349E-3</v>
      </c>
    </row>
    <row r="89" spans="1:20" x14ac:dyDescent="0.25">
      <c r="A89" s="5">
        <v>44504</v>
      </c>
      <c r="B89">
        <v>63.83</v>
      </c>
      <c r="C89">
        <v>69.55</v>
      </c>
      <c r="D89">
        <v>62.24</v>
      </c>
      <c r="E89">
        <v>62.38</v>
      </c>
      <c r="F89">
        <v>159673.29800000001</v>
      </c>
      <c r="G89">
        <v>62.38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-0.9616963064295484</v>
      </c>
      <c r="Q89">
        <f t="shared" ref="Q89" si="421">F89*P89</f>
        <v>-153557.2209220246</v>
      </c>
      <c r="R89">
        <f t="shared" ref="R89" si="422">R90+Q89</f>
        <v>-843386.6244957149</v>
      </c>
      <c r="S89">
        <f t="shared" ref="S89" si="423">R89/100000</f>
        <v>-8.4338662449571498</v>
      </c>
      <c r="T89">
        <f t="shared" ref="T89" si="424">S89/1000</f>
        <v>-8.43386624495715E-3</v>
      </c>
    </row>
    <row r="90" spans="1:20" x14ac:dyDescent="0.25">
      <c r="A90" s="5">
        <v>44503</v>
      </c>
      <c r="B90">
        <v>63.29</v>
      </c>
      <c r="C90">
        <v>63.83</v>
      </c>
      <c r="D90">
        <v>59.43</v>
      </c>
      <c r="E90">
        <v>63.81</v>
      </c>
      <c r="F90">
        <v>91305.79</v>
      </c>
      <c r="G90">
        <v>63.81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0.99090909090909274</v>
      </c>
      <c r="Q90">
        <f t="shared" ref="Q90" si="426">F90*P90</f>
        <v>90475.737363636523</v>
      </c>
      <c r="R90">
        <f t="shared" ref="R90" si="427">R91+Q90</f>
        <v>-689829.40357369033</v>
      </c>
      <c r="S90">
        <f t="shared" ref="S90" si="428">R90/100000</f>
        <v>-6.8982940357369031</v>
      </c>
      <c r="T90">
        <f t="shared" ref="T90" si="429">S90/1000</f>
        <v>-6.8982940357369031E-3</v>
      </c>
    </row>
    <row r="91" spans="1:20" x14ac:dyDescent="0.25">
      <c r="A91" s="5">
        <v>44502</v>
      </c>
      <c r="B91">
        <v>62.14</v>
      </c>
      <c r="C91">
        <v>66.55</v>
      </c>
      <c r="D91">
        <v>60.38</v>
      </c>
      <c r="E91">
        <v>63.29</v>
      </c>
      <c r="F91">
        <v>97916.76</v>
      </c>
      <c r="G91">
        <v>63.29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-5.6726094003241773E-2</v>
      </c>
      <c r="Q91">
        <f t="shared" ref="Q91" si="431">F91*P91</f>
        <v>-5554.4353322528632</v>
      </c>
      <c r="R91">
        <f t="shared" ref="R91" si="432">R92+Q91</f>
        <v>-780305.14093732683</v>
      </c>
      <c r="S91">
        <f t="shared" ref="S91" si="433">R91/100000</f>
        <v>-7.8030514093732686</v>
      </c>
      <c r="T91">
        <f t="shared" ref="T91" si="434">S91/1000</f>
        <v>-7.8030514093732689E-3</v>
      </c>
    </row>
    <row r="92" spans="1:20" x14ac:dyDescent="0.25">
      <c r="A92" s="5">
        <v>44501</v>
      </c>
      <c r="B92">
        <v>59.42</v>
      </c>
      <c r="C92">
        <v>66.91</v>
      </c>
      <c r="D92">
        <v>57.67</v>
      </c>
      <c r="E92">
        <v>62.14</v>
      </c>
      <c r="F92">
        <v>179244.18</v>
      </c>
      <c r="G92">
        <v>62.14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-3.246753246753218E-2</v>
      </c>
      <c r="Q92">
        <f t="shared" ref="Q92" si="436">F92*P92</f>
        <v>-5819.6162337661817</v>
      </c>
      <c r="R92">
        <f t="shared" ref="R92" si="437">R93+Q92</f>
        <v>-774750.70560507395</v>
      </c>
      <c r="S92">
        <f t="shared" ref="S92" si="438">R92/100000</f>
        <v>-7.7475070560507397</v>
      </c>
      <c r="T92">
        <f t="shared" ref="T92" si="439">S92/1000</f>
        <v>-7.7475070560507394E-3</v>
      </c>
    </row>
    <row r="93" spans="1:20" x14ac:dyDescent="0.25">
      <c r="A93" s="5">
        <v>44500</v>
      </c>
      <c r="B93">
        <v>55.21</v>
      </c>
      <c r="C93">
        <v>61.16</v>
      </c>
      <c r="D93">
        <v>54.24</v>
      </c>
      <c r="E93">
        <v>59.36</v>
      </c>
      <c r="F93">
        <v>149773.6</v>
      </c>
      <c r="G93">
        <v>59.36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0.47976878612716806</v>
      </c>
      <c r="Q93">
        <f t="shared" ref="Q93" si="441">F93*P93</f>
        <v>71856.698265896019</v>
      </c>
      <c r="R93">
        <f t="shared" ref="R93" si="442">R94+Q93</f>
        <v>-768931.08937130775</v>
      </c>
      <c r="S93">
        <f t="shared" ref="S93" si="443">R93/100000</f>
        <v>-7.6893108937130776</v>
      </c>
      <c r="T93">
        <f t="shared" ref="T93" si="444">S93/1000</f>
        <v>-7.6893108937130779E-3</v>
      </c>
    </row>
    <row r="94" spans="1:20" x14ac:dyDescent="0.25">
      <c r="A94" s="5">
        <v>44499</v>
      </c>
      <c r="B94">
        <v>52.62</v>
      </c>
      <c r="C94">
        <v>55.22</v>
      </c>
      <c r="D94">
        <v>51.3</v>
      </c>
      <c r="E94">
        <v>55.22</v>
      </c>
      <c r="F94">
        <v>59936.22</v>
      </c>
      <c r="G94">
        <v>55.22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1</v>
      </c>
      <c r="Q94">
        <f t="shared" ref="Q94" si="446">F94*P94</f>
        <v>59936.22</v>
      </c>
      <c r="R94">
        <f t="shared" ref="R94" si="447">R95+Q94</f>
        <v>-840787.78763720382</v>
      </c>
      <c r="S94">
        <f t="shared" ref="S94" si="448">R94/100000</f>
        <v>-8.407877876372039</v>
      </c>
      <c r="T94">
        <f t="shared" ref="T94" si="449">S94/1000</f>
        <v>-8.4078778763720385E-3</v>
      </c>
    </row>
    <row r="95" spans="1:20" x14ac:dyDescent="0.25">
      <c r="A95" s="5">
        <v>44498</v>
      </c>
      <c r="B95">
        <v>50.68</v>
      </c>
      <c r="C95">
        <v>53.93</v>
      </c>
      <c r="D95">
        <v>50.32</v>
      </c>
      <c r="E95">
        <v>52.59</v>
      </c>
      <c r="F95">
        <v>43182.71</v>
      </c>
      <c r="G95">
        <v>52.59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0.25761772853185788</v>
      </c>
      <c r="Q95">
        <f t="shared" ref="Q95" si="451">F95*P95</f>
        <v>11124.631662049944</v>
      </c>
      <c r="R95">
        <f t="shared" ref="R95" si="452">R96+Q95</f>
        <v>-900724.00763720379</v>
      </c>
      <c r="S95">
        <f t="shared" ref="S95" si="453">R95/100000</f>
        <v>-9.0072400763720371</v>
      </c>
      <c r="T95">
        <f t="shared" ref="T95" si="454">S95/1000</f>
        <v>-9.0072400763720369E-3</v>
      </c>
    </row>
    <row r="96" spans="1:20" x14ac:dyDescent="0.25">
      <c r="A96" s="5">
        <v>44497</v>
      </c>
      <c r="B96">
        <v>48.43</v>
      </c>
      <c r="C96">
        <v>51.53</v>
      </c>
      <c r="D96">
        <v>48.13</v>
      </c>
      <c r="E96">
        <v>50.61</v>
      </c>
      <c r="F96">
        <v>60345.7</v>
      </c>
      <c r="G96">
        <v>50.61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0.45882352941176346</v>
      </c>
      <c r="Q96">
        <f t="shared" ref="Q96" si="456">F96*P96</f>
        <v>27688.027058823453</v>
      </c>
      <c r="R96">
        <f t="shared" ref="R96" si="457">R97+Q96</f>
        <v>-911848.6392992537</v>
      </c>
      <c r="S96">
        <f t="shared" ref="S96" si="458">R96/100000</f>
        <v>-9.118486392992537</v>
      </c>
      <c r="T96">
        <f t="shared" ref="T96" si="459">S96/1000</f>
        <v>-9.1184863929925364E-3</v>
      </c>
    </row>
    <row r="97" spans="1:20" x14ac:dyDescent="0.25">
      <c r="A97" s="5">
        <v>44496</v>
      </c>
      <c r="B97">
        <v>54.06</v>
      </c>
      <c r="C97">
        <v>54.75</v>
      </c>
      <c r="D97">
        <v>43.5</v>
      </c>
      <c r="E97">
        <v>48.42</v>
      </c>
      <c r="F97">
        <v>293109.06</v>
      </c>
      <c r="G97">
        <v>48.42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-0.12533333333333302</v>
      </c>
      <c r="Q97">
        <f t="shared" ref="Q97" si="461">F97*P97</f>
        <v>-36736.335519999906</v>
      </c>
      <c r="R97">
        <f t="shared" ref="R97" si="462">R98+Q97</f>
        <v>-939536.6663580772</v>
      </c>
      <c r="S97">
        <f t="shared" ref="S97" si="463">R97/100000</f>
        <v>-9.3953666635807718</v>
      </c>
      <c r="T97">
        <f t="shared" ref="T97" si="464">S97/1000</f>
        <v>-9.3953666635807724E-3</v>
      </c>
    </row>
    <row r="98" spans="1:20" x14ac:dyDescent="0.25">
      <c r="A98" s="5">
        <v>44495</v>
      </c>
      <c r="B98">
        <v>55.7</v>
      </c>
      <c r="C98">
        <v>58.2</v>
      </c>
      <c r="D98">
        <v>54</v>
      </c>
      <c r="E98">
        <v>54.03</v>
      </c>
      <c r="F98">
        <v>110648.73</v>
      </c>
      <c r="G98">
        <v>54.03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-0.98571428571428521</v>
      </c>
      <c r="Q98">
        <f t="shared" ref="Q98" si="466">F98*P98</f>
        <v>-109068.0338571428</v>
      </c>
      <c r="R98">
        <f t="shared" ref="R98" si="467">R99+Q98</f>
        <v>-902800.33083807724</v>
      </c>
      <c r="S98">
        <f t="shared" ref="S98" si="468">R98/100000</f>
        <v>-9.0280033083807716</v>
      </c>
      <c r="T98">
        <f t="shared" ref="T98" si="469">S98/1000</f>
        <v>-9.028003308380772E-3</v>
      </c>
    </row>
    <row r="99" spans="1:20" x14ac:dyDescent="0.25">
      <c r="A99" s="5">
        <v>44494</v>
      </c>
      <c r="B99">
        <v>53.89</v>
      </c>
      <c r="C99">
        <v>57</v>
      </c>
      <c r="D99">
        <v>53.51</v>
      </c>
      <c r="E99">
        <v>55.7</v>
      </c>
      <c r="F99">
        <v>58771.85</v>
      </c>
      <c r="G99">
        <v>55.7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0.25501432664756651</v>
      </c>
      <c r="Q99">
        <f t="shared" ref="Q99" si="471">F99*P99</f>
        <v>14987.663753581781</v>
      </c>
      <c r="R99">
        <f t="shared" ref="R99" si="472">R100+Q99</f>
        <v>-793732.29698093445</v>
      </c>
      <c r="S99">
        <f t="shared" ref="S99" si="473">R99/100000</f>
        <v>-7.9373229698093448</v>
      </c>
      <c r="T99">
        <f t="shared" ref="T99" si="474">S99/1000</f>
        <v>-7.9373229698093441E-3</v>
      </c>
    </row>
    <row r="100" spans="1:20" x14ac:dyDescent="0.25">
      <c r="A100" s="5">
        <v>44493</v>
      </c>
      <c r="B100">
        <v>55.62</v>
      </c>
      <c r="C100">
        <v>55.62</v>
      </c>
      <c r="D100">
        <v>52.9</v>
      </c>
      <c r="E100">
        <v>53.84</v>
      </c>
      <c r="F100">
        <v>77588.38</v>
      </c>
      <c r="G100">
        <v>53.84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-0.30882352941176089</v>
      </c>
      <c r="Q100">
        <f t="shared" ref="Q100" si="476">F100*P100</f>
        <v>-23961.117352940881</v>
      </c>
      <c r="R100">
        <f t="shared" ref="R100" si="477">R101+Q100</f>
        <v>-808719.96073451627</v>
      </c>
      <c r="S100">
        <f t="shared" ref="S100" si="478">R100/100000</f>
        <v>-8.0871996073451626</v>
      </c>
      <c r="T100">
        <f t="shared" ref="T100" si="479">S100/1000</f>
        <v>-8.0871996073451618E-3</v>
      </c>
    </row>
    <row r="101" spans="1:20" x14ac:dyDescent="0.25">
      <c r="A101" s="5">
        <v>44492</v>
      </c>
      <c r="B101">
        <v>57.35</v>
      </c>
      <c r="C101">
        <v>57.46</v>
      </c>
      <c r="D101">
        <v>54.85</v>
      </c>
      <c r="E101">
        <v>55.62</v>
      </c>
      <c r="F101">
        <v>64198.09</v>
      </c>
      <c r="G101">
        <v>55.62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-0.40996168582375769</v>
      </c>
      <c r="Q101">
        <f t="shared" ref="Q101" si="481">F101*P101</f>
        <v>-26318.757203065317</v>
      </c>
      <c r="R101">
        <f t="shared" ref="R101" si="482">R102+Q101</f>
        <v>-784758.84338157543</v>
      </c>
      <c r="S101">
        <f t="shared" ref="S101" si="483">R101/100000</f>
        <v>-7.847588433815754</v>
      </c>
      <c r="T101">
        <f t="shared" ref="T101" si="484">S101/1000</f>
        <v>-7.8475884338157532E-3</v>
      </c>
    </row>
    <row r="102" spans="1:20" x14ac:dyDescent="0.25">
      <c r="A102" s="5">
        <v>44491</v>
      </c>
      <c r="B102">
        <v>58.97</v>
      </c>
      <c r="C102">
        <v>62.93</v>
      </c>
      <c r="D102">
        <v>57</v>
      </c>
      <c r="E102">
        <v>57.23</v>
      </c>
      <c r="F102">
        <v>122853.28</v>
      </c>
      <c r="G102">
        <v>57.23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-0.92242833052276663</v>
      </c>
      <c r="Q102">
        <f t="shared" ref="Q102" si="486">F102*P102</f>
        <v>-113323.34596964599</v>
      </c>
      <c r="R102">
        <f t="shared" ref="R102" si="487">R103+Q102</f>
        <v>-758440.0861785101</v>
      </c>
      <c r="S102">
        <f t="shared" ref="S102" si="488">R102/100000</f>
        <v>-7.5844008617851006</v>
      </c>
      <c r="T102">
        <f t="shared" ref="T102" si="489">S102/1000</f>
        <v>-7.5844008617851006E-3</v>
      </c>
    </row>
    <row r="103" spans="1:20" x14ac:dyDescent="0.25">
      <c r="A103" s="5">
        <v>44490</v>
      </c>
      <c r="B103">
        <v>58.82</v>
      </c>
      <c r="C103">
        <v>59.75</v>
      </c>
      <c r="D103">
        <v>54.81</v>
      </c>
      <c r="E103">
        <v>59</v>
      </c>
      <c r="F103">
        <v>110981.22</v>
      </c>
      <c r="G103">
        <v>59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0.69635627530364363</v>
      </c>
      <c r="Q103">
        <f t="shared" ref="Q103" si="491">F103*P103</f>
        <v>77282.468987854241</v>
      </c>
      <c r="R103">
        <f t="shared" ref="R103" si="492">R104+Q103</f>
        <v>-645116.7402088641</v>
      </c>
      <c r="S103">
        <f t="shared" ref="S103" si="493">R103/100000</f>
        <v>-6.4511674020886414</v>
      </c>
      <c r="T103">
        <f t="shared" ref="T103" si="494">S103/1000</f>
        <v>-6.4511674020886417E-3</v>
      </c>
    </row>
    <row r="104" spans="1:20" x14ac:dyDescent="0.25">
      <c r="A104" s="5">
        <v>44489</v>
      </c>
      <c r="B104">
        <v>55.24</v>
      </c>
      <c r="C104">
        <v>60.89</v>
      </c>
      <c r="D104">
        <v>54.75</v>
      </c>
      <c r="E104">
        <v>58.76</v>
      </c>
      <c r="F104">
        <v>126023.11</v>
      </c>
      <c r="G104">
        <v>58.76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0.30618892508143247</v>
      </c>
      <c r="Q104">
        <f t="shared" ref="Q104" si="496">F104*P104</f>
        <v>38586.880586319123</v>
      </c>
      <c r="R104">
        <f t="shared" ref="R104" si="497">R105+Q104</f>
        <v>-722399.20919671829</v>
      </c>
      <c r="S104">
        <f t="shared" ref="S104" si="498">R104/100000</f>
        <v>-7.2239920919671832</v>
      </c>
      <c r="T104">
        <f t="shared" ref="T104" si="499">S104/1000</f>
        <v>-7.2239920919671833E-3</v>
      </c>
    </row>
    <row r="105" spans="1:20" x14ac:dyDescent="0.25">
      <c r="A105" s="5">
        <v>44488</v>
      </c>
      <c r="B105">
        <v>53.72</v>
      </c>
      <c r="C105">
        <v>57.4</v>
      </c>
      <c r="D105">
        <v>53.16</v>
      </c>
      <c r="E105">
        <v>55.24</v>
      </c>
      <c r="F105">
        <v>125778.73</v>
      </c>
      <c r="G105">
        <v>55.24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-1.8867924528299801E-2</v>
      </c>
      <c r="Q105">
        <f t="shared" ref="Q105" si="501">F105*P105</f>
        <v>-2373.1835849053978</v>
      </c>
      <c r="R105">
        <f t="shared" ref="R105" si="502">R106+Q105</f>
        <v>-760986.08978303743</v>
      </c>
      <c r="S105">
        <f t="shared" ref="S105" si="503">R105/100000</f>
        <v>-7.6098608978303739</v>
      </c>
      <c r="T105">
        <f t="shared" ref="T105" si="504">S105/1000</f>
        <v>-7.6098608978303738E-3</v>
      </c>
    </row>
    <row r="106" spans="1:20" x14ac:dyDescent="0.25">
      <c r="A106" s="5">
        <v>44487</v>
      </c>
      <c r="B106">
        <v>53.09</v>
      </c>
      <c r="C106">
        <v>54.89</v>
      </c>
      <c r="D106">
        <v>51.08</v>
      </c>
      <c r="E106">
        <v>53.73</v>
      </c>
      <c r="F106">
        <v>148099.85999999999</v>
      </c>
      <c r="G106">
        <v>53.73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0.3910761154855627</v>
      </c>
      <c r="Q106">
        <f t="shared" ref="Q106" si="506">F106*P106</f>
        <v>57918.317952755664</v>
      </c>
      <c r="R106">
        <f t="shared" ref="R106" si="507">R107+Q106</f>
        <v>-758612.90619813208</v>
      </c>
      <c r="S106">
        <f t="shared" ref="S106" si="508">R106/100000</f>
        <v>-7.5861290619813211</v>
      </c>
      <c r="T106">
        <f t="shared" ref="T106" si="509">S106/1000</f>
        <v>-7.5861290619813207E-3</v>
      </c>
    </row>
    <row r="107" spans="1:20" x14ac:dyDescent="0.25">
      <c r="A107" s="5">
        <v>44486</v>
      </c>
      <c r="B107">
        <v>50.93</v>
      </c>
      <c r="C107">
        <v>58.48</v>
      </c>
      <c r="D107">
        <v>49.94</v>
      </c>
      <c r="E107">
        <v>53.12</v>
      </c>
      <c r="F107">
        <v>412273.86</v>
      </c>
      <c r="G107">
        <v>53.12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-0.25526932084309134</v>
      </c>
      <c r="Q107">
        <f t="shared" ref="Q107" si="511">F107*P107</f>
        <v>-105240.86824355971</v>
      </c>
      <c r="R107">
        <f t="shared" ref="R107" si="512">R108+Q107</f>
        <v>-816531.22415088769</v>
      </c>
      <c r="S107">
        <f t="shared" ref="S107" si="513">R107/100000</f>
        <v>-8.165312241508877</v>
      </c>
      <c r="T107">
        <f t="shared" ref="T107" si="514">S107/1000</f>
        <v>-8.1653122415088764E-3</v>
      </c>
    </row>
    <row r="108" spans="1:20" x14ac:dyDescent="0.25">
      <c r="A108" s="5">
        <v>44485</v>
      </c>
      <c r="B108">
        <v>49.55</v>
      </c>
      <c r="C108">
        <v>60</v>
      </c>
      <c r="D108">
        <v>49.18</v>
      </c>
      <c r="E108">
        <v>50.99</v>
      </c>
      <c r="F108">
        <v>420416.55</v>
      </c>
      <c r="G108">
        <v>50.99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-0.66543438077633965</v>
      </c>
      <c r="Q108">
        <f t="shared" ref="Q108" si="516">F108*P108</f>
        <v>-279759.626617375</v>
      </c>
      <c r="R108">
        <f t="shared" ref="R108" si="517">R109+Q108</f>
        <v>-711290.35590732796</v>
      </c>
      <c r="S108">
        <f t="shared" ref="S108" si="518">R108/100000</f>
        <v>-7.1129035590732794</v>
      </c>
      <c r="T108">
        <f t="shared" ref="T108" si="519">S108/1000</f>
        <v>-7.1129035590732793E-3</v>
      </c>
    </row>
    <row r="109" spans="1:20" x14ac:dyDescent="0.25">
      <c r="A109" s="5">
        <v>44484</v>
      </c>
      <c r="B109">
        <v>47.47</v>
      </c>
      <c r="C109">
        <v>52.5</v>
      </c>
      <c r="D109">
        <v>45.61</v>
      </c>
      <c r="E109">
        <v>49.49</v>
      </c>
      <c r="F109">
        <v>249530.29</v>
      </c>
      <c r="G109">
        <v>49.49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0.12626995645863634</v>
      </c>
      <c r="Q109">
        <f t="shared" ref="Q109" si="521">F109*P109</f>
        <v>31508.1788534109</v>
      </c>
      <c r="R109">
        <f t="shared" ref="R109" si="522">R110+Q109</f>
        <v>-431530.72928995301</v>
      </c>
      <c r="S109">
        <f t="shared" ref="S109" si="523">R109/100000</f>
        <v>-4.3153072928995302</v>
      </c>
      <c r="T109">
        <f t="shared" ref="T109" si="524">S109/1000</f>
        <v>-4.3153072928995301E-3</v>
      </c>
    </row>
    <row r="110" spans="1:20" x14ac:dyDescent="0.25">
      <c r="A110" s="5">
        <v>44483</v>
      </c>
      <c r="B110">
        <v>45.9</v>
      </c>
      <c r="C110">
        <v>48.95</v>
      </c>
      <c r="D110">
        <v>45.52</v>
      </c>
      <c r="E110">
        <v>47.44</v>
      </c>
      <c r="F110">
        <v>98775.83</v>
      </c>
      <c r="G110">
        <v>47.44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0.11953352769678995</v>
      </c>
      <c r="Q110">
        <f t="shared" ref="Q110" si="526">F110*P110</f>
        <v>11807.023411078415</v>
      </c>
      <c r="R110">
        <f t="shared" ref="R110" si="527">R111+Q110</f>
        <v>-463038.90814336389</v>
      </c>
      <c r="S110">
        <f t="shared" ref="S110" si="528">R110/100000</f>
        <v>-4.6303890814336386</v>
      </c>
      <c r="T110">
        <f t="shared" ref="T110" si="529">S110/1000</f>
        <v>-4.6303890814336389E-3</v>
      </c>
    </row>
    <row r="111" spans="1:20" x14ac:dyDescent="0.25">
      <c r="A111" s="5">
        <v>44482</v>
      </c>
      <c r="B111">
        <v>44.61</v>
      </c>
      <c r="C111">
        <v>46.08</v>
      </c>
      <c r="D111">
        <v>43.54</v>
      </c>
      <c r="E111">
        <v>45.94</v>
      </c>
      <c r="F111">
        <v>70337.84</v>
      </c>
      <c r="G111">
        <v>45.94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0.88976377952755858</v>
      </c>
      <c r="Q111">
        <f t="shared" ref="Q111" si="531">F111*P111</f>
        <v>62584.062362204691</v>
      </c>
      <c r="R111">
        <f t="shared" ref="R111" si="532">R112+Q111</f>
        <v>-474845.93155444233</v>
      </c>
      <c r="S111">
        <f t="shared" ref="S111" si="533">R111/100000</f>
        <v>-4.748459315544423</v>
      </c>
      <c r="T111">
        <f t="shared" ref="T111" si="534">S111/1000</f>
        <v>-4.7484593155444231E-3</v>
      </c>
    </row>
    <row r="112" spans="1:20" x14ac:dyDescent="0.25">
      <c r="A112" s="5">
        <v>44481</v>
      </c>
      <c r="B112">
        <v>45</v>
      </c>
      <c r="C112">
        <v>45.01</v>
      </c>
      <c r="D112">
        <v>41.67</v>
      </c>
      <c r="E112">
        <v>44.57</v>
      </c>
      <c r="F112">
        <v>61313.2</v>
      </c>
      <c r="G112">
        <v>44.57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0.73652694610778546</v>
      </c>
      <c r="Q112">
        <f t="shared" ref="Q112" si="536">F112*P112</f>
        <v>45158.823952095867</v>
      </c>
      <c r="R112">
        <f t="shared" ref="R112" si="537">R113+Q112</f>
        <v>-537429.99391664704</v>
      </c>
      <c r="S112">
        <f t="shared" ref="S112" si="538">R112/100000</f>
        <v>-5.3742999391664705</v>
      </c>
      <c r="T112">
        <f t="shared" ref="T112" si="539">S112/1000</f>
        <v>-5.3742999391664702E-3</v>
      </c>
    </row>
    <row r="113" spans="1:20" x14ac:dyDescent="0.25">
      <c r="A113" s="5">
        <v>44480</v>
      </c>
      <c r="B113">
        <v>45.04</v>
      </c>
      <c r="C113">
        <v>47.31</v>
      </c>
      <c r="D113">
        <v>43.53</v>
      </c>
      <c r="E113">
        <v>45.04</v>
      </c>
      <c r="F113">
        <v>59152.54</v>
      </c>
      <c r="G113">
        <v>45.04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-0.20105820105820235</v>
      </c>
      <c r="Q113">
        <f t="shared" ref="Q113" si="541">F113*P113</f>
        <v>-11893.103280423356</v>
      </c>
      <c r="R113">
        <f t="shared" ref="R113" si="542">R114+Q113</f>
        <v>-582588.81786874286</v>
      </c>
      <c r="S113">
        <f t="shared" ref="S113" si="543">R113/100000</f>
        <v>-5.8258881786874284</v>
      </c>
      <c r="T113">
        <f t="shared" ref="T113" si="544">S113/1000</f>
        <v>-5.8258881786874281E-3</v>
      </c>
    </row>
    <row r="114" spans="1:20" x14ac:dyDescent="0.25">
      <c r="A114" s="5">
        <v>44479</v>
      </c>
      <c r="B114">
        <v>48.58</v>
      </c>
      <c r="C114">
        <v>48.98</v>
      </c>
      <c r="D114">
        <v>44.87</v>
      </c>
      <c r="E114">
        <v>45.1</v>
      </c>
      <c r="F114">
        <v>65097.01</v>
      </c>
      <c r="G114">
        <v>45.1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-0.88807785888077662</v>
      </c>
      <c r="Q114">
        <f t="shared" ref="Q114" si="546">F114*P114</f>
        <v>-57811.213260340504</v>
      </c>
      <c r="R114">
        <f t="shared" ref="R114" si="547">R115+Q114</f>
        <v>-570695.71458831953</v>
      </c>
      <c r="S114">
        <f t="shared" ref="S114" si="548">R114/100000</f>
        <v>-5.7069571458831954</v>
      </c>
      <c r="T114">
        <f t="shared" ref="T114" si="549">S114/1000</f>
        <v>-5.7069571458831956E-3</v>
      </c>
    </row>
    <row r="115" spans="1:20" x14ac:dyDescent="0.25">
      <c r="A115" s="5">
        <v>44478</v>
      </c>
      <c r="B115">
        <v>49.77</v>
      </c>
      <c r="C115">
        <v>50.25</v>
      </c>
      <c r="D115">
        <v>47.83</v>
      </c>
      <c r="E115">
        <v>48.56</v>
      </c>
      <c r="F115">
        <v>56370.97</v>
      </c>
      <c r="G115">
        <v>48.56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-0.39669421487603018</v>
      </c>
      <c r="Q115">
        <f t="shared" ref="Q115" si="551">F115*P115</f>
        <v>-22362.03768595025</v>
      </c>
      <c r="R115">
        <f t="shared" ref="R115" si="552">R116+Q115</f>
        <v>-512884.50132797903</v>
      </c>
      <c r="S115">
        <f t="shared" ref="S115" si="553">R115/100000</f>
        <v>-5.1288450132797907</v>
      </c>
      <c r="T115">
        <f t="shared" ref="T115" si="554">S115/1000</f>
        <v>-5.1288450132797904E-3</v>
      </c>
    </row>
    <row r="116" spans="1:20" x14ac:dyDescent="0.25">
      <c r="A116" s="5">
        <v>44477</v>
      </c>
      <c r="B116">
        <v>49.44</v>
      </c>
      <c r="C116">
        <v>52.23</v>
      </c>
      <c r="D116">
        <v>49.21</v>
      </c>
      <c r="E116">
        <v>49.7</v>
      </c>
      <c r="F116">
        <v>79752.67</v>
      </c>
      <c r="G116">
        <v>49.7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-0.67549668874172009</v>
      </c>
      <c r="Q116">
        <f t="shared" ref="Q116" si="556">F116*P116</f>
        <v>-53872.664503311113</v>
      </c>
      <c r="R116">
        <f t="shared" ref="R116" si="557">R117+Q116</f>
        <v>-490522.4636420288</v>
      </c>
      <c r="S116">
        <f t="shared" ref="S116" si="558">R116/100000</f>
        <v>-4.9052246364202876</v>
      </c>
      <c r="T116">
        <f t="shared" ref="T116" si="559">S116/1000</f>
        <v>-4.9052246364202877E-3</v>
      </c>
    </row>
    <row r="117" spans="1:20" x14ac:dyDescent="0.25">
      <c r="A117" s="5">
        <v>44476</v>
      </c>
      <c r="B117">
        <v>49.14</v>
      </c>
      <c r="C117">
        <v>51.76</v>
      </c>
      <c r="D117">
        <v>47.5</v>
      </c>
      <c r="E117">
        <v>49.46</v>
      </c>
      <c r="F117">
        <v>112520.24</v>
      </c>
      <c r="G117">
        <v>49.46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-7.981220657276912E-2</v>
      </c>
      <c r="Q117">
        <f t="shared" ref="Q117" si="561">F117*P117</f>
        <v>-8980.4886384975598</v>
      </c>
      <c r="R117">
        <f t="shared" ref="R117" si="562">R118+Q117</f>
        <v>-436649.7991387177</v>
      </c>
      <c r="S117">
        <f t="shared" ref="S117" si="563">R117/100000</f>
        <v>-4.3664979913871766</v>
      </c>
      <c r="T117">
        <f t="shared" ref="T117" si="564">S117/1000</f>
        <v>-4.3664979913871768E-3</v>
      </c>
    </row>
    <row r="118" spans="1:20" x14ac:dyDescent="0.25">
      <c r="A118" s="5">
        <v>44475</v>
      </c>
      <c r="B118">
        <v>49.95</v>
      </c>
      <c r="C118">
        <v>53.7</v>
      </c>
      <c r="D118">
        <v>45.81</v>
      </c>
      <c r="E118">
        <v>49.1</v>
      </c>
      <c r="F118">
        <v>175843.03</v>
      </c>
      <c r="G118">
        <v>49.1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-0.16603295310519672</v>
      </c>
      <c r="Q118">
        <f t="shared" ref="Q118" si="566">F118*P118</f>
        <v>-29195.7375538657</v>
      </c>
      <c r="R118">
        <f t="shared" ref="R118" si="567">R119+Q118</f>
        <v>-427669.31050022016</v>
      </c>
      <c r="S118">
        <f t="shared" ref="S118" si="568">R118/100000</f>
        <v>-4.2766931050022015</v>
      </c>
      <c r="T118">
        <f t="shared" ref="T118" si="569">S118/1000</f>
        <v>-4.2766931050022012E-3</v>
      </c>
    </row>
    <row r="119" spans="1:20" x14ac:dyDescent="0.25">
      <c r="A119" s="5">
        <v>44474</v>
      </c>
      <c r="B119">
        <v>47.32</v>
      </c>
      <c r="C119">
        <v>50.67</v>
      </c>
      <c r="D119">
        <v>46.74</v>
      </c>
      <c r="E119">
        <v>49.93</v>
      </c>
      <c r="F119">
        <v>100369.65</v>
      </c>
      <c r="G119">
        <v>49.93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0.62340966921119489</v>
      </c>
      <c r="Q119">
        <f t="shared" ref="Q119" si="571">F119*P119</f>
        <v>62571.410305343401</v>
      </c>
      <c r="R119">
        <f t="shared" ref="R119" si="572">R120+Q119</f>
        <v>-398473.57294635446</v>
      </c>
      <c r="S119">
        <f t="shared" ref="S119" si="573">R119/100000</f>
        <v>-3.9847357294635444</v>
      </c>
      <c r="T119">
        <f t="shared" ref="T119" si="574">S119/1000</f>
        <v>-3.9847357294635448E-3</v>
      </c>
    </row>
    <row r="120" spans="1:20" x14ac:dyDescent="0.25">
      <c r="A120" s="5">
        <v>44473</v>
      </c>
      <c r="B120">
        <v>49.18</v>
      </c>
      <c r="C120">
        <v>49.32</v>
      </c>
      <c r="D120">
        <v>45.24</v>
      </c>
      <c r="E120">
        <v>47.27</v>
      </c>
      <c r="F120">
        <v>114693.06</v>
      </c>
      <c r="G120">
        <v>47.27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-4.9019607843127522E-3</v>
      </c>
      <c r="Q120">
        <f t="shared" ref="Q120" si="576">F120*P120</f>
        <v>-562.22088235282956</v>
      </c>
      <c r="R120">
        <f t="shared" ref="R120" si="577">R121+Q120</f>
        <v>-461044.98325169785</v>
      </c>
      <c r="S120">
        <f t="shared" ref="S120" si="578">R120/100000</f>
        <v>-4.6104498325169789</v>
      </c>
      <c r="T120">
        <f t="shared" ref="T120" si="579">S120/1000</f>
        <v>-4.6104498325169789E-3</v>
      </c>
    </row>
    <row r="121" spans="1:20" x14ac:dyDescent="0.25">
      <c r="A121" s="5">
        <v>44472</v>
      </c>
      <c r="B121">
        <v>48.32</v>
      </c>
      <c r="C121">
        <v>51.97</v>
      </c>
      <c r="D121">
        <v>47.24</v>
      </c>
      <c r="E121">
        <v>49.16</v>
      </c>
      <c r="F121">
        <v>140360.49</v>
      </c>
      <c r="G121">
        <v>49.16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-0.1881606765327713</v>
      </c>
      <c r="Q121">
        <f t="shared" ref="Q121" si="581">F121*P121</f>
        <v>-26410.32475687128</v>
      </c>
      <c r="R121">
        <f t="shared" ref="R121" si="582">R122+Q121</f>
        <v>-460482.762369345</v>
      </c>
      <c r="S121">
        <f t="shared" ref="S121" si="583">R121/100000</f>
        <v>-4.60482762369345</v>
      </c>
      <c r="T121">
        <f t="shared" ref="T121" si="584">S121/1000</f>
        <v>-4.6048276236934499E-3</v>
      </c>
    </row>
    <row r="122" spans="1:20" x14ac:dyDescent="0.25">
      <c r="A122" s="5">
        <v>44471</v>
      </c>
      <c r="B122">
        <v>48.03</v>
      </c>
      <c r="C122">
        <v>50.55</v>
      </c>
      <c r="D122">
        <v>47.1</v>
      </c>
      <c r="E122">
        <v>48.33</v>
      </c>
      <c r="F122">
        <v>78257.16</v>
      </c>
      <c r="G122">
        <v>48.33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-0.28695652173913139</v>
      </c>
      <c r="Q122">
        <f t="shared" ref="Q122" si="586">F122*P122</f>
        <v>-22456.402434782685</v>
      </c>
      <c r="R122">
        <f t="shared" ref="R122" si="587">R123+Q122</f>
        <v>-434072.43761247373</v>
      </c>
      <c r="S122">
        <f t="shared" ref="S122" si="588">R122/100000</f>
        <v>-4.3407243761247374</v>
      </c>
      <c r="T122">
        <f t="shared" ref="T122" si="589">S122/1000</f>
        <v>-4.3407243761247371E-3</v>
      </c>
    </row>
    <row r="123" spans="1:20" x14ac:dyDescent="0.25">
      <c r="A123" s="5">
        <v>44470</v>
      </c>
      <c r="B123">
        <v>43.05</v>
      </c>
      <c r="C123">
        <v>48.33</v>
      </c>
      <c r="D123">
        <v>42.68</v>
      </c>
      <c r="E123">
        <v>48.06</v>
      </c>
      <c r="F123">
        <v>114011.99</v>
      </c>
      <c r="G123">
        <v>48.06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0.90442477876106331</v>
      </c>
      <c r="Q123">
        <f t="shared" ref="Q123" si="591">F123*P123</f>
        <v>103115.26883185857</v>
      </c>
      <c r="R123">
        <f t="shared" ref="R123" si="592">R124+Q123</f>
        <v>-411616.03517769102</v>
      </c>
      <c r="S123">
        <f t="shared" ref="S123" si="593">R123/100000</f>
        <v>-4.1161603517769105</v>
      </c>
      <c r="T123">
        <f t="shared" ref="T123" si="594">S123/1000</f>
        <v>-4.1161603517769103E-3</v>
      </c>
    </row>
    <row r="124" spans="1:20" x14ac:dyDescent="0.25">
      <c r="A124" s="5">
        <v>44469</v>
      </c>
      <c r="B124">
        <v>41.47</v>
      </c>
      <c r="C124">
        <v>43.62</v>
      </c>
      <c r="D124">
        <v>41.21</v>
      </c>
      <c r="E124">
        <v>43.05</v>
      </c>
      <c r="F124">
        <v>59808.79</v>
      </c>
      <c r="G124">
        <v>43.05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0.5269709543568456</v>
      </c>
      <c r="Q124">
        <f t="shared" ref="Q124" si="596">F124*P124</f>
        <v>31517.495145228164</v>
      </c>
      <c r="R124">
        <f t="shared" ref="R124" si="597">R125+Q124</f>
        <v>-514731.30400954961</v>
      </c>
      <c r="S124">
        <f t="shared" ref="S124" si="598">R124/100000</f>
        <v>-5.1473130400954963</v>
      </c>
      <c r="T124">
        <f t="shared" ref="T124" si="599">S124/1000</f>
        <v>-5.1473130400954961E-3</v>
      </c>
    </row>
    <row r="125" spans="1:20" x14ac:dyDescent="0.25">
      <c r="A125" s="5">
        <v>44468</v>
      </c>
      <c r="B125">
        <v>41.21</v>
      </c>
      <c r="C125">
        <v>44.72</v>
      </c>
      <c r="D125">
        <v>40.700000000000003</v>
      </c>
      <c r="E125">
        <v>41.59</v>
      </c>
      <c r="F125">
        <v>97495.32</v>
      </c>
      <c r="G125">
        <v>41.59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-0.55721393034825795</v>
      </c>
      <c r="Q125">
        <f t="shared" ref="Q125" si="601">F125*P125</f>
        <v>-54325.750447761122</v>
      </c>
      <c r="R125">
        <f t="shared" ref="R125" si="602">R126+Q125</f>
        <v>-546248.79915477778</v>
      </c>
      <c r="S125">
        <f t="shared" ref="S125" si="603">R125/100000</f>
        <v>-5.4624879915477775</v>
      </c>
      <c r="T125">
        <f t="shared" ref="T125" si="604">S125/1000</f>
        <v>-5.4624879915477773E-3</v>
      </c>
    </row>
    <row r="126" spans="1:20" x14ac:dyDescent="0.25">
      <c r="A126" s="5">
        <v>44467</v>
      </c>
      <c r="B126">
        <v>42.98</v>
      </c>
      <c r="C126">
        <v>44.34</v>
      </c>
      <c r="D126">
        <v>41.07</v>
      </c>
      <c r="E126">
        <v>41.28</v>
      </c>
      <c r="F126">
        <v>50261.54</v>
      </c>
      <c r="G126">
        <v>41.28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-0.87155963302752248</v>
      </c>
      <c r="Q126">
        <f t="shared" ref="Q126" si="606">F126*P126</f>
        <v>-43805.929357798144</v>
      </c>
      <c r="R126">
        <f t="shared" ref="R126" si="607">R127+Q126</f>
        <v>-491923.04870701663</v>
      </c>
      <c r="S126">
        <f t="shared" ref="S126" si="608">R126/100000</f>
        <v>-4.9192304870701662</v>
      </c>
      <c r="T126">
        <f t="shared" ref="T126" si="609">S126/1000</f>
        <v>-4.9192304870701664E-3</v>
      </c>
    </row>
    <row r="127" spans="1:20" x14ac:dyDescent="0.25">
      <c r="A127" s="5">
        <v>44466</v>
      </c>
      <c r="B127">
        <v>45.4</v>
      </c>
      <c r="C127">
        <v>47.54</v>
      </c>
      <c r="D127">
        <v>42.9</v>
      </c>
      <c r="E127">
        <v>43.01</v>
      </c>
      <c r="F127">
        <v>68483.77</v>
      </c>
      <c r="G127">
        <v>43.01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-0.95258620689655193</v>
      </c>
      <c r="Q127">
        <f t="shared" ref="Q127" si="611">F127*P127</f>
        <v>-65236.694698275882</v>
      </c>
      <c r="R127">
        <f t="shared" ref="R127" si="612">R128+Q127</f>
        <v>-448117.1193492185</v>
      </c>
      <c r="S127">
        <f t="shared" ref="S127" si="613">R127/100000</f>
        <v>-4.4811711934921847</v>
      </c>
      <c r="T127">
        <f t="shared" ref="T127" si="614">S127/1000</f>
        <v>-4.4811711934921849E-3</v>
      </c>
    </row>
    <row r="128" spans="1:20" x14ac:dyDescent="0.25">
      <c r="A128" s="5">
        <v>44465</v>
      </c>
      <c r="B128">
        <v>45.17</v>
      </c>
      <c r="C128">
        <v>46.12</v>
      </c>
      <c r="D128">
        <v>40.380000000000003</v>
      </c>
      <c r="E128">
        <v>45.41</v>
      </c>
      <c r="F128">
        <v>82847.34</v>
      </c>
      <c r="G128">
        <v>45.41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0.75261324041811795</v>
      </c>
      <c r="Q128">
        <f t="shared" ref="Q128" si="616">F128*P128</f>
        <v>62352.005017421558</v>
      </c>
      <c r="R128">
        <f t="shared" ref="R128" si="617">R129+Q128</f>
        <v>-382880.42465094262</v>
      </c>
      <c r="S128">
        <f t="shared" ref="S128" si="618">R128/100000</f>
        <v>-3.8288042465094261</v>
      </c>
      <c r="T128">
        <f t="shared" ref="T128" si="619">S128/1000</f>
        <v>-3.828804246509426E-3</v>
      </c>
    </row>
    <row r="129" spans="1:20" x14ac:dyDescent="0.25">
      <c r="A129" s="5">
        <v>44464</v>
      </c>
      <c r="B129">
        <v>44.36</v>
      </c>
      <c r="C129">
        <v>46.13</v>
      </c>
      <c r="D129">
        <v>42.47</v>
      </c>
      <c r="E129">
        <v>45.25</v>
      </c>
      <c r="F129">
        <v>98616.27</v>
      </c>
      <c r="G129">
        <v>45.25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0.51912568306010842</v>
      </c>
      <c r="Q129">
        <f t="shared" ref="Q129" si="621">F129*P129</f>
        <v>51194.23852459008</v>
      </c>
      <c r="R129">
        <f t="shared" ref="R129" si="622">R130+Q129</f>
        <v>-445232.42966836417</v>
      </c>
      <c r="S129">
        <f t="shared" ref="S129" si="623">R129/100000</f>
        <v>-4.452324296683642</v>
      </c>
      <c r="T129">
        <f t="shared" ref="T129" si="624">S129/1000</f>
        <v>-4.4523242966836418E-3</v>
      </c>
    </row>
    <row r="130" spans="1:20" x14ac:dyDescent="0.25">
      <c r="A130" s="5">
        <v>44463</v>
      </c>
      <c r="B130">
        <v>49.36</v>
      </c>
      <c r="C130">
        <v>50.72</v>
      </c>
      <c r="D130">
        <v>41.77</v>
      </c>
      <c r="E130">
        <v>44.37</v>
      </c>
      <c r="F130">
        <v>172088.06</v>
      </c>
      <c r="G130">
        <v>44.37</v>
      </c>
      <c r="L130" t="s">
        <v>8</v>
      </c>
      <c r="M130" t="s">
        <v>7</v>
      </c>
      <c r="N130" t="s">
        <v>7</v>
      </c>
      <c r="P130">
        <f t="shared" ref="P130" si="625">IF(C130=D130,0,((E130-D130)-(C130-E130))/(C130-D130))</f>
        <v>-0.41899441340782223</v>
      </c>
      <c r="Q130">
        <f t="shared" ref="Q130" si="626">F130*P130</f>
        <v>-72103.935754190112</v>
      </c>
      <c r="R130">
        <f t="shared" ref="R130" si="627">R131+Q130</f>
        <v>-496426.66819295427</v>
      </c>
      <c r="S130">
        <f t="shared" ref="S130" si="628">R130/100000</f>
        <v>-4.9642666819295425</v>
      </c>
      <c r="T130">
        <f t="shared" ref="T130" si="629">S130/1000</f>
        <v>-4.9642666819295425E-3</v>
      </c>
    </row>
    <row r="131" spans="1:20" x14ac:dyDescent="0.25">
      <c r="A131" s="5">
        <v>44462</v>
      </c>
      <c r="B131">
        <v>46.51</v>
      </c>
      <c r="C131">
        <v>50</v>
      </c>
      <c r="D131">
        <v>45.66</v>
      </c>
      <c r="E131">
        <v>49.31</v>
      </c>
      <c r="F131">
        <v>105822.58</v>
      </c>
      <c r="G131">
        <v>49.31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0.68202764976958652</v>
      </c>
      <c r="Q131">
        <f t="shared" ref="Q131" si="631">F131*P131</f>
        <v>72173.925529954053</v>
      </c>
      <c r="R131">
        <f t="shared" ref="R131" si="632">R132+Q131</f>
        <v>-424322.73243876419</v>
      </c>
      <c r="S131">
        <f t="shared" ref="S131" si="633">R131/100000</f>
        <v>-4.2432273243876422</v>
      </c>
      <c r="T131">
        <f t="shared" ref="T131" si="634">S131/1000</f>
        <v>-4.2432273243876422E-3</v>
      </c>
    </row>
    <row r="132" spans="1:20" x14ac:dyDescent="0.25">
      <c r="A132" s="5">
        <v>44461</v>
      </c>
      <c r="B132">
        <v>41.39</v>
      </c>
      <c r="C132">
        <v>47.51</v>
      </c>
      <c r="D132">
        <v>40.82</v>
      </c>
      <c r="E132">
        <v>46.54</v>
      </c>
      <c r="F132">
        <v>130349.67</v>
      </c>
      <c r="G132">
        <v>46.54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0.71001494768310935</v>
      </c>
      <c r="Q132">
        <f t="shared" ref="Q132" si="636">F132*P132</f>
        <v>92550.214125560567</v>
      </c>
      <c r="R132">
        <f t="shared" ref="R132" si="637">R133+Q132</f>
        <v>-496496.65796871821</v>
      </c>
      <c r="S132">
        <f t="shared" ref="S132" si="638">R132/100000</f>
        <v>-4.9649665796871822</v>
      </c>
      <c r="T132">
        <f t="shared" ref="T132" si="639">S132/1000</f>
        <v>-4.9649665796871823E-3</v>
      </c>
    </row>
    <row r="133" spans="1:20" x14ac:dyDescent="0.25">
      <c r="A133" s="5">
        <v>44460</v>
      </c>
      <c r="B133">
        <v>46.73</v>
      </c>
      <c r="C133">
        <v>49.22</v>
      </c>
      <c r="D133">
        <v>40.39</v>
      </c>
      <c r="E133">
        <v>41.32</v>
      </c>
      <c r="F133">
        <v>172066.11</v>
      </c>
      <c r="G133">
        <v>41.32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-0.78935447338618348</v>
      </c>
      <c r="Q133">
        <f t="shared" ref="Q133" si="641">F133*P133</f>
        <v>-135821.15364665911</v>
      </c>
      <c r="R133">
        <f t="shared" ref="R133" si="642">R134+Q133</f>
        <v>-589046.87209427881</v>
      </c>
      <c r="S133">
        <f t="shared" ref="S133" si="643">R133/100000</f>
        <v>-5.8904687209427884</v>
      </c>
      <c r="T133">
        <f t="shared" ref="T133" si="644">S133/1000</f>
        <v>-5.8904687209427884E-3</v>
      </c>
    </row>
    <row r="134" spans="1:20" x14ac:dyDescent="0.25">
      <c r="A134" s="5">
        <v>44459</v>
      </c>
      <c r="B134">
        <v>55.51</v>
      </c>
      <c r="C134">
        <v>55.66</v>
      </c>
      <c r="D134">
        <v>50.22</v>
      </c>
      <c r="E134">
        <v>51.94</v>
      </c>
      <c r="F134">
        <v>115040.43</v>
      </c>
      <c r="G134">
        <v>51.94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-0.36764705882352955</v>
      </c>
      <c r="Q134">
        <f t="shared" ref="Q134" si="646">F134*P134</f>
        <v>-42294.275735294133</v>
      </c>
      <c r="R134">
        <f t="shared" ref="R134" si="647">R135+Q134</f>
        <v>-453225.7184476197</v>
      </c>
      <c r="S134">
        <f t="shared" ref="S134" si="648">R134/100000</f>
        <v>-4.5322571844761974</v>
      </c>
      <c r="T134">
        <f t="shared" ref="T134" si="649">S134/1000</f>
        <v>-4.5322571844761978E-3</v>
      </c>
    </row>
    <row r="135" spans="1:20" x14ac:dyDescent="0.25">
      <c r="A135" s="5">
        <v>44458</v>
      </c>
      <c r="B135">
        <v>59.74</v>
      </c>
      <c r="C135">
        <v>60.56</v>
      </c>
      <c r="D135">
        <v>54.14</v>
      </c>
      <c r="E135">
        <v>55.37</v>
      </c>
      <c r="F135">
        <v>117906.93</v>
      </c>
      <c r="G135">
        <v>55.37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-0.61682242990654312</v>
      </c>
      <c r="Q135">
        <f t="shared" ref="Q135" si="651">F135*P135</f>
        <v>-72727.639065420677</v>
      </c>
      <c r="R135">
        <f t="shared" ref="R135" si="652">R136+Q135</f>
        <v>-410931.44271232554</v>
      </c>
      <c r="S135">
        <f t="shared" ref="S135" si="653">R135/100000</f>
        <v>-4.1093144271232553</v>
      </c>
      <c r="T135">
        <f t="shared" ref="T135" si="654">S135/1000</f>
        <v>-4.1093144271232554E-3</v>
      </c>
    </row>
    <row r="136" spans="1:20" x14ac:dyDescent="0.25">
      <c r="A136" s="5">
        <v>44457</v>
      </c>
      <c r="B136">
        <v>58.48</v>
      </c>
      <c r="C136">
        <v>62.9</v>
      </c>
      <c r="D136">
        <v>57.2</v>
      </c>
      <c r="E136">
        <v>59.7</v>
      </c>
      <c r="F136">
        <v>183177.04</v>
      </c>
      <c r="G136">
        <v>59.7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-0.12280701754385899</v>
      </c>
      <c r="Q136">
        <f t="shared" ref="Q136" si="656">F136*P136</f>
        <v>-22495.42596491216</v>
      </c>
      <c r="R136">
        <f t="shared" ref="R136" si="657">R137+Q136</f>
        <v>-338203.80364690488</v>
      </c>
      <c r="S136">
        <f t="shared" ref="S136" si="658">R136/100000</f>
        <v>-3.3820380364690488</v>
      </c>
      <c r="T136">
        <f t="shared" ref="T136" si="659">S136/1000</f>
        <v>-3.3820380364690487E-3</v>
      </c>
    </row>
    <row r="137" spans="1:20" x14ac:dyDescent="0.25">
      <c r="A137" s="5">
        <v>44456</v>
      </c>
      <c r="B137">
        <v>57.47</v>
      </c>
      <c r="C137">
        <v>67.180000000000007</v>
      </c>
      <c r="D137">
        <v>56.07</v>
      </c>
      <c r="E137">
        <v>58.34</v>
      </c>
      <c r="F137">
        <v>468179.701</v>
      </c>
      <c r="G137">
        <v>58.34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-0.59135913591359102</v>
      </c>
      <c r="Q137">
        <f t="shared" ref="Q137" si="661">F137*P137</f>
        <v>-276862.34343564342</v>
      </c>
      <c r="R137">
        <f t="shared" ref="R137" si="662">R138+Q137</f>
        <v>-315708.37768199272</v>
      </c>
      <c r="S137">
        <f t="shared" ref="S137" si="663">R137/100000</f>
        <v>-3.1570837768199271</v>
      </c>
      <c r="T137">
        <f t="shared" ref="T137" si="664">S137/1000</f>
        <v>-3.1570837768199272E-3</v>
      </c>
    </row>
    <row r="138" spans="1:20" x14ac:dyDescent="0.25">
      <c r="A138" s="5">
        <v>44455</v>
      </c>
      <c r="B138">
        <v>60.57</v>
      </c>
      <c r="C138">
        <v>60.74</v>
      </c>
      <c r="D138">
        <v>55.66</v>
      </c>
      <c r="E138">
        <v>57.47</v>
      </c>
      <c r="F138">
        <v>92771.89</v>
      </c>
      <c r="G138">
        <v>57.47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-0.28740157480314948</v>
      </c>
      <c r="Q138">
        <f t="shared" ref="Q138" si="666">F138*P138</f>
        <v>-26662.787283464557</v>
      </c>
      <c r="R138">
        <f t="shared" ref="R138" si="667">R139+Q138</f>
        <v>-38846.034246349329</v>
      </c>
      <c r="S138">
        <f t="shared" ref="S138" si="668">R138/100000</f>
        <v>-0.38846034246349331</v>
      </c>
      <c r="T138">
        <f t="shared" ref="T138" si="669">S138/1000</f>
        <v>-3.884603424634933E-4</v>
      </c>
    </row>
    <row r="139" spans="1:20" x14ac:dyDescent="0.25">
      <c r="A139" s="5">
        <v>44454</v>
      </c>
      <c r="B139">
        <v>56.05</v>
      </c>
      <c r="C139">
        <v>62.29</v>
      </c>
      <c r="D139">
        <v>54.83</v>
      </c>
      <c r="E139">
        <v>60.55</v>
      </c>
      <c r="F139">
        <v>182761</v>
      </c>
      <c r="G139">
        <v>60.55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0.53351206434316301</v>
      </c>
      <c r="Q139">
        <f t="shared" ref="Q139" si="671">F139*P139</f>
        <v>97505.19839142081</v>
      </c>
      <c r="R139">
        <f t="shared" ref="R139" si="672">R140+Q139</f>
        <v>-12183.246962884776</v>
      </c>
      <c r="S139">
        <f t="shared" ref="S139" si="673">R139/100000</f>
        <v>-0.12183246962884775</v>
      </c>
      <c r="T139">
        <f t="shared" ref="T139" si="674">S139/1000</f>
        <v>-1.2183246962884775E-4</v>
      </c>
    </row>
    <row r="140" spans="1:20" x14ac:dyDescent="0.25">
      <c r="A140" s="5">
        <v>44453</v>
      </c>
      <c r="B140">
        <v>51.45</v>
      </c>
      <c r="C140">
        <v>56.96</v>
      </c>
      <c r="D140">
        <v>50.83</v>
      </c>
      <c r="E140">
        <v>56.06</v>
      </c>
      <c r="F140">
        <v>162115.54999999999</v>
      </c>
      <c r="G140">
        <v>56.06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0.70636215334420938</v>
      </c>
      <c r="Q140">
        <f t="shared" ref="Q140" si="676">F140*P140</f>
        <v>114512.28898858084</v>
      </c>
      <c r="R140">
        <f t="shared" ref="R140" si="677">R141+Q140</f>
        <v>-109688.44535430559</v>
      </c>
      <c r="S140">
        <f t="shared" ref="S140" si="678">R140/100000</f>
        <v>-1.096884453543056</v>
      </c>
      <c r="T140">
        <f t="shared" ref="T140" si="679">S140/1000</f>
        <v>-1.096884453543056E-3</v>
      </c>
    </row>
    <row r="141" spans="1:20" x14ac:dyDescent="0.25">
      <c r="A141" s="5">
        <v>44452</v>
      </c>
      <c r="B141">
        <v>56.46</v>
      </c>
      <c r="C141">
        <v>58.99</v>
      </c>
      <c r="D141">
        <v>50.5</v>
      </c>
      <c r="E141">
        <v>51.5</v>
      </c>
      <c r="F141">
        <v>315215.65999999997</v>
      </c>
      <c r="G141">
        <v>51.5</v>
      </c>
      <c r="L141" t="s">
        <v>7</v>
      </c>
      <c r="M141" t="s">
        <v>8</v>
      </c>
      <c r="N141" t="s">
        <v>8</v>
      </c>
      <c r="P141">
        <f t="shared" ref="P141" si="680">IF(C141=D141,0,((E141-D141)-(C141-E141))/(C141-D141))</f>
        <v>-0.76442873969375746</v>
      </c>
      <c r="Q141">
        <f t="shared" ref="Q141" si="681">F141*P141</f>
        <v>-240959.90970553595</v>
      </c>
      <c r="R141">
        <f t="shared" ref="R141" si="682">R142+Q141</f>
        <v>-224200.73434288643</v>
      </c>
      <c r="S141">
        <f t="shared" ref="S141" si="683">R141/100000</f>
        <v>-2.2420073434288641</v>
      </c>
      <c r="T141">
        <f t="shared" ref="T141" si="684">S141/1000</f>
        <v>-2.2420073434288642E-3</v>
      </c>
    </row>
    <row r="142" spans="1:20" x14ac:dyDescent="0.25">
      <c r="A142" s="5">
        <v>44451</v>
      </c>
      <c r="B142">
        <v>51.12</v>
      </c>
      <c r="C142">
        <v>58</v>
      </c>
      <c r="D142">
        <v>49.73</v>
      </c>
      <c r="E142">
        <v>56.49</v>
      </c>
      <c r="F142">
        <v>139008.07999999999</v>
      </c>
      <c r="G142">
        <v>56.49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0.63482466747279387</v>
      </c>
      <c r="Q142">
        <f t="shared" ref="Q142" si="686">F142*P142</f>
        <v>88245.758162031518</v>
      </c>
      <c r="R142">
        <f t="shared" ref="R142" si="687">R143+Q142</f>
        <v>16759.175362649505</v>
      </c>
      <c r="S142">
        <f t="shared" ref="S142" si="688">R142/100000</f>
        <v>0.16759175362649506</v>
      </c>
      <c r="T142">
        <f t="shared" ref="T142" si="689">S142/1000</f>
        <v>1.6759175362649506E-4</v>
      </c>
    </row>
    <row r="143" spans="1:20" x14ac:dyDescent="0.25">
      <c r="A143" s="5">
        <v>44450</v>
      </c>
      <c r="B143">
        <v>49.22</v>
      </c>
      <c r="C143">
        <v>53.79</v>
      </c>
      <c r="D143">
        <v>48.45</v>
      </c>
      <c r="E143">
        <v>51.11</v>
      </c>
      <c r="F143">
        <v>93736.28</v>
      </c>
      <c r="G143">
        <v>51.11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-3.7453183520605132E-3</v>
      </c>
      <c r="Q143">
        <f t="shared" ref="Q143" si="691">F143*P143</f>
        <v>-351.07220973788282</v>
      </c>
      <c r="R143">
        <f t="shared" ref="R143" si="692">R144+Q143</f>
        <v>-71486.582799382013</v>
      </c>
      <c r="S143">
        <f t="shared" ref="S143" si="693">R143/100000</f>
        <v>-0.71486582799382015</v>
      </c>
      <c r="T143">
        <f t="shared" ref="T143" si="694">S143/1000</f>
        <v>-7.1486582799382018E-4</v>
      </c>
    </row>
    <row r="144" spans="1:20" x14ac:dyDescent="0.25">
      <c r="A144" s="5">
        <v>44449</v>
      </c>
      <c r="B144">
        <v>52.81</v>
      </c>
      <c r="C144">
        <v>54.9</v>
      </c>
      <c r="D144">
        <v>47.6</v>
      </c>
      <c r="E144">
        <v>49.22</v>
      </c>
      <c r="F144">
        <v>159350.53</v>
      </c>
      <c r="G144">
        <v>49.22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-0.55616438356164433</v>
      </c>
      <c r="Q144">
        <f t="shared" ref="Q144" si="696">F144*P144</f>
        <v>-88625.089287671304</v>
      </c>
      <c r="R144">
        <f t="shared" ref="R144" si="697">R145+Q144</f>
        <v>-71135.510589644124</v>
      </c>
      <c r="S144">
        <f t="shared" ref="S144" si="698">R144/100000</f>
        <v>-0.71135510589644124</v>
      </c>
      <c r="T144">
        <f t="shared" ref="T144" si="699">S144/1000</f>
        <v>-7.1135510589644124E-4</v>
      </c>
    </row>
    <row r="145" spans="1:20" x14ac:dyDescent="0.25">
      <c r="A145" s="5">
        <v>44448</v>
      </c>
      <c r="B145">
        <v>52.55</v>
      </c>
      <c r="C145">
        <v>56</v>
      </c>
      <c r="D145">
        <v>51.42</v>
      </c>
      <c r="E145">
        <v>52.81</v>
      </c>
      <c r="F145">
        <v>179373.94</v>
      </c>
      <c r="G145">
        <v>52.81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-0.39301310043668075</v>
      </c>
      <c r="Q145">
        <f t="shared" ref="Q145" si="701">F145*P145</f>
        <v>-70496.308296943142</v>
      </c>
      <c r="R145">
        <f t="shared" ref="R145" si="702">R146+Q145</f>
        <v>17489.578698027181</v>
      </c>
      <c r="S145">
        <f t="shared" ref="S145" si="703">R145/100000</f>
        <v>0.17489578698027181</v>
      </c>
      <c r="T145">
        <f t="shared" ref="T145" si="704">S145/1000</f>
        <v>1.748957869802718E-4</v>
      </c>
    </row>
    <row r="146" spans="1:20" x14ac:dyDescent="0.25">
      <c r="A146" s="5">
        <v>44447</v>
      </c>
      <c r="B146">
        <v>51.02</v>
      </c>
      <c r="C146">
        <v>57.27</v>
      </c>
      <c r="D146">
        <v>45.62</v>
      </c>
      <c r="E146">
        <v>52.52</v>
      </c>
      <c r="F146">
        <v>261681.04</v>
      </c>
      <c r="G146">
        <v>52.52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0.18454935622317636</v>
      </c>
      <c r="Q146">
        <f t="shared" ref="Q146" si="706">F146*P146</f>
        <v>48293.067467811263</v>
      </c>
      <c r="R146">
        <f t="shared" ref="R146" si="707">R147+Q146</f>
        <v>87985.886994970322</v>
      </c>
      <c r="S146">
        <f t="shared" ref="S146" si="708">R146/100000</f>
        <v>0.87985886994970319</v>
      </c>
      <c r="T146">
        <f t="shared" ref="T146" si="709">S146/1000</f>
        <v>8.7985886994970317E-4</v>
      </c>
    </row>
    <row r="147" spans="1:20" x14ac:dyDescent="0.25">
      <c r="A147" s="5">
        <v>44446</v>
      </c>
      <c r="B147">
        <v>62.72</v>
      </c>
      <c r="C147">
        <v>66.94</v>
      </c>
      <c r="D147">
        <v>40</v>
      </c>
      <c r="E147">
        <v>50.97</v>
      </c>
      <c r="F147">
        <v>446525.99</v>
      </c>
      <c r="G147">
        <v>50.97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-0.18559762435040833</v>
      </c>
      <c r="Q147">
        <f t="shared" ref="Q147" si="711">F147*P147</f>
        <v>-82874.162954714178</v>
      </c>
      <c r="R147">
        <f t="shared" ref="R147" si="712">R148+Q147</f>
        <v>39692.819527159067</v>
      </c>
      <c r="S147">
        <f t="shared" ref="S147" si="713">R147/100000</f>
        <v>0.39692819527159068</v>
      </c>
      <c r="T147">
        <f t="shared" ref="T147" si="714">S147/1000</f>
        <v>3.9692819527159068E-4</v>
      </c>
    </row>
    <row r="148" spans="1:20" x14ac:dyDescent="0.25">
      <c r="A148" s="5">
        <v>44445</v>
      </c>
      <c r="B148">
        <v>64.900000000000006</v>
      </c>
      <c r="C148">
        <v>67.8</v>
      </c>
      <c r="D148">
        <v>57.01</v>
      </c>
      <c r="E148">
        <v>62.68</v>
      </c>
      <c r="F148">
        <v>230427.951</v>
      </c>
      <c r="G148">
        <v>62.68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5.097312326228029E-2</v>
      </c>
      <c r="Q148">
        <f t="shared" ref="Q148" si="716">F148*P148</f>
        <v>11745.632349397683</v>
      </c>
      <c r="R148">
        <f t="shared" ref="R148" si="717">R149+Q148</f>
        <v>122566.98248187324</v>
      </c>
      <c r="S148">
        <f t="shared" ref="S148" si="718">R148/100000</f>
        <v>1.2256698248187325</v>
      </c>
      <c r="T148">
        <f t="shared" ref="T148" si="719">S148/1000</f>
        <v>1.2256698248187326E-3</v>
      </c>
    </row>
    <row r="149" spans="1:20" x14ac:dyDescent="0.25">
      <c r="A149" s="5">
        <v>44444</v>
      </c>
      <c r="B149">
        <v>60.55</v>
      </c>
      <c r="C149">
        <v>67.400000000000006</v>
      </c>
      <c r="D149">
        <v>59.89</v>
      </c>
      <c r="E149">
        <v>64.89</v>
      </c>
      <c r="F149">
        <v>207426.52600000001</v>
      </c>
      <c r="G149">
        <v>64.89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0.33155792276963958</v>
      </c>
      <c r="Q149">
        <f t="shared" ref="Q149" si="721">F149*P149</f>
        <v>68773.908087882635</v>
      </c>
      <c r="R149">
        <f t="shared" ref="R149" si="722">R150+Q149</f>
        <v>110821.35013247556</v>
      </c>
      <c r="S149">
        <f t="shared" ref="S149" si="723">R149/100000</f>
        <v>1.1082135013247556</v>
      </c>
      <c r="T149">
        <f t="shared" ref="T149" si="724">S149/1000</f>
        <v>1.1082135013247556E-3</v>
      </c>
    </row>
    <row r="150" spans="1:20" x14ac:dyDescent="0.25">
      <c r="A150" s="5">
        <v>44443</v>
      </c>
      <c r="B150">
        <v>58.49</v>
      </c>
      <c r="C150">
        <v>64.989999999999995</v>
      </c>
      <c r="D150">
        <v>57.95</v>
      </c>
      <c r="E150">
        <v>60.58</v>
      </c>
      <c r="F150">
        <v>157016.315</v>
      </c>
      <c r="G150">
        <v>60.58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-0.25284090909090956</v>
      </c>
      <c r="Q150">
        <f t="shared" ref="Q150" si="726">F150*P150</f>
        <v>-39700.147826704619</v>
      </c>
      <c r="R150">
        <f t="shared" ref="R150" si="727">R151+Q150</f>
        <v>42047.442044592928</v>
      </c>
      <c r="S150">
        <f t="shared" ref="S150" si="728">R150/100000</f>
        <v>0.42047442044592931</v>
      </c>
      <c r="T150">
        <f t="shared" ref="T150" si="729">S150/1000</f>
        <v>4.2047442044592932E-4</v>
      </c>
    </row>
    <row r="151" spans="1:20" x14ac:dyDescent="0.25">
      <c r="A151" s="5">
        <v>44442</v>
      </c>
      <c r="B151">
        <v>58.03</v>
      </c>
      <c r="C151">
        <v>59.99</v>
      </c>
      <c r="D151">
        <v>56.1</v>
      </c>
      <c r="E151">
        <v>58.54</v>
      </c>
      <c r="F151">
        <v>161678.39000000001</v>
      </c>
      <c r="G151">
        <v>58.54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0.25449871465295493</v>
      </c>
      <c r="Q151">
        <f t="shared" ref="Q151" si="731">F151*P151</f>
        <v>41146.942442159168</v>
      </c>
      <c r="R151">
        <f t="shared" ref="R151" si="732">R152+Q151</f>
        <v>81747.589871297547</v>
      </c>
      <c r="S151">
        <f t="shared" ref="S151" si="733">R151/100000</f>
        <v>0.81747589871297544</v>
      </c>
      <c r="T151">
        <f t="shared" ref="T151" si="734">S151/1000</f>
        <v>8.1747589871297547E-4</v>
      </c>
    </row>
    <row r="152" spans="1:20" x14ac:dyDescent="0.25">
      <c r="A152" s="5">
        <v>44441</v>
      </c>
      <c r="B152">
        <v>56.43</v>
      </c>
      <c r="C152">
        <v>62.969000000000001</v>
      </c>
      <c r="D152">
        <v>55.51</v>
      </c>
      <c r="E152">
        <v>58.05</v>
      </c>
      <c r="F152">
        <v>346054.90600000002</v>
      </c>
      <c r="G152">
        <v>58.05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-0.31894355811771069</v>
      </c>
      <c r="Q152">
        <f t="shared" ref="Q152" si="736">F152*P152</f>
        <v>-110371.98302372992</v>
      </c>
      <c r="R152">
        <f t="shared" ref="R152" si="737">R153+Q152</f>
        <v>40600.647429138378</v>
      </c>
      <c r="S152">
        <f t="shared" ref="S152" si="738">R152/100000</f>
        <v>0.40600647429138376</v>
      </c>
      <c r="T152">
        <f t="shared" ref="T152" si="739">S152/1000</f>
        <v>4.0600647429138377E-4</v>
      </c>
    </row>
    <row r="153" spans="1:20" x14ac:dyDescent="0.25">
      <c r="A153" s="5">
        <v>44440</v>
      </c>
      <c r="B153">
        <v>51.4</v>
      </c>
      <c r="C153">
        <v>56.9</v>
      </c>
      <c r="D153">
        <v>50.44</v>
      </c>
      <c r="E153">
        <v>56.48</v>
      </c>
      <c r="F153">
        <v>165386.481</v>
      </c>
      <c r="G153">
        <v>56.48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0.86996904024767752</v>
      </c>
      <c r="Q153">
        <f t="shared" ref="Q153" si="741">F153*P153</f>
        <v>143881.11814551076</v>
      </c>
      <c r="R153">
        <f t="shared" ref="R153" si="742">R154+Q153</f>
        <v>150972.6304528683</v>
      </c>
      <c r="S153">
        <f t="shared" ref="S153" si="743">R153/100000</f>
        <v>1.5097263045286831</v>
      </c>
      <c r="T153">
        <f t="shared" ref="T153" si="744">S153/1000</f>
        <v>1.5097263045286832E-3</v>
      </c>
    </row>
    <row r="154" spans="1:20" x14ac:dyDescent="0.25">
      <c r="A154" s="5">
        <v>44439</v>
      </c>
      <c r="B154">
        <v>52.09</v>
      </c>
      <c r="C154">
        <v>54.18</v>
      </c>
      <c r="D154">
        <v>50.23</v>
      </c>
      <c r="E154">
        <v>51.37</v>
      </c>
      <c r="F154">
        <v>130513.22</v>
      </c>
      <c r="G154">
        <v>51.37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-0.42278481012658242</v>
      </c>
      <c r="Q154">
        <f t="shared" ref="Q154" si="746">F154*P154</f>
        <v>-55179.00693670888</v>
      </c>
      <c r="R154">
        <f t="shared" ref="R154" si="747">R155+Q154</f>
        <v>7091.5123073575378</v>
      </c>
      <c r="S154">
        <f t="shared" ref="S154" si="748">R154/100000</f>
        <v>7.0915123073575378E-2</v>
      </c>
      <c r="T154">
        <f t="shared" ref="T154" si="749">S154/1000</f>
        <v>7.0915123073575373E-5</v>
      </c>
    </row>
    <row r="155" spans="1:20" x14ac:dyDescent="0.25">
      <c r="A155" s="5">
        <v>44438</v>
      </c>
      <c r="B155">
        <v>52.48</v>
      </c>
      <c r="C155">
        <v>55.5</v>
      </c>
      <c r="D155">
        <v>50.4</v>
      </c>
      <c r="E155">
        <v>52.09</v>
      </c>
      <c r="F155">
        <v>159259.96599999999</v>
      </c>
      <c r="G155">
        <v>52.09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-0.33725490196078262</v>
      </c>
      <c r="Q155">
        <f t="shared" ref="Q155" si="751">F155*P155</f>
        <v>-53711.204219607571</v>
      </c>
      <c r="R155">
        <f t="shared" ref="R155" si="752">R156+Q155</f>
        <v>62270.519244066418</v>
      </c>
      <c r="S155">
        <f t="shared" ref="S155" si="753">R155/100000</f>
        <v>0.62270519244066413</v>
      </c>
      <c r="T155">
        <f t="shared" ref="T155" si="754">S155/1000</f>
        <v>6.2270519244066419E-4</v>
      </c>
    </row>
    <row r="156" spans="1:20" x14ac:dyDescent="0.25">
      <c r="A156" s="5">
        <v>44437</v>
      </c>
      <c r="B156">
        <v>53.31</v>
      </c>
      <c r="C156">
        <v>54.4</v>
      </c>
      <c r="D156">
        <v>50.42</v>
      </c>
      <c r="E156">
        <v>52.4</v>
      </c>
      <c r="F156">
        <v>97101.72</v>
      </c>
      <c r="G156">
        <v>52.4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-5.0251256281414929E-3</v>
      </c>
      <c r="Q156">
        <f t="shared" ref="Q156" si="756">F156*P156</f>
        <v>-487.94834170861935</v>
      </c>
      <c r="R156">
        <f t="shared" ref="R156" si="757">R157+Q156</f>
        <v>115981.72346367399</v>
      </c>
      <c r="S156">
        <f t="shared" ref="S156" si="758">R156/100000</f>
        <v>1.1598172346367399</v>
      </c>
      <c r="T156">
        <f t="shared" ref="T156" si="759">S156/1000</f>
        <v>1.15981723463674E-3</v>
      </c>
    </row>
    <row r="157" spans="1:20" x14ac:dyDescent="0.25">
      <c r="A157" s="5">
        <v>44436</v>
      </c>
      <c r="B157">
        <v>53.05</v>
      </c>
      <c r="C157">
        <v>54.84</v>
      </c>
      <c r="D157">
        <v>51.66</v>
      </c>
      <c r="E157">
        <v>53.22</v>
      </c>
      <c r="F157">
        <v>97869.36</v>
      </c>
      <c r="G157">
        <v>53.22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-1.8867924528302563E-2</v>
      </c>
      <c r="Q157">
        <f t="shared" ref="Q157" si="761">F157*P157</f>
        <v>-1846.5916981132737</v>
      </c>
      <c r="R157">
        <f t="shared" ref="R157" si="762">R158+Q157</f>
        <v>116469.6718053826</v>
      </c>
      <c r="S157">
        <f t="shared" ref="S157" si="763">R157/100000</f>
        <v>1.1646967180538261</v>
      </c>
      <c r="T157">
        <f t="shared" ref="T157" si="764">S157/1000</f>
        <v>1.164696718053826E-3</v>
      </c>
    </row>
    <row r="158" spans="1:20" x14ac:dyDescent="0.25">
      <c r="A158" s="5">
        <v>44435</v>
      </c>
      <c r="B158">
        <v>49.95</v>
      </c>
      <c r="C158">
        <v>53.5</v>
      </c>
      <c r="D158">
        <v>48.45</v>
      </c>
      <c r="E158">
        <v>53.05</v>
      </c>
      <c r="F158">
        <v>171833.9</v>
      </c>
      <c r="G158">
        <v>53.05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0.82178217821782051</v>
      </c>
      <c r="Q158">
        <f t="shared" ref="Q158" si="766">F158*P158</f>
        <v>141210.03663366314</v>
      </c>
      <c r="R158">
        <f t="shared" ref="R158" si="767">R159+Q158</f>
        <v>118316.26350349588</v>
      </c>
      <c r="S158">
        <f t="shared" ref="S158" si="768">R158/100000</f>
        <v>1.1831626350349589</v>
      </c>
      <c r="T158">
        <f t="shared" ref="T158" si="769">S158/1000</f>
        <v>1.1831626350349588E-3</v>
      </c>
    </row>
    <row r="159" spans="1:20" x14ac:dyDescent="0.25">
      <c r="A159" s="5">
        <v>44434</v>
      </c>
      <c r="B159">
        <v>55.226999999999997</v>
      </c>
      <c r="C159">
        <v>55.685000000000002</v>
      </c>
      <c r="D159">
        <v>48.36</v>
      </c>
      <c r="E159">
        <v>49.94</v>
      </c>
      <c r="F159">
        <v>230422.66399999999</v>
      </c>
      <c r="G159">
        <v>49.94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-0.56860068259385732</v>
      </c>
      <c r="Q159">
        <f t="shared" ref="Q159" si="771">F159*P159</f>
        <v>-131018.48403549503</v>
      </c>
      <c r="R159">
        <f t="shared" ref="R159" si="772">R160+Q159</f>
        <v>-22893.773130167261</v>
      </c>
      <c r="S159">
        <f t="shared" ref="S159" si="773">R159/100000</f>
        <v>-0.22893773130167261</v>
      </c>
      <c r="T159">
        <f t="shared" ref="T159" si="774">S159/1000</f>
        <v>-2.2893773130167261E-4</v>
      </c>
    </row>
    <row r="160" spans="1:20" x14ac:dyDescent="0.25">
      <c r="A160" s="5">
        <v>44433</v>
      </c>
      <c r="B160">
        <v>53.774999999999999</v>
      </c>
      <c r="C160">
        <v>55.792999999999999</v>
      </c>
      <c r="D160">
        <v>51.095999999999997</v>
      </c>
      <c r="E160">
        <v>55.186999999999998</v>
      </c>
      <c r="F160">
        <v>130075.466</v>
      </c>
      <c r="G160">
        <v>55.186999999999998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0.7419629550777086</v>
      </c>
      <c r="Q160">
        <f t="shared" ref="Q160" si="776">F160*P160</f>
        <v>96511.177136470011</v>
      </c>
      <c r="R160">
        <f t="shared" ref="R160" si="777">R161+Q160</f>
        <v>108124.71090532777</v>
      </c>
      <c r="S160">
        <f t="shared" ref="S160" si="778">R160/100000</f>
        <v>1.0812471090532776</v>
      </c>
      <c r="T160">
        <f t="shared" ref="T160" si="779">S160/1000</f>
        <v>1.0812471090532775E-3</v>
      </c>
    </row>
    <row r="161" spans="1:20" x14ac:dyDescent="0.25">
      <c r="A161" s="5">
        <v>44432</v>
      </c>
      <c r="B161">
        <v>59.618000000000002</v>
      </c>
      <c r="C161">
        <v>59.826000000000001</v>
      </c>
      <c r="D161">
        <v>52.58</v>
      </c>
      <c r="E161">
        <v>53.865000000000002</v>
      </c>
      <c r="F161">
        <v>138637.141</v>
      </c>
      <c r="G161">
        <v>53.865000000000002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-0.6453215567209486</v>
      </c>
      <c r="Q161">
        <f t="shared" ref="Q161" si="781">F161*P161</f>
        <v>-89465.535649461657</v>
      </c>
      <c r="R161">
        <f t="shared" ref="R161" si="782">R162+Q161</f>
        <v>11613.533768857757</v>
      </c>
      <c r="S161">
        <f t="shared" ref="S161" si="783">R161/100000</f>
        <v>0.11613533768857756</v>
      </c>
      <c r="T161">
        <f t="shared" ref="T161" si="784">S161/1000</f>
        <v>1.1613533768857757E-4</v>
      </c>
    </row>
    <row r="162" spans="1:20" x14ac:dyDescent="0.25">
      <c r="A162" s="5">
        <v>44431</v>
      </c>
      <c r="B162">
        <v>61.420999999999999</v>
      </c>
      <c r="C162">
        <v>62.904000000000003</v>
      </c>
      <c r="D162">
        <v>58.396000000000001</v>
      </c>
      <c r="E162">
        <v>59.585000000000001</v>
      </c>
      <c r="F162">
        <v>111661.768</v>
      </c>
      <c r="G162">
        <v>59.585000000000001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-0.47249334516415292</v>
      </c>
      <c r="Q162">
        <f t="shared" ref="Q162" si="786">F162*P162</f>
        <v>-52759.442289263563</v>
      </c>
      <c r="R162">
        <f t="shared" ref="R162" si="787">R163+Q162</f>
        <v>101079.06941831941</v>
      </c>
      <c r="S162">
        <f t="shared" ref="S162" si="788">R162/100000</f>
        <v>1.0107906941831941</v>
      </c>
      <c r="T162">
        <f t="shared" ref="T162" si="789">S162/1000</f>
        <v>1.0107906941831941E-3</v>
      </c>
    </row>
    <row r="163" spans="1:20" x14ac:dyDescent="0.25">
      <c r="A163" s="5">
        <v>44430</v>
      </c>
      <c r="B163">
        <v>59.588000000000001</v>
      </c>
      <c r="C163">
        <v>61.058999999999997</v>
      </c>
      <c r="D163">
        <v>59.18</v>
      </c>
      <c r="E163">
        <v>60.613999999999997</v>
      </c>
      <c r="F163">
        <v>30272.569</v>
      </c>
      <c r="G163">
        <v>60.613999999999997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0.52634379989355951</v>
      </c>
      <c r="Q163">
        <f t="shared" ref="Q163" si="791">F163*P163</f>
        <v>15933.778999999973</v>
      </c>
      <c r="R163">
        <f t="shared" ref="R163" si="792">R164+Q163</f>
        <v>153838.51170758298</v>
      </c>
      <c r="S163">
        <f t="shared" ref="S163" si="793">R163/100000</f>
        <v>1.5383851170758298</v>
      </c>
      <c r="T163">
        <f t="shared" ref="T163" si="794">S163/1000</f>
        <v>1.5383851170758299E-3</v>
      </c>
    </row>
    <row r="164" spans="1:20" x14ac:dyDescent="0.25">
      <c r="A164" s="5">
        <v>44429</v>
      </c>
      <c r="B164">
        <v>56.9</v>
      </c>
      <c r="C164">
        <v>63.905999999999999</v>
      </c>
      <c r="D164">
        <v>55.606000000000002</v>
      </c>
      <c r="E164">
        <v>59.588000000000001</v>
      </c>
      <c r="F164">
        <v>361151.23100000003</v>
      </c>
      <c r="G164">
        <v>59.588000000000001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-4.0481927710843212E-2</v>
      </c>
      <c r="Q164">
        <f t="shared" ref="Q164" si="796">F164*P164</f>
        <v>-14620.098026024039</v>
      </c>
      <c r="R164">
        <f t="shared" ref="R164" si="797">R165+Q164</f>
        <v>137904.732707583</v>
      </c>
      <c r="S164">
        <f t="shared" ref="S164" si="798">R164/100000</f>
        <v>1.3790473270758299</v>
      </c>
      <c r="T164">
        <f t="shared" ref="T164" si="799">S164/1000</f>
        <v>1.37904732707583E-3</v>
      </c>
    </row>
    <row r="165" spans="1:20" x14ac:dyDescent="0.25">
      <c r="A165" s="5">
        <v>44428</v>
      </c>
      <c r="B165">
        <v>54.847999999999999</v>
      </c>
      <c r="C165">
        <v>57.896000000000001</v>
      </c>
      <c r="D165">
        <v>54.128</v>
      </c>
      <c r="E165">
        <v>56.948999999999998</v>
      </c>
      <c r="F165">
        <v>180349.89</v>
      </c>
      <c r="G165">
        <v>56.948999999999998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0.49734607218683519</v>
      </c>
      <c r="Q165">
        <f t="shared" ref="Q165" si="801">F165*P165</f>
        <v>89696.309410827787</v>
      </c>
      <c r="R165">
        <f t="shared" ref="R165" si="802">R166+Q165</f>
        <v>152524.83073360703</v>
      </c>
      <c r="S165">
        <f t="shared" ref="S165" si="803">R165/100000</f>
        <v>1.5252483073360703</v>
      </c>
      <c r="T165">
        <f t="shared" ref="T165" si="804">S165/1000</f>
        <v>1.5252483073360703E-3</v>
      </c>
    </row>
    <row r="166" spans="1:20" x14ac:dyDescent="0.25">
      <c r="A166" s="5">
        <v>44427</v>
      </c>
      <c r="B166">
        <v>51.037999999999997</v>
      </c>
      <c r="C166">
        <v>54.856000000000002</v>
      </c>
      <c r="D166">
        <v>50.433</v>
      </c>
      <c r="E166">
        <v>54.786999999999999</v>
      </c>
      <c r="F166">
        <v>141932.14199999999</v>
      </c>
      <c r="G166">
        <v>54.786999999999999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0.96879945738186635</v>
      </c>
      <c r="Q166">
        <f t="shared" ref="Q166" si="806">F166*P166</f>
        <v>137503.782154646</v>
      </c>
      <c r="R166">
        <f t="shared" ref="R166" si="807">R167+Q166</f>
        <v>62828.521322779241</v>
      </c>
      <c r="S166">
        <f t="shared" ref="S166" si="808">R166/100000</f>
        <v>0.62828521322779241</v>
      </c>
      <c r="T166">
        <f t="shared" ref="T166" si="809">S166/1000</f>
        <v>6.2828521322779243E-4</v>
      </c>
    </row>
    <row r="167" spans="1:20" x14ac:dyDescent="0.25">
      <c r="A167" s="5">
        <v>44426</v>
      </c>
      <c r="B167">
        <v>50.831000000000003</v>
      </c>
      <c r="C167">
        <v>55.429000000000002</v>
      </c>
      <c r="D167">
        <v>47.002000000000002</v>
      </c>
      <c r="E167">
        <v>50.975000000000001</v>
      </c>
      <c r="F167">
        <v>342587.82799999998</v>
      </c>
      <c r="G167">
        <v>50.975000000000001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-5.7078438352913451E-2</v>
      </c>
      <c r="Q167">
        <f t="shared" ref="Q167" si="811">F167*P167</f>
        <v>-19554.378220956514</v>
      </c>
      <c r="R167">
        <f t="shared" ref="R167" si="812">R168+Q167</f>
        <v>-74675.260831866763</v>
      </c>
      <c r="S167">
        <f t="shared" ref="S167" si="813">R167/100000</f>
        <v>-0.74675260831866763</v>
      </c>
      <c r="T167">
        <f t="shared" ref="T167" si="814">S167/1000</f>
        <v>-7.4675260831866762E-4</v>
      </c>
    </row>
    <row r="168" spans="1:20" x14ac:dyDescent="0.25">
      <c r="A168" s="5">
        <v>44425</v>
      </c>
      <c r="B168">
        <v>52.389000000000003</v>
      </c>
      <c r="C168">
        <v>58.5</v>
      </c>
      <c r="D168">
        <v>50.076000000000001</v>
      </c>
      <c r="E168">
        <v>50.835999999999999</v>
      </c>
      <c r="F168">
        <v>349464.99800000002</v>
      </c>
      <c r="G168">
        <v>50.835999999999999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-0.81956315289648674</v>
      </c>
      <c r="Q168">
        <f t="shared" ref="Q168" si="816">F168*P168</f>
        <v>-286408.63558784447</v>
      </c>
      <c r="R168">
        <f t="shared" ref="R168" si="817">R169+Q168</f>
        <v>-55120.882610910252</v>
      </c>
      <c r="S168">
        <f t="shared" ref="S168" si="818">R168/100000</f>
        <v>-0.55120882610910249</v>
      </c>
      <c r="T168">
        <f t="shared" ref="T168" si="819">S168/1000</f>
        <v>-5.5120882610910254E-4</v>
      </c>
    </row>
    <row r="169" spans="1:20" x14ac:dyDescent="0.25">
      <c r="A169" s="5">
        <v>44424</v>
      </c>
      <c r="B169">
        <v>52.23</v>
      </c>
      <c r="C169">
        <v>57</v>
      </c>
      <c r="D169">
        <v>51.621000000000002</v>
      </c>
      <c r="E169">
        <v>52.323</v>
      </c>
      <c r="F169">
        <v>322829.81400000001</v>
      </c>
      <c r="G169">
        <v>52.323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-0.73898494143892979</v>
      </c>
      <c r="Q169">
        <f t="shared" ref="Q169" si="821">F169*P169</f>
        <v>-238566.37119353059</v>
      </c>
      <c r="R169">
        <f t="shared" ref="R169" si="822">R170+Q169</f>
        <v>231287.75297693422</v>
      </c>
      <c r="S169">
        <f t="shared" ref="S169" si="823">R169/100000</f>
        <v>2.312877529769342</v>
      </c>
      <c r="T169">
        <f t="shared" ref="T169" si="824">S169/1000</f>
        <v>2.3128775297693422E-3</v>
      </c>
    </row>
    <row r="170" spans="1:20" x14ac:dyDescent="0.25">
      <c r="A170" s="5">
        <v>44423</v>
      </c>
      <c r="B170">
        <v>52.555999999999997</v>
      </c>
      <c r="C170">
        <v>53.027000000000001</v>
      </c>
      <c r="D170">
        <v>49.104999999999997</v>
      </c>
      <c r="E170">
        <v>52.23</v>
      </c>
      <c r="F170">
        <v>130195.272</v>
      </c>
      <c r="G170">
        <v>52.23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0.59357470678225221</v>
      </c>
      <c r="Q170">
        <f t="shared" ref="Q170" si="826">F170*P170</f>
        <v>77280.620401835564</v>
      </c>
      <c r="R170">
        <f t="shared" ref="R170" si="827">R171+Q170</f>
        <v>469854.12417046481</v>
      </c>
      <c r="S170">
        <f t="shared" ref="S170" si="828">R170/100000</f>
        <v>4.6985412417046479</v>
      </c>
      <c r="T170">
        <f t="shared" ref="T170" si="829">S170/1000</f>
        <v>4.6985412417046481E-3</v>
      </c>
    </row>
    <row r="171" spans="1:20" x14ac:dyDescent="0.25">
      <c r="A171" s="5">
        <v>44422</v>
      </c>
      <c r="B171">
        <v>50.41</v>
      </c>
      <c r="C171">
        <v>55</v>
      </c>
      <c r="D171">
        <v>48.048000000000002</v>
      </c>
      <c r="E171">
        <v>52.555999999999997</v>
      </c>
      <c r="F171">
        <v>234157.52</v>
      </c>
      <c r="G171">
        <v>52.555999999999997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0.29689298043728329</v>
      </c>
      <c r="Q171">
        <f t="shared" ref="Q171" si="831">F171*P171</f>
        <v>69519.724004602773</v>
      </c>
      <c r="R171">
        <f t="shared" ref="R171" si="832">R172+Q171</f>
        <v>392573.50376862928</v>
      </c>
      <c r="S171">
        <f t="shared" ref="S171" si="833">R171/100000</f>
        <v>3.9257350376862927</v>
      </c>
      <c r="T171">
        <f t="shared" ref="T171" si="834">S171/1000</f>
        <v>3.925735037686293E-3</v>
      </c>
    </row>
    <row r="172" spans="1:20" x14ac:dyDescent="0.25">
      <c r="A172" s="5">
        <v>44421</v>
      </c>
      <c r="B172">
        <v>47.033999999999999</v>
      </c>
      <c r="C172">
        <v>50.65</v>
      </c>
      <c r="D172">
        <v>46.317</v>
      </c>
      <c r="E172">
        <v>50.356999999999999</v>
      </c>
      <c r="F172">
        <v>102346.33500000001</v>
      </c>
      <c r="G172">
        <v>50.356999999999999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0.86475882760212353</v>
      </c>
      <c r="Q172">
        <f t="shared" ref="Q172" si="836">F172*P172</f>
        <v>88504.896663974185</v>
      </c>
      <c r="R172">
        <f t="shared" ref="R172" si="837">R173+Q172</f>
        <v>323053.77976402652</v>
      </c>
      <c r="S172">
        <f t="shared" ref="S172" si="838">R172/100000</f>
        <v>3.2305377976402654</v>
      </c>
      <c r="T172">
        <f t="shared" ref="T172" si="839">S172/1000</f>
        <v>3.2305377976402654E-3</v>
      </c>
    </row>
    <row r="173" spans="1:20" x14ac:dyDescent="0.25">
      <c r="A173" s="5">
        <v>44420</v>
      </c>
      <c r="B173">
        <v>47.545000000000002</v>
      </c>
      <c r="C173">
        <v>50.564999999999998</v>
      </c>
      <c r="D173">
        <v>44.728000000000002</v>
      </c>
      <c r="E173">
        <v>47.040999999999997</v>
      </c>
      <c r="F173">
        <v>181499.63</v>
      </c>
      <c r="G173">
        <v>47.040999999999997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-0.20746959054308831</v>
      </c>
      <c r="Q173">
        <f t="shared" ref="Q173" si="841">F173*P173</f>
        <v>-37655.653919822027</v>
      </c>
      <c r="R173">
        <f t="shared" ref="R173" si="842">R174+Q173</f>
        <v>234548.88310005231</v>
      </c>
      <c r="S173">
        <f t="shared" ref="S173" si="843">R173/100000</f>
        <v>2.3454888310005231</v>
      </c>
      <c r="T173">
        <f t="shared" ref="T173" si="844">S173/1000</f>
        <v>2.3454888310005229E-3</v>
      </c>
    </row>
    <row r="174" spans="1:20" x14ac:dyDescent="0.25">
      <c r="A174" s="5">
        <v>44419</v>
      </c>
      <c r="B174">
        <v>48.231000000000002</v>
      </c>
      <c r="C174">
        <v>51.628</v>
      </c>
      <c r="D174">
        <v>47.503</v>
      </c>
      <c r="E174">
        <v>47.536999999999999</v>
      </c>
      <c r="F174">
        <v>209825.41800000001</v>
      </c>
      <c r="G174">
        <v>47.536999999999999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-0.98351515151515201</v>
      </c>
      <c r="Q174">
        <f t="shared" ref="Q174" si="846">F174*P174</f>
        <v>-206366.4777760001</v>
      </c>
      <c r="R174">
        <f t="shared" ref="R174" si="847">R175+Q174</f>
        <v>272204.53701987432</v>
      </c>
      <c r="S174">
        <f t="shared" ref="S174" si="848">R174/100000</f>
        <v>2.7220453701987433</v>
      </c>
      <c r="T174">
        <f t="shared" ref="T174" si="849">S174/1000</f>
        <v>2.7220453701987434E-3</v>
      </c>
    </row>
    <row r="175" spans="1:20" x14ac:dyDescent="0.25">
      <c r="A175" s="5">
        <v>44418</v>
      </c>
      <c r="B175">
        <v>45.420999999999999</v>
      </c>
      <c r="C175">
        <v>49.98</v>
      </c>
      <c r="D175">
        <v>44.545000000000002</v>
      </c>
      <c r="E175">
        <v>48.235999999999997</v>
      </c>
      <c r="F175">
        <v>355445.625</v>
      </c>
      <c r="G175">
        <v>48.235999999999997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0.35823367065317341</v>
      </c>
      <c r="Q175">
        <f t="shared" ref="Q175" si="851">F175*P175</f>
        <v>127332.59096136138</v>
      </c>
      <c r="R175">
        <f t="shared" ref="R175" si="852">R176+Q175</f>
        <v>478571.01479587442</v>
      </c>
      <c r="S175">
        <f t="shared" ref="S175" si="853">R175/100000</f>
        <v>4.7857101479587438</v>
      </c>
      <c r="T175">
        <f t="shared" ref="T175" si="854">S175/1000</f>
        <v>4.7857101479587437E-3</v>
      </c>
    </row>
    <row r="176" spans="1:20" x14ac:dyDescent="0.25">
      <c r="A176" s="5">
        <v>44417</v>
      </c>
      <c r="B176">
        <v>43.036999999999999</v>
      </c>
      <c r="C176">
        <v>48.238</v>
      </c>
      <c r="D176">
        <v>41.148000000000003</v>
      </c>
      <c r="E176">
        <v>45.4</v>
      </c>
      <c r="F176">
        <v>220034.5</v>
      </c>
      <c r="G176">
        <v>45.4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0.19943582510578212</v>
      </c>
      <c r="Q176">
        <f t="shared" ref="Q176" si="856">F176*P176</f>
        <v>43882.762059238215</v>
      </c>
      <c r="R176">
        <f t="shared" ref="R176" si="857">R177+Q176</f>
        <v>351238.42383451306</v>
      </c>
      <c r="S176">
        <f t="shared" ref="S176" si="858">R176/100000</f>
        <v>3.5123842383451307</v>
      </c>
      <c r="T176">
        <f t="shared" ref="T176" si="859">S176/1000</f>
        <v>3.5123842383451309E-3</v>
      </c>
    </row>
    <row r="177" spans="1:20" x14ac:dyDescent="0.25">
      <c r="A177" s="5">
        <v>44416</v>
      </c>
      <c r="B177">
        <v>46.061</v>
      </c>
      <c r="C177">
        <v>46.273000000000003</v>
      </c>
      <c r="D177">
        <v>42.283000000000001</v>
      </c>
      <c r="E177">
        <v>43.031999999999996</v>
      </c>
      <c r="F177">
        <v>119755.402</v>
      </c>
      <c r="G177">
        <v>43.031999999999996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-0.62456140350877454</v>
      </c>
      <c r="Q177">
        <f t="shared" ref="Q177" si="861">F177*P177</f>
        <v>-74794.601950877506</v>
      </c>
      <c r="R177">
        <f t="shared" ref="R177" si="862">R178+Q177</f>
        <v>307355.66177527484</v>
      </c>
      <c r="S177">
        <f t="shared" ref="S177" si="863">R177/100000</f>
        <v>3.0735566177527485</v>
      </c>
      <c r="T177">
        <f t="shared" ref="T177" si="864">S177/1000</f>
        <v>3.0735566177527486E-3</v>
      </c>
    </row>
    <row r="178" spans="1:20" x14ac:dyDescent="0.25">
      <c r="A178" s="5">
        <v>44415</v>
      </c>
      <c r="B178">
        <v>46.219000000000001</v>
      </c>
      <c r="C178">
        <v>48.097000000000001</v>
      </c>
      <c r="D178">
        <v>44.832000000000001</v>
      </c>
      <c r="E178">
        <v>46.027000000000001</v>
      </c>
      <c r="F178">
        <v>162791.18900000001</v>
      </c>
      <c r="G178">
        <v>46.027000000000001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-0.26799387442572736</v>
      </c>
      <c r="Q178">
        <f t="shared" ref="Q178" si="866">F178*P178</f>
        <v>-43627.041462480855</v>
      </c>
      <c r="R178">
        <f t="shared" ref="R178" si="867">R179+Q178</f>
        <v>382150.26372615236</v>
      </c>
      <c r="S178">
        <f t="shared" ref="S178" si="868">R178/100000</f>
        <v>3.8215026372615237</v>
      </c>
      <c r="T178">
        <f t="shared" ref="T178" si="869">S178/1000</f>
        <v>3.8215026372615236E-3</v>
      </c>
    </row>
    <row r="179" spans="1:20" x14ac:dyDescent="0.25">
      <c r="A179" s="5">
        <v>44414</v>
      </c>
      <c r="B179">
        <v>45.993000000000002</v>
      </c>
      <c r="C179">
        <v>48.52</v>
      </c>
      <c r="D179">
        <v>45.32</v>
      </c>
      <c r="E179">
        <v>46.192</v>
      </c>
      <c r="F179">
        <v>253188.4</v>
      </c>
      <c r="G179">
        <v>46.192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-0.45500000000000057</v>
      </c>
      <c r="Q179">
        <f t="shared" ref="Q179" si="871">F179*P179</f>
        <v>-115200.72200000014</v>
      </c>
      <c r="R179">
        <f t="shared" ref="R179" si="872">R180+Q179</f>
        <v>425777.30518863321</v>
      </c>
      <c r="S179">
        <f t="shared" ref="S179" si="873">R179/100000</f>
        <v>4.2577730518863319</v>
      </c>
      <c r="T179">
        <f t="shared" ref="T179" si="874">S179/1000</f>
        <v>4.2577730518863323E-3</v>
      </c>
    </row>
    <row r="180" spans="1:20" x14ac:dyDescent="0.25">
      <c r="A180" s="5">
        <v>44413</v>
      </c>
      <c r="B180">
        <v>42.765999999999998</v>
      </c>
      <c r="C180">
        <v>46.784999999999997</v>
      </c>
      <c r="D180">
        <v>41.067</v>
      </c>
      <c r="E180">
        <v>45.960999999999999</v>
      </c>
      <c r="F180">
        <v>242650.46</v>
      </c>
      <c r="G180">
        <v>45.960999999999999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0.71178733823015095</v>
      </c>
      <c r="Q180">
        <f t="shared" ref="Q180" si="876">F180*P180</f>
        <v>172715.52504372172</v>
      </c>
      <c r="R180">
        <f t="shared" ref="R180" si="877">R181+Q180</f>
        <v>540978.02718863334</v>
      </c>
      <c r="S180">
        <f t="shared" ref="S180" si="878">R180/100000</f>
        <v>5.4097802718863335</v>
      </c>
      <c r="T180">
        <f t="shared" ref="T180" si="879">S180/1000</f>
        <v>5.4097802718863332E-3</v>
      </c>
    </row>
    <row r="181" spans="1:20" x14ac:dyDescent="0.25">
      <c r="A181" s="5">
        <v>44412</v>
      </c>
      <c r="B181">
        <v>41.192</v>
      </c>
      <c r="C181">
        <v>43.384</v>
      </c>
      <c r="D181">
        <v>39.844000000000001</v>
      </c>
      <c r="E181">
        <v>42.72</v>
      </c>
      <c r="F181">
        <v>218904.69200000001</v>
      </c>
      <c r="G181">
        <v>42.72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0.624858757062146</v>
      </c>
      <c r="Q181">
        <f t="shared" ref="Q181" si="881">F181*P181</f>
        <v>136784.5137581919</v>
      </c>
      <c r="R181">
        <f t="shared" ref="R181" si="882">R182+Q181</f>
        <v>368262.50214491156</v>
      </c>
      <c r="S181">
        <f t="shared" ref="S181" si="883">R181/100000</f>
        <v>3.6826250214491156</v>
      </c>
      <c r="T181">
        <f t="shared" ref="T181" si="884">S181/1000</f>
        <v>3.6826250214491156E-3</v>
      </c>
    </row>
    <row r="182" spans="1:20" x14ac:dyDescent="0.25">
      <c r="A182" s="5">
        <v>44411</v>
      </c>
      <c r="B182">
        <v>40.807000000000002</v>
      </c>
      <c r="C182">
        <v>42.744999999999997</v>
      </c>
      <c r="D182">
        <v>37.771999999999998</v>
      </c>
      <c r="E182">
        <v>41.16</v>
      </c>
      <c r="F182">
        <v>237818.948</v>
      </c>
      <c r="G182">
        <v>41.16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0.36255781218580285</v>
      </c>
      <c r="Q182">
        <f t="shared" ref="Q182" si="886">F182*P182</f>
        <v>86223.117483209222</v>
      </c>
      <c r="R182">
        <f t="shared" ref="R182" si="887">R183+Q182</f>
        <v>231477.98838671966</v>
      </c>
      <c r="S182">
        <f t="shared" ref="S182" si="888">R182/100000</f>
        <v>2.3147798838671965</v>
      </c>
      <c r="T182">
        <f t="shared" ref="T182" si="889">S182/1000</f>
        <v>2.3147798838671963E-3</v>
      </c>
    </row>
    <row r="183" spans="1:20" x14ac:dyDescent="0.25">
      <c r="A183" s="5">
        <v>44410</v>
      </c>
      <c r="B183">
        <v>38.829000000000001</v>
      </c>
      <c r="C183">
        <v>42.277000000000001</v>
      </c>
      <c r="D183">
        <v>38.200000000000003</v>
      </c>
      <c r="E183">
        <v>40.843000000000004</v>
      </c>
      <c r="F183">
        <v>111839.224</v>
      </c>
      <c r="G183">
        <v>40.843000000000004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0.29654157468727094</v>
      </c>
      <c r="Q183">
        <f t="shared" ref="Q183" si="891">F183*P183</f>
        <v>33164.979596762423</v>
      </c>
      <c r="R183">
        <f t="shared" ref="R183" si="892">R184+Q183</f>
        <v>145254.87090351045</v>
      </c>
      <c r="S183">
        <f t="shared" ref="S183" si="893">R183/100000</f>
        <v>1.4525487090351046</v>
      </c>
      <c r="T183">
        <f t="shared" ref="T183" si="894">S183/1000</f>
        <v>1.4525487090351046E-3</v>
      </c>
    </row>
    <row r="184" spans="1:20" x14ac:dyDescent="0.25">
      <c r="A184" s="5">
        <v>44409</v>
      </c>
      <c r="B184">
        <v>40.68</v>
      </c>
      <c r="C184">
        <v>43.628999999999998</v>
      </c>
      <c r="D184">
        <v>38</v>
      </c>
      <c r="E184">
        <v>38.793999999999997</v>
      </c>
      <c r="F184">
        <v>207019.717</v>
      </c>
      <c r="G184">
        <v>38.793999999999997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-0.71788950079943248</v>
      </c>
      <c r="Q184">
        <f t="shared" ref="Q184" si="896">F184*P184</f>
        <v>-148617.2812927698</v>
      </c>
      <c r="R184">
        <f t="shared" ref="R184" si="897">R185+Q184</f>
        <v>112089.89130674803</v>
      </c>
      <c r="S184">
        <f t="shared" ref="S184" si="898">R184/100000</f>
        <v>1.1208989130674802</v>
      </c>
      <c r="T184">
        <f t="shared" ref="T184" si="899">S184/1000</f>
        <v>1.1208989130674803E-3</v>
      </c>
    </row>
    <row r="185" spans="1:20" x14ac:dyDescent="0.25">
      <c r="A185" s="5">
        <v>44408</v>
      </c>
      <c r="B185">
        <v>40.652000000000001</v>
      </c>
      <c r="C185">
        <v>45.198999999999998</v>
      </c>
      <c r="D185">
        <v>40.01</v>
      </c>
      <c r="E185">
        <v>40.667000000000002</v>
      </c>
      <c r="F185">
        <v>287173.60700000002</v>
      </c>
      <c r="G185">
        <v>40.667000000000002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-0.74677201772981172</v>
      </c>
      <c r="Q185">
        <f t="shared" ref="Q185" si="901">F185*P185</f>
        <v>-214453.21393813801</v>
      </c>
      <c r="R185">
        <f t="shared" ref="R185" si="902">R186+Q185</f>
        <v>260707.17259951783</v>
      </c>
      <c r="S185">
        <f t="shared" ref="S185" si="903">R185/100000</f>
        <v>2.6070717259951781</v>
      </c>
      <c r="T185">
        <f t="shared" ref="T185" si="904">S185/1000</f>
        <v>2.6070717259951779E-3</v>
      </c>
    </row>
    <row r="186" spans="1:20" x14ac:dyDescent="0.25">
      <c r="A186" s="5">
        <v>44407</v>
      </c>
      <c r="B186">
        <v>36.517000000000003</v>
      </c>
      <c r="C186">
        <v>41</v>
      </c>
      <c r="D186">
        <v>36.118000000000002</v>
      </c>
      <c r="E186">
        <v>40.685000000000002</v>
      </c>
      <c r="F186">
        <v>385661.99099999998</v>
      </c>
      <c r="G186">
        <v>40.685000000000002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0.87095452683326591</v>
      </c>
      <c r="Q186">
        <f t="shared" ref="Q186" si="906">F186*P186</f>
        <v>335894.05688898021</v>
      </c>
      <c r="R186">
        <f t="shared" ref="R186" si="907">R187+Q186</f>
        <v>475160.38653765584</v>
      </c>
      <c r="S186">
        <f t="shared" ref="S186" si="908">R186/100000</f>
        <v>4.7516038653765582</v>
      </c>
      <c r="T186">
        <f t="shared" ref="T186" si="909">S186/1000</f>
        <v>4.7516038653765578E-3</v>
      </c>
    </row>
    <row r="187" spans="1:20" x14ac:dyDescent="0.25">
      <c r="A187" s="5">
        <v>44406</v>
      </c>
      <c r="B187">
        <v>36.249000000000002</v>
      </c>
      <c r="C187">
        <v>37.999000000000002</v>
      </c>
      <c r="D187">
        <v>35.271999999999998</v>
      </c>
      <c r="E187">
        <v>36.478000000000002</v>
      </c>
      <c r="F187">
        <v>134551.21900000001</v>
      </c>
      <c r="G187">
        <v>36.478000000000002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-0.11551155115511451</v>
      </c>
      <c r="Q187">
        <f t="shared" ref="Q187" si="911">F187*P187</f>
        <v>-15542.220016501517</v>
      </c>
      <c r="R187">
        <f t="shared" ref="R187" si="912">R188+Q187</f>
        <v>139266.32964867566</v>
      </c>
      <c r="S187">
        <f t="shared" ref="S187" si="913">R187/100000</f>
        <v>1.3926632964867567</v>
      </c>
      <c r="T187">
        <f t="shared" ref="T187" si="914">S187/1000</f>
        <v>1.3926632964867567E-3</v>
      </c>
    </row>
    <row r="188" spans="1:20" x14ac:dyDescent="0.25">
      <c r="A188" s="5">
        <v>44405</v>
      </c>
      <c r="B188">
        <v>36.087000000000003</v>
      </c>
      <c r="C188">
        <v>37.128</v>
      </c>
      <c r="D188">
        <v>34.963000000000001</v>
      </c>
      <c r="E188">
        <v>36.186999999999998</v>
      </c>
      <c r="F188">
        <v>118170.92600000001</v>
      </c>
      <c r="G188">
        <v>36.186999999999998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0.13071593533487033</v>
      </c>
      <c r="Q188">
        <f t="shared" ref="Q188" si="916">F188*P188</f>
        <v>15446.823121477748</v>
      </c>
      <c r="R188">
        <f t="shared" ref="R188" si="917">R189+Q188</f>
        <v>154808.54966517718</v>
      </c>
      <c r="S188">
        <f t="shared" ref="S188" si="918">R188/100000</f>
        <v>1.5480854966517719</v>
      </c>
      <c r="T188">
        <f t="shared" ref="T188" si="919">S188/1000</f>
        <v>1.5480854966517718E-3</v>
      </c>
    </row>
    <row r="189" spans="1:20" x14ac:dyDescent="0.25">
      <c r="A189" s="5">
        <v>44404</v>
      </c>
      <c r="B189">
        <v>34.630000000000003</v>
      </c>
      <c r="C189">
        <v>37.533999999999999</v>
      </c>
      <c r="D189">
        <v>33.533999999999999</v>
      </c>
      <c r="E189">
        <v>36.128999999999998</v>
      </c>
      <c r="F189">
        <v>162151.981</v>
      </c>
      <c r="G189">
        <v>36.128999999999998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0.29749999999999943</v>
      </c>
      <c r="Q189">
        <f t="shared" ref="Q189" si="921">F189*P189</f>
        <v>48240.21434749991</v>
      </c>
      <c r="R189">
        <f t="shared" ref="R189" si="922">R190+Q189</f>
        <v>139361.72654369942</v>
      </c>
      <c r="S189">
        <f t="shared" ref="S189" si="923">R189/100000</f>
        <v>1.3936172654369943</v>
      </c>
      <c r="T189">
        <f t="shared" ref="T189" si="924">S189/1000</f>
        <v>1.3936172654369942E-3</v>
      </c>
    </row>
    <row r="190" spans="1:20" x14ac:dyDescent="0.25">
      <c r="A190" s="5">
        <v>44403</v>
      </c>
      <c r="B190">
        <v>34.264000000000003</v>
      </c>
      <c r="C190">
        <v>38.418999999999997</v>
      </c>
      <c r="D190">
        <v>34.023000000000003</v>
      </c>
      <c r="E190">
        <v>34.6</v>
      </c>
      <c r="F190">
        <v>200833.71400000001</v>
      </c>
      <c r="G190">
        <v>34.6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-0.73748862602365828</v>
      </c>
      <c r="Q190">
        <f t="shared" ref="Q190" si="926">F190*P190</f>
        <v>-148112.57979708834</v>
      </c>
      <c r="R190">
        <f t="shared" ref="R190" si="927">R191+Q190</f>
        <v>91121.512196199503</v>
      </c>
      <c r="S190">
        <f t="shared" ref="S190" si="928">R190/100000</f>
        <v>0.91121512196199506</v>
      </c>
      <c r="T190">
        <f t="shared" ref="T190" si="929">S190/1000</f>
        <v>9.1121512196199502E-4</v>
      </c>
    </row>
    <row r="191" spans="1:20" x14ac:dyDescent="0.25">
      <c r="A191" s="5">
        <v>44402</v>
      </c>
      <c r="B191">
        <v>34.281999999999996</v>
      </c>
      <c r="C191">
        <v>35.71</v>
      </c>
      <c r="D191">
        <v>32.902999999999999</v>
      </c>
      <c r="E191">
        <v>34.244999999999997</v>
      </c>
      <c r="F191">
        <v>92428.72</v>
      </c>
      <c r="G191">
        <v>34.244999999999997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-4.3819023868900804E-2</v>
      </c>
      <c r="Q191">
        <f t="shared" ref="Q191" si="931">F191*P191</f>
        <v>-4050.136287851949</v>
      </c>
      <c r="R191">
        <f t="shared" ref="R191" si="932">R192+Q191</f>
        <v>239234.09199328785</v>
      </c>
      <c r="S191">
        <f t="shared" ref="S191" si="933">R191/100000</f>
        <v>2.3923409199328787</v>
      </c>
      <c r="T191">
        <f t="shared" ref="T191:T197" si="934">S191/1000</f>
        <v>2.3923409199328787E-3</v>
      </c>
    </row>
    <row r="192" spans="1:20" x14ac:dyDescent="0.25">
      <c r="A192" s="5">
        <v>44401</v>
      </c>
      <c r="B192">
        <v>34.234999999999999</v>
      </c>
      <c r="C192">
        <v>35.429000000000002</v>
      </c>
      <c r="D192">
        <v>33.253</v>
      </c>
      <c r="E192">
        <v>34.262</v>
      </c>
      <c r="F192">
        <v>134254.573</v>
      </c>
      <c r="G192">
        <v>34.262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-7.2610294117647564E-2</v>
      </c>
      <c r="Q192">
        <f t="shared" ref="Q192" si="936">F192*P192</f>
        <v>-9748.2640321691852</v>
      </c>
      <c r="R192">
        <f t="shared" ref="R192" si="937">R193+Q192</f>
        <v>243284.2282811398</v>
      </c>
      <c r="S192">
        <f t="shared" ref="S192" si="938">R192/100000</f>
        <v>2.4328422828113982</v>
      </c>
      <c r="T192">
        <f t="shared" si="934"/>
        <v>2.4328422828113982E-3</v>
      </c>
    </row>
    <row r="193" spans="1:20" x14ac:dyDescent="0.25">
      <c r="A193" s="5">
        <v>44400</v>
      </c>
      <c r="B193">
        <v>31.843</v>
      </c>
      <c r="C193">
        <v>34.731000000000002</v>
      </c>
      <c r="D193">
        <v>31.666</v>
      </c>
      <c r="E193">
        <v>34.197000000000003</v>
      </c>
      <c r="F193">
        <v>145667.72200000001</v>
      </c>
      <c r="G193">
        <v>34.197000000000003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0.65154975530179526</v>
      </c>
      <c r="Q193">
        <f t="shared" ref="Q193" si="940">F193*P193</f>
        <v>94909.768624469943</v>
      </c>
      <c r="R193">
        <f t="shared" ref="R193" si="941">R194+Q193</f>
        <v>253032.49231330899</v>
      </c>
      <c r="S193">
        <f t="shared" ref="S193" si="942">R193/100000</f>
        <v>2.5303249231330898</v>
      </c>
      <c r="T193">
        <f t="shared" si="934"/>
        <v>2.53032492313309E-3</v>
      </c>
    </row>
    <row r="194" spans="1:20" x14ac:dyDescent="0.25">
      <c r="A194" s="5">
        <v>44399</v>
      </c>
      <c r="B194">
        <v>32.033999999999999</v>
      </c>
      <c r="C194">
        <v>34.509</v>
      </c>
      <c r="D194">
        <v>31.183</v>
      </c>
      <c r="E194">
        <v>31.834</v>
      </c>
      <c r="F194">
        <v>162093.34700000001</v>
      </c>
      <c r="G194">
        <v>31.834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-0.60853878532772121</v>
      </c>
      <c r="Q194">
        <f t="shared" ref="Q194" si="944">F194*P194</f>
        <v>-98640.088493084826</v>
      </c>
      <c r="R194">
        <f t="shared" ref="R194" si="945">R195+Q194</f>
        <v>158122.72368883906</v>
      </c>
      <c r="S194">
        <f t="shared" ref="S194" si="946">R194/100000</f>
        <v>1.5812272368883906</v>
      </c>
      <c r="T194">
        <f t="shared" si="934"/>
        <v>1.5812272368883906E-3</v>
      </c>
    </row>
    <row r="195" spans="1:20" x14ac:dyDescent="0.25">
      <c r="A195" s="5">
        <v>44398</v>
      </c>
      <c r="B195">
        <v>29.678000000000001</v>
      </c>
      <c r="C195">
        <v>33.299999999999997</v>
      </c>
      <c r="D195">
        <v>28.463999999999999</v>
      </c>
      <c r="E195">
        <v>31.986000000000001</v>
      </c>
      <c r="F195">
        <v>177900.39</v>
      </c>
      <c r="G195">
        <v>31.986000000000001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0.45657568238213525</v>
      </c>
      <c r="Q195">
        <f t="shared" ref="Q195" si="948">F195*P195</f>
        <v>81224.991960297994</v>
      </c>
      <c r="R195">
        <f t="shared" ref="R195" si="949">R196+Q195</f>
        <v>256762.81218192389</v>
      </c>
      <c r="S195">
        <f t="shared" ref="S195" si="950">R195/100000</f>
        <v>2.5676281218192387</v>
      </c>
      <c r="T195">
        <f t="shared" si="934"/>
        <v>2.5676281218192389E-3</v>
      </c>
    </row>
    <row r="196" spans="1:20" x14ac:dyDescent="0.25">
      <c r="A196" s="5">
        <v>44397</v>
      </c>
      <c r="B196">
        <v>29.641999999999999</v>
      </c>
      <c r="C196">
        <v>31.056000000000001</v>
      </c>
      <c r="D196">
        <v>27.2</v>
      </c>
      <c r="E196">
        <v>29.742000000000001</v>
      </c>
      <c r="F196">
        <v>161783.323</v>
      </c>
      <c r="G196">
        <v>29.742000000000001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0.31846473029045669</v>
      </c>
      <c r="Q196">
        <f t="shared" ref="Q196" si="952">F196*P196</f>
        <v>51522.282324688837</v>
      </c>
      <c r="R196">
        <f t="shared" ref="R196" si="953">R197+Q196</f>
        <v>175537.82022162588</v>
      </c>
      <c r="S196">
        <f t="shared" ref="S196" si="954">R196/100000</f>
        <v>1.7553782022162587</v>
      </c>
      <c r="T196">
        <f t="shared" si="934"/>
        <v>1.7553782022162586E-3</v>
      </c>
    </row>
    <row r="197" spans="1:20" x14ac:dyDescent="0.25">
      <c r="A197" s="5">
        <v>44396</v>
      </c>
      <c r="B197">
        <v>32.375999999999998</v>
      </c>
      <c r="C197">
        <v>32.576999999999998</v>
      </c>
      <c r="D197">
        <v>29.364000000000001</v>
      </c>
      <c r="E197">
        <v>29.640999999999998</v>
      </c>
      <c r="F197">
        <v>92596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-0.82757547463429959</v>
      </c>
      <c r="Q197">
        <f t="shared" ref="Q197" si="956">F197*P197</f>
        <v>-76630.178649237598</v>
      </c>
      <c r="R197">
        <f t="shared" ref="R197" si="957">R198+Q197</f>
        <v>124015.53789693704</v>
      </c>
      <c r="S197">
        <f t="shared" ref="S197" si="958">R197/100000</f>
        <v>1.2401553789693704</v>
      </c>
      <c r="T197">
        <f t="shared" si="934"/>
        <v>1.2401553789693704E-3</v>
      </c>
    </row>
    <row r="198" spans="1:20" x14ac:dyDescent="0.25">
      <c r="A198" s="5">
        <v>44395</v>
      </c>
      <c r="B198">
        <v>31.902000000000001</v>
      </c>
      <c r="C198">
        <v>33.634</v>
      </c>
      <c r="D198">
        <v>31.690999999999999</v>
      </c>
      <c r="E198">
        <v>32.353000000000002</v>
      </c>
      <c r="F198">
        <v>71186.75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-0.31857951621204106</v>
      </c>
      <c r="Q198">
        <f t="shared" ref="Q198:Q261" si="960">F198*P198</f>
        <v>-22678.640375707513</v>
      </c>
      <c r="R198">
        <f t="shared" ref="R198:R261" si="961">R199+Q198</f>
        <v>200645.71654617463</v>
      </c>
      <c r="S198">
        <f t="shared" ref="S198:S261" si="962">R198/100000</f>
        <v>2.0064571654617462</v>
      </c>
      <c r="T198">
        <f t="shared" ref="T198:T261" si="963">S198/1000</f>
        <v>2.0064571654617464E-3</v>
      </c>
    </row>
    <row r="199" spans="1:20" x14ac:dyDescent="0.25">
      <c r="A199" s="5">
        <v>44394</v>
      </c>
      <c r="B199">
        <v>32.194000000000003</v>
      </c>
      <c r="C199">
        <v>33.5</v>
      </c>
      <c r="D199">
        <v>30.937000000000001</v>
      </c>
      <c r="E199">
        <v>31.893000000000001</v>
      </c>
      <c r="F199">
        <v>56140.052000000003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-0.25399921966445577</v>
      </c>
      <c r="Q199">
        <f t="shared" si="960"/>
        <v>-14259.52939992197</v>
      </c>
      <c r="R199">
        <f t="shared" si="961"/>
        <v>223324.35692188214</v>
      </c>
      <c r="S199">
        <f t="shared" si="962"/>
        <v>2.2332435692188213</v>
      </c>
      <c r="T199">
        <f t="shared" si="963"/>
        <v>2.2332435692188212E-3</v>
      </c>
    </row>
    <row r="200" spans="1:20" x14ac:dyDescent="0.25">
      <c r="A200" s="5">
        <v>44393</v>
      </c>
      <c r="B200">
        <v>33.956000000000003</v>
      </c>
      <c r="C200">
        <v>34.479999999999997</v>
      </c>
      <c r="D200">
        <v>31.553999999999998</v>
      </c>
      <c r="E200">
        <v>32.194000000000003</v>
      </c>
      <c r="F200">
        <v>85390.479000000007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-0.56254272043745424</v>
      </c>
      <c r="Q200">
        <f t="shared" si="960"/>
        <v>-48035.792356117308</v>
      </c>
      <c r="R200">
        <f t="shared" si="961"/>
        <v>237583.88632180411</v>
      </c>
      <c r="S200">
        <f t="shared" si="962"/>
        <v>2.3758388632180409</v>
      </c>
      <c r="T200">
        <f t="shared" si="963"/>
        <v>2.3758388632180408E-3</v>
      </c>
    </row>
    <row r="201" spans="1:20" x14ac:dyDescent="0.25">
      <c r="A201" s="5">
        <v>44392</v>
      </c>
      <c r="B201">
        <v>36.579000000000001</v>
      </c>
      <c r="C201">
        <v>37.28</v>
      </c>
      <c r="D201">
        <v>33.25</v>
      </c>
      <c r="E201">
        <v>33.929000000000002</v>
      </c>
      <c r="F201">
        <v>104476.84600000001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-0.66302729528535886</v>
      </c>
      <c r="Q201">
        <f t="shared" si="960"/>
        <v>-69271.000623324973</v>
      </c>
      <c r="R201">
        <f t="shared" si="961"/>
        <v>285619.67867792142</v>
      </c>
      <c r="S201">
        <f t="shared" si="962"/>
        <v>2.856196786779214</v>
      </c>
      <c r="T201">
        <f t="shared" si="963"/>
        <v>2.8561967867792139E-3</v>
      </c>
    </row>
    <row r="202" spans="1:20" x14ac:dyDescent="0.25">
      <c r="A202" s="5">
        <v>44391</v>
      </c>
      <c r="B202">
        <v>37.347999999999999</v>
      </c>
      <c r="C202">
        <v>37.575000000000003</v>
      </c>
      <c r="D202">
        <v>33.28</v>
      </c>
      <c r="E202">
        <v>36.579000000000001</v>
      </c>
      <c r="F202">
        <v>136389.701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0.53620488940628552</v>
      </c>
      <c r="Q202">
        <f t="shared" si="960"/>
        <v>73132.824540861344</v>
      </c>
      <c r="R202">
        <f t="shared" si="961"/>
        <v>354890.67930124642</v>
      </c>
      <c r="S202">
        <f t="shared" si="962"/>
        <v>3.5489067930124643</v>
      </c>
      <c r="T202">
        <f t="shared" si="963"/>
        <v>3.5489067930124644E-3</v>
      </c>
    </row>
    <row r="203" spans="1:20" x14ac:dyDescent="0.25">
      <c r="A203" s="5">
        <v>44390</v>
      </c>
      <c r="B203">
        <v>38.97</v>
      </c>
      <c r="C203">
        <v>39.351999999999997</v>
      </c>
      <c r="D203">
        <v>36.557000000000002</v>
      </c>
      <c r="E203">
        <v>37.408999999999999</v>
      </c>
      <c r="F203">
        <v>92636.231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-0.3903398926654752</v>
      </c>
      <c r="Q203">
        <f t="shared" si="960"/>
        <v>-36159.616465474166</v>
      </c>
      <c r="R203">
        <f t="shared" si="961"/>
        <v>281757.85476038506</v>
      </c>
      <c r="S203">
        <f t="shared" si="962"/>
        <v>2.8175785476038504</v>
      </c>
      <c r="T203">
        <f t="shared" si="963"/>
        <v>2.8175785476038506E-3</v>
      </c>
    </row>
    <row r="204" spans="1:20" x14ac:dyDescent="0.25">
      <c r="A204" s="5">
        <v>44389</v>
      </c>
      <c r="B204">
        <v>40.427999999999997</v>
      </c>
      <c r="C204">
        <v>41.872</v>
      </c>
      <c r="D204">
        <v>38.01</v>
      </c>
      <c r="E204">
        <v>38.97</v>
      </c>
      <c r="F204">
        <v>104062.61900000001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-0.50284826514759173</v>
      </c>
      <c r="Q204">
        <f t="shared" si="960"/>
        <v>-52327.707430864823</v>
      </c>
      <c r="R204">
        <f t="shared" si="961"/>
        <v>317917.47122585925</v>
      </c>
      <c r="S204">
        <f t="shared" si="962"/>
        <v>3.1791747122585923</v>
      </c>
      <c r="T204">
        <f t="shared" si="963"/>
        <v>3.1791747122585923E-3</v>
      </c>
    </row>
    <row r="205" spans="1:20" x14ac:dyDescent="0.25">
      <c r="A205" s="5">
        <v>44388</v>
      </c>
      <c r="B205">
        <v>41.548999999999999</v>
      </c>
      <c r="C205">
        <v>43</v>
      </c>
      <c r="D205">
        <v>39.97</v>
      </c>
      <c r="E205">
        <v>40.427</v>
      </c>
      <c r="F205">
        <v>155062.965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-0.69834983498349801</v>
      </c>
      <c r="Q205">
        <f t="shared" si="960"/>
        <v>-108288.19601980192</v>
      </c>
      <c r="R205">
        <f t="shared" si="961"/>
        <v>370245.17865672405</v>
      </c>
      <c r="S205">
        <f t="shared" si="962"/>
        <v>3.7024517865672406</v>
      </c>
      <c r="T205">
        <f t="shared" si="963"/>
        <v>3.7024517865672404E-3</v>
      </c>
    </row>
    <row r="206" spans="1:20" x14ac:dyDescent="0.25">
      <c r="A206" s="5">
        <v>44387</v>
      </c>
      <c r="B206">
        <v>38.295000000000002</v>
      </c>
      <c r="C206">
        <v>42.774999999999999</v>
      </c>
      <c r="D206">
        <v>37.5</v>
      </c>
      <c r="E206">
        <v>41.548999999999999</v>
      </c>
      <c r="F206">
        <v>177855.56400000001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0.53516587677725136</v>
      </c>
      <c r="Q206">
        <f t="shared" si="960"/>
        <v>95182.228847772552</v>
      </c>
      <c r="R206">
        <f t="shared" si="961"/>
        <v>478533.37467652594</v>
      </c>
      <c r="S206">
        <f t="shared" si="962"/>
        <v>4.785333746765259</v>
      </c>
      <c r="T206">
        <f t="shared" si="963"/>
        <v>4.7853337467652591E-3</v>
      </c>
    </row>
    <row r="207" spans="1:20" x14ac:dyDescent="0.25">
      <c r="A207" s="5">
        <v>44386</v>
      </c>
      <c r="B207">
        <v>38.08</v>
      </c>
      <c r="C207">
        <v>39.253</v>
      </c>
      <c r="D207">
        <v>36.133000000000003</v>
      </c>
      <c r="E207">
        <v>38.299999999999997</v>
      </c>
      <c r="F207">
        <v>87892.27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0.38910256410256172</v>
      </c>
      <c r="Q207">
        <f t="shared" si="960"/>
        <v>34199.107621794661</v>
      </c>
      <c r="R207">
        <f t="shared" si="961"/>
        <v>383351.14582875342</v>
      </c>
      <c r="S207">
        <f t="shared" si="962"/>
        <v>3.8335114582875343</v>
      </c>
      <c r="T207">
        <f t="shared" si="963"/>
        <v>3.8335114582875342E-3</v>
      </c>
    </row>
    <row r="208" spans="1:20" x14ac:dyDescent="0.25">
      <c r="A208" s="5">
        <v>44385</v>
      </c>
      <c r="B208">
        <v>42.207000000000001</v>
      </c>
      <c r="C208">
        <v>42.58</v>
      </c>
      <c r="D208">
        <v>36.962000000000003</v>
      </c>
      <c r="E208">
        <v>38.081000000000003</v>
      </c>
      <c r="F208">
        <v>131650.38500000001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-0.60163759344962597</v>
      </c>
      <c r="Q208">
        <f t="shared" si="960"/>
        <v>-79205.820808116739</v>
      </c>
      <c r="R208">
        <f t="shared" si="961"/>
        <v>349152.03820695874</v>
      </c>
      <c r="S208">
        <f t="shared" si="962"/>
        <v>3.4915203820695875</v>
      </c>
      <c r="T208">
        <f t="shared" si="963"/>
        <v>3.4915203820695875E-3</v>
      </c>
    </row>
    <row r="209" spans="1:20" x14ac:dyDescent="0.25">
      <c r="A209" s="5">
        <v>44384</v>
      </c>
      <c r="B209">
        <v>39.89</v>
      </c>
      <c r="C209">
        <v>44.9</v>
      </c>
      <c r="D209">
        <v>39.085999999999999</v>
      </c>
      <c r="E209">
        <v>42.234999999999999</v>
      </c>
      <c r="F209">
        <v>194553.647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8.3247334021328126E-2</v>
      </c>
      <c r="Q209">
        <f t="shared" si="960"/>
        <v>16196.072436876562</v>
      </c>
      <c r="R209">
        <f t="shared" si="961"/>
        <v>428357.85901507549</v>
      </c>
      <c r="S209">
        <f t="shared" si="962"/>
        <v>4.2835785901507553</v>
      </c>
      <c r="T209">
        <f t="shared" si="963"/>
        <v>4.2835785901507552E-3</v>
      </c>
    </row>
    <row r="210" spans="1:20" x14ac:dyDescent="0.25">
      <c r="A210" s="5">
        <v>44383</v>
      </c>
      <c r="B210">
        <v>37.317</v>
      </c>
      <c r="C210">
        <v>42.784999999999997</v>
      </c>
      <c r="D210">
        <v>37.317</v>
      </c>
      <c r="E210">
        <v>39.945999999999998</v>
      </c>
      <c r="F210">
        <v>166884.15599999999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-3.8405267008047E-2</v>
      </c>
      <c r="Q210">
        <f t="shared" si="960"/>
        <v>-6409.2305705925683</v>
      </c>
      <c r="R210">
        <f t="shared" si="961"/>
        <v>412161.78657819895</v>
      </c>
      <c r="S210">
        <f t="shared" si="962"/>
        <v>4.1216178657819897</v>
      </c>
      <c r="T210">
        <f t="shared" si="963"/>
        <v>4.1216178657819897E-3</v>
      </c>
    </row>
    <row r="211" spans="1:20" x14ac:dyDescent="0.25">
      <c r="A211" s="5">
        <v>44382</v>
      </c>
      <c r="B211">
        <v>39.348999999999997</v>
      </c>
      <c r="C211">
        <v>40.156999999999996</v>
      </c>
      <c r="D211">
        <v>36.438000000000002</v>
      </c>
      <c r="E211">
        <v>37.290999999999997</v>
      </c>
      <c r="F211">
        <v>114548.959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-0.54127453616563814</v>
      </c>
      <c r="Q211">
        <f t="shared" si="960"/>
        <v>-62002.434650981704</v>
      </c>
      <c r="R211">
        <f t="shared" si="961"/>
        <v>418571.01714879152</v>
      </c>
      <c r="S211">
        <f t="shared" si="962"/>
        <v>4.1857101714879148</v>
      </c>
      <c r="T211">
        <f t="shared" si="963"/>
        <v>4.1857101714879146E-3</v>
      </c>
    </row>
    <row r="212" spans="1:20" x14ac:dyDescent="0.25">
      <c r="A212" s="5">
        <v>44381</v>
      </c>
      <c r="B212">
        <v>38.755000000000003</v>
      </c>
      <c r="C212">
        <v>40.976999999999997</v>
      </c>
      <c r="D212">
        <v>36.845999999999997</v>
      </c>
      <c r="E212">
        <v>39.337000000000003</v>
      </c>
      <c r="F212">
        <v>84173.877999999997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0.20600338900992818</v>
      </c>
      <c r="Q212">
        <f t="shared" si="960"/>
        <v>17340.104134108235</v>
      </c>
      <c r="R212">
        <f t="shared" si="961"/>
        <v>480573.4517997732</v>
      </c>
      <c r="S212">
        <f t="shared" si="962"/>
        <v>4.805734517997732</v>
      </c>
      <c r="T212">
        <f t="shared" si="963"/>
        <v>4.8057345179977323E-3</v>
      </c>
    </row>
    <row r="213" spans="1:20" x14ac:dyDescent="0.25">
      <c r="A213" s="5">
        <v>44380</v>
      </c>
      <c r="B213">
        <v>37.155000000000001</v>
      </c>
      <c r="C213">
        <v>39.079000000000001</v>
      </c>
      <c r="D213">
        <v>36.164999999999999</v>
      </c>
      <c r="E213">
        <v>38.756999999999998</v>
      </c>
      <c r="F213">
        <v>51751.616999999998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0.77899794097460362</v>
      </c>
      <c r="Q213">
        <f t="shared" si="960"/>
        <v>40314.403085106293</v>
      </c>
      <c r="R213">
        <f t="shared" si="961"/>
        <v>463233.34766566497</v>
      </c>
      <c r="S213">
        <f t="shared" si="962"/>
        <v>4.6323334766566493</v>
      </c>
      <c r="T213">
        <f t="shared" si="963"/>
        <v>4.6323334766566497E-3</v>
      </c>
    </row>
    <row r="214" spans="1:20" x14ac:dyDescent="0.25">
      <c r="A214" s="5">
        <v>44379</v>
      </c>
      <c r="B214">
        <v>36.621000000000002</v>
      </c>
      <c r="C214">
        <v>37.451000000000001</v>
      </c>
      <c r="D214">
        <v>34.450000000000003</v>
      </c>
      <c r="E214">
        <v>37.128</v>
      </c>
      <c r="F214">
        <v>90928.085000000006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0.78473842052649079</v>
      </c>
      <c r="Q214">
        <f t="shared" si="960"/>
        <v>71354.761804398498</v>
      </c>
      <c r="R214">
        <f t="shared" si="961"/>
        <v>422918.94458055869</v>
      </c>
      <c r="S214">
        <f t="shared" si="962"/>
        <v>4.229189445805587</v>
      </c>
      <c r="T214">
        <f t="shared" si="963"/>
        <v>4.2291894458055873E-3</v>
      </c>
    </row>
    <row r="215" spans="1:20" x14ac:dyDescent="0.25">
      <c r="A215" s="5">
        <v>44378</v>
      </c>
      <c r="B215">
        <v>40.31</v>
      </c>
      <c r="C215">
        <v>40.372</v>
      </c>
      <c r="D215">
        <v>36.200000000000003</v>
      </c>
      <c r="E215">
        <v>36.621000000000002</v>
      </c>
      <c r="F215">
        <v>104343.30499999999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-0.79817833173537889</v>
      </c>
      <c r="Q215">
        <f t="shared" si="960"/>
        <v>-83284.565112655808</v>
      </c>
      <c r="R215">
        <f t="shared" si="961"/>
        <v>351564.18277616019</v>
      </c>
      <c r="S215">
        <f t="shared" si="962"/>
        <v>3.5156418277616019</v>
      </c>
      <c r="T215">
        <f t="shared" si="963"/>
        <v>3.5156418277616018E-3</v>
      </c>
    </row>
    <row r="216" spans="1:20" x14ac:dyDescent="0.25">
      <c r="A216" s="5">
        <v>44377</v>
      </c>
      <c r="B216">
        <v>41.094999999999999</v>
      </c>
      <c r="C216">
        <v>41.777000000000001</v>
      </c>
      <c r="D216">
        <v>37.537999999999997</v>
      </c>
      <c r="E216">
        <v>40.290999999999997</v>
      </c>
      <c r="F216">
        <v>89432.831000000006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0.29889124793583266</v>
      </c>
      <c r="Q216">
        <f t="shared" si="960"/>
        <v>26730.690464024421</v>
      </c>
      <c r="R216">
        <f t="shared" si="961"/>
        <v>434848.747888816</v>
      </c>
      <c r="S216">
        <f t="shared" si="962"/>
        <v>4.3484874788881598</v>
      </c>
      <c r="T216">
        <f t="shared" si="963"/>
        <v>4.3484874788881599E-3</v>
      </c>
    </row>
    <row r="217" spans="1:20" x14ac:dyDescent="0.25">
      <c r="A217" s="5">
        <v>44376</v>
      </c>
      <c r="B217">
        <v>38.454999999999998</v>
      </c>
      <c r="C217">
        <v>43.948999999999998</v>
      </c>
      <c r="D217">
        <v>38.200000000000003</v>
      </c>
      <c r="E217">
        <v>41.098999999999997</v>
      </c>
      <c r="F217">
        <v>132838.318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8.5232214298125632E-3</v>
      </c>
      <c r="Q217">
        <f t="shared" si="960"/>
        <v>1132.2103986778559</v>
      </c>
      <c r="R217">
        <f t="shared" si="961"/>
        <v>408118.05742479156</v>
      </c>
      <c r="S217">
        <f t="shared" si="962"/>
        <v>4.0811805742479157</v>
      </c>
      <c r="T217">
        <f t="shared" si="963"/>
        <v>4.0811805742479159E-3</v>
      </c>
    </row>
    <row r="218" spans="1:20" x14ac:dyDescent="0.25">
      <c r="A218" s="5">
        <v>44375</v>
      </c>
      <c r="B218">
        <v>38.993000000000002</v>
      </c>
      <c r="C218">
        <v>39.9</v>
      </c>
      <c r="D218">
        <v>37.746000000000002</v>
      </c>
      <c r="E218">
        <v>38.481999999999999</v>
      </c>
      <c r="F218">
        <v>109418.103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-0.31662024141132927</v>
      </c>
      <c r="Q218">
        <f t="shared" si="960"/>
        <v>-34643.986186629692</v>
      </c>
      <c r="R218">
        <f t="shared" si="961"/>
        <v>406985.84702611371</v>
      </c>
      <c r="S218">
        <f t="shared" si="962"/>
        <v>4.0698584702611367</v>
      </c>
      <c r="T218">
        <f t="shared" si="963"/>
        <v>4.0698584702611364E-3</v>
      </c>
    </row>
    <row r="219" spans="1:20" x14ac:dyDescent="0.25">
      <c r="A219" s="5">
        <v>44374</v>
      </c>
      <c r="B219">
        <v>34.668999999999997</v>
      </c>
      <c r="C219">
        <v>39.031999999999996</v>
      </c>
      <c r="D219">
        <v>33.798999999999999</v>
      </c>
      <c r="E219">
        <v>39.031999999999996</v>
      </c>
      <c r="F219">
        <v>138840.13500000001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1</v>
      </c>
      <c r="Q219">
        <f t="shared" si="960"/>
        <v>138840.13500000001</v>
      </c>
      <c r="R219">
        <f t="shared" si="961"/>
        <v>441629.8332127434</v>
      </c>
      <c r="S219">
        <f t="shared" si="962"/>
        <v>4.4162983321274343</v>
      </c>
      <c r="T219">
        <f t="shared" si="963"/>
        <v>4.416298332127434E-3</v>
      </c>
    </row>
    <row r="220" spans="1:20" x14ac:dyDescent="0.25">
      <c r="A220" s="5">
        <v>44373</v>
      </c>
      <c r="B220">
        <v>33.895000000000003</v>
      </c>
      <c r="C220">
        <v>36.700000000000003</v>
      </c>
      <c r="D220">
        <v>31.48</v>
      </c>
      <c r="E220">
        <v>34.686</v>
      </c>
      <c r="F220">
        <v>109685.28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0.2283524904214552</v>
      </c>
      <c r="Q220">
        <f t="shared" si="960"/>
        <v>25046.906850574629</v>
      </c>
      <c r="R220">
        <f t="shared" si="961"/>
        <v>302789.69821274339</v>
      </c>
      <c r="S220">
        <f t="shared" si="962"/>
        <v>3.0278969821274337</v>
      </c>
      <c r="T220">
        <f t="shared" si="963"/>
        <v>3.0278969821274336E-3</v>
      </c>
    </row>
    <row r="221" spans="1:20" x14ac:dyDescent="0.25">
      <c r="A221" s="5">
        <v>44372</v>
      </c>
      <c r="B221">
        <v>38.243000000000002</v>
      </c>
      <c r="C221">
        <v>39.281999999999996</v>
      </c>
      <c r="D221">
        <v>33.588000000000001</v>
      </c>
      <c r="E221">
        <v>33.923999999999999</v>
      </c>
      <c r="F221">
        <v>114817.147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-0.88198103266596461</v>
      </c>
      <c r="Q221">
        <f t="shared" si="960"/>
        <v>-101266.54587881986</v>
      </c>
      <c r="R221">
        <f t="shared" si="961"/>
        <v>277742.79136216873</v>
      </c>
      <c r="S221">
        <f t="shared" si="962"/>
        <v>2.7774279136216875</v>
      </c>
      <c r="T221">
        <f t="shared" si="963"/>
        <v>2.7774279136216877E-3</v>
      </c>
    </row>
    <row r="222" spans="1:20" x14ac:dyDescent="0.25">
      <c r="A222" s="5">
        <v>44371</v>
      </c>
      <c r="B222">
        <v>36.170999999999999</v>
      </c>
      <c r="C222">
        <v>39.1</v>
      </c>
      <c r="D222">
        <v>34.856999999999999</v>
      </c>
      <c r="E222">
        <v>38.22</v>
      </c>
      <c r="F222">
        <v>121136.13099999999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0.58519915154371804</v>
      </c>
      <c r="Q222">
        <f t="shared" si="960"/>
        <v>70888.76108248868</v>
      </c>
      <c r="R222">
        <f t="shared" si="961"/>
        <v>379009.33724098862</v>
      </c>
      <c r="S222">
        <f t="shared" si="962"/>
        <v>3.7900933724098862</v>
      </c>
      <c r="T222">
        <f t="shared" si="963"/>
        <v>3.7900933724098864E-3</v>
      </c>
    </row>
    <row r="223" spans="1:20" x14ac:dyDescent="0.25">
      <c r="A223" s="5">
        <v>44370</v>
      </c>
      <c r="B223">
        <v>31.635999999999999</v>
      </c>
      <c r="C223">
        <v>38.520000000000003</v>
      </c>
      <c r="D223">
        <v>30.157</v>
      </c>
      <c r="E223">
        <v>36.17</v>
      </c>
      <c r="F223">
        <v>142201.361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0.43800071744589247</v>
      </c>
      <c r="Q223">
        <f t="shared" si="960"/>
        <v>62284.298139782353</v>
      </c>
      <c r="R223">
        <f t="shared" si="961"/>
        <v>308120.57615849993</v>
      </c>
      <c r="S223">
        <f t="shared" si="962"/>
        <v>3.0812057615849993</v>
      </c>
      <c r="T223">
        <f t="shared" si="963"/>
        <v>3.0812057615849991E-3</v>
      </c>
    </row>
    <row r="224" spans="1:20" x14ac:dyDescent="0.25">
      <c r="A224" s="5">
        <v>44369</v>
      </c>
      <c r="B224">
        <v>32.731000000000002</v>
      </c>
      <c r="C224">
        <v>36.183</v>
      </c>
      <c r="D224">
        <v>27.456</v>
      </c>
      <c r="E224">
        <v>31.635999999999999</v>
      </c>
      <c r="F224">
        <v>219828.77299999999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-4.2053397502005367E-2</v>
      </c>
      <c r="Q224">
        <f t="shared" si="960"/>
        <v>-9244.546773347105</v>
      </c>
      <c r="R224">
        <f t="shared" si="961"/>
        <v>245836.2780187176</v>
      </c>
      <c r="S224">
        <f t="shared" si="962"/>
        <v>2.4583627801871759</v>
      </c>
      <c r="T224">
        <f t="shared" si="963"/>
        <v>2.4583627801871761E-3</v>
      </c>
    </row>
    <row r="225" spans="1:20" x14ac:dyDescent="0.25">
      <c r="A225" s="5">
        <v>44368</v>
      </c>
      <c r="B225">
        <v>43.094999999999999</v>
      </c>
      <c r="C225">
        <v>43.962000000000003</v>
      </c>
      <c r="D225">
        <v>32.518999999999998</v>
      </c>
      <c r="E225">
        <v>32.622999999999998</v>
      </c>
      <c r="F225">
        <v>180063.10399999999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-0.9818229485274842</v>
      </c>
      <c r="Q225">
        <f t="shared" si="960"/>
        <v>-176790.08769029102</v>
      </c>
      <c r="R225">
        <f t="shared" si="961"/>
        <v>255080.8247920647</v>
      </c>
      <c r="S225">
        <f t="shared" si="962"/>
        <v>2.5508082479206471</v>
      </c>
      <c r="T225">
        <f t="shared" si="963"/>
        <v>2.550808247920647E-3</v>
      </c>
    </row>
    <row r="226" spans="1:20" x14ac:dyDescent="0.25">
      <c r="A226" s="5">
        <v>44367</v>
      </c>
      <c r="B226">
        <v>42.262999999999998</v>
      </c>
      <c r="C226">
        <v>43.314</v>
      </c>
      <c r="D226">
        <v>37.899000000000001</v>
      </c>
      <c r="E226">
        <v>43.045999999999999</v>
      </c>
      <c r="F226">
        <v>169704.739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0.90101569713758056</v>
      </c>
      <c r="Q226">
        <f t="shared" si="960"/>
        <v>152906.63371763617</v>
      </c>
      <c r="R226">
        <f t="shared" si="961"/>
        <v>431870.91248235572</v>
      </c>
      <c r="S226">
        <f t="shared" si="962"/>
        <v>4.318709124823557</v>
      </c>
      <c r="T226">
        <f t="shared" si="963"/>
        <v>4.3187091248235573E-3</v>
      </c>
    </row>
    <row r="227" spans="1:20" x14ac:dyDescent="0.25">
      <c r="A227" s="5">
        <v>44366</v>
      </c>
      <c r="B227">
        <v>44.387999999999998</v>
      </c>
      <c r="C227">
        <v>44.777999999999999</v>
      </c>
      <c r="D227">
        <v>42.103000000000002</v>
      </c>
      <c r="E227">
        <v>42.223999999999997</v>
      </c>
      <c r="F227">
        <v>59683.966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-0.90953271028037741</v>
      </c>
      <c r="Q227">
        <f t="shared" si="960"/>
        <v>-54284.519356261895</v>
      </c>
      <c r="R227">
        <f t="shared" si="961"/>
        <v>278964.27876471955</v>
      </c>
      <c r="S227">
        <f t="shared" si="962"/>
        <v>2.7896427876471956</v>
      </c>
      <c r="T227">
        <f t="shared" si="963"/>
        <v>2.7896427876471955E-3</v>
      </c>
    </row>
    <row r="228" spans="1:20" x14ac:dyDescent="0.25">
      <c r="A228" s="5">
        <v>44365</v>
      </c>
      <c r="B228">
        <v>47.723999999999997</v>
      </c>
      <c r="C228">
        <v>49</v>
      </c>
      <c r="D228">
        <v>43.152999999999999</v>
      </c>
      <c r="E228">
        <v>44.335999999999999</v>
      </c>
      <c r="F228">
        <v>136497.30600000001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-0.59534804173080225</v>
      </c>
      <c r="Q228">
        <f t="shared" si="960"/>
        <v>-81263.403828630093</v>
      </c>
      <c r="R228">
        <f t="shared" si="961"/>
        <v>333248.79812098143</v>
      </c>
      <c r="S228">
        <f t="shared" si="962"/>
        <v>3.3324879812098143</v>
      </c>
      <c r="T228">
        <f t="shared" si="963"/>
        <v>3.3324879812098142E-3</v>
      </c>
    </row>
    <row r="229" spans="1:20" x14ac:dyDescent="0.25">
      <c r="A229" s="5">
        <v>44364</v>
      </c>
      <c r="B229">
        <v>46.41</v>
      </c>
      <c r="C229">
        <v>49.1</v>
      </c>
      <c r="D229">
        <v>46.098999999999997</v>
      </c>
      <c r="E229">
        <v>47.633000000000003</v>
      </c>
      <c r="F229">
        <v>72664.664000000004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2.2325891369545874E-2</v>
      </c>
      <c r="Q229">
        <f t="shared" si="960"/>
        <v>1622.3033948685509</v>
      </c>
      <c r="R229">
        <f t="shared" si="961"/>
        <v>414512.20194961154</v>
      </c>
      <c r="S229">
        <f t="shared" si="962"/>
        <v>4.1451220194961156</v>
      </c>
      <c r="T229">
        <f t="shared" si="963"/>
        <v>4.1451220194961159E-3</v>
      </c>
    </row>
    <row r="230" spans="1:20" x14ac:dyDescent="0.25">
      <c r="A230" s="5">
        <v>44363</v>
      </c>
      <c r="B230">
        <v>50</v>
      </c>
      <c r="C230">
        <v>52.444000000000003</v>
      </c>
      <c r="D230">
        <v>45.793999999999997</v>
      </c>
      <c r="E230">
        <v>46.445</v>
      </c>
      <c r="F230">
        <v>122015.00900000001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-0.8042105263157886</v>
      </c>
      <c r="Q230">
        <f t="shared" si="960"/>
        <v>-98125.754606315691</v>
      </c>
      <c r="R230">
        <f t="shared" si="961"/>
        <v>412889.89855474298</v>
      </c>
      <c r="S230">
        <f t="shared" si="962"/>
        <v>4.1288989855474298</v>
      </c>
      <c r="T230">
        <f t="shared" si="963"/>
        <v>4.1288989855474299E-3</v>
      </c>
    </row>
    <row r="231" spans="1:20" x14ac:dyDescent="0.25">
      <c r="A231" s="5">
        <v>44362</v>
      </c>
      <c r="B231">
        <v>51.100999999999999</v>
      </c>
      <c r="C231">
        <v>53.353000000000002</v>
      </c>
      <c r="D231">
        <v>48.81</v>
      </c>
      <c r="E231">
        <v>50</v>
      </c>
      <c r="F231">
        <v>106281.742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-0.47611710323574824</v>
      </c>
      <c r="Q231">
        <f t="shared" si="960"/>
        <v>-50602.555127889158</v>
      </c>
      <c r="R231">
        <f t="shared" si="961"/>
        <v>511015.65316105867</v>
      </c>
      <c r="S231">
        <f t="shared" si="962"/>
        <v>5.1101565316105866</v>
      </c>
      <c r="T231">
        <f t="shared" si="963"/>
        <v>5.1101565316105865E-3</v>
      </c>
    </row>
    <row r="232" spans="1:20" x14ac:dyDescent="0.25">
      <c r="A232" s="5">
        <v>44361</v>
      </c>
      <c r="B232">
        <v>49.156999999999996</v>
      </c>
      <c r="C232">
        <v>52.179000000000002</v>
      </c>
      <c r="D232">
        <v>47.6</v>
      </c>
      <c r="E232">
        <v>51.054000000000002</v>
      </c>
      <c r="F232">
        <v>111430.821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0.50862633762830323</v>
      </c>
      <c r="Q232">
        <f t="shared" si="960"/>
        <v>56676.650384145018</v>
      </c>
      <c r="R232">
        <f t="shared" si="961"/>
        <v>561618.20828894782</v>
      </c>
      <c r="S232">
        <f t="shared" si="962"/>
        <v>5.6161820828894786</v>
      </c>
      <c r="T232">
        <f t="shared" si="963"/>
        <v>5.6161820828894782E-3</v>
      </c>
    </row>
    <row r="233" spans="1:20" x14ac:dyDescent="0.25">
      <c r="A233" s="5">
        <v>44360</v>
      </c>
      <c r="B233">
        <v>44.987000000000002</v>
      </c>
      <c r="C233">
        <v>49.899000000000001</v>
      </c>
      <c r="D233">
        <v>43.74</v>
      </c>
      <c r="E233">
        <v>49.052</v>
      </c>
      <c r="F233">
        <v>91793.259000000005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0.72495534989446286</v>
      </c>
      <c r="Q233">
        <f t="shared" si="960"/>
        <v>66546.014196298056</v>
      </c>
      <c r="R233">
        <f t="shared" si="961"/>
        <v>504941.55790480284</v>
      </c>
      <c r="S233">
        <f t="shared" si="962"/>
        <v>5.0494155790480288</v>
      </c>
      <c r="T233">
        <f t="shared" si="963"/>
        <v>5.049415579048029E-3</v>
      </c>
    </row>
    <row r="234" spans="1:20" x14ac:dyDescent="0.25">
      <c r="A234" s="5">
        <v>44359</v>
      </c>
      <c r="B234">
        <v>48.055999999999997</v>
      </c>
      <c r="C234">
        <v>48.395000000000003</v>
      </c>
      <c r="D234">
        <v>42.521999999999998</v>
      </c>
      <c r="E234">
        <v>44.973999999999997</v>
      </c>
      <c r="F234">
        <v>122001.736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-0.16499233781713052</v>
      </c>
      <c r="Q234">
        <f t="shared" si="960"/>
        <v>-20129.351640388373</v>
      </c>
      <c r="R234">
        <f t="shared" si="961"/>
        <v>438395.54370850482</v>
      </c>
      <c r="S234">
        <f t="shared" si="962"/>
        <v>4.3839554370850484</v>
      </c>
      <c r="T234">
        <f t="shared" si="963"/>
        <v>4.3839554370850489E-3</v>
      </c>
    </row>
    <row r="235" spans="1:20" x14ac:dyDescent="0.25">
      <c r="A235" s="5">
        <v>44358</v>
      </c>
      <c r="B235">
        <v>49.85</v>
      </c>
      <c r="C235">
        <v>51.902000000000001</v>
      </c>
      <c r="D235">
        <v>44.115000000000002</v>
      </c>
      <c r="E235">
        <v>48.055999999999997</v>
      </c>
      <c r="F235">
        <v>165655.27600000001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1.2199820213174749E-2</v>
      </c>
      <c r="Q235">
        <f t="shared" si="960"/>
        <v>2020.964584563842</v>
      </c>
      <c r="R235">
        <f t="shared" si="961"/>
        <v>458524.89534889319</v>
      </c>
      <c r="S235">
        <f t="shared" si="962"/>
        <v>4.5852489534889322</v>
      </c>
      <c r="T235">
        <f t="shared" si="963"/>
        <v>4.585248953488932E-3</v>
      </c>
    </row>
    <row r="236" spans="1:20" x14ac:dyDescent="0.25">
      <c r="A236" s="5">
        <v>44357</v>
      </c>
      <c r="B236">
        <v>56.222000000000001</v>
      </c>
      <c r="C236">
        <v>56.945</v>
      </c>
      <c r="D236">
        <v>49.6</v>
      </c>
      <c r="E236">
        <v>49.673000000000002</v>
      </c>
      <c r="F236">
        <v>116255.023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-0.98012253233492164</v>
      </c>
      <c r="Q236">
        <f t="shared" si="960"/>
        <v>-113944.16753941456</v>
      </c>
      <c r="R236">
        <f t="shared" si="961"/>
        <v>456503.93076432933</v>
      </c>
      <c r="S236">
        <f t="shared" si="962"/>
        <v>4.5650393076432936</v>
      </c>
      <c r="T236">
        <f t="shared" si="963"/>
        <v>4.5650393076432936E-3</v>
      </c>
    </row>
    <row r="237" spans="1:20" x14ac:dyDescent="0.25">
      <c r="A237" s="5">
        <v>44356</v>
      </c>
      <c r="B237">
        <v>54.598999999999997</v>
      </c>
      <c r="C237">
        <v>57.136000000000003</v>
      </c>
      <c r="D237">
        <v>50.500999999999998</v>
      </c>
      <c r="E237">
        <v>56.222000000000001</v>
      </c>
      <c r="F237">
        <v>171973.44099999999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0.7244913338357194</v>
      </c>
      <c r="Q237">
        <f t="shared" si="960"/>
        <v>124593.26765440838</v>
      </c>
      <c r="R237">
        <f t="shared" si="961"/>
        <v>570448.09830374387</v>
      </c>
      <c r="S237">
        <f t="shared" si="962"/>
        <v>5.7044809830374383</v>
      </c>
      <c r="T237">
        <f t="shared" si="963"/>
        <v>5.7044809830374384E-3</v>
      </c>
    </row>
    <row r="238" spans="1:20" x14ac:dyDescent="0.25">
      <c r="A238" s="5">
        <v>44355</v>
      </c>
      <c r="B238">
        <v>56</v>
      </c>
      <c r="C238">
        <v>57.103000000000002</v>
      </c>
      <c r="D238">
        <v>48.5</v>
      </c>
      <c r="E238">
        <v>54.564</v>
      </c>
      <c r="F238">
        <v>175723.16500000001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0.40974078809717518</v>
      </c>
      <c r="Q238">
        <f t="shared" si="960"/>
        <v>72000.948114029947</v>
      </c>
      <c r="R238">
        <f t="shared" si="961"/>
        <v>445854.83064933552</v>
      </c>
      <c r="S238">
        <f t="shared" si="962"/>
        <v>4.4585483064933555</v>
      </c>
      <c r="T238">
        <f t="shared" si="963"/>
        <v>4.4585483064933555E-3</v>
      </c>
    </row>
    <row r="239" spans="1:20" x14ac:dyDescent="0.25">
      <c r="A239" s="5">
        <v>44354</v>
      </c>
      <c r="B239">
        <v>64.391999999999996</v>
      </c>
      <c r="C239">
        <v>66.933000000000007</v>
      </c>
      <c r="D239">
        <v>54.587000000000003</v>
      </c>
      <c r="E239">
        <v>55.999000000000002</v>
      </c>
      <c r="F239">
        <v>130606.364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-0.77126194718937335</v>
      </c>
      <c r="Q239">
        <f t="shared" si="960"/>
        <v>-100731.71861396407</v>
      </c>
      <c r="R239">
        <f t="shared" si="961"/>
        <v>373853.88253530557</v>
      </c>
      <c r="S239">
        <f t="shared" si="962"/>
        <v>3.7385388253530558</v>
      </c>
      <c r="T239">
        <f t="shared" si="963"/>
        <v>3.7385388253530559E-3</v>
      </c>
    </row>
    <row r="240" spans="1:20" x14ac:dyDescent="0.25">
      <c r="A240" s="5">
        <v>44353</v>
      </c>
      <c r="B240">
        <v>60.71</v>
      </c>
      <c r="C240">
        <v>65.926000000000002</v>
      </c>
      <c r="D240">
        <v>60.591000000000001</v>
      </c>
      <c r="E240">
        <v>64.447000000000003</v>
      </c>
      <c r="F240">
        <v>78780.062000000005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0.44554826616682325</v>
      </c>
      <c r="Q240">
        <f t="shared" si="960"/>
        <v>35100.320032614844</v>
      </c>
      <c r="R240">
        <f t="shared" si="961"/>
        <v>474585.60114926967</v>
      </c>
      <c r="S240">
        <f t="shared" si="962"/>
        <v>4.7458560114926964</v>
      </c>
      <c r="T240">
        <f t="shared" si="963"/>
        <v>4.7458560114926962E-3</v>
      </c>
    </row>
    <row r="241" spans="1:20" x14ac:dyDescent="0.25">
      <c r="A241" s="5">
        <v>44352</v>
      </c>
      <c r="B241">
        <v>63.222000000000001</v>
      </c>
      <c r="C241">
        <v>69.168999999999997</v>
      </c>
      <c r="D241">
        <v>59.305999999999997</v>
      </c>
      <c r="E241">
        <v>60.886000000000003</v>
      </c>
      <c r="F241">
        <v>142771.38399999999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-0.67961066612592402</v>
      </c>
      <c r="Q241">
        <f t="shared" si="960"/>
        <v>-97028.955383960085</v>
      </c>
      <c r="R241">
        <f t="shared" si="961"/>
        <v>439485.28111665481</v>
      </c>
      <c r="S241">
        <f t="shared" si="962"/>
        <v>4.3948528111665484</v>
      </c>
      <c r="T241">
        <f t="shared" si="963"/>
        <v>4.3948528111665483E-3</v>
      </c>
    </row>
    <row r="242" spans="1:20" x14ac:dyDescent="0.25">
      <c r="A242" s="5">
        <v>44351</v>
      </c>
      <c r="B242">
        <v>70.536000000000001</v>
      </c>
      <c r="C242">
        <v>70.844999999999999</v>
      </c>
      <c r="D242">
        <v>58.834000000000003</v>
      </c>
      <c r="E242">
        <v>63.106999999999999</v>
      </c>
      <c r="F242">
        <v>183236.44399999999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-0.28848555490800137</v>
      </c>
      <c r="Q242">
        <f t="shared" si="960"/>
        <v>-52861.067226708918</v>
      </c>
      <c r="R242">
        <f t="shared" si="961"/>
        <v>536514.2365006149</v>
      </c>
      <c r="S242">
        <f t="shared" si="962"/>
        <v>5.3651423650061494</v>
      </c>
      <c r="T242">
        <f t="shared" si="963"/>
        <v>5.3651423650061493E-3</v>
      </c>
    </row>
    <row r="243" spans="1:20" x14ac:dyDescent="0.25">
      <c r="A243" s="5">
        <v>44350</v>
      </c>
      <c r="B243">
        <v>64.459999999999994</v>
      </c>
      <c r="C243">
        <v>75.567999999999998</v>
      </c>
      <c r="D243">
        <v>62.429000000000002</v>
      </c>
      <c r="E243">
        <v>70.537000000000006</v>
      </c>
      <c r="F243">
        <v>203987.71100000001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0.23418829439074612</v>
      </c>
      <c r="Q243">
        <f t="shared" si="960"/>
        <v>47771.534115762443</v>
      </c>
      <c r="R243">
        <f t="shared" si="961"/>
        <v>589375.30372732377</v>
      </c>
      <c r="S243">
        <f t="shared" si="962"/>
        <v>5.8937530372732381</v>
      </c>
      <c r="T243">
        <f t="shared" si="963"/>
        <v>5.8937530372732382E-3</v>
      </c>
    </row>
    <row r="244" spans="1:20" x14ac:dyDescent="0.25">
      <c r="A244" s="5">
        <v>44349</v>
      </c>
      <c r="B244">
        <v>59.326999999999998</v>
      </c>
      <c r="C244">
        <v>68.331999999999994</v>
      </c>
      <c r="D244">
        <v>57.962000000000003</v>
      </c>
      <c r="E244">
        <v>64.363</v>
      </c>
      <c r="F244">
        <v>212974.408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0.23452266152362627</v>
      </c>
      <c r="Q244">
        <f t="shared" si="960"/>
        <v>49947.325000578683</v>
      </c>
      <c r="R244">
        <f t="shared" si="961"/>
        <v>541603.76961156132</v>
      </c>
      <c r="S244">
        <f t="shared" si="962"/>
        <v>5.4160376961156134</v>
      </c>
      <c r="T244">
        <f t="shared" si="963"/>
        <v>5.4160376961156134E-3</v>
      </c>
    </row>
    <row r="245" spans="1:20" x14ac:dyDescent="0.25">
      <c r="A245" s="5">
        <v>44348</v>
      </c>
      <c r="B245">
        <v>62.771999999999998</v>
      </c>
      <c r="C245">
        <v>63.902999999999999</v>
      </c>
      <c r="D245">
        <v>57.314999999999998</v>
      </c>
      <c r="E245">
        <v>59.231999999999999</v>
      </c>
      <c r="F245">
        <v>137565.049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-0.41803278688524548</v>
      </c>
      <c r="Q245">
        <f t="shared" si="960"/>
        <v>-57506.700811475348</v>
      </c>
      <c r="R245">
        <f t="shared" si="961"/>
        <v>491656.44461098261</v>
      </c>
      <c r="S245">
        <f t="shared" si="962"/>
        <v>4.9165644461098257</v>
      </c>
      <c r="T245">
        <f t="shared" si="963"/>
        <v>4.9165644461098253E-3</v>
      </c>
    </row>
    <row r="246" spans="1:20" x14ac:dyDescent="0.25">
      <c r="A246" s="5">
        <v>44347</v>
      </c>
      <c r="B246">
        <v>60.161000000000001</v>
      </c>
      <c r="C246">
        <v>63.5</v>
      </c>
      <c r="D246">
        <v>53.555999999999997</v>
      </c>
      <c r="E246">
        <v>62.771999999999998</v>
      </c>
      <c r="F246">
        <v>187696.17199999999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0.85358004827031353</v>
      </c>
      <c r="Q246">
        <f t="shared" si="960"/>
        <v>160213.70755591308</v>
      </c>
      <c r="R246">
        <f t="shared" si="961"/>
        <v>549163.14542245795</v>
      </c>
      <c r="S246">
        <f t="shared" si="962"/>
        <v>5.4916314542245797</v>
      </c>
      <c r="T246">
        <f t="shared" si="963"/>
        <v>5.4916314542245792E-3</v>
      </c>
    </row>
    <row r="247" spans="1:20" x14ac:dyDescent="0.25">
      <c r="A247" s="5">
        <v>44346</v>
      </c>
      <c r="B247">
        <v>52.503</v>
      </c>
      <c r="C247">
        <v>61</v>
      </c>
      <c r="D247">
        <v>48.801000000000002</v>
      </c>
      <c r="E247">
        <v>60.15</v>
      </c>
      <c r="F247">
        <v>124634.992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0.86064431510779549</v>
      </c>
      <c r="Q247">
        <f t="shared" si="960"/>
        <v>107266.39732830557</v>
      </c>
      <c r="R247">
        <f t="shared" si="961"/>
        <v>388949.43786654482</v>
      </c>
      <c r="S247">
        <f t="shared" si="962"/>
        <v>3.8894943786654483</v>
      </c>
      <c r="T247">
        <f t="shared" si="963"/>
        <v>3.8894943786654482E-3</v>
      </c>
    </row>
    <row r="248" spans="1:20" x14ac:dyDescent="0.25">
      <c r="A248" s="5">
        <v>44345</v>
      </c>
      <c r="B248">
        <v>55.874000000000002</v>
      </c>
      <c r="C248">
        <v>59.387</v>
      </c>
      <c r="D248">
        <v>48.119</v>
      </c>
      <c r="E248">
        <v>52.484000000000002</v>
      </c>
      <c r="F248">
        <v>158047.717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-0.22523961661341824</v>
      </c>
      <c r="Q248">
        <f t="shared" si="960"/>
        <v>-35598.607183706023</v>
      </c>
      <c r="R248">
        <f t="shared" si="961"/>
        <v>281683.04053823923</v>
      </c>
      <c r="S248">
        <f t="shared" si="962"/>
        <v>2.8168304053823925</v>
      </c>
      <c r="T248">
        <f t="shared" si="963"/>
        <v>2.8168304053823924E-3</v>
      </c>
    </row>
    <row r="249" spans="1:20" x14ac:dyDescent="0.25">
      <c r="A249" s="5">
        <v>44344</v>
      </c>
      <c r="B249">
        <v>64.826999999999998</v>
      </c>
      <c r="C249">
        <v>66.682000000000002</v>
      </c>
      <c r="D249">
        <v>53.539000000000001</v>
      </c>
      <c r="E249">
        <v>55.874000000000002</v>
      </c>
      <c r="F249">
        <v>235313.61900000001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-0.64467777524157333</v>
      </c>
      <c r="Q249">
        <f t="shared" si="960"/>
        <v>-151701.46038096322</v>
      </c>
      <c r="R249">
        <f t="shared" si="961"/>
        <v>317281.64772194525</v>
      </c>
      <c r="S249">
        <f t="shared" si="962"/>
        <v>3.1728164772194525</v>
      </c>
      <c r="T249">
        <f t="shared" si="963"/>
        <v>3.1728164772194525E-3</v>
      </c>
    </row>
    <row r="250" spans="1:20" x14ac:dyDescent="0.25">
      <c r="A250" s="5">
        <v>44343</v>
      </c>
      <c r="B250">
        <v>71.438999999999993</v>
      </c>
      <c r="C250">
        <v>74.378</v>
      </c>
      <c r="D250">
        <v>61.281999999999996</v>
      </c>
      <c r="E250">
        <v>64.81</v>
      </c>
      <c r="F250">
        <v>322709.89500000002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-0.46120952962736639</v>
      </c>
      <c r="Q250">
        <f t="shared" si="960"/>
        <v>-148836.8788790468</v>
      </c>
      <c r="R250">
        <f t="shared" si="961"/>
        <v>468983.10810290847</v>
      </c>
      <c r="S250">
        <f t="shared" si="962"/>
        <v>4.6898310810290846</v>
      </c>
      <c r="T250">
        <f t="shared" si="963"/>
        <v>4.6898310810290847E-3</v>
      </c>
    </row>
    <row r="251" spans="1:20" x14ac:dyDescent="0.25">
      <c r="A251" s="5">
        <v>44342</v>
      </c>
      <c r="B251">
        <v>52.746000000000002</v>
      </c>
      <c r="C251">
        <v>79.067999999999998</v>
      </c>
      <c r="D251">
        <v>51.276000000000003</v>
      </c>
      <c r="E251">
        <v>71.423000000000002</v>
      </c>
      <c r="F251">
        <v>380410.71500000003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0.44984168105929784</v>
      </c>
      <c r="Q251">
        <f t="shared" si="960"/>
        <v>171124.59552856945</v>
      </c>
      <c r="R251">
        <f t="shared" si="961"/>
        <v>617819.98698195524</v>
      </c>
      <c r="S251">
        <f t="shared" si="962"/>
        <v>6.1781998698195526</v>
      </c>
      <c r="T251">
        <f t="shared" si="963"/>
        <v>6.1781998698195529E-3</v>
      </c>
    </row>
    <row r="252" spans="1:20" x14ac:dyDescent="0.25">
      <c r="A252" s="5">
        <v>44341</v>
      </c>
      <c r="B252">
        <v>52.399000000000001</v>
      </c>
      <c r="C252">
        <v>56.945999999999998</v>
      </c>
      <c r="D252">
        <v>46.45</v>
      </c>
      <c r="E252">
        <v>52.668999999999997</v>
      </c>
      <c r="F252">
        <v>232113.87400000001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0.18502286585365796</v>
      </c>
      <c r="Q252">
        <f t="shared" si="960"/>
        <v>42946.374171874864</v>
      </c>
      <c r="R252">
        <f t="shared" si="961"/>
        <v>446695.39145338582</v>
      </c>
      <c r="S252">
        <f t="shared" si="962"/>
        <v>4.4669539145338586</v>
      </c>
      <c r="T252">
        <f t="shared" si="963"/>
        <v>4.4669539145338584E-3</v>
      </c>
    </row>
    <row r="253" spans="1:20" x14ac:dyDescent="0.25">
      <c r="A253" s="5">
        <v>44340</v>
      </c>
      <c r="B253">
        <v>41.92</v>
      </c>
      <c r="C253">
        <v>56</v>
      </c>
      <c r="D253">
        <v>41.512</v>
      </c>
      <c r="E253">
        <v>52.4</v>
      </c>
      <c r="F253">
        <v>218265.58199999999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0.50303699613473196</v>
      </c>
      <c r="Q253">
        <f t="shared" si="960"/>
        <v>109795.66272887902</v>
      </c>
      <c r="R253">
        <f t="shared" si="961"/>
        <v>403749.01728151093</v>
      </c>
      <c r="S253">
        <f t="shared" si="962"/>
        <v>4.0374901728151089</v>
      </c>
      <c r="T253">
        <f t="shared" si="963"/>
        <v>4.0374901728151089E-3</v>
      </c>
    </row>
    <row r="254" spans="1:20" x14ac:dyDescent="0.25">
      <c r="A254" s="5">
        <v>44339</v>
      </c>
      <c r="B254">
        <v>51.162999999999997</v>
      </c>
      <c r="C254">
        <v>53.406999999999996</v>
      </c>
      <c r="D254">
        <v>33.773000000000003</v>
      </c>
      <c r="E254">
        <v>41.78</v>
      </c>
      <c r="F254">
        <v>298663.02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-0.184374045023938</v>
      </c>
      <c r="Q254">
        <f t="shared" si="960"/>
        <v>-55065.709096465303</v>
      </c>
      <c r="R254">
        <f t="shared" si="961"/>
        <v>293953.35455263191</v>
      </c>
      <c r="S254">
        <f t="shared" si="962"/>
        <v>2.9395335455263192</v>
      </c>
      <c r="T254">
        <f t="shared" si="963"/>
        <v>2.9395335455263192E-3</v>
      </c>
    </row>
    <row r="255" spans="1:20" x14ac:dyDescent="0.25">
      <c r="A255" s="5">
        <v>44338</v>
      </c>
      <c r="B255">
        <v>56.264000000000003</v>
      </c>
      <c r="C255">
        <v>58.207000000000001</v>
      </c>
      <c r="D255">
        <v>49.100999999999999</v>
      </c>
      <c r="E255">
        <v>51.173999999999999</v>
      </c>
      <c r="F255">
        <v>148515.85800000001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-0.54469580496376013</v>
      </c>
      <c r="Q255">
        <f t="shared" si="960"/>
        <v>-80895.964823193499</v>
      </c>
      <c r="R255">
        <f t="shared" si="961"/>
        <v>349019.06364909722</v>
      </c>
      <c r="S255">
        <f t="shared" si="962"/>
        <v>3.4901906364909721</v>
      </c>
      <c r="T255">
        <f t="shared" si="963"/>
        <v>3.4901906364909721E-3</v>
      </c>
    </row>
    <row r="256" spans="1:20" x14ac:dyDescent="0.25">
      <c r="A256" s="5">
        <v>44337</v>
      </c>
      <c r="B256">
        <v>66.893000000000001</v>
      </c>
      <c r="C256">
        <v>72.66</v>
      </c>
      <c r="D256">
        <v>47.670999999999999</v>
      </c>
      <c r="E256">
        <v>56.36</v>
      </c>
      <c r="F256">
        <v>268683.08799999999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-0.30457401256552874</v>
      </c>
      <c r="Q256">
        <f t="shared" si="960"/>
        <v>-81833.886220657063</v>
      </c>
      <c r="R256">
        <f t="shared" si="961"/>
        <v>429915.02847229072</v>
      </c>
      <c r="S256">
        <f t="shared" si="962"/>
        <v>4.2991502847229075</v>
      </c>
      <c r="T256">
        <f t="shared" si="963"/>
        <v>4.2991502847229074E-3</v>
      </c>
    </row>
    <row r="257" spans="1:20" x14ac:dyDescent="0.25">
      <c r="A257" s="5">
        <v>44336</v>
      </c>
      <c r="B257">
        <v>53.999000000000002</v>
      </c>
      <c r="C257">
        <v>73.819999999999993</v>
      </c>
      <c r="D257">
        <v>49.505000000000003</v>
      </c>
      <c r="E257">
        <v>66.994</v>
      </c>
      <c r="F257">
        <v>333776.712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0.43853588319967129</v>
      </c>
      <c r="Q257">
        <f t="shared" si="960"/>
        <v>146373.06518840231</v>
      </c>
      <c r="R257">
        <f t="shared" si="961"/>
        <v>511748.91469294782</v>
      </c>
      <c r="S257">
        <f t="shared" si="962"/>
        <v>5.1174891469294783</v>
      </c>
      <c r="T257">
        <f t="shared" si="963"/>
        <v>5.1174891469294784E-3</v>
      </c>
    </row>
    <row r="258" spans="1:20" x14ac:dyDescent="0.25">
      <c r="A258" s="5">
        <v>44335</v>
      </c>
      <c r="B258">
        <v>89.531999999999996</v>
      </c>
      <c r="C258">
        <v>93</v>
      </c>
      <c r="D258">
        <v>40</v>
      </c>
      <c r="E258">
        <v>53.859000000000002</v>
      </c>
      <c r="F258">
        <v>521768.18599999999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-0.47701886792452824</v>
      </c>
      <c r="Q258">
        <f t="shared" si="960"/>
        <v>-248893.26940475468</v>
      </c>
      <c r="R258">
        <f t="shared" si="961"/>
        <v>365375.84950454551</v>
      </c>
      <c r="S258">
        <f t="shared" si="962"/>
        <v>3.6537584950454551</v>
      </c>
      <c r="T258">
        <f t="shared" si="963"/>
        <v>3.6537584950454552E-3</v>
      </c>
    </row>
    <row r="259" spans="1:20" x14ac:dyDescent="0.25">
      <c r="A259" s="5">
        <v>44334</v>
      </c>
      <c r="B259">
        <v>85.462000000000003</v>
      </c>
      <c r="C259">
        <v>94.179000000000002</v>
      </c>
      <c r="D259">
        <v>83.41</v>
      </c>
      <c r="E259">
        <v>89.664000000000001</v>
      </c>
      <c r="F259">
        <v>188473.53899999999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0.16148203175782369</v>
      </c>
      <c r="Q259">
        <f t="shared" si="960"/>
        <v>30435.09001030742</v>
      </c>
      <c r="R259">
        <f t="shared" si="961"/>
        <v>614269.11890930019</v>
      </c>
      <c r="S259">
        <f t="shared" si="962"/>
        <v>6.1426911890930018</v>
      </c>
      <c r="T259">
        <f t="shared" si="963"/>
        <v>6.1426911890930021E-3</v>
      </c>
    </row>
    <row r="260" spans="1:20" x14ac:dyDescent="0.25">
      <c r="A260" s="5">
        <v>44333</v>
      </c>
      <c r="B260">
        <v>94.182000000000002</v>
      </c>
      <c r="C260">
        <v>94.724999999999994</v>
      </c>
      <c r="D260">
        <v>81</v>
      </c>
      <c r="E260">
        <v>85.406000000000006</v>
      </c>
      <c r="F260">
        <v>199788.644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-0.35795992714025388</v>
      </c>
      <c r="Q260">
        <f t="shared" si="960"/>
        <v>-71516.328449690118</v>
      </c>
      <c r="R260">
        <f t="shared" si="961"/>
        <v>583834.02889899281</v>
      </c>
      <c r="S260">
        <f t="shared" si="962"/>
        <v>5.8383402889899285</v>
      </c>
      <c r="T260">
        <f t="shared" si="963"/>
        <v>5.8383402889899284E-3</v>
      </c>
    </row>
    <row r="261" spans="1:20" x14ac:dyDescent="0.25">
      <c r="A261" s="5">
        <v>44332</v>
      </c>
      <c r="B261">
        <v>93.441000000000003</v>
      </c>
      <c r="C261">
        <v>103.5</v>
      </c>
      <c r="D261">
        <v>86.028000000000006</v>
      </c>
      <c r="E261">
        <v>94.222999999999999</v>
      </c>
      <c r="F261">
        <v>213450.62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-6.1927655677656145E-2</v>
      </c>
      <c r="Q261">
        <f t="shared" si="960"/>
        <v>-13218.496499542223</v>
      </c>
      <c r="R261">
        <f t="shared" si="961"/>
        <v>655350.35734868294</v>
      </c>
      <c r="S261">
        <f t="shared" si="962"/>
        <v>6.5535035734868297</v>
      </c>
      <c r="T261">
        <f t="shared" si="963"/>
        <v>6.5535035734868297E-3</v>
      </c>
    </row>
    <row r="262" spans="1:20" x14ac:dyDescent="0.25">
      <c r="A262" s="5">
        <v>44331</v>
      </c>
      <c r="B262">
        <v>107.075</v>
      </c>
      <c r="C262">
        <v>109.34099999999999</v>
      </c>
      <c r="D262">
        <v>92.5</v>
      </c>
      <c r="E262">
        <v>93.385000000000005</v>
      </c>
      <c r="F262">
        <v>186020.54399999999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-0.89489935277002486</v>
      </c>
      <c r="Q262">
        <f t="shared" ref="Q262:Q325" si="965">F262*P262</f>
        <v>-166469.66442752792</v>
      </c>
      <c r="R262">
        <f t="shared" ref="R262:R325" si="966">R263+Q262</f>
        <v>668568.8538482252</v>
      </c>
      <c r="S262">
        <f t="shared" ref="S262:S325" si="967">R262/100000</f>
        <v>6.6856885384822524</v>
      </c>
      <c r="T262">
        <f t="shared" ref="T262:T325" si="968">S262/1000</f>
        <v>6.6856885384822522E-3</v>
      </c>
    </row>
    <row r="263" spans="1:20" x14ac:dyDescent="0.25">
      <c r="A263" s="5">
        <v>44330</v>
      </c>
      <c r="B263">
        <v>100.624</v>
      </c>
      <c r="C263">
        <v>115.929</v>
      </c>
      <c r="D263">
        <v>100.624</v>
      </c>
      <c r="E263">
        <v>106.922</v>
      </c>
      <c r="F263">
        <v>236148.05900000001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-0.17700098007187207</v>
      </c>
      <c r="Q263">
        <f t="shared" si="965"/>
        <v>-41798.437885070271</v>
      </c>
      <c r="R263">
        <f t="shared" si="966"/>
        <v>835038.51827575313</v>
      </c>
      <c r="S263">
        <f t="shared" si="967"/>
        <v>8.3503851827575311</v>
      </c>
      <c r="T263">
        <f t="shared" si="968"/>
        <v>8.3503851827575314E-3</v>
      </c>
    </row>
    <row r="264" spans="1:20" x14ac:dyDescent="0.25">
      <c r="A264" s="5">
        <v>44329</v>
      </c>
      <c r="B264">
        <v>100.872</v>
      </c>
      <c r="C264">
        <v>110.583</v>
      </c>
      <c r="D264">
        <v>92.111000000000004</v>
      </c>
      <c r="E264">
        <v>100.63800000000001</v>
      </c>
      <c r="F264">
        <v>313348.17300000001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-7.6764833261151619E-2</v>
      </c>
      <c r="Q264">
        <f t="shared" si="965"/>
        <v>-24054.120253031491</v>
      </c>
      <c r="R264">
        <f t="shared" si="966"/>
        <v>876836.95616082335</v>
      </c>
      <c r="S264">
        <f t="shared" si="967"/>
        <v>8.7683695616082336</v>
      </c>
      <c r="T264">
        <f t="shared" si="968"/>
        <v>8.7683695616082337E-3</v>
      </c>
    </row>
    <row r="265" spans="1:20" x14ac:dyDescent="0.25">
      <c r="A265" s="5">
        <v>44328</v>
      </c>
      <c r="B265">
        <v>121.117</v>
      </c>
      <c r="C265">
        <v>132.88999999999999</v>
      </c>
      <c r="D265">
        <v>98</v>
      </c>
      <c r="E265">
        <v>100</v>
      </c>
      <c r="F265">
        <v>381874.34899999999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-0.88535396961880186</v>
      </c>
      <c r="Q265">
        <f t="shared" si="965"/>
        <v>-338093.97078274575</v>
      </c>
      <c r="R265">
        <f t="shared" si="966"/>
        <v>900891.07641385484</v>
      </c>
      <c r="S265">
        <f t="shared" si="967"/>
        <v>9.0089107641385482</v>
      </c>
      <c r="T265">
        <f t="shared" si="968"/>
        <v>9.0089107641385478E-3</v>
      </c>
    </row>
    <row r="266" spans="1:20" x14ac:dyDescent="0.25">
      <c r="A266" s="5">
        <v>44327</v>
      </c>
      <c r="B266">
        <v>123.307</v>
      </c>
      <c r="C266">
        <v>127.798</v>
      </c>
      <c r="D266">
        <v>115</v>
      </c>
      <c r="E266">
        <v>121.364</v>
      </c>
      <c r="F266">
        <v>364281.13400000002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-5.4696046257222356E-3</v>
      </c>
      <c r="Q266">
        <f t="shared" si="965"/>
        <v>-1992.4737755897418</v>
      </c>
      <c r="R266">
        <f t="shared" si="966"/>
        <v>1238985.0471966006</v>
      </c>
      <c r="S266">
        <f t="shared" si="967"/>
        <v>12.389850471966005</v>
      </c>
      <c r="T266">
        <f t="shared" si="968"/>
        <v>1.2389850471966005E-2</v>
      </c>
    </row>
    <row r="267" spans="1:20" x14ac:dyDescent="0.25">
      <c r="A267" s="5">
        <v>44326</v>
      </c>
      <c r="B267">
        <v>145.99</v>
      </c>
      <c r="C267">
        <v>164.05</v>
      </c>
      <c r="D267">
        <v>108.348</v>
      </c>
      <c r="E267">
        <v>123.523</v>
      </c>
      <c r="F267">
        <v>842614.06299999997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-0.45513626081648795</v>
      </c>
      <c r="Q267">
        <f t="shared" si="965"/>
        <v>-383504.21394520858</v>
      </c>
      <c r="R267">
        <f t="shared" si="966"/>
        <v>1240977.5209721904</v>
      </c>
      <c r="S267">
        <f t="shared" si="967"/>
        <v>12.409775209721904</v>
      </c>
      <c r="T267">
        <f t="shared" si="968"/>
        <v>1.2409775209721904E-2</v>
      </c>
    </row>
    <row r="268" spans="1:20" x14ac:dyDescent="0.25">
      <c r="A268" s="5">
        <v>44325</v>
      </c>
      <c r="B268">
        <v>123.342</v>
      </c>
      <c r="C268">
        <v>149.19200000000001</v>
      </c>
      <c r="D268">
        <v>111.666</v>
      </c>
      <c r="E268">
        <v>146.167</v>
      </c>
      <c r="F268">
        <v>887390.14300000004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0.83877844694345227</v>
      </c>
      <c r="Q268">
        <f t="shared" si="965"/>
        <v>744323.72597846808</v>
      </c>
      <c r="R268">
        <f t="shared" si="966"/>
        <v>1624481.734917399</v>
      </c>
      <c r="S268">
        <f t="shared" si="967"/>
        <v>16.244817349173989</v>
      </c>
      <c r="T268">
        <f t="shared" si="968"/>
        <v>1.624481734917399E-2</v>
      </c>
    </row>
    <row r="269" spans="1:20" x14ac:dyDescent="0.25">
      <c r="A269" s="5">
        <v>44324</v>
      </c>
      <c r="B269">
        <v>104.654</v>
      </c>
      <c r="C269">
        <v>126.658</v>
      </c>
      <c r="D269">
        <v>103.03700000000001</v>
      </c>
      <c r="E269">
        <v>123.035</v>
      </c>
      <c r="F269">
        <v>382688.40899999999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0.69323906693196691</v>
      </c>
      <c r="Q269">
        <f t="shared" si="965"/>
        <v>265294.55558083893</v>
      </c>
      <c r="R269">
        <f t="shared" si="966"/>
        <v>880158.00893893093</v>
      </c>
      <c r="S269">
        <f t="shared" si="967"/>
        <v>8.8015800893893097</v>
      </c>
      <c r="T269">
        <f t="shared" si="968"/>
        <v>8.80158008938931E-3</v>
      </c>
    </row>
    <row r="270" spans="1:20" x14ac:dyDescent="0.25">
      <c r="A270" s="5">
        <v>44323</v>
      </c>
      <c r="B270">
        <v>108.85599999999999</v>
      </c>
      <c r="C270">
        <v>116.11499999999999</v>
      </c>
      <c r="D270">
        <v>98.8</v>
      </c>
      <c r="E270">
        <v>104.52500000000001</v>
      </c>
      <c r="F270">
        <v>338807.505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-0.33872365001443727</v>
      </c>
      <c r="Q270">
        <f t="shared" si="965"/>
        <v>-114762.11474588471</v>
      </c>
      <c r="R270">
        <f t="shared" si="966"/>
        <v>614863.453358092</v>
      </c>
      <c r="S270">
        <f t="shared" si="967"/>
        <v>6.1486345335809203</v>
      </c>
      <c r="T270">
        <f t="shared" si="968"/>
        <v>6.1486345335809199E-3</v>
      </c>
    </row>
    <row r="271" spans="1:20" x14ac:dyDescent="0.25">
      <c r="A271" s="5">
        <v>44322</v>
      </c>
      <c r="B271">
        <v>121.125</v>
      </c>
      <c r="C271">
        <v>138.5</v>
      </c>
      <c r="D271">
        <v>106.875</v>
      </c>
      <c r="E271">
        <v>108.884</v>
      </c>
      <c r="F271">
        <v>632668.47199999995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-0.87294861660079048</v>
      </c>
      <c r="Q271">
        <f t="shared" si="965"/>
        <v>-552287.06739933591</v>
      </c>
      <c r="R271">
        <f t="shared" si="966"/>
        <v>729625.56810397666</v>
      </c>
      <c r="S271">
        <f t="shared" si="967"/>
        <v>7.2962556810397663</v>
      </c>
      <c r="T271">
        <f t="shared" si="968"/>
        <v>7.296255681039766E-3</v>
      </c>
    </row>
    <row r="272" spans="1:20" x14ac:dyDescent="0.25">
      <c r="A272" s="5">
        <v>44321</v>
      </c>
      <c r="B272">
        <v>123.178</v>
      </c>
      <c r="C272">
        <v>135.161</v>
      </c>
      <c r="D272">
        <v>114.262</v>
      </c>
      <c r="E272">
        <v>121.11799999999999</v>
      </c>
      <c r="F272">
        <v>571408.40800000005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-0.34389205225130443</v>
      </c>
      <c r="Q272">
        <f t="shared" si="965"/>
        <v>-196502.8101007707</v>
      </c>
      <c r="R272">
        <f t="shared" si="966"/>
        <v>1281912.6355033126</v>
      </c>
      <c r="S272">
        <f t="shared" si="967"/>
        <v>12.819126355033125</v>
      </c>
      <c r="T272">
        <f t="shared" si="968"/>
        <v>1.2819126355033125E-2</v>
      </c>
    </row>
    <row r="273" spans="1:20" x14ac:dyDescent="0.25">
      <c r="A273" s="5">
        <v>44320</v>
      </c>
      <c r="B273">
        <v>98.572000000000003</v>
      </c>
      <c r="C273">
        <v>152.5</v>
      </c>
      <c r="D273">
        <v>91.1</v>
      </c>
      <c r="E273">
        <v>123.17400000000001</v>
      </c>
      <c r="F273">
        <v>1299877.642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4.47557003257332E-2</v>
      </c>
      <c r="Q273">
        <f t="shared" si="965"/>
        <v>58176.934205472702</v>
      </c>
      <c r="R273">
        <f t="shared" si="966"/>
        <v>1478415.4456040834</v>
      </c>
      <c r="S273">
        <f t="shared" si="967"/>
        <v>14.784154456040834</v>
      </c>
      <c r="T273">
        <f t="shared" si="968"/>
        <v>1.4784154456040834E-2</v>
      </c>
    </row>
    <row r="274" spans="1:20" x14ac:dyDescent="0.25">
      <c r="A274" s="5">
        <v>44319</v>
      </c>
      <c r="B274">
        <v>97.015000000000001</v>
      </c>
      <c r="C274">
        <v>105.88</v>
      </c>
      <c r="D274">
        <v>95.325999999999993</v>
      </c>
      <c r="E274">
        <v>98.552999999999997</v>
      </c>
      <c r="F274">
        <v>192046.26199999999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-0.38847830206556694</v>
      </c>
      <c r="Q274">
        <f t="shared" si="965"/>
        <v>-74605.805779799004</v>
      </c>
      <c r="R274">
        <f t="shared" si="966"/>
        <v>1420238.5113986107</v>
      </c>
      <c r="S274">
        <f t="shared" si="967"/>
        <v>14.202385113986107</v>
      </c>
      <c r="T274">
        <f t="shared" si="968"/>
        <v>1.4202385113986107E-2</v>
      </c>
    </row>
    <row r="275" spans="1:20" x14ac:dyDescent="0.25">
      <c r="A275" s="5">
        <v>44318</v>
      </c>
      <c r="B275">
        <v>88.572999999999993</v>
      </c>
      <c r="C275">
        <v>98.8</v>
      </c>
      <c r="D275">
        <v>83.506</v>
      </c>
      <c r="E275">
        <v>96.971000000000004</v>
      </c>
      <c r="F275">
        <v>160562.951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0.76082123708643989</v>
      </c>
      <c r="Q275">
        <f t="shared" si="965"/>
        <v>122159.70301006944</v>
      </c>
      <c r="R275">
        <f t="shared" si="966"/>
        <v>1494844.3171784095</v>
      </c>
      <c r="S275">
        <f t="shared" si="967"/>
        <v>14.948443171784096</v>
      </c>
      <c r="T275">
        <f t="shared" si="968"/>
        <v>1.4948443171784096E-2</v>
      </c>
    </row>
    <row r="276" spans="1:20" x14ac:dyDescent="0.25">
      <c r="A276" s="5">
        <v>44317</v>
      </c>
      <c r="B276">
        <v>84.222999999999999</v>
      </c>
      <c r="C276">
        <v>91.477000000000004</v>
      </c>
      <c r="D276">
        <v>83.28</v>
      </c>
      <c r="E276">
        <v>88.35</v>
      </c>
      <c r="F276">
        <v>170230.45300000001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0.23703794071001377</v>
      </c>
      <c r="Q276">
        <f t="shared" si="965"/>
        <v>40351.076025252791</v>
      </c>
      <c r="R276">
        <f t="shared" si="966"/>
        <v>1372684.6141683401</v>
      </c>
      <c r="S276">
        <f t="shared" si="967"/>
        <v>13.726846141683401</v>
      </c>
      <c r="T276">
        <f t="shared" si="968"/>
        <v>1.37268461416834E-2</v>
      </c>
    </row>
    <row r="277" spans="1:20" x14ac:dyDescent="0.25">
      <c r="A277" s="5">
        <v>44316</v>
      </c>
      <c r="B277">
        <v>82.873000000000005</v>
      </c>
      <c r="C277">
        <v>85.9</v>
      </c>
      <c r="D277">
        <v>80.587000000000003</v>
      </c>
      <c r="E277">
        <v>84.344999999999999</v>
      </c>
      <c r="F277">
        <v>137627.15599999999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0.41464332768680362</v>
      </c>
      <c r="Q277">
        <f t="shared" si="965"/>
        <v>57066.181943910837</v>
      </c>
      <c r="R277">
        <f t="shared" si="966"/>
        <v>1332333.5381430874</v>
      </c>
      <c r="S277">
        <f t="shared" si="967"/>
        <v>13.323335381430875</v>
      </c>
      <c r="T277">
        <f t="shared" si="968"/>
        <v>1.3323335381430875E-2</v>
      </c>
    </row>
    <row r="278" spans="1:20" x14ac:dyDescent="0.25">
      <c r="A278" s="5">
        <v>44315</v>
      </c>
      <c r="B278">
        <v>81.86</v>
      </c>
      <c r="C278">
        <v>86.198999999999998</v>
      </c>
      <c r="D278">
        <v>78.575000000000003</v>
      </c>
      <c r="E278">
        <v>82.978999999999999</v>
      </c>
      <c r="F278">
        <v>222022.75899999999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0.15529905561385077</v>
      </c>
      <c r="Q278">
        <f t="shared" si="965"/>
        <v>34479.924797481588</v>
      </c>
      <c r="R278">
        <f t="shared" si="966"/>
        <v>1275267.3561991765</v>
      </c>
      <c r="S278">
        <f t="shared" si="967"/>
        <v>12.752673561991765</v>
      </c>
      <c r="T278">
        <f t="shared" si="968"/>
        <v>1.2752673561991765E-2</v>
      </c>
    </row>
    <row r="279" spans="1:20" x14ac:dyDescent="0.25">
      <c r="A279" s="5">
        <v>44314</v>
      </c>
      <c r="B279">
        <v>86.92</v>
      </c>
      <c r="C279">
        <v>95.816000000000003</v>
      </c>
      <c r="D279">
        <v>79.879000000000005</v>
      </c>
      <c r="E279">
        <v>81.986999999999995</v>
      </c>
      <c r="F279">
        <v>431366.32199999999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-0.73545836732132897</v>
      </c>
      <c r="Q279">
        <f t="shared" si="965"/>
        <v>-317251.97089552664</v>
      </c>
      <c r="R279">
        <f t="shared" si="966"/>
        <v>1240787.4314016949</v>
      </c>
      <c r="S279">
        <f t="shared" si="967"/>
        <v>12.407874314016949</v>
      </c>
      <c r="T279">
        <f t="shared" si="968"/>
        <v>1.2407874314016949E-2</v>
      </c>
    </row>
    <row r="280" spans="1:20" x14ac:dyDescent="0.25">
      <c r="A280" s="5">
        <v>44313</v>
      </c>
      <c r="B280">
        <v>88.602000000000004</v>
      </c>
      <c r="C280">
        <v>101</v>
      </c>
      <c r="D280">
        <v>85.131</v>
      </c>
      <c r="E280">
        <v>86.924999999999997</v>
      </c>
      <c r="F280">
        <v>607875.47100000002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-0.77389879639548842</v>
      </c>
      <c r="Q280">
        <f t="shared" si="965"/>
        <v>-470434.09536524065</v>
      </c>
      <c r="R280">
        <f t="shared" si="966"/>
        <v>1558039.4022972216</v>
      </c>
      <c r="S280">
        <f t="shared" si="967"/>
        <v>15.580394022972216</v>
      </c>
      <c r="T280">
        <f t="shared" si="968"/>
        <v>1.5580394022972217E-2</v>
      </c>
    </row>
    <row r="281" spans="1:20" x14ac:dyDescent="0.25">
      <c r="A281" s="5">
        <v>44312</v>
      </c>
      <c r="B281">
        <v>61.886000000000003</v>
      </c>
      <c r="C281">
        <v>92</v>
      </c>
      <c r="D281">
        <v>61.098999999999997</v>
      </c>
      <c r="E281">
        <v>88.823999999999998</v>
      </c>
      <c r="F281">
        <v>393171.29700000002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0.79444030937510102</v>
      </c>
      <c r="Q281">
        <f t="shared" si="965"/>
        <v>312351.12682608975</v>
      </c>
      <c r="R281">
        <f t="shared" si="966"/>
        <v>2028473.4976624623</v>
      </c>
      <c r="S281">
        <f t="shared" si="967"/>
        <v>20.284734976624623</v>
      </c>
      <c r="T281">
        <f t="shared" si="968"/>
        <v>2.0284734976624624E-2</v>
      </c>
    </row>
    <row r="282" spans="1:20" x14ac:dyDescent="0.25">
      <c r="A282" s="5">
        <v>44311</v>
      </c>
      <c r="B282">
        <v>64.644000000000005</v>
      </c>
      <c r="C282">
        <v>68.426000000000002</v>
      </c>
      <c r="D282">
        <v>58.720999999999997</v>
      </c>
      <c r="E282">
        <v>61.853000000000002</v>
      </c>
      <c r="F282">
        <v>174327.53400000001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-0.35455950540958203</v>
      </c>
      <c r="Q282">
        <f t="shared" si="965"/>
        <v>-61809.484234312098</v>
      </c>
      <c r="R282">
        <f t="shared" si="966"/>
        <v>1716122.3708363725</v>
      </c>
      <c r="S282">
        <f t="shared" si="967"/>
        <v>17.161223708363725</v>
      </c>
      <c r="T282">
        <f t="shared" si="968"/>
        <v>1.7161223708363725E-2</v>
      </c>
    </row>
    <row r="283" spans="1:20" x14ac:dyDescent="0.25">
      <c r="A283" s="5">
        <v>44310</v>
      </c>
      <c r="B283">
        <v>64.369</v>
      </c>
      <c r="C283">
        <v>67.817999999999998</v>
      </c>
      <c r="D283">
        <v>57.613999999999997</v>
      </c>
      <c r="E283">
        <v>64.718000000000004</v>
      </c>
      <c r="F283">
        <v>272413.28100000002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0.39239513916111446</v>
      </c>
      <c r="Q283">
        <f t="shared" si="965"/>
        <v>106893.64730733079</v>
      </c>
      <c r="R283">
        <f t="shared" si="966"/>
        <v>1777931.8550706846</v>
      </c>
      <c r="S283">
        <f t="shared" si="967"/>
        <v>17.779318550706847</v>
      </c>
      <c r="T283">
        <f t="shared" si="968"/>
        <v>1.7779318550706847E-2</v>
      </c>
    </row>
    <row r="284" spans="1:20" x14ac:dyDescent="0.25">
      <c r="A284" s="5">
        <v>44309</v>
      </c>
      <c r="B284">
        <v>69.350999999999999</v>
      </c>
      <c r="C284">
        <v>70.674999999999997</v>
      </c>
      <c r="D284">
        <v>54.386000000000003</v>
      </c>
      <c r="E284">
        <v>64.286000000000001</v>
      </c>
      <c r="F284">
        <v>418019.84399999998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0.2155442323040091</v>
      </c>
      <c r="Q284">
        <f t="shared" si="965"/>
        <v>90101.76636282164</v>
      </c>
      <c r="R284">
        <f t="shared" si="966"/>
        <v>1671038.2077633538</v>
      </c>
      <c r="S284">
        <f t="shared" si="967"/>
        <v>16.71038207763354</v>
      </c>
      <c r="T284">
        <f t="shared" si="968"/>
        <v>1.6710382077633541E-2</v>
      </c>
    </row>
    <row r="285" spans="1:20" x14ac:dyDescent="0.25">
      <c r="A285" s="5">
        <v>44308</v>
      </c>
      <c r="B285">
        <v>77.988</v>
      </c>
      <c r="C285">
        <v>81.457999999999998</v>
      </c>
      <c r="D285">
        <v>65.688000000000002</v>
      </c>
      <c r="E285">
        <v>69.402000000000001</v>
      </c>
      <c r="F285">
        <v>290155.46500000003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-0.52897907419150292</v>
      </c>
      <c r="Q285">
        <f t="shared" si="965"/>
        <v>-153486.16924730505</v>
      </c>
      <c r="R285">
        <f t="shared" si="966"/>
        <v>1580936.4414005321</v>
      </c>
      <c r="S285">
        <f t="shared" si="967"/>
        <v>15.809364414005321</v>
      </c>
      <c r="T285">
        <f t="shared" si="968"/>
        <v>1.5809364414005322E-2</v>
      </c>
    </row>
    <row r="286" spans="1:20" x14ac:dyDescent="0.25">
      <c r="A286" s="5">
        <v>44307</v>
      </c>
      <c r="B286">
        <v>92.3</v>
      </c>
      <c r="C286">
        <v>97.3</v>
      </c>
      <c r="D286">
        <v>77.174999999999997</v>
      </c>
      <c r="E286">
        <v>78.031999999999996</v>
      </c>
      <c r="F286">
        <v>534767.19299999997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-0.91483229813664602</v>
      </c>
      <c r="Q286">
        <f t="shared" si="965"/>
        <v>-489222.30014027329</v>
      </c>
      <c r="R286">
        <f t="shared" si="966"/>
        <v>1734422.6106478372</v>
      </c>
      <c r="S286">
        <f t="shared" si="967"/>
        <v>17.34422610647837</v>
      </c>
      <c r="T286">
        <f t="shared" si="968"/>
        <v>1.7344226106478369E-2</v>
      </c>
    </row>
    <row r="287" spans="1:20" x14ac:dyDescent="0.25">
      <c r="A287" s="5">
        <v>44306</v>
      </c>
      <c r="B287">
        <v>86.2</v>
      </c>
      <c r="C287">
        <v>102.06100000000001</v>
      </c>
      <c r="D287">
        <v>77.295000000000002</v>
      </c>
      <c r="E287">
        <v>92.382999999999996</v>
      </c>
      <c r="F287">
        <v>804472.79799999995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0.21844464184769366</v>
      </c>
      <c r="Q287">
        <f t="shared" si="965"/>
        <v>175732.77223532199</v>
      </c>
      <c r="R287">
        <f t="shared" si="966"/>
        <v>2223644.9107881105</v>
      </c>
      <c r="S287">
        <f t="shared" si="967"/>
        <v>22.236449107881104</v>
      </c>
      <c r="T287">
        <f t="shared" si="968"/>
        <v>2.2236449107881105E-2</v>
      </c>
    </row>
    <row r="288" spans="1:20" x14ac:dyDescent="0.25">
      <c r="A288" s="5">
        <v>44305</v>
      </c>
      <c r="B288">
        <v>76.045000000000002</v>
      </c>
      <c r="C288">
        <v>91.6</v>
      </c>
      <c r="D288">
        <v>63.015999999999998</v>
      </c>
      <c r="E288">
        <v>86.2</v>
      </c>
      <c r="F288">
        <v>508801.64199999999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0.62216624685138588</v>
      </c>
      <c r="Q288">
        <f t="shared" si="965"/>
        <v>316559.20799496246</v>
      </c>
      <c r="R288">
        <f t="shared" si="966"/>
        <v>2047912.1385527886</v>
      </c>
      <c r="S288">
        <f t="shared" si="967"/>
        <v>20.479121385527886</v>
      </c>
      <c r="T288">
        <f t="shared" si="968"/>
        <v>2.0479121385527887E-2</v>
      </c>
    </row>
    <row r="289" spans="1:20" x14ac:dyDescent="0.25">
      <c r="A289" s="5">
        <v>44304</v>
      </c>
      <c r="B289">
        <v>83.009</v>
      </c>
      <c r="C289">
        <v>86.242999999999995</v>
      </c>
      <c r="D289">
        <v>54.860999999999997</v>
      </c>
      <c r="E289">
        <v>76.046000000000006</v>
      </c>
      <c r="F289">
        <v>317543.06099999999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0.35013702122235746</v>
      </c>
      <c r="Q289">
        <f t="shared" si="965"/>
        <v>111183.58148836934</v>
      </c>
      <c r="R289">
        <f t="shared" si="966"/>
        <v>1731352.9305578263</v>
      </c>
      <c r="S289">
        <f t="shared" si="967"/>
        <v>17.313529305578264</v>
      </c>
      <c r="T289">
        <f t="shared" si="968"/>
        <v>1.7313529305578265E-2</v>
      </c>
    </row>
    <row r="290" spans="1:20" x14ac:dyDescent="0.25">
      <c r="A290" s="5">
        <v>44303</v>
      </c>
      <c r="B290">
        <v>84.748999999999995</v>
      </c>
      <c r="C290">
        <v>95.576999999999998</v>
      </c>
      <c r="D290">
        <v>81.819000000000003</v>
      </c>
      <c r="E290">
        <v>82.897000000000006</v>
      </c>
      <c r="F290">
        <v>212617.88099999999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-0.84329117604302906</v>
      </c>
      <c r="Q290">
        <f t="shared" si="965"/>
        <v>-179298.78291626679</v>
      </c>
      <c r="R290">
        <f t="shared" si="966"/>
        <v>1620169.349069457</v>
      </c>
      <c r="S290">
        <f t="shared" si="967"/>
        <v>16.20169349069457</v>
      </c>
      <c r="T290">
        <f t="shared" si="968"/>
        <v>1.6201693490694571E-2</v>
      </c>
    </row>
    <row r="291" spans="1:20" x14ac:dyDescent="0.25">
      <c r="A291" s="5">
        <v>44302</v>
      </c>
      <c r="B291">
        <v>79.947999999999993</v>
      </c>
      <c r="C291">
        <v>92.501999999999995</v>
      </c>
      <c r="D291">
        <v>76.156999999999996</v>
      </c>
      <c r="E291">
        <v>84.846999999999994</v>
      </c>
      <c r="F291">
        <v>263171.63900000002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6.3322116855307226E-2</v>
      </c>
      <c r="Q291">
        <f t="shared" si="965"/>
        <v>16664.585277760729</v>
      </c>
      <c r="R291">
        <f t="shared" si="966"/>
        <v>1799468.1319857237</v>
      </c>
      <c r="S291">
        <f t="shared" si="967"/>
        <v>17.994681319857236</v>
      </c>
      <c r="T291">
        <f t="shared" si="968"/>
        <v>1.7994681319857236E-2</v>
      </c>
    </row>
    <row r="292" spans="1:20" x14ac:dyDescent="0.25">
      <c r="A292" s="5">
        <v>44301</v>
      </c>
      <c r="B292">
        <v>73.849999999999994</v>
      </c>
      <c r="C292">
        <v>86</v>
      </c>
      <c r="D292">
        <v>72.513000000000005</v>
      </c>
      <c r="E292">
        <v>79.981999999999999</v>
      </c>
      <c r="F292">
        <v>310954.39299999998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0.10758508193074769</v>
      </c>
      <c r="Q292">
        <f t="shared" si="965"/>
        <v>33454.053847630916</v>
      </c>
      <c r="R292">
        <f t="shared" si="966"/>
        <v>1782803.5467079631</v>
      </c>
      <c r="S292">
        <f t="shared" si="967"/>
        <v>17.82803546707963</v>
      </c>
      <c r="T292">
        <f t="shared" si="968"/>
        <v>1.7828035467079631E-2</v>
      </c>
    </row>
    <row r="293" spans="1:20" x14ac:dyDescent="0.25">
      <c r="A293" s="5">
        <v>44300</v>
      </c>
      <c r="B293">
        <v>72.817999999999998</v>
      </c>
      <c r="C293">
        <v>75.290999999999997</v>
      </c>
      <c r="D293">
        <v>67.272000000000006</v>
      </c>
      <c r="E293">
        <v>73.784999999999997</v>
      </c>
      <c r="F293">
        <v>155638.552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0.62439206883651277</v>
      </c>
      <c r="Q293">
        <f t="shared" si="965"/>
        <v>97179.47747399917</v>
      </c>
      <c r="R293">
        <f t="shared" si="966"/>
        <v>1749349.4928603321</v>
      </c>
      <c r="S293">
        <f t="shared" si="967"/>
        <v>17.493494928603322</v>
      </c>
      <c r="T293">
        <f t="shared" si="968"/>
        <v>1.7493494928603321E-2</v>
      </c>
    </row>
    <row r="294" spans="1:20" x14ac:dyDescent="0.25">
      <c r="A294" s="5">
        <v>44299</v>
      </c>
      <c r="B294">
        <v>73.753</v>
      </c>
      <c r="C294">
        <v>75.989999999999995</v>
      </c>
      <c r="D294">
        <v>69.168000000000006</v>
      </c>
      <c r="E294">
        <v>72.817999999999998</v>
      </c>
      <c r="F294">
        <v>177103.02799999999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7.0067428906478338E-2</v>
      </c>
      <c r="Q294">
        <f t="shared" si="965"/>
        <v>12409.153823512042</v>
      </c>
      <c r="R294">
        <f t="shared" si="966"/>
        <v>1652170.015386333</v>
      </c>
      <c r="S294">
        <f t="shared" si="967"/>
        <v>16.521700153863328</v>
      </c>
      <c r="T294">
        <f t="shared" si="968"/>
        <v>1.6521700153863329E-2</v>
      </c>
    </row>
    <row r="295" spans="1:20" x14ac:dyDescent="0.25">
      <c r="A295" s="5">
        <v>44298</v>
      </c>
      <c r="B295">
        <v>78.698999999999998</v>
      </c>
      <c r="C295">
        <v>80.27</v>
      </c>
      <c r="D295">
        <v>72.036000000000001</v>
      </c>
      <c r="E295">
        <v>73.626999999999995</v>
      </c>
      <c r="F295">
        <v>110729.02800000001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-0.61355355841632375</v>
      </c>
      <c r="Q295">
        <f t="shared" si="965"/>
        <v>-67938.189149380749</v>
      </c>
      <c r="R295">
        <f t="shared" si="966"/>
        <v>1639760.8615628208</v>
      </c>
      <c r="S295">
        <f t="shared" si="967"/>
        <v>16.397608615628208</v>
      </c>
      <c r="T295">
        <f t="shared" si="968"/>
        <v>1.6397608615628209E-2</v>
      </c>
    </row>
    <row r="296" spans="1:20" x14ac:dyDescent="0.25">
      <c r="A296" s="5">
        <v>44297</v>
      </c>
      <c r="B296">
        <v>79.138000000000005</v>
      </c>
      <c r="C296">
        <v>82</v>
      </c>
      <c r="D296">
        <v>74.722999999999999</v>
      </c>
      <c r="E296">
        <v>78.7</v>
      </c>
      <c r="F296">
        <v>115691.724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9.3032843204618201E-2</v>
      </c>
      <c r="Q296">
        <f t="shared" si="965"/>
        <v>10763.130018963964</v>
      </c>
      <c r="R296">
        <f t="shared" si="966"/>
        <v>1707699.0507122015</v>
      </c>
      <c r="S296">
        <f t="shared" si="967"/>
        <v>17.076990507122016</v>
      </c>
      <c r="T296">
        <f t="shared" si="968"/>
        <v>1.7076990507122015E-2</v>
      </c>
    </row>
    <row r="297" spans="1:20" x14ac:dyDescent="0.25">
      <c r="A297" s="5">
        <v>44296</v>
      </c>
      <c r="B297">
        <v>82.971000000000004</v>
      </c>
      <c r="C297">
        <v>90</v>
      </c>
      <c r="D297">
        <v>75.844999999999999</v>
      </c>
      <c r="E297">
        <v>78.959999999999994</v>
      </c>
      <c r="F297">
        <v>196451.99299999999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-0.55987283645355079</v>
      </c>
      <c r="Q297">
        <f t="shared" si="965"/>
        <v>-109988.1345478631</v>
      </c>
      <c r="R297">
        <f t="shared" si="966"/>
        <v>1696935.9206932376</v>
      </c>
      <c r="S297">
        <f t="shared" si="967"/>
        <v>16.969359206932374</v>
      </c>
      <c r="T297">
        <f t="shared" si="968"/>
        <v>1.6969359206932374E-2</v>
      </c>
    </row>
    <row r="298" spans="1:20" x14ac:dyDescent="0.25">
      <c r="A298" s="5">
        <v>44295</v>
      </c>
      <c r="B298">
        <v>74.119</v>
      </c>
      <c r="C298">
        <v>88.796999999999997</v>
      </c>
      <c r="D298">
        <v>72.25</v>
      </c>
      <c r="E298">
        <v>82.894000000000005</v>
      </c>
      <c r="F298">
        <v>267688.63699999999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0.28651719344896442</v>
      </c>
      <c r="Q298">
        <f t="shared" si="965"/>
        <v>76697.396991418616</v>
      </c>
      <c r="R298">
        <f t="shared" si="966"/>
        <v>1806924.0552411007</v>
      </c>
      <c r="S298">
        <f t="shared" si="967"/>
        <v>18.069240552411006</v>
      </c>
      <c r="T298">
        <f t="shared" si="968"/>
        <v>1.8069240552411006E-2</v>
      </c>
    </row>
    <row r="299" spans="1:20" x14ac:dyDescent="0.25">
      <c r="A299" s="5">
        <v>44294</v>
      </c>
      <c r="B299">
        <v>70.698999999999998</v>
      </c>
      <c r="C299">
        <v>77.524000000000001</v>
      </c>
      <c r="D299">
        <v>69.962000000000003</v>
      </c>
      <c r="E299">
        <v>74.119</v>
      </c>
      <c r="F299">
        <v>116122.133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9.944459137794176E-2</v>
      </c>
      <c r="Q299">
        <f t="shared" si="965"/>
        <v>11547.718066120007</v>
      </c>
      <c r="R299">
        <f t="shared" si="966"/>
        <v>1730226.658249682</v>
      </c>
      <c r="S299">
        <f t="shared" si="967"/>
        <v>17.30226658249682</v>
      </c>
      <c r="T299">
        <f t="shared" si="968"/>
        <v>1.7302266582496818E-2</v>
      </c>
    </row>
    <row r="300" spans="1:20" x14ac:dyDescent="0.25">
      <c r="A300" s="5">
        <v>44293</v>
      </c>
      <c r="B300">
        <v>78.638999999999996</v>
      </c>
      <c r="C300">
        <v>84.855000000000004</v>
      </c>
      <c r="D300">
        <v>67.856999999999999</v>
      </c>
      <c r="E300">
        <v>70.501000000000005</v>
      </c>
      <c r="F300">
        <v>265716.79200000002</v>
      </c>
      <c r="G300">
        <v>0</v>
      </c>
      <c r="L300" t="s">
        <v>7</v>
      </c>
      <c r="M300" t="s">
        <v>8</v>
      </c>
      <c r="N300" t="s">
        <v>7</v>
      </c>
      <c r="P300">
        <f t="shared" si="964"/>
        <v>-0.68890457700905938</v>
      </c>
      <c r="Q300">
        <f t="shared" si="965"/>
        <v>-183053.51419696421</v>
      </c>
      <c r="R300">
        <f t="shared" si="966"/>
        <v>1718678.940183562</v>
      </c>
      <c r="S300">
        <f t="shared" si="967"/>
        <v>17.186789401835618</v>
      </c>
      <c r="T300">
        <f t="shared" si="968"/>
        <v>1.7186789401835618E-2</v>
      </c>
    </row>
    <row r="301" spans="1:20" x14ac:dyDescent="0.25">
      <c r="A301" s="5">
        <v>44292</v>
      </c>
      <c r="B301">
        <v>74.775999999999996</v>
      </c>
      <c r="C301">
        <v>84</v>
      </c>
      <c r="D301">
        <v>70.641000000000005</v>
      </c>
      <c r="E301">
        <v>78.626999999999995</v>
      </c>
      <c r="F301">
        <v>261609.25399999999</v>
      </c>
      <c r="G301">
        <v>0</v>
      </c>
      <c r="L301" t="s">
        <v>7</v>
      </c>
      <c r="M301" t="s">
        <v>8</v>
      </c>
      <c r="N301" t="s">
        <v>7</v>
      </c>
      <c r="P301">
        <f t="shared" si="964"/>
        <v>0.19559847293959026</v>
      </c>
      <c r="Q301">
        <f t="shared" si="965"/>
        <v>51170.370589265396</v>
      </c>
      <c r="R301">
        <f t="shared" si="966"/>
        <v>1901732.4543805262</v>
      </c>
      <c r="S301">
        <f t="shared" si="967"/>
        <v>19.017324543805262</v>
      </c>
      <c r="T301">
        <f t="shared" si="968"/>
        <v>1.9017324543805263E-2</v>
      </c>
    </row>
    <row r="302" spans="1:20" x14ac:dyDescent="0.25">
      <c r="A302" s="5">
        <v>44291</v>
      </c>
      <c r="B302">
        <v>79.947000000000003</v>
      </c>
      <c r="C302">
        <v>81.382999999999996</v>
      </c>
      <c r="D302">
        <v>73.414000000000001</v>
      </c>
      <c r="E302">
        <v>74.912000000000006</v>
      </c>
      <c r="F302">
        <v>189235.465</v>
      </c>
      <c r="G302">
        <v>0</v>
      </c>
      <c r="L302" t="s">
        <v>7</v>
      </c>
      <c r="M302" t="s">
        <v>8</v>
      </c>
      <c r="N302" t="s">
        <v>7</v>
      </c>
      <c r="P302">
        <f t="shared" si="964"/>
        <v>-0.6240431672731821</v>
      </c>
      <c r="Q302">
        <f t="shared" si="965"/>
        <v>-118091.09893901339</v>
      </c>
      <c r="R302">
        <f t="shared" si="966"/>
        <v>1850562.0837912608</v>
      </c>
      <c r="S302">
        <f t="shared" si="967"/>
        <v>18.505620837912609</v>
      </c>
      <c r="T302">
        <f t="shared" si="968"/>
        <v>1.8505620837912608E-2</v>
      </c>
    </row>
    <row r="303" spans="1:20" x14ac:dyDescent="0.25">
      <c r="A303" s="5">
        <v>44290</v>
      </c>
      <c r="B303">
        <v>67.513999999999996</v>
      </c>
      <c r="C303">
        <v>83.525999999999996</v>
      </c>
      <c r="D303">
        <v>65.682000000000002</v>
      </c>
      <c r="E303">
        <v>79.984999999999999</v>
      </c>
      <c r="F303">
        <v>225169.59400000001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0.60311589329746718</v>
      </c>
      <c r="Q303">
        <f t="shared" si="965"/>
        <v>135803.36082873802</v>
      </c>
      <c r="R303">
        <f t="shared" si="966"/>
        <v>1968653.1827302743</v>
      </c>
      <c r="S303">
        <f t="shared" si="967"/>
        <v>19.686531827302744</v>
      </c>
      <c r="T303">
        <f t="shared" si="968"/>
        <v>1.9686531827302744E-2</v>
      </c>
    </row>
    <row r="304" spans="1:20" x14ac:dyDescent="0.25">
      <c r="A304" s="5">
        <v>44289</v>
      </c>
      <c r="B304">
        <v>74.744</v>
      </c>
      <c r="C304">
        <v>78.27</v>
      </c>
      <c r="D304">
        <v>65.695999999999998</v>
      </c>
      <c r="E304">
        <v>67.38</v>
      </c>
      <c r="F304">
        <v>235269.226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-0.73214569747097225</v>
      </c>
      <c r="Q304">
        <f t="shared" si="965"/>
        <v>-172251.35156322579</v>
      </c>
      <c r="R304">
        <f t="shared" si="966"/>
        <v>1832849.8219015363</v>
      </c>
      <c r="S304">
        <f t="shared" si="967"/>
        <v>18.328498219015362</v>
      </c>
      <c r="T304">
        <f t="shared" si="968"/>
        <v>1.8328498219015363E-2</v>
      </c>
    </row>
    <row r="305" spans="1:20" x14ac:dyDescent="0.25">
      <c r="A305" s="5">
        <v>44288</v>
      </c>
      <c r="B305">
        <v>75.917000000000002</v>
      </c>
      <c r="C305">
        <v>76.730999999999995</v>
      </c>
      <c r="D305">
        <v>70.947000000000003</v>
      </c>
      <c r="E305">
        <v>74.634</v>
      </c>
      <c r="F305">
        <v>332402.74300000002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0.27489626556016694</v>
      </c>
      <c r="Q305">
        <f t="shared" si="965"/>
        <v>91376.272712655933</v>
      </c>
      <c r="R305">
        <f t="shared" si="966"/>
        <v>2005101.173464762</v>
      </c>
      <c r="S305">
        <f t="shared" si="967"/>
        <v>20.05101173464762</v>
      </c>
      <c r="T305">
        <f t="shared" si="968"/>
        <v>2.0051011734647621E-2</v>
      </c>
    </row>
    <row r="306" spans="1:20" x14ac:dyDescent="0.25">
      <c r="A306" s="5">
        <v>44287</v>
      </c>
      <c r="B306">
        <v>79.941000000000003</v>
      </c>
      <c r="C306">
        <v>88</v>
      </c>
      <c r="D306">
        <v>75.691999999999993</v>
      </c>
      <c r="E306">
        <v>75.917000000000002</v>
      </c>
      <c r="F306">
        <v>153122.11799999999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-0.96343841403964769</v>
      </c>
      <c r="Q306">
        <f t="shared" si="965"/>
        <v>-147523.73052031177</v>
      </c>
      <c r="R306">
        <f t="shared" si="966"/>
        <v>1913724.9007521062</v>
      </c>
      <c r="S306">
        <f t="shared" si="967"/>
        <v>19.137249007521064</v>
      </c>
      <c r="T306">
        <f t="shared" si="968"/>
        <v>1.9137249007521062E-2</v>
      </c>
    </row>
    <row r="307" spans="1:20" x14ac:dyDescent="0.25">
      <c r="A307" s="5">
        <v>44286</v>
      </c>
      <c r="B307">
        <v>86.682000000000002</v>
      </c>
      <c r="C307">
        <v>88.629000000000005</v>
      </c>
      <c r="D307">
        <v>75.040000000000006</v>
      </c>
      <c r="E307">
        <v>79.87</v>
      </c>
      <c r="F307">
        <v>197341.307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-0.28913091471042773</v>
      </c>
      <c r="Q307">
        <f t="shared" si="965"/>
        <v>-57057.472603061338</v>
      </c>
      <c r="R307">
        <f t="shared" si="966"/>
        <v>2061248.631272418</v>
      </c>
      <c r="S307">
        <f t="shared" si="967"/>
        <v>20.61248631272418</v>
      </c>
      <c r="T307">
        <f t="shared" si="968"/>
        <v>2.0612486312724179E-2</v>
      </c>
    </row>
    <row r="308" spans="1:20" x14ac:dyDescent="0.25">
      <c r="A308" s="5">
        <v>44285</v>
      </c>
      <c r="B308">
        <v>83.438000000000002</v>
      </c>
      <c r="C308">
        <v>91.995999999999995</v>
      </c>
      <c r="D308">
        <v>78.984999999999999</v>
      </c>
      <c r="E308">
        <v>86.664000000000001</v>
      </c>
      <c r="F308">
        <v>217875.63699999999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0.1803858273768357</v>
      </c>
      <c r="Q308">
        <f t="shared" si="965"/>
        <v>39301.677045500117</v>
      </c>
      <c r="R308">
        <f t="shared" si="966"/>
        <v>2118306.1038754792</v>
      </c>
      <c r="S308">
        <f t="shared" si="967"/>
        <v>21.183061038754794</v>
      </c>
      <c r="T308">
        <f t="shared" si="968"/>
        <v>2.1183061038754794E-2</v>
      </c>
    </row>
    <row r="309" spans="1:20" x14ac:dyDescent="0.25">
      <c r="A309" s="5">
        <v>44284</v>
      </c>
      <c r="B309">
        <v>73.638999999999996</v>
      </c>
      <c r="C309">
        <v>84.95</v>
      </c>
      <c r="D309">
        <v>72.396000000000001</v>
      </c>
      <c r="E309">
        <v>83.259</v>
      </c>
      <c r="F309">
        <v>236035.076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0.73060379162020039</v>
      </c>
      <c r="Q309">
        <f t="shared" si="965"/>
        <v>172448.12148096217</v>
      </c>
      <c r="R309">
        <f t="shared" si="966"/>
        <v>2079004.4268299793</v>
      </c>
      <c r="S309">
        <f t="shared" si="967"/>
        <v>20.790044268299791</v>
      </c>
      <c r="T309">
        <f t="shared" si="968"/>
        <v>2.0790044268299793E-2</v>
      </c>
    </row>
    <row r="310" spans="1:20" x14ac:dyDescent="0.25">
      <c r="A310" s="5">
        <v>44283</v>
      </c>
      <c r="B310">
        <v>76.620999999999995</v>
      </c>
      <c r="C310">
        <v>82</v>
      </c>
      <c r="D310">
        <v>67.89</v>
      </c>
      <c r="E310">
        <v>73.638999999999996</v>
      </c>
      <c r="F310">
        <v>326750.97100000002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-0.18511693834160234</v>
      </c>
      <c r="Q310">
        <f t="shared" si="965"/>
        <v>-60487.139351665697</v>
      </c>
      <c r="R310">
        <f t="shared" si="966"/>
        <v>1906556.305349017</v>
      </c>
      <c r="S310">
        <f t="shared" si="967"/>
        <v>19.06556305349017</v>
      </c>
      <c r="T310">
        <f t="shared" si="968"/>
        <v>1.9065563053490171E-2</v>
      </c>
    </row>
    <row r="311" spans="1:20" x14ac:dyDescent="0.25">
      <c r="A311" s="5">
        <v>44282</v>
      </c>
      <c r="B311">
        <v>64.322999999999993</v>
      </c>
      <c r="C311">
        <v>80</v>
      </c>
      <c r="D311">
        <v>61.801000000000002</v>
      </c>
      <c r="E311">
        <v>76.647999999999996</v>
      </c>
      <c r="F311">
        <v>602227.58700000006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0.63162811143469377</v>
      </c>
      <c r="Q311">
        <f t="shared" si="965"/>
        <v>380383.87343068275</v>
      </c>
      <c r="R311">
        <f t="shared" si="966"/>
        <v>1967043.4447006828</v>
      </c>
      <c r="S311">
        <f t="shared" si="967"/>
        <v>19.670434447006826</v>
      </c>
      <c r="T311">
        <f t="shared" si="968"/>
        <v>1.9670434447006828E-2</v>
      </c>
    </row>
    <row r="312" spans="1:20" x14ac:dyDescent="0.25">
      <c r="A312" s="5">
        <v>44281</v>
      </c>
      <c r="B312">
        <v>48.692</v>
      </c>
      <c r="C312">
        <v>64.900000000000006</v>
      </c>
      <c r="D312">
        <v>48.692</v>
      </c>
      <c r="E312">
        <v>64.320999999999998</v>
      </c>
      <c r="F312">
        <v>300549.34700000001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0.92855380059229919</v>
      </c>
      <c r="Q312">
        <f t="shared" si="965"/>
        <v>279076.23842238373</v>
      </c>
      <c r="R312">
        <f t="shared" si="966"/>
        <v>1586659.57127</v>
      </c>
      <c r="S312">
        <f t="shared" si="967"/>
        <v>15.866595712699999</v>
      </c>
      <c r="T312">
        <f t="shared" si="968"/>
        <v>1.58665957127E-2</v>
      </c>
    </row>
    <row r="313" spans="1:20" x14ac:dyDescent="0.25">
      <c r="A313" s="5">
        <v>44280</v>
      </c>
      <c r="B313">
        <v>52.83</v>
      </c>
      <c r="C313">
        <v>53.435000000000002</v>
      </c>
      <c r="D313">
        <v>47.35</v>
      </c>
      <c r="E313">
        <v>48.7</v>
      </c>
      <c r="F313">
        <v>268936.01699999999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-0.55628594905505302</v>
      </c>
      <c r="Q313">
        <f t="shared" si="965"/>
        <v>-149605.32745193088</v>
      </c>
      <c r="R313">
        <f t="shared" si="966"/>
        <v>1307583.3328476162</v>
      </c>
      <c r="S313">
        <f t="shared" si="967"/>
        <v>13.075833328476161</v>
      </c>
      <c r="T313">
        <f t="shared" si="968"/>
        <v>1.3075833328476161E-2</v>
      </c>
    </row>
    <row r="314" spans="1:20" x14ac:dyDescent="0.25">
      <c r="A314" s="5">
        <v>44279</v>
      </c>
      <c r="B314">
        <v>55.975000000000001</v>
      </c>
      <c r="C314">
        <v>63.7</v>
      </c>
      <c r="D314">
        <v>50</v>
      </c>
      <c r="E314">
        <v>52.823</v>
      </c>
      <c r="F314">
        <v>325074.98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-0.58788321167883217</v>
      </c>
      <c r="Q314">
        <f t="shared" si="965"/>
        <v>-191106.12327883212</v>
      </c>
      <c r="R314">
        <f t="shared" si="966"/>
        <v>1457188.660299547</v>
      </c>
      <c r="S314">
        <f t="shared" si="967"/>
        <v>14.57188660299547</v>
      </c>
      <c r="T314">
        <f t="shared" si="968"/>
        <v>1.457188660299547E-2</v>
      </c>
    </row>
    <row r="315" spans="1:20" x14ac:dyDescent="0.25">
      <c r="A315" s="5">
        <v>44278</v>
      </c>
      <c r="B315">
        <v>60.018999999999998</v>
      </c>
      <c r="C315">
        <v>66.665999999999997</v>
      </c>
      <c r="D315">
        <v>55.652999999999999</v>
      </c>
      <c r="E315">
        <v>56.011000000000003</v>
      </c>
      <c r="F315">
        <v>434716.55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-0.93498592572414341</v>
      </c>
      <c r="Q315">
        <f t="shared" si="965"/>
        <v>-406453.85592935584</v>
      </c>
      <c r="R315">
        <f t="shared" si="966"/>
        <v>1648294.7835783791</v>
      </c>
      <c r="S315">
        <f t="shared" si="967"/>
        <v>16.48294783578379</v>
      </c>
      <c r="T315">
        <f t="shared" si="968"/>
        <v>1.6482947835783791E-2</v>
      </c>
    </row>
    <row r="316" spans="1:20" x14ac:dyDescent="0.25">
      <c r="A316" s="5">
        <v>44277</v>
      </c>
      <c r="B316">
        <v>54.683999999999997</v>
      </c>
      <c r="C316">
        <v>63.924999999999997</v>
      </c>
      <c r="D316">
        <v>52.866999999999997</v>
      </c>
      <c r="E316">
        <v>60.012</v>
      </c>
      <c r="F316">
        <v>446391.05599999998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0.29227708446373724</v>
      </c>
      <c r="Q316">
        <f t="shared" si="965"/>
        <v>130469.87637836885</v>
      </c>
      <c r="R316">
        <f t="shared" si="966"/>
        <v>2054748.6395077349</v>
      </c>
      <c r="S316">
        <f t="shared" si="967"/>
        <v>20.54748639507735</v>
      </c>
      <c r="T316">
        <f t="shared" si="968"/>
        <v>2.054748639507735E-2</v>
      </c>
    </row>
    <row r="317" spans="1:20" x14ac:dyDescent="0.25">
      <c r="A317" s="5">
        <v>44276</v>
      </c>
      <c r="B317">
        <v>49.012999999999998</v>
      </c>
      <c r="C317">
        <v>55.072000000000003</v>
      </c>
      <c r="D317">
        <v>47.1</v>
      </c>
      <c r="E317">
        <v>54.662999999999997</v>
      </c>
      <c r="F317">
        <v>204348.84700000001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0.89739086803813195</v>
      </c>
      <c r="Q317">
        <f t="shared" si="965"/>
        <v>183380.78919192142</v>
      </c>
      <c r="R317">
        <f t="shared" si="966"/>
        <v>1924278.7631293661</v>
      </c>
      <c r="S317">
        <f t="shared" si="967"/>
        <v>19.242787631293663</v>
      </c>
      <c r="T317">
        <f t="shared" si="968"/>
        <v>1.9242787631293664E-2</v>
      </c>
    </row>
    <row r="318" spans="1:20" x14ac:dyDescent="0.25">
      <c r="A318" s="5">
        <v>44275</v>
      </c>
      <c r="B318">
        <v>51.734999999999999</v>
      </c>
      <c r="C318">
        <v>53.753</v>
      </c>
      <c r="D318">
        <v>48.75</v>
      </c>
      <c r="E318">
        <v>49.078000000000003</v>
      </c>
      <c r="F318">
        <v>96468.837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-0.86887867279632103</v>
      </c>
      <c r="Q318">
        <f t="shared" si="965"/>
        <v>-83819.715058764632</v>
      </c>
      <c r="R318">
        <f t="shared" si="966"/>
        <v>1740897.9739374446</v>
      </c>
      <c r="S318">
        <f t="shared" si="967"/>
        <v>17.408979739374445</v>
      </c>
      <c r="T318">
        <f t="shared" si="968"/>
        <v>1.7408979739374445E-2</v>
      </c>
    </row>
    <row r="319" spans="1:20" x14ac:dyDescent="0.25">
      <c r="A319" s="5">
        <v>44274</v>
      </c>
      <c r="B319">
        <v>51.795000000000002</v>
      </c>
      <c r="C319">
        <v>55</v>
      </c>
      <c r="D319">
        <v>49.61</v>
      </c>
      <c r="E319">
        <v>51.738</v>
      </c>
      <c r="F319">
        <v>112659.632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-0.21038961038961043</v>
      </c>
      <c r="Q319">
        <f t="shared" si="965"/>
        <v>-23702.416083116888</v>
      </c>
      <c r="R319">
        <f t="shared" si="966"/>
        <v>1824717.6889962093</v>
      </c>
      <c r="S319">
        <f t="shared" si="967"/>
        <v>18.247176889962095</v>
      </c>
      <c r="T319">
        <f t="shared" si="968"/>
        <v>1.8247176889962094E-2</v>
      </c>
    </row>
    <row r="320" spans="1:20" x14ac:dyDescent="0.25">
      <c r="A320" s="5">
        <v>44273</v>
      </c>
      <c r="B320">
        <v>48.079000000000001</v>
      </c>
      <c r="C320">
        <v>53.323999999999998</v>
      </c>
      <c r="D320">
        <v>47.600999999999999</v>
      </c>
      <c r="E320">
        <v>51.665999999999997</v>
      </c>
      <c r="F320">
        <v>164557.45800000001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0.42058360999475747</v>
      </c>
      <c r="Q320">
        <f t="shared" si="965"/>
        <v>69210.169737200689</v>
      </c>
      <c r="R320">
        <f t="shared" si="966"/>
        <v>1848420.1050793261</v>
      </c>
      <c r="S320">
        <f t="shared" si="967"/>
        <v>18.48420105079326</v>
      </c>
      <c r="T320">
        <f t="shared" si="968"/>
        <v>1.8484201050793261E-2</v>
      </c>
    </row>
    <row r="321" spans="1:20" x14ac:dyDescent="0.25">
      <c r="A321" s="5">
        <v>44272</v>
      </c>
      <c r="B321">
        <v>51.622</v>
      </c>
      <c r="C321">
        <v>51.750999999999998</v>
      </c>
      <c r="D321">
        <v>46.53</v>
      </c>
      <c r="E321">
        <v>48.08</v>
      </c>
      <c r="F321">
        <v>213240.76199999999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-0.40624401455659903</v>
      </c>
      <c r="Q321">
        <f t="shared" si="965"/>
        <v>-86627.783221988269</v>
      </c>
      <c r="R321">
        <f t="shared" si="966"/>
        <v>1779209.9353421254</v>
      </c>
      <c r="S321">
        <f t="shared" si="967"/>
        <v>17.792099353421253</v>
      </c>
      <c r="T321">
        <f t="shared" si="968"/>
        <v>1.7792099353421253E-2</v>
      </c>
    </row>
    <row r="322" spans="1:20" x14ac:dyDescent="0.25">
      <c r="A322" s="5">
        <v>44271</v>
      </c>
      <c r="B322">
        <v>49.024000000000001</v>
      </c>
      <c r="C322">
        <v>52.95</v>
      </c>
      <c r="D322">
        <v>44.408999999999999</v>
      </c>
      <c r="E322">
        <v>51.622999999999998</v>
      </c>
      <c r="F322">
        <v>358714.11200000002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0.68926355227724978</v>
      </c>
      <c r="Q322">
        <f t="shared" si="965"/>
        <v>247248.56308909925</v>
      </c>
      <c r="R322">
        <f t="shared" si="966"/>
        <v>1865837.7185641136</v>
      </c>
      <c r="S322">
        <f t="shared" si="967"/>
        <v>18.658377185641136</v>
      </c>
      <c r="T322">
        <f t="shared" si="968"/>
        <v>1.8658377185641135E-2</v>
      </c>
    </row>
    <row r="323" spans="1:20" x14ac:dyDescent="0.25">
      <c r="A323" s="5">
        <v>44270</v>
      </c>
      <c r="B323">
        <v>44.07</v>
      </c>
      <c r="C323">
        <v>51.499000000000002</v>
      </c>
      <c r="D323">
        <v>42.276000000000003</v>
      </c>
      <c r="E323">
        <v>48.924999999999997</v>
      </c>
      <c r="F323">
        <v>228083.152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0.44183020709096704</v>
      </c>
      <c r="Q323">
        <f t="shared" si="965"/>
        <v>100774.02628212051</v>
      </c>
      <c r="R323">
        <f t="shared" si="966"/>
        <v>1618589.1554750144</v>
      </c>
      <c r="S323">
        <f t="shared" si="967"/>
        <v>16.185891554750143</v>
      </c>
      <c r="T323">
        <f t="shared" si="968"/>
        <v>1.6185891554750143E-2</v>
      </c>
    </row>
    <row r="324" spans="1:20" x14ac:dyDescent="0.25">
      <c r="A324" s="5">
        <v>44269</v>
      </c>
      <c r="B324">
        <v>46.567</v>
      </c>
      <c r="C324">
        <v>49.527999999999999</v>
      </c>
      <c r="D324">
        <v>44.037999999999997</v>
      </c>
      <c r="E324">
        <v>44.037999999999997</v>
      </c>
      <c r="F324">
        <v>120607.959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-1</v>
      </c>
      <c r="Q324">
        <f t="shared" si="965"/>
        <v>-120607.959</v>
      </c>
      <c r="R324">
        <f t="shared" si="966"/>
        <v>1517815.1291928939</v>
      </c>
      <c r="S324">
        <f t="shared" si="967"/>
        <v>15.178151291928939</v>
      </c>
      <c r="T324">
        <f t="shared" si="968"/>
        <v>1.517815129192894E-2</v>
      </c>
    </row>
    <row r="325" spans="1:20" x14ac:dyDescent="0.25">
      <c r="A325" s="5">
        <v>44268</v>
      </c>
      <c r="B325">
        <v>43.124000000000002</v>
      </c>
      <c r="C325">
        <v>48.353999999999999</v>
      </c>
      <c r="D325">
        <v>40.634999999999998</v>
      </c>
      <c r="E325">
        <v>46.521999999999998</v>
      </c>
      <c r="F325">
        <v>186946.25200000001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0.52532711491125783</v>
      </c>
      <c r="Q325">
        <f t="shared" si="965"/>
        <v>98207.935206632974</v>
      </c>
      <c r="R325">
        <f t="shared" si="966"/>
        <v>1638423.0881928939</v>
      </c>
      <c r="S325">
        <f t="shared" si="967"/>
        <v>16.384230881928939</v>
      </c>
      <c r="T325">
        <f t="shared" si="968"/>
        <v>1.6384230881928939E-2</v>
      </c>
    </row>
    <row r="326" spans="1:20" x14ac:dyDescent="0.25">
      <c r="A326" s="5">
        <v>44267</v>
      </c>
      <c r="B326">
        <v>42.274999999999999</v>
      </c>
      <c r="C326">
        <v>48.5</v>
      </c>
      <c r="D326">
        <v>41.9</v>
      </c>
      <c r="E326">
        <v>43.12</v>
      </c>
      <c r="F326">
        <v>168186.65900000001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-0.6303030303030307</v>
      </c>
      <c r="Q326">
        <f t="shared" ref="Q326:Q389" si="970">F326*P326</f>
        <v>-106008.56082424249</v>
      </c>
      <c r="R326">
        <f t="shared" ref="R326:R389" si="971">R327+Q326</f>
        <v>1540215.1529862608</v>
      </c>
      <c r="S326">
        <f t="shared" ref="S326:S389" si="972">R326/100000</f>
        <v>15.402151529862609</v>
      </c>
      <c r="T326">
        <f t="shared" ref="T326:T389" si="973">S326/1000</f>
        <v>1.5402151529862608E-2</v>
      </c>
    </row>
    <row r="327" spans="1:20" x14ac:dyDescent="0.25">
      <c r="A327" s="5">
        <v>44266</v>
      </c>
      <c r="B327">
        <v>40.774999999999999</v>
      </c>
      <c r="C327">
        <v>44.155000000000001</v>
      </c>
      <c r="D327">
        <v>38.127000000000002</v>
      </c>
      <c r="E327">
        <v>42.180999999999997</v>
      </c>
      <c r="F327">
        <v>160693.024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0.34505640345056265</v>
      </c>
      <c r="Q327">
        <f t="shared" si="970"/>
        <v>55448.156921034948</v>
      </c>
      <c r="R327">
        <f t="shared" si="971"/>
        <v>1646223.7138105032</v>
      </c>
      <c r="S327">
        <f t="shared" si="972"/>
        <v>16.462237138105031</v>
      </c>
      <c r="T327">
        <f t="shared" si="973"/>
        <v>1.6462237138105032E-2</v>
      </c>
    </row>
    <row r="328" spans="1:20" x14ac:dyDescent="0.25">
      <c r="A328" s="5">
        <v>44265</v>
      </c>
      <c r="B328">
        <v>45.03</v>
      </c>
      <c r="C328">
        <v>45.192</v>
      </c>
      <c r="D328">
        <v>39.799999999999997</v>
      </c>
      <c r="E328">
        <v>40.776000000000003</v>
      </c>
      <c r="F328">
        <v>131075.584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-0.63798219584569527</v>
      </c>
      <c r="Q328">
        <f t="shared" si="970"/>
        <v>-83623.888902076884</v>
      </c>
      <c r="R328">
        <f t="shared" si="971"/>
        <v>1590775.5568894683</v>
      </c>
      <c r="S328">
        <f t="shared" si="972"/>
        <v>15.907755568894684</v>
      </c>
      <c r="T328">
        <f t="shared" si="973"/>
        <v>1.5907755568894684E-2</v>
      </c>
    </row>
    <row r="329" spans="1:20" x14ac:dyDescent="0.25">
      <c r="A329" s="5">
        <v>44264</v>
      </c>
      <c r="B329">
        <v>43.856999999999999</v>
      </c>
      <c r="C329">
        <v>45.8</v>
      </c>
      <c r="D329">
        <v>42.496000000000002</v>
      </c>
      <c r="E329">
        <v>45.029000000000003</v>
      </c>
      <c r="F329">
        <v>124251.4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0.53329297820823551</v>
      </c>
      <c r="Q329">
        <f t="shared" si="970"/>
        <v>66262.399152542755</v>
      </c>
      <c r="R329">
        <f t="shared" si="971"/>
        <v>1674399.4457915453</v>
      </c>
      <c r="S329">
        <f t="shared" si="972"/>
        <v>16.743994457915452</v>
      </c>
      <c r="T329">
        <f t="shared" si="973"/>
        <v>1.6743994457915454E-2</v>
      </c>
    </row>
    <row r="330" spans="1:20" x14ac:dyDescent="0.25">
      <c r="A330" s="5">
        <v>44263</v>
      </c>
      <c r="B330">
        <v>42.651000000000003</v>
      </c>
      <c r="C330">
        <v>46.67</v>
      </c>
      <c r="D330">
        <v>41.84</v>
      </c>
      <c r="E330">
        <v>43.762999999999998</v>
      </c>
      <c r="F330">
        <v>212540.51699999999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-0.20372670807453608</v>
      </c>
      <c r="Q330">
        <f t="shared" si="970"/>
        <v>-43300.179860869968</v>
      </c>
      <c r="R330">
        <f t="shared" si="971"/>
        <v>1608137.0466390026</v>
      </c>
      <c r="S330">
        <f t="shared" si="972"/>
        <v>16.081370466390027</v>
      </c>
      <c r="T330">
        <f t="shared" si="973"/>
        <v>1.6081370466390028E-2</v>
      </c>
    </row>
    <row r="331" spans="1:20" x14ac:dyDescent="0.25">
      <c r="A331" s="5">
        <v>44262</v>
      </c>
      <c r="B331">
        <v>37.792999999999999</v>
      </c>
      <c r="C331">
        <v>43.85</v>
      </c>
      <c r="D331">
        <v>37.505000000000003</v>
      </c>
      <c r="E331">
        <v>42.655000000000001</v>
      </c>
      <c r="F331">
        <v>219498.18799999999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0.62332545311268694</v>
      </c>
      <c r="Q331">
        <f t="shared" si="970"/>
        <v>136818.80749251373</v>
      </c>
      <c r="R331">
        <f t="shared" si="971"/>
        <v>1651437.2264998725</v>
      </c>
      <c r="S331">
        <f t="shared" si="972"/>
        <v>16.514372264998727</v>
      </c>
      <c r="T331">
        <f t="shared" si="973"/>
        <v>1.6514372264998727E-2</v>
      </c>
    </row>
    <row r="332" spans="1:20" x14ac:dyDescent="0.25">
      <c r="A332" s="5">
        <v>44261</v>
      </c>
      <c r="B332">
        <v>39.116</v>
      </c>
      <c r="C332">
        <v>39.625</v>
      </c>
      <c r="D332">
        <v>35.710999999999999</v>
      </c>
      <c r="E332">
        <v>37.707999999999998</v>
      </c>
      <c r="F332">
        <v>83368.498000000007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2.0439448134899913E-2</v>
      </c>
      <c r="Q332">
        <f t="shared" si="970"/>
        <v>1704.0060909555073</v>
      </c>
      <c r="R332">
        <f t="shared" si="971"/>
        <v>1514618.4190073588</v>
      </c>
      <c r="S332">
        <f t="shared" si="972"/>
        <v>15.146184190073589</v>
      </c>
      <c r="T332">
        <f t="shared" si="973"/>
        <v>1.5146184190073589E-2</v>
      </c>
    </row>
    <row r="333" spans="1:20" x14ac:dyDescent="0.25">
      <c r="A333" s="5">
        <v>44260</v>
      </c>
      <c r="B333">
        <v>37.933999999999997</v>
      </c>
      <c r="C333">
        <v>40.098999999999997</v>
      </c>
      <c r="D333">
        <v>35.392000000000003</v>
      </c>
      <c r="E333">
        <v>39.121000000000002</v>
      </c>
      <c r="F333">
        <v>151556.92000000001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0.58444869343531092</v>
      </c>
      <c r="Q333">
        <f t="shared" si="970"/>
        <v>88577.243875079948</v>
      </c>
      <c r="R333">
        <f t="shared" si="971"/>
        <v>1512914.4129164033</v>
      </c>
      <c r="S333">
        <f t="shared" si="972"/>
        <v>15.129144129164033</v>
      </c>
      <c r="T333">
        <f t="shared" si="973"/>
        <v>1.5129144129164033E-2</v>
      </c>
    </row>
    <row r="334" spans="1:20" x14ac:dyDescent="0.25">
      <c r="A334" s="5">
        <v>44259</v>
      </c>
      <c r="B334">
        <v>38.402000000000001</v>
      </c>
      <c r="C334">
        <v>40.4</v>
      </c>
      <c r="D334">
        <v>36.667000000000002</v>
      </c>
      <c r="E334">
        <v>37.933999999999997</v>
      </c>
      <c r="F334">
        <v>158604.076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-0.32118939190999363</v>
      </c>
      <c r="Q334">
        <f t="shared" si="970"/>
        <v>-50941.946724886417</v>
      </c>
      <c r="R334">
        <f t="shared" si="971"/>
        <v>1424337.1690413232</v>
      </c>
      <c r="S334">
        <f t="shared" si="972"/>
        <v>14.243371690413232</v>
      </c>
      <c r="T334">
        <f t="shared" si="973"/>
        <v>1.4243371690413233E-2</v>
      </c>
    </row>
    <row r="335" spans="1:20" x14ac:dyDescent="0.25">
      <c r="A335" s="5">
        <v>44258</v>
      </c>
      <c r="B335">
        <v>35.145000000000003</v>
      </c>
      <c r="C335">
        <v>40.5</v>
      </c>
      <c r="D335">
        <v>34.694000000000003</v>
      </c>
      <c r="E335">
        <v>38.433</v>
      </c>
      <c r="F335">
        <v>163826.96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0.2879779538408539</v>
      </c>
      <c r="Q335">
        <f t="shared" si="970"/>
        <v>47178.552724767418</v>
      </c>
      <c r="R335">
        <f t="shared" si="971"/>
        <v>1475279.1157662096</v>
      </c>
      <c r="S335">
        <f t="shared" si="972"/>
        <v>14.752791157662095</v>
      </c>
      <c r="T335">
        <f t="shared" si="973"/>
        <v>1.4752791157662095E-2</v>
      </c>
    </row>
    <row r="336" spans="1:20" x14ac:dyDescent="0.25">
      <c r="A336" s="5">
        <v>44257</v>
      </c>
      <c r="B336">
        <v>34.798999999999999</v>
      </c>
      <c r="C336">
        <v>37.700000000000003</v>
      </c>
      <c r="D336">
        <v>33.116999999999997</v>
      </c>
      <c r="E336">
        <v>35.209000000000003</v>
      </c>
      <c r="F336">
        <v>192931.682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-8.7060877154700705E-2</v>
      </c>
      <c r="Q336">
        <f t="shared" si="970"/>
        <v>-16796.801465851782</v>
      </c>
      <c r="R336">
        <f t="shared" si="971"/>
        <v>1428100.5630414421</v>
      </c>
      <c r="S336">
        <f t="shared" si="972"/>
        <v>14.281005630414422</v>
      </c>
      <c r="T336">
        <f t="shared" si="973"/>
        <v>1.4281005630414421E-2</v>
      </c>
    </row>
    <row r="337" spans="1:20" x14ac:dyDescent="0.25">
      <c r="A337" s="5">
        <v>44256</v>
      </c>
      <c r="B337">
        <v>31.861999999999998</v>
      </c>
      <c r="C337">
        <v>36.463000000000001</v>
      </c>
      <c r="D337">
        <v>31.585000000000001</v>
      </c>
      <c r="E337">
        <v>34.787999999999997</v>
      </c>
      <c r="F337">
        <v>167940.85200000001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0.31324313243132257</v>
      </c>
      <c r="Q337">
        <f t="shared" si="970"/>
        <v>52606.318543665147</v>
      </c>
      <c r="R337">
        <f t="shared" si="971"/>
        <v>1444897.3645072938</v>
      </c>
      <c r="S337">
        <f t="shared" si="972"/>
        <v>14.448973645072938</v>
      </c>
      <c r="T337">
        <f t="shared" si="973"/>
        <v>1.4448973645072938E-2</v>
      </c>
    </row>
    <row r="338" spans="1:20" x14ac:dyDescent="0.25">
      <c r="A338" s="5">
        <v>44255</v>
      </c>
      <c r="B338">
        <v>33.594999999999999</v>
      </c>
      <c r="C338">
        <v>34.417000000000002</v>
      </c>
      <c r="D338">
        <v>28.742000000000001</v>
      </c>
      <c r="E338">
        <v>31.765999999999998</v>
      </c>
      <c r="F338">
        <v>166777.46299999999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6.5726872246694976E-2</v>
      </c>
      <c r="Q338">
        <f t="shared" si="970"/>
        <v>10961.761004228898</v>
      </c>
      <c r="R338">
        <f t="shared" si="971"/>
        <v>1392291.0459636287</v>
      </c>
      <c r="S338">
        <f t="shared" si="972"/>
        <v>13.922910459636286</v>
      </c>
      <c r="T338">
        <f t="shared" si="973"/>
        <v>1.3922910459636286E-2</v>
      </c>
    </row>
    <row r="339" spans="1:20" x14ac:dyDescent="0.25">
      <c r="A339" s="5">
        <v>44254</v>
      </c>
      <c r="B339">
        <v>33.232999999999997</v>
      </c>
      <c r="C339">
        <v>36.901000000000003</v>
      </c>
      <c r="D339">
        <v>32.667000000000002</v>
      </c>
      <c r="E339">
        <v>33.609000000000002</v>
      </c>
      <c r="F339">
        <v>154058.125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-0.55503070382616926</v>
      </c>
      <c r="Q339">
        <f t="shared" si="970"/>
        <v>-85506.989548889964</v>
      </c>
      <c r="R339">
        <f t="shared" si="971"/>
        <v>1381329.2849593998</v>
      </c>
      <c r="S339">
        <f t="shared" si="972"/>
        <v>13.813292849593999</v>
      </c>
      <c r="T339">
        <f t="shared" si="973"/>
        <v>1.3813292849593999E-2</v>
      </c>
    </row>
    <row r="340" spans="1:20" x14ac:dyDescent="0.25">
      <c r="A340" s="5">
        <v>44253</v>
      </c>
      <c r="B340">
        <v>36.021000000000001</v>
      </c>
      <c r="C340">
        <v>36.994</v>
      </c>
      <c r="D340">
        <v>31.332000000000001</v>
      </c>
      <c r="E340">
        <v>33.223999999999997</v>
      </c>
      <c r="F340">
        <v>308752.95199999999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-0.33168491699046404</v>
      </c>
      <c r="Q340">
        <f t="shared" si="970"/>
        <v>-102408.69725468072</v>
      </c>
      <c r="R340">
        <f t="shared" si="971"/>
        <v>1466836.2745082898</v>
      </c>
      <c r="S340">
        <f t="shared" si="972"/>
        <v>14.668362745082897</v>
      </c>
      <c r="T340">
        <f t="shared" si="973"/>
        <v>1.4668362745082897E-2</v>
      </c>
    </row>
    <row r="341" spans="1:20" x14ac:dyDescent="0.25">
      <c r="A341" s="5">
        <v>44252</v>
      </c>
      <c r="B341">
        <v>34.741999999999997</v>
      </c>
      <c r="C341">
        <v>43.078000000000003</v>
      </c>
      <c r="D341">
        <v>33.487000000000002</v>
      </c>
      <c r="E341">
        <v>36.106000000000002</v>
      </c>
      <c r="F341">
        <v>431349.52500000002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-0.45386299655927442</v>
      </c>
      <c r="Q341">
        <f t="shared" si="970"/>
        <v>-195773.58798091966</v>
      </c>
      <c r="R341">
        <f t="shared" si="971"/>
        <v>1569244.9717629706</v>
      </c>
      <c r="S341">
        <f t="shared" si="972"/>
        <v>15.692449717629705</v>
      </c>
      <c r="T341">
        <f t="shared" si="973"/>
        <v>1.5692449717629706E-2</v>
      </c>
    </row>
    <row r="342" spans="1:20" x14ac:dyDescent="0.25">
      <c r="A342" s="5">
        <v>44251</v>
      </c>
      <c r="B342">
        <v>31.786000000000001</v>
      </c>
      <c r="C342">
        <v>39.4</v>
      </c>
      <c r="D342">
        <v>29.416</v>
      </c>
      <c r="E342">
        <v>34.758000000000003</v>
      </c>
      <c r="F342">
        <v>1678377.09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7.011217948718014E-2</v>
      </c>
      <c r="Q342">
        <f t="shared" si="970"/>
        <v>117674.67578125111</v>
      </c>
      <c r="R342">
        <f t="shared" si="971"/>
        <v>1765018.5597438903</v>
      </c>
      <c r="S342">
        <f t="shared" si="972"/>
        <v>17.650185597438902</v>
      </c>
      <c r="T342">
        <f t="shared" si="973"/>
        <v>1.7650185597438903E-2</v>
      </c>
    </row>
    <row r="343" spans="1:20" x14ac:dyDescent="0.25">
      <c r="A343" s="5">
        <v>44250</v>
      </c>
      <c r="B343">
        <v>40.704000000000001</v>
      </c>
      <c r="C343">
        <v>40.926000000000002</v>
      </c>
      <c r="D343">
        <v>26.832000000000001</v>
      </c>
      <c r="E343">
        <v>31.786000000000001</v>
      </c>
      <c r="F343">
        <v>673530.478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-0.29700581807861498</v>
      </c>
      <c r="Q343">
        <f t="shared" si="970"/>
        <v>-200042.47061927058</v>
      </c>
      <c r="R343">
        <f t="shared" si="971"/>
        <v>1647343.8839626391</v>
      </c>
      <c r="S343">
        <f t="shared" si="972"/>
        <v>16.473438839626393</v>
      </c>
      <c r="T343">
        <f t="shared" si="973"/>
        <v>1.6473438839626393E-2</v>
      </c>
    </row>
    <row r="344" spans="1:20" x14ac:dyDescent="0.25">
      <c r="A344" s="5">
        <v>44249</v>
      </c>
      <c r="B344">
        <v>47.6</v>
      </c>
      <c r="C344">
        <v>48.235999999999997</v>
      </c>
      <c r="D344">
        <v>32.51</v>
      </c>
      <c r="E344">
        <v>40.645000000000003</v>
      </c>
      <c r="F344">
        <v>456124.141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3.4592394760270324E-2</v>
      </c>
      <c r="Q344">
        <f t="shared" si="970"/>
        <v>15778.426345161202</v>
      </c>
      <c r="R344">
        <f t="shared" si="971"/>
        <v>1847386.3545819097</v>
      </c>
      <c r="S344">
        <f t="shared" si="972"/>
        <v>18.473863545819096</v>
      </c>
      <c r="T344">
        <f t="shared" si="973"/>
        <v>1.8473863545819095E-2</v>
      </c>
    </row>
    <row r="345" spans="1:20" x14ac:dyDescent="0.25">
      <c r="A345" s="5">
        <v>44248</v>
      </c>
      <c r="B345">
        <v>47.804000000000002</v>
      </c>
      <c r="C345">
        <v>49.92</v>
      </c>
      <c r="D345">
        <v>46.27</v>
      </c>
      <c r="E345">
        <v>47.619</v>
      </c>
      <c r="F345">
        <v>191224.97500000001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-0.26082191780822073</v>
      </c>
      <c r="Q345">
        <f t="shared" si="970"/>
        <v>-49875.664712329068</v>
      </c>
      <c r="R345">
        <f t="shared" si="971"/>
        <v>1831607.9282367486</v>
      </c>
      <c r="S345">
        <f t="shared" si="972"/>
        <v>18.316079282367486</v>
      </c>
      <c r="T345">
        <f t="shared" si="973"/>
        <v>1.8316079282367486E-2</v>
      </c>
    </row>
    <row r="346" spans="1:20" x14ac:dyDescent="0.25">
      <c r="A346" s="5">
        <v>44247</v>
      </c>
      <c r="B346">
        <v>53.99</v>
      </c>
      <c r="C346">
        <v>56.255000000000003</v>
      </c>
      <c r="D346">
        <v>43.076999999999998</v>
      </c>
      <c r="E346">
        <v>47.747999999999998</v>
      </c>
      <c r="F346">
        <v>338900.01799999998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-0.29109121262710613</v>
      </c>
      <c r="Q346">
        <f t="shared" si="970"/>
        <v>-98650.817198968085</v>
      </c>
      <c r="R346">
        <f t="shared" si="971"/>
        <v>1881483.5929490777</v>
      </c>
      <c r="S346">
        <f t="shared" si="972"/>
        <v>18.814835929490776</v>
      </c>
      <c r="T346">
        <f t="shared" si="973"/>
        <v>1.8814835929490778E-2</v>
      </c>
    </row>
    <row r="347" spans="1:20" x14ac:dyDescent="0.25">
      <c r="A347" s="5">
        <v>44246</v>
      </c>
      <c r="B347">
        <v>50.26</v>
      </c>
      <c r="C347">
        <v>54.890999999999998</v>
      </c>
      <c r="D347">
        <v>46.393999999999998</v>
      </c>
      <c r="E347">
        <v>54</v>
      </c>
      <c r="F347">
        <v>260763.038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0.7902789219724613</v>
      </c>
      <c r="Q347">
        <f t="shared" si="970"/>
        <v>206075.53256090396</v>
      </c>
      <c r="R347">
        <f t="shared" si="971"/>
        <v>1980134.4101480457</v>
      </c>
      <c r="S347">
        <f t="shared" si="972"/>
        <v>19.801344101480456</v>
      </c>
      <c r="T347">
        <f t="shared" si="973"/>
        <v>1.9801344101480458E-2</v>
      </c>
    </row>
    <row r="348" spans="1:20" x14ac:dyDescent="0.25">
      <c r="A348" s="5">
        <v>44245</v>
      </c>
      <c r="B348">
        <v>49.646999999999998</v>
      </c>
      <c r="C348">
        <v>52.061</v>
      </c>
      <c r="D348">
        <v>47.99</v>
      </c>
      <c r="E348">
        <v>50.378</v>
      </c>
      <c r="F348">
        <v>201361.962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0.17317612380250519</v>
      </c>
      <c r="Q348">
        <f t="shared" si="970"/>
        <v>34871.084060427347</v>
      </c>
      <c r="R348">
        <f t="shared" si="971"/>
        <v>1774058.8775871417</v>
      </c>
      <c r="S348">
        <f t="shared" si="972"/>
        <v>17.740588775871416</v>
      </c>
      <c r="T348">
        <f t="shared" si="973"/>
        <v>1.7740588775871417E-2</v>
      </c>
    </row>
    <row r="349" spans="1:20" x14ac:dyDescent="0.25">
      <c r="A349" s="5">
        <v>44244</v>
      </c>
      <c r="B349">
        <v>45.238</v>
      </c>
      <c r="C349">
        <v>50.9</v>
      </c>
      <c r="D349">
        <v>40.378</v>
      </c>
      <c r="E349">
        <v>49.646000000000001</v>
      </c>
      <c r="F349">
        <v>426990.73700000002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0.76164227333206658</v>
      </c>
      <c r="Q349">
        <f t="shared" si="970"/>
        <v>325214.19562041457</v>
      </c>
      <c r="R349">
        <f t="shared" si="971"/>
        <v>1739187.7935267144</v>
      </c>
      <c r="S349">
        <f t="shared" si="972"/>
        <v>17.391877935267143</v>
      </c>
      <c r="T349">
        <f t="shared" si="973"/>
        <v>1.7391877935267142E-2</v>
      </c>
    </row>
    <row r="350" spans="1:20" x14ac:dyDescent="0.25">
      <c r="A350" s="5">
        <v>44243</v>
      </c>
      <c r="B350">
        <v>44.182000000000002</v>
      </c>
      <c r="C350">
        <v>51.616999999999997</v>
      </c>
      <c r="D350">
        <v>41.911999999999999</v>
      </c>
      <c r="E350">
        <v>45.247999999999998</v>
      </c>
      <c r="F350">
        <v>446696.85700000002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-0.31251931993817639</v>
      </c>
      <c r="Q350">
        <f t="shared" si="970"/>
        <v>-139601.39796816083</v>
      </c>
      <c r="R350">
        <f t="shared" si="971"/>
        <v>1413973.5979062999</v>
      </c>
      <c r="S350">
        <f t="shared" si="972"/>
        <v>14.139735979063</v>
      </c>
      <c r="T350">
        <f t="shared" si="973"/>
        <v>1.4139735979063E-2</v>
      </c>
    </row>
    <row r="351" spans="1:20" x14ac:dyDescent="0.25">
      <c r="A351" s="5">
        <v>44242</v>
      </c>
      <c r="B351">
        <v>50.835000000000001</v>
      </c>
      <c r="C351">
        <v>51.459000000000003</v>
      </c>
      <c r="D351">
        <v>35.280999999999999</v>
      </c>
      <c r="E351">
        <v>44.182000000000002</v>
      </c>
      <c r="F351">
        <v>516393.26699999999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0.10038323649400432</v>
      </c>
      <c r="Q351">
        <f t="shared" si="970"/>
        <v>51837.227445172517</v>
      </c>
      <c r="R351">
        <f t="shared" si="971"/>
        <v>1553574.9958744608</v>
      </c>
      <c r="S351">
        <f t="shared" si="972"/>
        <v>15.535749958744608</v>
      </c>
      <c r="T351">
        <f t="shared" si="973"/>
        <v>1.5535749958744608E-2</v>
      </c>
    </row>
    <row r="352" spans="1:20" x14ac:dyDescent="0.25">
      <c r="A352" s="5">
        <v>44241</v>
      </c>
      <c r="B352">
        <v>56.738999999999997</v>
      </c>
      <c r="C352">
        <v>57.609000000000002</v>
      </c>
      <c r="D352">
        <v>50.139000000000003</v>
      </c>
      <c r="E352">
        <v>50.746000000000002</v>
      </c>
      <c r="F352">
        <v>182246.84899999999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-0.83748326639892923</v>
      </c>
      <c r="Q352">
        <f t="shared" si="970"/>
        <v>-152628.68639143242</v>
      </c>
      <c r="R352">
        <f t="shared" si="971"/>
        <v>1501737.7684292882</v>
      </c>
      <c r="S352">
        <f t="shared" si="972"/>
        <v>15.017377684292882</v>
      </c>
      <c r="T352">
        <f t="shared" si="973"/>
        <v>1.5017377684292881E-2</v>
      </c>
    </row>
    <row r="353" spans="1:20" x14ac:dyDescent="0.25">
      <c r="A353" s="5">
        <v>44240</v>
      </c>
      <c r="B353">
        <v>59.247999999999998</v>
      </c>
      <c r="C353">
        <v>62.112000000000002</v>
      </c>
      <c r="D353">
        <v>50.78</v>
      </c>
      <c r="E353">
        <v>56.451999999999998</v>
      </c>
      <c r="F353">
        <v>341458.11900000001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1.0589481115419474E-3</v>
      </c>
      <c r="Q353">
        <f t="shared" si="970"/>
        <v>361.58643028571555</v>
      </c>
      <c r="R353">
        <f t="shared" si="971"/>
        <v>1654366.4548207207</v>
      </c>
      <c r="S353">
        <f t="shared" si="972"/>
        <v>16.543664548207207</v>
      </c>
      <c r="T353">
        <f t="shared" si="973"/>
        <v>1.6543664548207208E-2</v>
      </c>
    </row>
    <row r="354" spans="1:20" x14ac:dyDescent="0.25">
      <c r="A354" s="5">
        <v>44239</v>
      </c>
      <c r="B354">
        <v>56.618000000000002</v>
      </c>
      <c r="C354">
        <v>64.400000000000006</v>
      </c>
      <c r="D354">
        <v>51.343000000000004</v>
      </c>
      <c r="E354">
        <v>59.215000000000003</v>
      </c>
      <c r="F354">
        <v>377490.80800000002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0.20578999770238166</v>
      </c>
      <c r="Q354">
        <f t="shared" si="970"/>
        <v>77683.832510990193</v>
      </c>
      <c r="R354">
        <f t="shared" si="971"/>
        <v>1654004.8683904349</v>
      </c>
      <c r="S354">
        <f t="shared" si="972"/>
        <v>16.540048683904349</v>
      </c>
      <c r="T354">
        <f t="shared" si="973"/>
        <v>1.6540048683904348E-2</v>
      </c>
    </row>
    <row r="355" spans="1:20" x14ac:dyDescent="0.25">
      <c r="A355" s="5">
        <v>44238</v>
      </c>
      <c r="B355">
        <v>51.823</v>
      </c>
      <c r="C355">
        <v>59.298999999999999</v>
      </c>
      <c r="D355">
        <v>49.88</v>
      </c>
      <c r="E355">
        <v>56.508000000000003</v>
      </c>
      <c r="F355">
        <v>430939.79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0.40736808578405398</v>
      </c>
      <c r="Q355">
        <f t="shared" si="970"/>
        <v>175551.11734048219</v>
      </c>
      <c r="R355">
        <f t="shared" si="971"/>
        <v>1576321.0358794448</v>
      </c>
      <c r="S355">
        <f t="shared" si="972"/>
        <v>15.763210358794447</v>
      </c>
      <c r="T355">
        <f t="shared" si="973"/>
        <v>1.5763210358794449E-2</v>
      </c>
    </row>
    <row r="356" spans="1:20" x14ac:dyDescent="0.25">
      <c r="A356" s="5">
        <v>44237</v>
      </c>
      <c r="B356">
        <v>41.896999999999998</v>
      </c>
      <c r="C356">
        <v>60</v>
      </c>
      <c r="D356">
        <v>41.402999999999999</v>
      </c>
      <c r="E356">
        <v>51.823</v>
      </c>
      <c r="F356">
        <v>811958.59900000005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0.12061085121256127</v>
      </c>
      <c r="Q356">
        <f t="shared" si="970"/>
        <v>97931.017774748703</v>
      </c>
      <c r="R356">
        <f t="shared" si="971"/>
        <v>1400769.9185389625</v>
      </c>
      <c r="S356">
        <f t="shared" si="972"/>
        <v>14.007699185389624</v>
      </c>
      <c r="T356">
        <f t="shared" si="973"/>
        <v>1.4007699185389624E-2</v>
      </c>
    </row>
    <row r="357" spans="1:20" x14ac:dyDescent="0.25">
      <c r="A357" s="5">
        <v>44236</v>
      </c>
      <c r="B357">
        <v>37.993000000000002</v>
      </c>
      <c r="C357">
        <v>43.88</v>
      </c>
      <c r="D357">
        <v>36.787999999999997</v>
      </c>
      <c r="E357">
        <v>41.698</v>
      </c>
      <c r="F357">
        <v>335633.45299999998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0.3846587704455724</v>
      </c>
      <c r="Q357">
        <f t="shared" si="970"/>
        <v>129104.3513513818</v>
      </c>
      <c r="R357">
        <f t="shared" si="971"/>
        <v>1302838.9007642139</v>
      </c>
      <c r="S357">
        <f t="shared" si="972"/>
        <v>13.028389007642138</v>
      </c>
      <c r="T357">
        <f t="shared" si="973"/>
        <v>1.3028389007642138E-2</v>
      </c>
    </row>
    <row r="358" spans="1:20" x14ac:dyDescent="0.25">
      <c r="A358" s="5">
        <v>44235</v>
      </c>
      <c r="B358">
        <v>35.972999999999999</v>
      </c>
      <c r="C358">
        <v>40.244</v>
      </c>
      <c r="D358">
        <v>35.502000000000002</v>
      </c>
      <c r="E358">
        <v>37.94</v>
      </c>
      <c r="F358">
        <v>283040.63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2.8258118937155907E-2</v>
      </c>
      <c r="Q358">
        <f t="shared" si="970"/>
        <v>7998.1957865875384</v>
      </c>
      <c r="R358">
        <f t="shared" si="971"/>
        <v>1173734.5494128321</v>
      </c>
      <c r="S358">
        <f t="shared" si="972"/>
        <v>11.737345494128322</v>
      </c>
      <c r="T358">
        <f t="shared" si="973"/>
        <v>1.1737345494128321E-2</v>
      </c>
    </row>
    <row r="359" spans="1:20" x14ac:dyDescent="0.25">
      <c r="A359" s="5">
        <v>44234</v>
      </c>
      <c r="B359">
        <v>36.338000000000001</v>
      </c>
      <c r="C359">
        <v>39.999000000000002</v>
      </c>
      <c r="D359">
        <v>33.649000000000001</v>
      </c>
      <c r="E359">
        <v>35.968000000000004</v>
      </c>
      <c r="F359">
        <v>446126.28600000002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-0.26960629921259777</v>
      </c>
      <c r="Q359">
        <f t="shared" si="970"/>
        <v>-120278.45694992098</v>
      </c>
      <c r="R359">
        <f t="shared" si="971"/>
        <v>1165736.3536262447</v>
      </c>
      <c r="S359">
        <f t="shared" si="972"/>
        <v>11.657363536262446</v>
      </c>
      <c r="T359">
        <f t="shared" si="973"/>
        <v>1.1657363536262446E-2</v>
      </c>
    </row>
    <row r="360" spans="1:20" x14ac:dyDescent="0.25">
      <c r="A360" s="5">
        <v>44233</v>
      </c>
      <c r="B360">
        <v>39.305999999999997</v>
      </c>
      <c r="C360">
        <v>40.499000000000002</v>
      </c>
      <c r="D360">
        <v>34.5</v>
      </c>
      <c r="E360">
        <v>36.308</v>
      </c>
      <c r="F360">
        <v>364311.495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-0.39723287214535785</v>
      </c>
      <c r="Q360">
        <f t="shared" si="970"/>
        <v>-144716.50151441919</v>
      </c>
      <c r="R360">
        <f t="shared" si="971"/>
        <v>1286014.8105761656</v>
      </c>
      <c r="S360">
        <f t="shared" si="972"/>
        <v>12.860148105761656</v>
      </c>
      <c r="T360">
        <f t="shared" si="973"/>
        <v>1.2860148105761656E-2</v>
      </c>
    </row>
    <row r="361" spans="1:20" x14ac:dyDescent="0.25">
      <c r="A361" s="5">
        <v>44232</v>
      </c>
      <c r="B361">
        <v>37.192999999999998</v>
      </c>
      <c r="C361">
        <v>42.9</v>
      </c>
      <c r="D361">
        <v>37.145000000000003</v>
      </c>
      <c r="E361">
        <v>39.231000000000002</v>
      </c>
      <c r="F361">
        <v>268335.67300000001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-0.27506516072980014</v>
      </c>
      <c r="Q361">
        <f t="shared" si="970"/>
        <v>-73809.795023284096</v>
      </c>
      <c r="R361">
        <f t="shared" si="971"/>
        <v>1430731.3120905848</v>
      </c>
      <c r="S361">
        <f t="shared" si="972"/>
        <v>14.307313120905848</v>
      </c>
      <c r="T361">
        <f t="shared" si="973"/>
        <v>1.4307313120905848E-2</v>
      </c>
    </row>
    <row r="362" spans="1:20" x14ac:dyDescent="0.25">
      <c r="A362" s="5">
        <v>44231</v>
      </c>
      <c r="B362">
        <v>37.384999999999998</v>
      </c>
      <c r="C362">
        <v>39.734000000000002</v>
      </c>
      <c r="D362">
        <v>33.332999999999998</v>
      </c>
      <c r="E362">
        <v>37.094999999999999</v>
      </c>
      <c r="F362">
        <v>341236.92499999999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0.1754413372910478</v>
      </c>
      <c r="Q362">
        <f t="shared" si="970"/>
        <v>59867.062455084983</v>
      </c>
      <c r="R362">
        <f t="shared" si="971"/>
        <v>1504541.1071138689</v>
      </c>
      <c r="S362">
        <f t="shared" si="972"/>
        <v>15.045411071138689</v>
      </c>
      <c r="T362">
        <f t="shared" si="973"/>
        <v>1.5045411071138689E-2</v>
      </c>
    </row>
    <row r="363" spans="1:20" x14ac:dyDescent="0.25">
      <c r="A363" s="5">
        <v>44230</v>
      </c>
      <c r="B363">
        <v>31.954000000000001</v>
      </c>
      <c r="C363">
        <v>37.450000000000003</v>
      </c>
      <c r="D363">
        <v>31.6</v>
      </c>
      <c r="E363">
        <v>37.25</v>
      </c>
      <c r="F363">
        <v>229604.66200000001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0.93162393162393065</v>
      </c>
      <c r="Q363">
        <f t="shared" si="970"/>
        <v>213905.19793162373</v>
      </c>
      <c r="R363">
        <f t="shared" si="971"/>
        <v>1444674.0446587841</v>
      </c>
      <c r="S363">
        <f t="shared" si="972"/>
        <v>14.446740446587841</v>
      </c>
      <c r="T363">
        <f t="shared" si="973"/>
        <v>1.4446740446587841E-2</v>
      </c>
    </row>
    <row r="364" spans="1:20" x14ac:dyDescent="0.25">
      <c r="A364" s="5">
        <v>44229</v>
      </c>
      <c r="B364">
        <v>30.635000000000002</v>
      </c>
      <c r="C364">
        <v>34.448999999999998</v>
      </c>
      <c r="D364">
        <v>30.276</v>
      </c>
      <c r="E364">
        <v>31.850999999999999</v>
      </c>
      <c r="F364">
        <v>232500.18599999999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-0.24514737598849751</v>
      </c>
      <c r="Q364">
        <f t="shared" si="970"/>
        <v>-56996.810514737605</v>
      </c>
      <c r="R364">
        <f t="shared" si="971"/>
        <v>1230768.8467271603</v>
      </c>
      <c r="S364">
        <f t="shared" si="972"/>
        <v>12.307688467271603</v>
      </c>
      <c r="T364">
        <f t="shared" si="973"/>
        <v>1.2307688467271604E-2</v>
      </c>
    </row>
    <row r="365" spans="1:20" x14ac:dyDescent="0.25">
      <c r="A365" s="5">
        <v>44228</v>
      </c>
      <c r="B365">
        <v>29.966000000000001</v>
      </c>
      <c r="C365">
        <v>31.457000000000001</v>
      </c>
      <c r="D365">
        <v>28.5</v>
      </c>
      <c r="E365">
        <v>30.654</v>
      </c>
      <c r="F365">
        <v>196322.50099999999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0.45688197497463601</v>
      </c>
      <c r="Q365">
        <f t="shared" si="970"/>
        <v>89696.211988839947</v>
      </c>
      <c r="R365">
        <f t="shared" si="971"/>
        <v>1287765.6572418979</v>
      </c>
      <c r="S365">
        <f t="shared" si="972"/>
        <v>12.87765657241898</v>
      </c>
      <c r="T365">
        <f t="shared" si="973"/>
        <v>1.287765657241898E-2</v>
      </c>
    </row>
    <row r="366" spans="1:20" x14ac:dyDescent="0.25">
      <c r="A366" s="5">
        <v>44227</v>
      </c>
      <c r="B366">
        <v>31.95</v>
      </c>
      <c r="C366">
        <v>34</v>
      </c>
      <c r="D366">
        <v>29.09</v>
      </c>
      <c r="E366">
        <v>29.968</v>
      </c>
      <c r="F366">
        <v>223151.01800000001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-0.64236252545824846</v>
      </c>
      <c r="Q366">
        <f t="shared" si="970"/>
        <v>-143343.85148105907</v>
      </c>
      <c r="R366">
        <f t="shared" si="971"/>
        <v>1198069.4452530579</v>
      </c>
      <c r="S366">
        <f t="shared" si="972"/>
        <v>11.980694452530578</v>
      </c>
      <c r="T366">
        <f t="shared" si="973"/>
        <v>1.1980694452530577E-2</v>
      </c>
    </row>
    <row r="367" spans="1:20" x14ac:dyDescent="0.25">
      <c r="A367" s="5">
        <v>44226</v>
      </c>
      <c r="B367">
        <v>32.298999999999999</v>
      </c>
      <c r="C367">
        <v>33</v>
      </c>
      <c r="D367">
        <v>29.460999999999999</v>
      </c>
      <c r="E367">
        <v>31.963999999999999</v>
      </c>
      <c r="F367">
        <v>170391.905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0.41452387680135577</v>
      </c>
      <c r="Q367">
        <f t="shared" si="970"/>
        <v>70631.513036168311</v>
      </c>
      <c r="R367">
        <f t="shared" si="971"/>
        <v>1341413.296734117</v>
      </c>
      <c r="S367">
        <f t="shared" si="972"/>
        <v>13.414132967341169</v>
      </c>
      <c r="T367">
        <f t="shared" si="973"/>
        <v>1.3414132967341169E-2</v>
      </c>
    </row>
    <row r="368" spans="1:20" x14ac:dyDescent="0.25">
      <c r="A368" s="5">
        <v>44225</v>
      </c>
      <c r="B368">
        <v>32.844000000000001</v>
      </c>
      <c r="C368">
        <v>34</v>
      </c>
      <c r="D368">
        <v>30.05</v>
      </c>
      <c r="E368">
        <v>32.298999999999999</v>
      </c>
      <c r="F368">
        <v>305036.50900000002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0.13873417721518946</v>
      </c>
      <c r="Q368">
        <f t="shared" si="970"/>
        <v>42318.989096708741</v>
      </c>
      <c r="R368">
        <f t="shared" si="971"/>
        <v>1270781.7836979486</v>
      </c>
      <c r="S368">
        <f t="shared" si="972"/>
        <v>12.707817836979485</v>
      </c>
      <c r="T368">
        <f t="shared" si="973"/>
        <v>1.2707817836979485E-2</v>
      </c>
    </row>
    <row r="369" spans="1:20" x14ac:dyDescent="0.25">
      <c r="A369" s="5">
        <v>44224</v>
      </c>
      <c r="B369">
        <v>31.242000000000001</v>
      </c>
      <c r="C369">
        <v>37.1</v>
      </c>
      <c r="D369">
        <v>30.108000000000001</v>
      </c>
      <c r="E369">
        <v>32.773000000000003</v>
      </c>
      <c r="F369">
        <v>428019.88299999997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-0.23770022883295128</v>
      </c>
      <c r="Q369">
        <f t="shared" si="970"/>
        <v>-101740.42413415303</v>
      </c>
      <c r="R369">
        <f t="shared" si="971"/>
        <v>1228462.7946012397</v>
      </c>
      <c r="S369">
        <f t="shared" si="972"/>
        <v>12.284627946012398</v>
      </c>
      <c r="T369">
        <f t="shared" si="973"/>
        <v>1.2284627946012398E-2</v>
      </c>
    </row>
    <row r="370" spans="1:20" x14ac:dyDescent="0.25">
      <c r="A370" s="5">
        <v>44223</v>
      </c>
      <c r="B370">
        <v>29.545000000000002</v>
      </c>
      <c r="C370">
        <v>32.073</v>
      </c>
      <c r="D370">
        <v>26.5</v>
      </c>
      <c r="E370">
        <v>31.196000000000002</v>
      </c>
      <c r="F370">
        <v>293246.84000000003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0.68526825767091371</v>
      </c>
      <c r="Q370">
        <f t="shared" si="970"/>
        <v>200952.75111430121</v>
      </c>
      <c r="R370">
        <f t="shared" si="971"/>
        <v>1330203.2187353927</v>
      </c>
      <c r="S370">
        <f t="shared" si="972"/>
        <v>13.302032187353927</v>
      </c>
      <c r="T370">
        <f t="shared" si="973"/>
        <v>1.3302032187353926E-2</v>
      </c>
    </row>
    <row r="371" spans="1:20" x14ac:dyDescent="0.25">
      <c r="A371" s="5">
        <v>44222</v>
      </c>
      <c r="B371">
        <v>28.129000000000001</v>
      </c>
      <c r="C371">
        <v>30.3</v>
      </c>
      <c r="D371">
        <v>25.896000000000001</v>
      </c>
      <c r="E371">
        <v>29.536000000000001</v>
      </c>
      <c r="F371">
        <v>276068.16800000001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0.65304268846503211</v>
      </c>
      <c r="Q371">
        <f t="shared" si="970"/>
        <v>180284.29863033615</v>
      </c>
      <c r="R371">
        <f t="shared" si="971"/>
        <v>1129250.4676210915</v>
      </c>
      <c r="S371">
        <f t="shared" si="972"/>
        <v>11.292504676210916</v>
      </c>
      <c r="T371">
        <f t="shared" si="973"/>
        <v>1.1292504676210915E-2</v>
      </c>
    </row>
    <row r="372" spans="1:20" x14ac:dyDescent="0.25">
      <c r="A372" s="5">
        <v>44221</v>
      </c>
      <c r="B372">
        <v>28.547000000000001</v>
      </c>
      <c r="C372">
        <v>32.85</v>
      </c>
      <c r="D372">
        <v>27.861000000000001</v>
      </c>
      <c r="E372">
        <v>28.19</v>
      </c>
      <c r="F372">
        <v>311702.63099999999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-0.86810984165163341</v>
      </c>
      <c r="Q372">
        <f t="shared" si="970"/>
        <v>-270592.12163980753</v>
      </c>
      <c r="R372">
        <f t="shared" si="971"/>
        <v>948966.16899075545</v>
      </c>
      <c r="S372">
        <f t="shared" si="972"/>
        <v>9.489661689907555</v>
      </c>
      <c r="T372">
        <f t="shared" si="973"/>
        <v>9.4896616899075546E-3</v>
      </c>
    </row>
    <row r="373" spans="1:20" x14ac:dyDescent="0.25">
      <c r="A373" s="5">
        <v>44220</v>
      </c>
      <c r="B373">
        <v>29.317</v>
      </c>
      <c r="C373">
        <v>31.478000000000002</v>
      </c>
      <c r="D373">
        <v>27.2</v>
      </c>
      <c r="E373">
        <v>28.594000000000001</v>
      </c>
      <c r="F373">
        <v>226665.05600000001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-0.34829359513791436</v>
      </c>
      <c r="Q373">
        <f t="shared" si="970"/>
        <v>-78945.987246376695</v>
      </c>
      <c r="R373">
        <f t="shared" si="971"/>
        <v>1219558.2906305629</v>
      </c>
      <c r="S373">
        <f t="shared" si="972"/>
        <v>12.19558290630563</v>
      </c>
      <c r="T373">
        <f t="shared" si="973"/>
        <v>1.2195582906305629E-2</v>
      </c>
    </row>
    <row r="374" spans="1:20" x14ac:dyDescent="0.25">
      <c r="A374" s="5">
        <v>44219</v>
      </c>
      <c r="B374">
        <v>25.754000000000001</v>
      </c>
      <c r="C374">
        <v>31</v>
      </c>
      <c r="D374">
        <v>25.152999999999999</v>
      </c>
      <c r="E374">
        <v>29.317</v>
      </c>
      <c r="F374">
        <v>285035.27500000002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0.42432016418676261</v>
      </c>
      <c r="Q374">
        <f t="shared" si="970"/>
        <v>120946.21468701903</v>
      </c>
      <c r="R374">
        <f t="shared" si="971"/>
        <v>1298504.2778769396</v>
      </c>
      <c r="S374">
        <f t="shared" si="972"/>
        <v>12.985042778769396</v>
      </c>
      <c r="T374">
        <f t="shared" si="973"/>
        <v>1.2985042778769395E-2</v>
      </c>
    </row>
    <row r="375" spans="1:20" x14ac:dyDescent="0.25">
      <c r="A375" s="5">
        <v>44218</v>
      </c>
      <c r="B375">
        <v>23.603999999999999</v>
      </c>
      <c r="C375">
        <v>27.596</v>
      </c>
      <c r="D375">
        <v>21</v>
      </c>
      <c r="E375">
        <v>25.734000000000002</v>
      </c>
      <c r="F375">
        <v>358089.60499999998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0.43541540327471245</v>
      </c>
      <c r="Q375">
        <f t="shared" si="970"/>
        <v>155917.72976955748</v>
      </c>
      <c r="R375">
        <f t="shared" si="971"/>
        <v>1177558.0631899205</v>
      </c>
      <c r="S375">
        <f t="shared" si="972"/>
        <v>11.775580631899205</v>
      </c>
      <c r="T375">
        <f t="shared" si="973"/>
        <v>1.1775580631899204E-2</v>
      </c>
    </row>
    <row r="376" spans="1:20" x14ac:dyDescent="0.25">
      <c r="A376" s="5">
        <v>44217</v>
      </c>
      <c r="B376">
        <v>29.524999999999999</v>
      </c>
      <c r="C376">
        <v>29.9</v>
      </c>
      <c r="D376">
        <v>23.05</v>
      </c>
      <c r="E376">
        <v>23.65</v>
      </c>
      <c r="F376">
        <v>303474.652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-0.82481751824817573</v>
      </c>
      <c r="Q376">
        <f t="shared" si="970"/>
        <v>-250311.20931386878</v>
      </c>
      <c r="R376">
        <f t="shared" si="971"/>
        <v>1021640.333420363</v>
      </c>
      <c r="S376">
        <f t="shared" si="972"/>
        <v>10.21640333420363</v>
      </c>
      <c r="T376">
        <f t="shared" si="973"/>
        <v>1.0216403334203629E-2</v>
      </c>
    </row>
    <row r="377" spans="1:20" x14ac:dyDescent="0.25">
      <c r="A377" s="5">
        <v>44216</v>
      </c>
      <c r="B377">
        <v>27.763000000000002</v>
      </c>
      <c r="C377">
        <v>30.265999999999998</v>
      </c>
      <c r="D377">
        <v>25.552</v>
      </c>
      <c r="E377">
        <v>29.483000000000001</v>
      </c>
      <c r="F377">
        <v>464143.11800000002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0.66779804836656853</v>
      </c>
      <c r="Q377">
        <f t="shared" si="970"/>
        <v>309953.86836317391</v>
      </c>
      <c r="R377">
        <f t="shared" si="971"/>
        <v>1271951.5427342318</v>
      </c>
      <c r="S377">
        <f t="shared" si="972"/>
        <v>12.719515427342317</v>
      </c>
      <c r="T377">
        <f t="shared" si="973"/>
        <v>1.2719515427342317E-2</v>
      </c>
    </row>
    <row r="378" spans="1:20" x14ac:dyDescent="0.25">
      <c r="A378" s="5">
        <v>44215</v>
      </c>
      <c r="B378">
        <v>32.113</v>
      </c>
      <c r="C378">
        <v>32.65</v>
      </c>
      <c r="D378">
        <v>27.698</v>
      </c>
      <c r="E378">
        <v>27.779</v>
      </c>
      <c r="F378">
        <v>240261.54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-0.96728594507269805</v>
      </c>
      <c r="Q378">
        <f t="shared" si="970"/>
        <v>-232401.61078352184</v>
      </c>
      <c r="R378">
        <f t="shared" si="971"/>
        <v>961997.67437105789</v>
      </c>
      <c r="S378">
        <f t="shared" si="972"/>
        <v>9.6199767437105788</v>
      </c>
      <c r="T378">
        <f t="shared" si="973"/>
        <v>9.6199767437105781E-3</v>
      </c>
    </row>
    <row r="379" spans="1:20" x14ac:dyDescent="0.25">
      <c r="A379" s="5">
        <v>44214</v>
      </c>
      <c r="B379">
        <v>34.655000000000001</v>
      </c>
      <c r="C379">
        <v>34.700000000000003</v>
      </c>
      <c r="D379">
        <v>30.061</v>
      </c>
      <c r="E379">
        <v>32.192999999999998</v>
      </c>
      <c r="F379">
        <v>271087.43300000002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-8.0836387152405015E-2</v>
      </c>
      <c r="Q379">
        <f t="shared" si="970"/>
        <v>-21913.728686139657</v>
      </c>
      <c r="R379">
        <f t="shared" si="971"/>
        <v>1194399.2851545797</v>
      </c>
      <c r="S379">
        <f t="shared" si="972"/>
        <v>11.943992851545797</v>
      </c>
      <c r="T379">
        <f t="shared" si="973"/>
        <v>1.1943992851545798E-2</v>
      </c>
    </row>
    <row r="380" spans="1:20" x14ac:dyDescent="0.25">
      <c r="A380" s="5">
        <v>44213</v>
      </c>
      <c r="B380">
        <v>26.463000000000001</v>
      </c>
      <c r="C380">
        <v>35.65</v>
      </c>
      <c r="D380">
        <v>24.302</v>
      </c>
      <c r="E380">
        <v>34.651000000000003</v>
      </c>
      <c r="F380">
        <v>625538.05599999998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0.82393373281635618</v>
      </c>
      <c r="Q380">
        <f t="shared" si="970"/>
        <v>515401.90549876681</v>
      </c>
      <c r="R380">
        <f t="shared" si="971"/>
        <v>1216313.0138407194</v>
      </c>
      <c r="S380">
        <f t="shared" si="972"/>
        <v>12.163130138407194</v>
      </c>
      <c r="T380">
        <f t="shared" si="973"/>
        <v>1.2163130138407193E-2</v>
      </c>
    </row>
    <row r="381" spans="1:20" x14ac:dyDescent="0.25">
      <c r="A381" s="5">
        <v>44212</v>
      </c>
      <c r="B381">
        <v>27.308</v>
      </c>
      <c r="C381">
        <v>32</v>
      </c>
      <c r="D381">
        <v>25.594999999999999</v>
      </c>
      <c r="E381">
        <v>26.45</v>
      </c>
      <c r="F381">
        <v>516904.87900000002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-0.73302107728337229</v>
      </c>
      <c r="Q381">
        <f t="shared" si="970"/>
        <v>-378902.17125761119</v>
      </c>
      <c r="R381">
        <f t="shared" si="971"/>
        <v>700911.10834195255</v>
      </c>
      <c r="S381">
        <f t="shared" si="972"/>
        <v>7.0091110834195254</v>
      </c>
      <c r="T381">
        <f t="shared" si="973"/>
        <v>7.0091110834195258E-3</v>
      </c>
    </row>
    <row r="382" spans="1:20" x14ac:dyDescent="0.25">
      <c r="A382" s="5">
        <v>44211</v>
      </c>
      <c r="B382">
        <v>21.268999999999998</v>
      </c>
      <c r="C382">
        <v>27.811</v>
      </c>
      <c r="D382">
        <v>21</v>
      </c>
      <c r="E382">
        <v>27.228999999999999</v>
      </c>
      <c r="F382">
        <v>740315.10400000005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0.82909998531786788</v>
      </c>
      <c r="Q382">
        <f t="shared" si="970"/>
        <v>613795.24185699585</v>
      </c>
      <c r="R382">
        <f t="shared" si="971"/>
        <v>1079813.2795995637</v>
      </c>
      <c r="S382">
        <f t="shared" si="972"/>
        <v>10.798132795995636</v>
      </c>
      <c r="T382">
        <f t="shared" si="973"/>
        <v>1.0798132795995636E-2</v>
      </c>
    </row>
    <row r="383" spans="1:20" x14ac:dyDescent="0.25">
      <c r="A383" s="5">
        <v>44210</v>
      </c>
      <c r="B383">
        <v>21.529</v>
      </c>
      <c r="C383">
        <v>22.006</v>
      </c>
      <c r="D383">
        <v>19.872</v>
      </c>
      <c r="E383">
        <v>21.257000000000001</v>
      </c>
      <c r="F383">
        <v>188422.163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0.2980318650421756</v>
      </c>
      <c r="Q383">
        <f t="shared" si="970"/>
        <v>56155.808654170811</v>
      </c>
      <c r="R383">
        <f t="shared" si="971"/>
        <v>466018.03774256795</v>
      </c>
      <c r="S383">
        <f t="shared" si="972"/>
        <v>4.6601803774256796</v>
      </c>
      <c r="T383">
        <f t="shared" si="973"/>
        <v>4.66018037742568E-3</v>
      </c>
    </row>
    <row r="384" spans="1:20" x14ac:dyDescent="0.25">
      <c r="A384" s="5">
        <v>44209</v>
      </c>
      <c r="B384">
        <v>18.79</v>
      </c>
      <c r="C384">
        <v>22</v>
      </c>
      <c r="D384">
        <v>17.89</v>
      </c>
      <c r="E384">
        <v>21.486999999999998</v>
      </c>
      <c r="F384">
        <v>193160.288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0.75036496350364879</v>
      </c>
      <c r="Q384">
        <f t="shared" si="970"/>
        <v>144940.71245547428</v>
      </c>
      <c r="R384">
        <f t="shared" si="971"/>
        <v>409862.22908839711</v>
      </c>
      <c r="S384">
        <f t="shared" si="972"/>
        <v>4.0986222908839709</v>
      </c>
      <c r="T384">
        <f t="shared" si="973"/>
        <v>4.0986222908839711E-3</v>
      </c>
    </row>
    <row r="385" spans="1:20" x14ac:dyDescent="0.25">
      <c r="A385" s="5">
        <v>44208</v>
      </c>
      <c r="B385">
        <v>19.559000000000001</v>
      </c>
      <c r="C385">
        <v>20.6</v>
      </c>
      <c r="D385">
        <v>18.173999999999999</v>
      </c>
      <c r="E385">
        <v>18.827000000000002</v>
      </c>
      <c r="F385">
        <v>234090.16899999999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-0.46166529266281803</v>
      </c>
      <c r="Q385">
        <f t="shared" si="970"/>
        <v>-108071.30638087353</v>
      </c>
      <c r="R385">
        <f t="shared" si="971"/>
        <v>264921.51663292287</v>
      </c>
      <c r="S385">
        <f t="shared" si="972"/>
        <v>2.6492151663292285</v>
      </c>
      <c r="T385">
        <f t="shared" si="973"/>
        <v>2.6492151663292285E-3</v>
      </c>
    </row>
    <row r="386" spans="1:20" x14ac:dyDescent="0.25">
      <c r="A386" s="5">
        <v>44207</v>
      </c>
      <c r="B386">
        <v>22.71</v>
      </c>
      <c r="C386">
        <v>22.757999999999999</v>
      </c>
      <c r="D386">
        <v>17.023</v>
      </c>
      <c r="E386">
        <v>19.565000000000001</v>
      </c>
      <c r="F386">
        <v>354092.13199999998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-0.11351351351351287</v>
      </c>
      <c r="Q386">
        <f t="shared" si="970"/>
        <v>-40194.24201081058</v>
      </c>
      <c r="R386">
        <f t="shared" si="971"/>
        <v>372992.82301379641</v>
      </c>
      <c r="S386">
        <f t="shared" si="972"/>
        <v>3.7299282301379639</v>
      </c>
      <c r="T386">
        <f t="shared" si="973"/>
        <v>3.7299282301379638E-3</v>
      </c>
    </row>
    <row r="387" spans="1:20" x14ac:dyDescent="0.25">
      <c r="A387" s="5">
        <v>44206</v>
      </c>
      <c r="B387">
        <v>23.852</v>
      </c>
      <c r="C387">
        <v>25.832999999999998</v>
      </c>
      <c r="D387">
        <v>21.3</v>
      </c>
      <c r="E387">
        <v>22.654</v>
      </c>
      <c r="F387">
        <v>282095.21999999997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-0.40260313258327823</v>
      </c>
      <c r="Q387">
        <f t="shared" si="970"/>
        <v>-113572.41925876903</v>
      </c>
      <c r="R387">
        <f t="shared" si="971"/>
        <v>413187.065024607</v>
      </c>
      <c r="S387">
        <f t="shared" si="972"/>
        <v>4.1318706502460696</v>
      </c>
      <c r="T387">
        <f t="shared" si="973"/>
        <v>4.1318706502460698E-3</v>
      </c>
    </row>
    <row r="388" spans="1:20" x14ac:dyDescent="0.25">
      <c r="A388" s="5">
        <v>44205</v>
      </c>
      <c r="B388">
        <v>22.216999999999999</v>
      </c>
      <c r="C388">
        <v>27</v>
      </c>
      <c r="D388">
        <v>21.587</v>
      </c>
      <c r="E388">
        <v>23.792999999999999</v>
      </c>
      <c r="F388">
        <v>317608.78700000001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-0.18492518012192891</v>
      </c>
      <c r="Q388">
        <f t="shared" si="970"/>
        <v>-58733.862144282357</v>
      </c>
      <c r="R388">
        <f t="shared" si="971"/>
        <v>526759.48428337602</v>
      </c>
      <c r="S388">
        <f t="shared" si="972"/>
        <v>5.26759484283376</v>
      </c>
      <c r="T388">
        <f t="shared" si="973"/>
        <v>5.2675948428337598E-3</v>
      </c>
    </row>
    <row r="389" spans="1:20" x14ac:dyDescent="0.25">
      <c r="A389" s="5">
        <v>44204</v>
      </c>
      <c r="B389">
        <v>22.611999999999998</v>
      </c>
      <c r="C389">
        <v>24.298999999999999</v>
      </c>
      <c r="D389">
        <v>19.91</v>
      </c>
      <c r="E389">
        <v>22.277000000000001</v>
      </c>
      <c r="F389">
        <v>292904.23599999998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7.8605604921394956E-2</v>
      </c>
      <c r="Q389">
        <f t="shared" si="970"/>
        <v>23023.914654819029</v>
      </c>
      <c r="R389">
        <f t="shared" si="971"/>
        <v>585493.34642765834</v>
      </c>
      <c r="S389">
        <f t="shared" si="972"/>
        <v>5.8549334642765833</v>
      </c>
      <c r="T389">
        <f t="shared" si="973"/>
        <v>5.854933464276583E-3</v>
      </c>
    </row>
    <row r="390" spans="1:20" x14ac:dyDescent="0.25">
      <c r="A390" s="5">
        <v>44203</v>
      </c>
      <c r="B390">
        <v>23.460999999999999</v>
      </c>
      <c r="C390">
        <v>25.195</v>
      </c>
      <c r="D390">
        <v>20.905000000000001</v>
      </c>
      <c r="E390">
        <v>22.579000000000001</v>
      </c>
      <c r="F390">
        <v>293882.734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-0.21958041958041966</v>
      </c>
      <c r="Q390">
        <f t="shared" ref="Q390:Q453" si="975">F390*P390</f>
        <v>-64530.894039160863</v>
      </c>
      <c r="R390">
        <f t="shared" ref="R390:R453" si="976">R391+Q390</f>
        <v>562469.43177283928</v>
      </c>
      <c r="S390">
        <f t="shared" ref="S390:S453" si="977">R390/100000</f>
        <v>5.6246943177283928</v>
      </c>
      <c r="T390">
        <f t="shared" ref="T390:T453" si="978">S390/1000</f>
        <v>5.6246943177283926E-3</v>
      </c>
    </row>
    <row r="391" spans="1:20" x14ac:dyDescent="0.25">
      <c r="A391" s="5">
        <v>44202</v>
      </c>
      <c r="B391">
        <v>20.289000000000001</v>
      </c>
      <c r="C391">
        <v>24.416</v>
      </c>
      <c r="D391">
        <v>20</v>
      </c>
      <c r="E391">
        <v>23.427</v>
      </c>
      <c r="F391">
        <v>362318.283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0.55208333333333304</v>
      </c>
      <c r="Q391">
        <f t="shared" si="975"/>
        <v>200029.8854062499</v>
      </c>
      <c r="R391">
        <f t="shared" si="976"/>
        <v>627000.32581200008</v>
      </c>
      <c r="S391">
        <f t="shared" si="977"/>
        <v>6.2700032581200009</v>
      </c>
      <c r="T391">
        <f t="shared" si="978"/>
        <v>6.2700032581200008E-3</v>
      </c>
    </row>
    <row r="392" spans="1:20" x14ac:dyDescent="0.25">
      <c r="A392" s="5">
        <v>44201</v>
      </c>
      <c r="B392">
        <v>19.427</v>
      </c>
      <c r="C392">
        <v>21.3</v>
      </c>
      <c r="D392">
        <v>18.238</v>
      </c>
      <c r="E392">
        <v>20.263999999999999</v>
      </c>
      <c r="F392">
        <v>265612.05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0.32331809274983608</v>
      </c>
      <c r="Q392">
        <f t="shared" si="975"/>
        <v>85877.1814173741</v>
      </c>
      <c r="R392">
        <f t="shared" si="976"/>
        <v>426970.44040575024</v>
      </c>
      <c r="S392">
        <f t="shared" si="977"/>
        <v>4.2697044040575021</v>
      </c>
      <c r="T392">
        <f t="shared" si="978"/>
        <v>4.2697044040575019E-3</v>
      </c>
    </row>
    <row r="393" spans="1:20" x14ac:dyDescent="0.25">
      <c r="A393" s="5">
        <v>44200</v>
      </c>
      <c r="B393">
        <v>19.936</v>
      </c>
      <c r="C393">
        <v>22.045999999999999</v>
      </c>
      <c r="D393">
        <v>17.571999999999999</v>
      </c>
      <c r="E393">
        <v>19.396999999999998</v>
      </c>
      <c r="F393">
        <v>308723.74599999998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-0.1841752346893164</v>
      </c>
      <c r="Q393">
        <f t="shared" si="975"/>
        <v>-56859.268373714905</v>
      </c>
      <c r="R393">
        <f t="shared" si="976"/>
        <v>341093.25898837612</v>
      </c>
      <c r="S393">
        <f t="shared" si="977"/>
        <v>3.4109325898837612</v>
      </c>
      <c r="T393">
        <f t="shared" si="978"/>
        <v>3.4109325898837614E-3</v>
      </c>
    </row>
    <row r="394" spans="1:20" x14ac:dyDescent="0.25">
      <c r="A394" s="5">
        <v>44199</v>
      </c>
      <c r="B394">
        <v>17.873000000000001</v>
      </c>
      <c r="C394">
        <v>20.440000000000001</v>
      </c>
      <c r="D394">
        <v>17.244</v>
      </c>
      <c r="E394">
        <v>19.902999999999999</v>
      </c>
      <c r="F394">
        <v>205149.64499999999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0.66395494367959806</v>
      </c>
      <c r="Q394">
        <f t="shared" si="975"/>
        <v>136210.12099186453</v>
      </c>
      <c r="R394">
        <f t="shared" si="976"/>
        <v>397952.527362091</v>
      </c>
      <c r="S394">
        <f t="shared" si="977"/>
        <v>3.9795252736209101</v>
      </c>
      <c r="T394">
        <f t="shared" si="978"/>
        <v>3.97952527362091E-3</v>
      </c>
    </row>
    <row r="395" spans="1:20" x14ac:dyDescent="0.25">
      <c r="A395" s="5">
        <v>44198</v>
      </c>
      <c r="B395">
        <v>17.739000000000001</v>
      </c>
      <c r="C395">
        <v>18.146999999999998</v>
      </c>
      <c r="D395">
        <v>16.826000000000001</v>
      </c>
      <c r="E395">
        <v>17.861999999999998</v>
      </c>
      <c r="F395">
        <v>114574.38499999999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0.56850870552611565</v>
      </c>
      <c r="Q395">
        <f t="shared" si="975"/>
        <v>65136.535302800803</v>
      </c>
      <c r="R395">
        <f t="shared" si="976"/>
        <v>261742.4063702265</v>
      </c>
      <c r="S395">
        <f t="shared" si="977"/>
        <v>2.617424063702265</v>
      </c>
      <c r="T395">
        <f t="shared" si="978"/>
        <v>2.617424063702265E-3</v>
      </c>
    </row>
    <row r="396" spans="1:20" x14ac:dyDescent="0.25">
      <c r="A396" s="5">
        <v>44197</v>
      </c>
      <c r="B396">
        <v>17.763000000000002</v>
      </c>
      <c r="C396">
        <v>19.062000000000001</v>
      </c>
      <c r="D396">
        <v>17.286999999999999</v>
      </c>
      <c r="E396">
        <v>17.736999999999998</v>
      </c>
      <c r="F396">
        <v>134039.59099999999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-0.49295774647887464</v>
      </c>
      <c r="Q396">
        <f t="shared" si="975"/>
        <v>-66075.854718310045</v>
      </c>
      <c r="R396">
        <f t="shared" si="976"/>
        <v>196605.8710674257</v>
      </c>
      <c r="S396">
        <f t="shared" si="977"/>
        <v>1.9660587106742571</v>
      </c>
      <c r="T396">
        <f t="shared" si="978"/>
        <v>1.966058710674257E-3</v>
      </c>
    </row>
    <row r="397" spans="1:20" x14ac:dyDescent="0.25">
      <c r="A397" s="5">
        <v>44196</v>
      </c>
      <c r="B397">
        <v>17.567</v>
      </c>
      <c r="C397">
        <v>17.835000000000001</v>
      </c>
      <c r="D397">
        <v>16.72</v>
      </c>
      <c r="E397">
        <v>17.738</v>
      </c>
      <c r="F397">
        <v>104172.09699999999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0.82600896860986339</v>
      </c>
      <c r="Q397">
        <f t="shared" si="975"/>
        <v>86047.086400896646</v>
      </c>
      <c r="R397">
        <f t="shared" si="976"/>
        <v>262681.72578573576</v>
      </c>
      <c r="S397">
        <f t="shared" si="977"/>
        <v>2.6268172578573576</v>
      </c>
      <c r="T397">
        <f t="shared" si="978"/>
        <v>2.6268172578573575E-3</v>
      </c>
    </row>
    <row r="398" spans="1:20" x14ac:dyDescent="0.25">
      <c r="A398" s="5">
        <v>44195</v>
      </c>
      <c r="B398">
        <v>18.234000000000002</v>
      </c>
      <c r="C398">
        <v>18.440000000000001</v>
      </c>
      <c r="D398">
        <v>17.387</v>
      </c>
      <c r="E398">
        <v>17.533000000000001</v>
      </c>
      <c r="F398">
        <v>84339.471000000005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-0.72269705603038803</v>
      </c>
      <c r="Q398">
        <f t="shared" si="975"/>
        <v>-60951.887398860286</v>
      </c>
      <c r="R398">
        <f t="shared" si="976"/>
        <v>176634.6393848391</v>
      </c>
      <c r="S398">
        <f t="shared" si="977"/>
        <v>1.766346393848391</v>
      </c>
      <c r="T398">
        <f t="shared" si="978"/>
        <v>1.766346393848391E-3</v>
      </c>
    </row>
    <row r="399" spans="1:20" x14ac:dyDescent="0.25">
      <c r="A399" s="5">
        <v>44194</v>
      </c>
      <c r="B399">
        <v>19.849</v>
      </c>
      <c r="C399">
        <v>20.501000000000001</v>
      </c>
      <c r="D399">
        <v>17.202999999999999</v>
      </c>
      <c r="E399">
        <v>18.198</v>
      </c>
      <c r="F399">
        <v>195271.103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-0.39660400242571231</v>
      </c>
      <c r="Q399">
        <f t="shared" si="975"/>
        <v>-77445.301007883521</v>
      </c>
      <c r="R399">
        <f t="shared" si="976"/>
        <v>237586.5267836994</v>
      </c>
      <c r="S399">
        <f t="shared" si="977"/>
        <v>2.375865267836994</v>
      </c>
      <c r="T399">
        <f t="shared" si="978"/>
        <v>2.3758652678369939E-3</v>
      </c>
    </row>
    <row r="400" spans="1:20" x14ac:dyDescent="0.25">
      <c r="A400" s="5">
        <v>44193</v>
      </c>
      <c r="B400">
        <v>17.846</v>
      </c>
      <c r="C400">
        <v>20.231000000000002</v>
      </c>
      <c r="D400">
        <v>17.568999999999999</v>
      </c>
      <c r="E400">
        <v>19.846</v>
      </c>
      <c r="F400">
        <v>177432.288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0.71074380165289164</v>
      </c>
      <c r="Q400">
        <f t="shared" si="975"/>
        <v>126108.89890909074</v>
      </c>
      <c r="R400">
        <f t="shared" si="976"/>
        <v>315031.82779158291</v>
      </c>
      <c r="S400">
        <f t="shared" si="977"/>
        <v>3.150318277915829</v>
      </c>
      <c r="T400">
        <f t="shared" si="978"/>
        <v>3.1503182779158288E-3</v>
      </c>
    </row>
    <row r="401" spans="1:20" x14ac:dyDescent="0.25">
      <c r="A401" s="5">
        <v>44192</v>
      </c>
      <c r="B401">
        <v>17.207000000000001</v>
      </c>
      <c r="C401">
        <v>18.899999999999999</v>
      </c>
      <c r="D401">
        <v>15.903</v>
      </c>
      <c r="E401">
        <v>17.771000000000001</v>
      </c>
      <c r="F401">
        <v>189546.83900000001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0.24657991324658091</v>
      </c>
      <c r="Q401">
        <f t="shared" si="975"/>
        <v>46738.443116783637</v>
      </c>
      <c r="R401">
        <f t="shared" si="976"/>
        <v>188922.92888249215</v>
      </c>
      <c r="S401">
        <f t="shared" si="977"/>
        <v>1.8892292888249216</v>
      </c>
      <c r="T401">
        <f t="shared" si="978"/>
        <v>1.8892292888249215E-3</v>
      </c>
    </row>
    <row r="402" spans="1:20" x14ac:dyDescent="0.25">
      <c r="A402" s="5">
        <v>44191</v>
      </c>
      <c r="B402">
        <v>18.13</v>
      </c>
      <c r="C402">
        <v>18.257999999999999</v>
      </c>
      <c r="D402">
        <v>16.925000000000001</v>
      </c>
      <c r="E402">
        <v>17.204000000000001</v>
      </c>
      <c r="F402">
        <v>84263.085000000006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-0.58139534883720889</v>
      </c>
      <c r="Q402">
        <f t="shared" si="975"/>
        <v>-48990.165697674391</v>
      </c>
      <c r="R402">
        <f t="shared" si="976"/>
        <v>142184.48576570852</v>
      </c>
      <c r="S402">
        <f t="shared" si="977"/>
        <v>1.4218448576570852</v>
      </c>
      <c r="T402">
        <f t="shared" si="978"/>
        <v>1.4218448576570853E-3</v>
      </c>
    </row>
    <row r="403" spans="1:20" x14ac:dyDescent="0.25">
      <c r="A403" s="5">
        <v>44190</v>
      </c>
      <c r="B403">
        <v>18.431999999999999</v>
      </c>
      <c r="C403">
        <v>19.704999999999998</v>
      </c>
      <c r="D403">
        <v>17.722999999999999</v>
      </c>
      <c r="E403">
        <v>18.158000000000001</v>
      </c>
      <c r="F403">
        <v>96486.467000000004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-0.56104944500504295</v>
      </c>
      <c r="Q403">
        <f t="shared" si="975"/>
        <v>-54133.678760847397</v>
      </c>
      <c r="R403">
        <f t="shared" si="976"/>
        <v>191174.65146338291</v>
      </c>
      <c r="S403">
        <f t="shared" si="977"/>
        <v>1.9117465146338291</v>
      </c>
      <c r="T403">
        <f t="shared" si="978"/>
        <v>1.911746514633829E-3</v>
      </c>
    </row>
    <row r="404" spans="1:20" x14ac:dyDescent="0.25">
      <c r="A404" s="5">
        <v>44189</v>
      </c>
      <c r="B404">
        <v>16.652000000000001</v>
      </c>
      <c r="C404">
        <v>18.518000000000001</v>
      </c>
      <c r="D404">
        <v>15.686999999999999</v>
      </c>
      <c r="E404">
        <v>18.433</v>
      </c>
      <c r="F404">
        <v>183097.25099999999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0.9399505475097133</v>
      </c>
      <c r="Q404">
        <f t="shared" si="975"/>
        <v>172102.3613249734</v>
      </c>
      <c r="R404">
        <f t="shared" si="976"/>
        <v>245308.3302242303</v>
      </c>
      <c r="S404">
        <f t="shared" si="977"/>
        <v>2.4530833022423031</v>
      </c>
      <c r="T404">
        <f t="shared" si="978"/>
        <v>2.4530833022423032E-3</v>
      </c>
    </row>
    <row r="405" spans="1:20" x14ac:dyDescent="0.25">
      <c r="A405" s="5">
        <v>44188</v>
      </c>
      <c r="B405">
        <v>20.786000000000001</v>
      </c>
      <c r="C405">
        <v>21.114000000000001</v>
      </c>
      <c r="D405">
        <v>15</v>
      </c>
      <c r="E405">
        <v>16.652999999999999</v>
      </c>
      <c r="F405">
        <v>179169.03599999999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-0.45927379784102113</v>
      </c>
      <c r="Q405">
        <f t="shared" si="975"/>
        <v>-82287.64361923463</v>
      </c>
      <c r="R405">
        <f t="shared" si="976"/>
        <v>73205.968899256914</v>
      </c>
      <c r="S405">
        <f t="shared" si="977"/>
        <v>0.73205968899256912</v>
      </c>
      <c r="T405">
        <f t="shared" si="978"/>
        <v>7.3205968899256913E-4</v>
      </c>
    </row>
    <row r="406" spans="1:20" x14ac:dyDescent="0.25">
      <c r="A406" s="5">
        <v>44187</v>
      </c>
      <c r="B406">
        <v>20.125</v>
      </c>
      <c r="C406">
        <v>21.228999999999999</v>
      </c>
      <c r="D406">
        <v>18.8</v>
      </c>
      <c r="E406">
        <v>20.771999999999998</v>
      </c>
      <c r="F406">
        <v>148511.14600000001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0.62371346233017622</v>
      </c>
      <c r="Q406">
        <f t="shared" si="975"/>
        <v>92628.401066282298</v>
      </c>
      <c r="R406">
        <f t="shared" si="976"/>
        <v>155493.61251849154</v>
      </c>
      <c r="S406">
        <f t="shared" si="977"/>
        <v>1.5549361251849154</v>
      </c>
      <c r="T406">
        <f t="shared" si="978"/>
        <v>1.5549361251849154E-3</v>
      </c>
    </row>
    <row r="407" spans="1:20" x14ac:dyDescent="0.25">
      <c r="A407" s="5">
        <v>44186</v>
      </c>
      <c r="B407">
        <v>22.591000000000001</v>
      </c>
      <c r="C407">
        <v>23.228999999999999</v>
      </c>
      <c r="D407">
        <v>20.071999999999999</v>
      </c>
      <c r="E407">
        <v>20.122</v>
      </c>
      <c r="F407">
        <v>123859.067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-0.9683243585682606</v>
      </c>
      <c r="Q407">
        <f t="shared" si="975"/>
        <v>-119935.75160563822</v>
      </c>
      <c r="R407">
        <f t="shared" si="976"/>
        <v>62865.211452209245</v>
      </c>
      <c r="S407">
        <f t="shared" si="977"/>
        <v>0.62865211452209246</v>
      </c>
      <c r="T407">
        <f t="shared" si="978"/>
        <v>6.2865211452209249E-4</v>
      </c>
    </row>
    <row r="408" spans="1:20" x14ac:dyDescent="0.25">
      <c r="A408" s="5">
        <v>44185</v>
      </c>
      <c r="B408">
        <v>24.53</v>
      </c>
      <c r="C408">
        <v>24.544</v>
      </c>
      <c r="D408">
        <v>22</v>
      </c>
      <c r="E408">
        <v>22.623000000000001</v>
      </c>
      <c r="F408">
        <v>134927.69200000001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-0.51022012578616271</v>
      </c>
      <c r="Q408">
        <f t="shared" si="975"/>
        <v>-68842.82398427662</v>
      </c>
      <c r="R408">
        <f t="shared" si="976"/>
        <v>182800.96305784746</v>
      </c>
      <c r="S408">
        <f t="shared" si="977"/>
        <v>1.8280096305784745</v>
      </c>
      <c r="T408">
        <f t="shared" si="978"/>
        <v>1.8280096305784747E-3</v>
      </c>
    </row>
    <row r="409" spans="1:20" x14ac:dyDescent="0.25">
      <c r="A409" s="5">
        <v>44184</v>
      </c>
      <c r="B409">
        <v>24.594000000000001</v>
      </c>
      <c r="C409">
        <v>25.7</v>
      </c>
      <c r="D409">
        <v>24.337</v>
      </c>
      <c r="E409">
        <v>24.524999999999999</v>
      </c>
      <c r="F409">
        <v>90594.462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-0.72413793103448443</v>
      </c>
      <c r="Q409">
        <f t="shared" si="975"/>
        <v>-65602.886275862213</v>
      </c>
      <c r="R409">
        <f t="shared" si="976"/>
        <v>251643.78704212408</v>
      </c>
      <c r="S409">
        <f t="shared" si="977"/>
        <v>2.5164378704212407</v>
      </c>
      <c r="T409">
        <f t="shared" si="978"/>
        <v>2.5164378704212406E-3</v>
      </c>
    </row>
    <row r="410" spans="1:20" x14ac:dyDescent="0.25">
      <c r="A410" s="5">
        <v>44183</v>
      </c>
      <c r="B410">
        <v>25.065000000000001</v>
      </c>
      <c r="C410">
        <v>25.56</v>
      </c>
      <c r="D410">
        <v>24.001000000000001</v>
      </c>
      <c r="E410">
        <v>24.625</v>
      </c>
      <c r="F410">
        <v>83753.702999999994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-0.19948685054522158</v>
      </c>
      <c r="Q410">
        <f t="shared" si="975"/>
        <v>-16707.762432969874</v>
      </c>
      <c r="R410">
        <f t="shared" si="976"/>
        <v>317246.67331798631</v>
      </c>
      <c r="S410">
        <f t="shared" si="977"/>
        <v>3.1724667331798631</v>
      </c>
      <c r="T410">
        <f t="shared" si="978"/>
        <v>3.1724667331798633E-3</v>
      </c>
    </row>
    <row r="411" spans="1:20" x14ac:dyDescent="0.25">
      <c r="A411" s="5">
        <v>44182</v>
      </c>
      <c r="B411">
        <v>24.811</v>
      </c>
      <c r="C411">
        <v>26.616</v>
      </c>
      <c r="D411">
        <v>24.367000000000001</v>
      </c>
      <c r="E411">
        <v>25.079000000000001</v>
      </c>
      <c r="F411">
        <v>177546.674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-0.36682970208981758</v>
      </c>
      <c r="Q411">
        <f t="shared" si="975"/>
        <v>-65129.393530457957</v>
      </c>
      <c r="R411">
        <f t="shared" si="976"/>
        <v>333954.43575095618</v>
      </c>
      <c r="S411">
        <f t="shared" si="977"/>
        <v>3.339544357509562</v>
      </c>
      <c r="T411">
        <f t="shared" si="978"/>
        <v>3.3395443575095622E-3</v>
      </c>
    </row>
    <row r="412" spans="1:20" x14ac:dyDescent="0.25">
      <c r="A412" s="5">
        <v>44181</v>
      </c>
      <c r="B412">
        <v>24.922999999999998</v>
      </c>
      <c r="C412">
        <v>25.445</v>
      </c>
      <c r="D412">
        <v>23.789000000000001</v>
      </c>
      <c r="E412">
        <v>24.84</v>
      </c>
      <c r="F412">
        <v>135677.576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0.26932367149758352</v>
      </c>
      <c r="Q412">
        <f t="shared" si="975"/>
        <v>36541.182908212424</v>
      </c>
      <c r="R412">
        <f t="shared" si="976"/>
        <v>399083.82928141416</v>
      </c>
      <c r="S412">
        <f t="shared" si="977"/>
        <v>3.9908382928141415</v>
      </c>
      <c r="T412">
        <f t="shared" si="978"/>
        <v>3.9908382928141419E-3</v>
      </c>
    </row>
    <row r="413" spans="1:20" x14ac:dyDescent="0.25">
      <c r="A413" s="5">
        <v>44180</v>
      </c>
      <c r="B413">
        <v>25.006</v>
      </c>
      <c r="C413">
        <v>25.989000000000001</v>
      </c>
      <c r="D413">
        <v>24.042999999999999</v>
      </c>
      <c r="E413">
        <v>24.902999999999999</v>
      </c>
      <c r="F413">
        <v>116343.444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-0.1161356628982541</v>
      </c>
      <c r="Q413">
        <f t="shared" si="975"/>
        <v>-13511.622992805904</v>
      </c>
      <c r="R413">
        <f t="shared" si="976"/>
        <v>362542.64637320174</v>
      </c>
      <c r="S413">
        <f t="shared" si="977"/>
        <v>3.6254264637320173</v>
      </c>
      <c r="T413">
        <f t="shared" si="978"/>
        <v>3.6254264637320174E-3</v>
      </c>
    </row>
    <row r="414" spans="1:20" x14ac:dyDescent="0.25">
      <c r="A414" s="5">
        <v>44179</v>
      </c>
      <c r="B414">
        <v>23.957000000000001</v>
      </c>
      <c r="C414">
        <v>25.62</v>
      </c>
      <c r="D414">
        <v>23.55</v>
      </c>
      <c r="E414">
        <v>24.957999999999998</v>
      </c>
      <c r="F414">
        <v>175826.51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0.36038647342994928</v>
      </c>
      <c r="Q414">
        <f t="shared" si="975"/>
        <v>63365.495874395718</v>
      </c>
      <c r="R414">
        <f t="shared" si="976"/>
        <v>376054.26936600765</v>
      </c>
      <c r="S414">
        <f t="shared" si="977"/>
        <v>3.7605426936600765</v>
      </c>
      <c r="T414">
        <f t="shared" si="978"/>
        <v>3.7605426936600764E-3</v>
      </c>
    </row>
    <row r="415" spans="1:20" x14ac:dyDescent="0.25">
      <c r="A415" s="5">
        <v>44178</v>
      </c>
      <c r="B415">
        <v>23.206</v>
      </c>
      <c r="C415">
        <v>24.5</v>
      </c>
      <c r="D415">
        <v>22.286000000000001</v>
      </c>
      <c r="E415">
        <v>23.969000000000001</v>
      </c>
      <c r="F415">
        <v>128599.895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0.52032520325203335</v>
      </c>
      <c r="Q415">
        <f t="shared" si="975"/>
        <v>66913.766504065148</v>
      </c>
      <c r="R415">
        <f t="shared" si="976"/>
        <v>312688.77349161194</v>
      </c>
      <c r="S415">
        <f t="shared" si="977"/>
        <v>3.1268877349161195</v>
      </c>
      <c r="T415">
        <f t="shared" si="978"/>
        <v>3.1268877349161193E-3</v>
      </c>
    </row>
    <row r="416" spans="1:20" x14ac:dyDescent="0.25">
      <c r="A416" s="5">
        <v>44177</v>
      </c>
      <c r="B416">
        <v>22.405000000000001</v>
      </c>
      <c r="C416">
        <v>23.8</v>
      </c>
      <c r="D416">
        <v>22.398</v>
      </c>
      <c r="E416">
        <v>23.206</v>
      </c>
      <c r="F416">
        <v>86678.718999999997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0.15263908701854384</v>
      </c>
      <c r="Q416">
        <f t="shared" si="975"/>
        <v>13230.560532096908</v>
      </c>
      <c r="R416">
        <f t="shared" si="976"/>
        <v>245775.00698754677</v>
      </c>
      <c r="S416">
        <f t="shared" si="977"/>
        <v>2.457750069875468</v>
      </c>
      <c r="T416">
        <f t="shared" si="978"/>
        <v>2.4577500698754681E-3</v>
      </c>
    </row>
    <row r="417" spans="1:20" x14ac:dyDescent="0.25">
      <c r="A417" s="5">
        <v>44176</v>
      </c>
      <c r="B417">
        <v>23.463000000000001</v>
      </c>
      <c r="C417">
        <v>23.498000000000001</v>
      </c>
      <c r="D417">
        <v>21.52</v>
      </c>
      <c r="E417">
        <v>22.369</v>
      </c>
      <c r="F417">
        <v>128087.774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-0.14155712841253837</v>
      </c>
      <c r="Q417">
        <f t="shared" si="975"/>
        <v>-18131.737472194192</v>
      </c>
      <c r="R417">
        <f t="shared" si="976"/>
        <v>232544.44645544986</v>
      </c>
      <c r="S417">
        <f t="shared" si="977"/>
        <v>2.3254444645544985</v>
      </c>
      <c r="T417">
        <f t="shared" si="978"/>
        <v>2.3254444645544985E-3</v>
      </c>
    </row>
    <row r="418" spans="1:20" x14ac:dyDescent="0.25">
      <c r="A418" s="5">
        <v>44175</v>
      </c>
      <c r="B418">
        <v>23.440999999999999</v>
      </c>
      <c r="C418">
        <v>24.591000000000001</v>
      </c>
      <c r="D418">
        <v>22.588999999999999</v>
      </c>
      <c r="E418">
        <v>23.420999999999999</v>
      </c>
      <c r="F418">
        <v>163572.62899999999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-0.16883116883116911</v>
      </c>
      <c r="Q418">
        <f t="shared" si="975"/>
        <v>-27616.158142857184</v>
      </c>
      <c r="R418">
        <f t="shared" si="976"/>
        <v>250676.18392764404</v>
      </c>
      <c r="S418">
        <f t="shared" si="977"/>
        <v>2.5067618392764404</v>
      </c>
      <c r="T418">
        <f t="shared" si="978"/>
        <v>2.5067618392764402E-3</v>
      </c>
    </row>
    <row r="419" spans="1:20" x14ac:dyDescent="0.25">
      <c r="A419" s="5">
        <v>44174</v>
      </c>
      <c r="B419">
        <v>23.231999999999999</v>
      </c>
      <c r="C419">
        <v>23.829000000000001</v>
      </c>
      <c r="D419">
        <v>21.431000000000001</v>
      </c>
      <c r="E419">
        <v>23.369</v>
      </c>
      <c r="F419">
        <v>228252.522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0.61634695579649634</v>
      </c>
      <c r="Q419">
        <f t="shared" si="975"/>
        <v>140682.74708757282</v>
      </c>
      <c r="R419">
        <f t="shared" si="976"/>
        <v>278292.34207050124</v>
      </c>
      <c r="S419">
        <f t="shared" si="977"/>
        <v>2.7829234207050124</v>
      </c>
      <c r="T419">
        <f t="shared" si="978"/>
        <v>2.7829234207050126E-3</v>
      </c>
    </row>
    <row r="420" spans="1:20" x14ac:dyDescent="0.25">
      <c r="A420" s="5">
        <v>44173</v>
      </c>
      <c r="B420">
        <v>25.783999999999999</v>
      </c>
      <c r="C420">
        <v>26.782</v>
      </c>
      <c r="D420">
        <v>22.5</v>
      </c>
      <c r="E420">
        <v>23.242000000000001</v>
      </c>
      <c r="F420">
        <v>272869.82299999997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-0.65343297524521216</v>
      </c>
      <c r="Q420">
        <f t="shared" si="975"/>
        <v>-178302.1402975244</v>
      </c>
      <c r="R420">
        <f t="shared" si="976"/>
        <v>137609.59498292842</v>
      </c>
      <c r="S420">
        <f t="shared" si="977"/>
        <v>1.3760959498292842</v>
      </c>
      <c r="T420">
        <f t="shared" si="978"/>
        <v>1.3760959498292842E-3</v>
      </c>
    </row>
    <row r="421" spans="1:20" x14ac:dyDescent="0.25">
      <c r="A421" s="5">
        <v>44172</v>
      </c>
      <c r="B421">
        <v>26.074999999999999</v>
      </c>
      <c r="C421">
        <v>27</v>
      </c>
      <c r="D421">
        <v>25.132999999999999</v>
      </c>
      <c r="E421">
        <v>25.745000000000001</v>
      </c>
      <c r="F421">
        <v>131940.09299999999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-0.34440278521692386</v>
      </c>
      <c r="Q421">
        <f t="shared" si="975"/>
        <v>-45440.535510979957</v>
      </c>
      <c r="R421">
        <f t="shared" si="976"/>
        <v>315911.73528045282</v>
      </c>
      <c r="S421">
        <f t="shared" si="977"/>
        <v>3.159117352804528</v>
      </c>
      <c r="T421">
        <f t="shared" si="978"/>
        <v>3.1591173528045281E-3</v>
      </c>
    </row>
    <row r="422" spans="1:20" x14ac:dyDescent="0.25">
      <c r="A422" s="5">
        <v>44171</v>
      </c>
      <c r="B422">
        <v>26.294</v>
      </c>
      <c r="C422">
        <v>26.864999999999998</v>
      </c>
      <c r="D422">
        <v>24.748000000000001</v>
      </c>
      <c r="E422">
        <v>26.05</v>
      </c>
      <c r="F422">
        <v>96934.29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0.23004251299008147</v>
      </c>
      <c r="Q422">
        <f t="shared" si="975"/>
        <v>22299.007666509322</v>
      </c>
      <c r="R422">
        <f t="shared" si="976"/>
        <v>361352.27079143276</v>
      </c>
      <c r="S422">
        <f t="shared" si="977"/>
        <v>3.6135227079143277</v>
      </c>
      <c r="T422">
        <f t="shared" si="978"/>
        <v>3.6135227079143279E-3</v>
      </c>
    </row>
    <row r="423" spans="1:20" x14ac:dyDescent="0.25">
      <c r="A423" s="5">
        <v>44170</v>
      </c>
      <c r="B423">
        <v>25.117000000000001</v>
      </c>
      <c r="C423">
        <v>26.579000000000001</v>
      </c>
      <c r="D423">
        <v>24.722000000000001</v>
      </c>
      <c r="E423">
        <v>26.32</v>
      </c>
      <c r="F423">
        <v>105008.75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0.72105546580506141</v>
      </c>
      <c r="Q423">
        <f t="shared" si="975"/>
        <v>75717.133144857245</v>
      </c>
      <c r="R423">
        <f t="shared" si="976"/>
        <v>339053.26312492345</v>
      </c>
      <c r="S423">
        <f t="shared" si="977"/>
        <v>3.3905326312492345</v>
      </c>
      <c r="T423">
        <f t="shared" si="978"/>
        <v>3.3905326312492347E-3</v>
      </c>
    </row>
    <row r="424" spans="1:20" x14ac:dyDescent="0.25">
      <c r="A424" s="5">
        <v>44169</v>
      </c>
      <c r="B424">
        <v>28.402000000000001</v>
      </c>
      <c r="C424">
        <v>28.887</v>
      </c>
      <c r="D424">
        <v>24.777000000000001</v>
      </c>
      <c r="E424">
        <v>25.117999999999999</v>
      </c>
      <c r="F424">
        <v>187699.55499999999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-0.83406326034063383</v>
      </c>
      <c r="Q424">
        <f t="shared" si="975"/>
        <v>-156553.30280778612</v>
      </c>
      <c r="R424">
        <f t="shared" si="976"/>
        <v>263336.12998006621</v>
      </c>
      <c r="S424">
        <f t="shared" si="977"/>
        <v>2.6333612998006619</v>
      </c>
      <c r="T424">
        <f t="shared" si="978"/>
        <v>2.633361299800662E-3</v>
      </c>
    </row>
    <row r="425" spans="1:20" x14ac:dyDescent="0.25">
      <c r="A425" s="5">
        <v>44168</v>
      </c>
      <c r="B425">
        <v>26.254000000000001</v>
      </c>
      <c r="C425">
        <v>29.129000000000001</v>
      </c>
      <c r="D425">
        <v>26.198</v>
      </c>
      <c r="E425">
        <v>28.405000000000001</v>
      </c>
      <c r="F425">
        <v>258513.837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0.50597065847833511</v>
      </c>
      <c r="Q425">
        <f t="shared" si="975"/>
        <v>130800.41633265099</v>
      </c>
      <c r="R425">
        <f t="shared" si="976"/>
        <v>419889.4327878523</v>
      </c>
      <c r="S425">
        <f t="shared" si="977"/>
        <v>4.1988943278785227</v>
      </c>
      <c r="T425">
        <f t="shared" si="978"/>
        <v>4.1988943278785228E-3</v>
      </c>
    </row>
    <row r="426" spans="1:20" x14ac:dyDescent="0.25">
      <c r="A426" s="5">
        <v>44167</v>
      </c>
      <c r="B426">
        <v>24.574999999999999</v>
      </c>
      <c r="C426">
        <v>26.917999999999999</v>
      </c>
      <c r="D426">
        <v>24.12</v>
      </c>
      <c r="E426">
        <v>26.29</v>
      </c>
      <c r="F426">
        <v>174456.85399999999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0.5511079342387416</v>
      </c>
      <c r="Q426">
        <f t="shared" si="975"/>
        <v>96144.556421729736</v>
      </c>
      <c r="R426">
        <f t="shared" si="976"/>
        <v>289089.01645520132</v>
      </c>
      <c r="S426">
        <f t="shared" si="977"/>
        <v>2.8908901645520131</v>
      </c>
      <c r="T426">
        <f t="shared" si="978"/>
        <v>2.8908901645520132E-3</v>
      </c>
    </row>
    <row r="427" spans="1:20" x14ac:dyDescent="0.25">
      <c r="A427" s="5">
        <v>44166</v>
      </c>
      <c r="B427">
        <v>26.215</v>
      </c>
      <c r="C427">
        <v>27.7</v>
      </c>
      <c r="D427">
        <v>23.774999999999999</v>
      </c>
      <c r="E427">
        <v>24.620999999999999</v>
      </c>
      <c r="F427">
        <v>216933.58600000001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-0.56891719745222935</v>
      </c>
      <c r="Q427">
        <f t="shared" si="975"/>
        <v>-123417.24778038218</v>
      </c>
      <c r="R427">
        <f t="shared" si="976"/>
        <v>192944.46003347158</v>
      </c>
      <c r="S427">
        <f t="shared" si="977"/>
        <v>1.9294446003347159</v>
      </c>
      <c r="T427">
        <f t="shared" si="978"/>
        <v>1.929444600334716E-3</v>
      </c>
    </row>
    <row r="428" spans="1:20" x14ac:dyDescent="0.25">
      <c r="A428" s="5">
        <v>44165</v>
      </c>
      <c r="B428">
        <v>25.3</v>
      </c>
      <c r="C428">
        <v>26.638000000000002</v>
      </c>
      <c r="D428">
        <v>24.22</v>
      </c>
      <c r="E428">
        <v>26.204999999999998</v>
      </c>
      <c r="F428">
        <v>165400.83799999999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0.64185277088502657</v>
      </c>
      <c r="Q428">
        <f t="shared" si="975"/>
        <v>106162.98617700538</v>
      </c>
      <c r="R428">
        <f t="shared" si="976"/>
        <v>316361.70781385375</v>
      </c>
      <c r="S428">
        <f t="shared" si="977"/>
        <v>3.1636170781385373</v>
      </c>
      <c r="T428">
        <f t="shared" si="978"/>
        <v>3.1636170781385374E-3</v>
      </c>
    </row>
    <row r="429" spans="1:20" x14ac:dyDescent="0.25">
      <c r="A429" s="5">
        <v>44164</v>
      </c>
      <c r="B429">
        <v>24.373999999999999</v>
      </c>
      <c r="C429">
        <v>25.3</v>
      </c>
      <c r="D429">
        <v>23.6</v>
      </c>
      <c r="E429">
        <v>25.295999999999999</v>
      </c>
      <c r="F429">
        <v>125668.07399999999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0.99529411764705722</v>
      </c>
      <c r="Q429">
        <f t="shared" si="975"/>
        <v>125076.69482823508</v>
      </c>
      <c r="R429">
        <f t="shared" si="976"/>
        <v>210198.72163684835</v>
      </c>
      <c r="S429">
        <f t="shared" si="977"/>
        <v>2.1019872163684834</v>
      </c>
      <c r="T429">
        <f t="shared" si="978"/>
        <v>2.1019872163684835E-3</v>
      </c>
    </row>
    <row r="430" spans="1:20" x14ac:dyDescent="0.25">
      <c r="A430" s="5">
        <v>44163</v>
      </c>
      <c r="B430">
        <v>24.32</v>
      </c>
      <c r="C430">
        <v>25.553999999999998</v>
      </c>
      <c r="D430">
        <v>22.966999999999999</v>
      </c>
      <c r="E430">
        <v>24.373999999999999</v>
      </c>
      <c r="F430">
        <v>150608.64199999999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8.7746424429841638E-2</v>
      </c>
      <c r="Q430">
        <f t="shared" si="975"/>
        <v>13215.369823734072</v>
      </c>
      <c r="R430">
        <f t="shared" si="976"/>
        <v>85122.026808613271</v>
      </c>
      <c r="S430">
        <f t="shared" si="977"/>
        <v>0.85122026808613271</v>
      </c>
      <c r="T430">
        <f t="shared" si="978"/>
        <v>8.5122026808613269E-4</v>
      </c>
    </row>
    <row r="431" spans="1:20" x14ac:dyDescent="0.25">
      <c r="A431" s="5">
        <v>44162</v>
      </c>
      <c r="B431">
        <v>24.466000000000001</v>
      </c>
      <c r="C431">
        <v>25.489000000000001</v>
      </c>
      <c r="D431">
        <v>22.2</v>
      </c>
      <c r="E431">
        <v>24.295000000000002</v>
      </c>
      <c r="F431">
        <v>288068.15500000003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0.27394344785649222</v>
      </c>
      <c r="Q431">
        <f t="shared" si="975"/>
        <v>78914.383598358429</v>
      </c>
      <c r="R431">
        <f t="shared" si="976"/>
        <v>71906.656984879199</v>
      </c>
      <c r="S431">
        <f t="shared" si="977"/>
        <v>0.71906656984879203</v>
      </c>
      <c r="T431">
        <f t="shared" si="978"/>
        <v>7.1906656984879204E-4</v>
      </c>
    </row>
    <row r="432" spans="1:20" x14ac:dyDescent="0.25">
      <c r="A432" s="5">
        <v>44161</v>
      </c>
      <c r="B432">
        <v>29.169</v>
      </c>
      <c r="C432">
        <v>29.79</v>
      </c>
      <c r="D432">
        <v>21.81</v>
      </c>
      <c r="E432">
        <v>24.396000000000001</v>
      </c>
      <c r="F432">
        <v>549482.33900000004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-0.35187969924811979</v>
      </c>
      <c r="Q432">
        <f t="shared" si="975"/>
        <v>-193351.68018947341</v>
      </c>
      <c r="R432">
        <f t="shared" si="976"/>
        <v>-7007.7266134792299</v>
      </c>
      <c r="S432">
        <f t="shared" si="977"/>
        <v>-7.0077266134792301E-2</v>
      </c>
      <c r="T432">
        <f t="shared" si="978"/>
        <v>-7.0077266134792305E-5</v>
      </c>
    </row>
    <row r="433" spans="1:20" x14ac:dyDescent="0.25">
      <c r="A433" s="5">
        <v>44160</v>
      </c>
      <c r="B433">
        <v>31.2</v>
      </c>
      <c r="C433">
        <v>34.000999999999998</v>
      </c>
      <c r="D433">
        <v>28.021000000000001</v>
      </c>
      <c r="E433">
        <v>29.196000000000002</v>
      </c>
      <c r="F433">
        <v>242976.698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-0.60702341137123705</v>
      </c>
      <c r="Q433">
        <f t="shared" si="975"/>
        <v>-147492.54410367884</v>
      </c>
      <c r="R433">
        <f t="shared" si="976"/>
        <v>186343.95357599418</v>
      </c>
      <c r="S433">
        <f t="shared" si="977"/>
        <v>1.8634395357599418</v>
      </c>
      <c r="T433">
        <f t="shared" si="978"/>
        <v>1.8634395357599418E-3</v>
      </c>
    </row>
    <row r="434" spans="1:20" x14ac:dyDescent="0.25">
      <c r="A434" s="5">
        <v>44159</v>
      </c>
      <c r="B434">
        <v>32.326000000000001</v>
      </c>
      <c r="C434">
        <v>33.807000000000002</v>
      </c>
      <c r="D434">
        <v>29.5</v>
      </c>
      <c r="E434">
        <v>31.172000000000001</v>
      </c>
      <c r="F434">
        <v>254590.68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-0.22358950545623416</v>
      </c>
      <c r="Q434">
        <f t="shared" si="975"/>
        <v>-56923.804234966359</v>
      </c>
      <c r="R434">
        <f t="shared" si="976"/>
        <v>333836.49767967302</v>
      </c>
      <c r="S434">
        <f t="shared" si="977"/>
        <v>3.3383649767967301</v>
      </c>
      <c r="T434">
        <f t="shared" si="978"/>
        <v>3.3383649767967302E-3</v>
      </c>
    </row>
    <row r="435" spans="1:20" x14ac:dyDescent="0.25">
      <c r="A435" s="5">
        <v>44158</v>
      </c>
      <c r="B435">
        <v>32.656999999999996</v>
      </c>
      <c r="C435">
        <v>34.999000000000002</v>
      </c>
      <c r="D435">
        <v>30.617999999999999</v>
      </c>
      <c r="E435">
        <v>32.35</v>
      </c>
      <c r="F435">
        <v>296771.15999999997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-0.20931294225062708</v>
      </c>
      <c r="Q435">
        <f t="shared" si="975"/>
        <v>-62118.044674731602</v>
      </c>
      <c r="R435">
        <f t="shared" si="976"/>
        <v>390760.30191463936</v>
      </c>
      <c r="S435">
        <f t="shared" si="977"/>
        <v>3.9076030191463937</v>
      </c>
      <c r="T435">
        <f t="shared" si="978"/>
        <v>3.9076030191463936E-3</v>
      </c>
    </row>
    <row r="436" spans="1:20" x14ac:dyDescent="0.25">
      <c r="A436" s="5">
        <v>44157</v>
      </c>
      <c r="B436">
        <v>32.433999999999997</v>
      </c>
      <c r="C436">
        <v>34.238999999999997</v>
      </c>
      <c r="D436">
        <v>28.149000000000001</v>
      </c>
      <c r="E436">
        <v>32.524999999999999</v>
      </c>
      <c r="F436">
        <v>316508.74800000002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0.43711001642036135</v>
      </c>
      <c r="Q436">
        <f t="shared" si="975"/>
        <v>138349.14403546802</v>
      </c>
      <c r="R436">
        <f t="shared" si="976"/>
        <v>452878.34658937098</v>
      </c>
      <c r="S436">
        <f t="shared" si="977"/>
        <v>4.5287834658937101</v>
      </c>
      <c r="T436">
        <f t="shared" si="978"/>
        <v>4.5287834658937097E-3</v>
      </c>
    </row>
    <row r="437" spans="1:20" x14ac:dyDescent="0.25">
      <c r="A437" s="5">
        <v>44156</v>
      </c>
      <c r="B437">
        <v>29.353000000000002</v>
      </c>
      <c r="C437">
        <v>32.950000000000003</v>
      </c>
      <c r="D437">
        <v>27.5</v>
      </c>
      <c r="E437">
        <v>32.597000000000001</v>
      </c>
      <c r="F437">
        <v>302774.64199999999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0.87045871559632981</v>
      </c>
      <c r="Q437">
        <f t="shared" si="975"/>
        <v>263552.82599045854</v>
      </c>
      <c r="R437">
        <f t="shared" si="976"/>
        <v>314529.20255390299</v>
      </c>
      <c r="S437">
        <f t="shared" si="977"/>
        <v>3.14529202553903</v>
      </c>
      <c r="T437">
        <f t="shared" si="978"/>
        <v>3.1452920255390301E-3</v>
      </c>
    </row>
    <row r="438" spans="1:20" x14ac:dyDescent="0.25">
      <c r="A438" s="5">
        <v>44155</v>
      </c>
      <c r="B438">
        <v>27.850999999999999</v>
      </c>
      <c r="C438">
        <v>31.776</v>
      </c>
      <c r="D438">
        <v>27.78</v>
      </c>
      <c r="E438">
        <v>29.428999999999998</v>
      </c>
      <c r="F438">
        <v>254144.60200000001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-0.17467467467467573</v>
      </c>
      <c r="Q438">
        <f t="shared" si="975"/>
        <v>-44392.62567467495</v>
      </c>
      <c r="R438">
        <f t="shared" si="976"/>
        <v>50976.376563444421</v>
      </c>
      <c r="S438">
        <f t="shared" si="977"/>
        <v>0.50976376563444425</v>
      </c>
      <c r="T438">
        <f t="shared" si="978"/>
        <v>5.0976376563444429E-4</v>
      </c>
    </row>
    <row r="439" spans="1:20" x14ac:dyDescent="0.25">
      <c r="A439" s="5">
        <v>44154</v>
      </c>
      <c r="B439">
        <v>28.23</v>
      </c>
      <c r="C439">
        <v>29.975999999999999</v>
      </c>
      <c r="D439">
        <v>25.853999999999999</v>
      </c>
      <c r="E439">
        <v>27.916</v>
      </c>
      <c r="F439">
        <v>241824.391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4.8520135856439697E-4</v>
      </c>
      <c r="Q439">
        <f t="shared" si="975"/>
        <v>117.33352304720793</v>
      </c>
      <c r="R439">
        <f t="shared" si="976"/>
        <v>95369.00223811937</v>
      </c>
      <c r="S439">
        <f t="shared" si="977"/>
        <v>0.95369002238119371</v>
      </c>
      <c r="T439">
        <f t="shared" si="978"/>
        <v>9.5369002238119367E-4</v>
      </c>
    </row>
    <row r="440" spans="1:20" x14ac:dyDescent="0.25">
      <c r="A440" s="5">
        <v>44153</v>
      </c>
      <c r="B440">
        <v>31.212</v>
      </c>
      <c r="C440">
        <v>32</v>
      </c>
      <c r="D440">
        <v>25.047000000000001</v>
      </c>
      <c r="E440">
        <v>28.155999999999999</v>
      </c>
      <c r="F440">
        <v>329142.62099999998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-0.10570976556881966</v>
      </c>
      <c r="Q440">
        <f t="shared" si="975"/>
        <v>-34793.589304616857</v>
      </c>
      <c r="R440">
        <f t="shared" si="976"/>
        <v>95251.668715072155</v>
      </c>
      <c r="S440">
        <f t="shared" si="977"/>
        <v>0.95251668715072157</v>
      </c>
      <c r="T440">
        <f t="shared" si="978"/>
        <v>9.5251668715072156E-4</v>
      </c>
    </row>
    <row r="441" spans="1:20" x14ac:dyDescent="0.25">
      <c r="A441" s="5">
        <v>44152</v>
      </c>
      <c r="B441">
        <v>29.933</v>
      </c>
      <c r="C441">
        <v>32.512</v>
      </c>
      <c r="D441">
        <v>28</v>
      </c>
      <c r="E441">
        <v>31.178000000000001</v>
      </c>
      <c r="F441">
        <v>356005.12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0.40868794326241159</v>
      </c>
      <c r="Q441">
        <f t="shared" si="975"/>
        <v>145495.00028368802</v>
      </c>
      <c r="R441">
        <f t="shared" si="976"/>
        <v>130045.258019689</v>
      </c>
      <c r="S441">
        <f t="shared" si="977"/>
        <v>1.30045258019689</v>
      </c>
      <c r="T441">
        <f t="shared" si="978"/>
        <v>1.30045258019689E-3</v>
      </c>
    </row>
    <row r="442" spans="1:20" x14ac:dyDescent="0.25">
      <c r="A442" s="5">
        <v>44151</v>
      </c>
      <c r="B442">
        <v>24.164999999999999</v>
      </c>
      <c r="C442">
        <v>30.579000000000001</v>
      </c>
      <c r="D442">
        <v>23.524999999999999</v>
      </c>
      <c r="E442">
        <v>29.88</v>
      </c>
      <c r="F442">
        <v>414754.891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0.80181457329174899</v>
      </c>
      <c r="Q442">
        <f t="shared" si="975"/>
        <v>332556.51594783086</v>
      </c>
      <c r="R442">
        <f t="shared" si="976"/>
        <v>-15449.742263999011</v>
      </c>
      <c r="S442">
        <f t="shared" si="977"/>
        <v>-0.15449742263999011</v>
      </c>
      <c r="T442">
        <f t="shared" si="978"/>
        <v>-1.5449742263999011E-4</v>
      </c>
    </row>
    <row r="443" spans="1:20" x14ac:dyDescent="0.25">
      <c r="A443" s="5">
        <v>44150</v>
      </c>
      <c r="B443">
        <v>23.350999999999999</v>
      </c>
      <c r="C443">
        <v>26.797000000000001</v>
      </c>
      <c r="D443">
        <v>22.280999999999999</v>
      </c>
      <c r="E443">
        <v>24.210999999999999</v>
      </c>
      <c r="F443">
        <v>389275.25699999998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-0.1452612931798056</v>
      </c>
      <c r="Q443">
        <f t="shared" si="975"/>
        <v>-56546.627234721171</v>
      </c>
      <c r="R443">
        <f t="shared" si="976"/>
        <v>-348006.25821182987</v>
      </c>
      <c r="S443">
        <f t="shared" si="977"/>
        <v>-3.4800625821182987</v>
      </c>
      <c r="T443">
        <f t="shared" si="978"/>
        <v>-3.4800625821182988E-3</v>
      </c>
    </row>
    <row r="444" spans="1:20" x14ac:dyDescent="0.25">
      <c r="A444" s="5">
        <v>44149</v>
      </c>
      <c r="B444">
        <v>24.285</v>
      </c>
      <c r="C444">
        <v>25.792000000000002</v>
      </c>
      <c r="D444">
        <v>22.338999999999999</v>
      </c>
      <c r="E444">
        <v>23.292000000000002</v>
      </c>
      <c r="F444">
        <v>280959.58899999998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-0.44801621778163792</v>
      </c>
      <c r="Q444">
        <f t="shared" si="975"/>
        <v>-125874.45241326347</v>
      </c>
      <c r="R444">
        <f t="shared" si="976"/>
        <v>-291459.63097710873</v>
      </c>
      <c r="S444">
        <f t="shared" si="977"/>
        <v>-2.9145963097710874</v>
      </c>
      <c r="T444">
        <f t="shared" si="978"/>
        <v>-2.9145963097710875E-3</v>
      </c>
    </row>
    <row r="445" spans="1:20" x14ac:dyDescent="0.25">
      <c r="A445" s="5">
        <v>44148</v>
      </c>
      <c r="B445">
        <v>22.451000000000001</v>
      </c>
      <c r="C445">
        <v>24.5</v>
      </c>
      <c r="D445">
        <v>22.01</v>
      </c>
      <c r="E445">
        <v>24.33</v>
      </c>
      <c r="F445">
        <v>173800.527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0.8634538152610427</v>
      </c>
      <c r="Q445">
        <f t="shared" si="975"/>
        <v>150068.72813252985</v>
      </c>
      <c r="R445">
        <f t="shared" si="976"/>
        <v>-165585.17856384526</v>
      </c>
      <c r="S445">
        <f t="shared" si="977"/>
        <v>-1.6558517856384525</v>
      </c>
      <c r="T445">
        <f t="shared" si="978"/>
        <v>-1.6558517856384526E-3</v>
      </c>
    </row>
    <row r="446" spans="1:20" x14ac:dyDescent="0.25">
      <c r="A446" s="5">
        <v>44147</v>
      </c>
      <c r="B446">
        <v>23.638999999999999</v>
      </c>
      <c r="C446">
        <v>24.834</v>
      </c>
      <c r="D446">
        <v>21.414000000000001</v>
      </c>
      <c r="E446">
        <v>22.465</v>
      </c>
      <c r="F446">
        <v>197166.079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-0.38538011695906493</v>
      </c>
      <c r="Q446">
        <f t="shared" si="975"/>
        <v>-75983.886585380242</v>
      </c>
      <c r="R446">
        <f t="shared" si="976"/>
        <v>-315653.90669637511</v>
      </c>
      <c r="S446">
        <f t="shared" si="977"/>
        <v>-3.156539066963751</v>
      </c>
      <c r="T446">
        <f t="shared" si="978"/>
        <v>-3.1565390669637508E-3</v>
      </c>
    </row>
    <row r="447" spans="1:20" x14ac:dyDescent="0.25">
      <c r="A447" s="5">
        <v>44146</v>
      </c>
      <c r="B447">
        <v>24.709</v>
      </c>
      <c r="C447">
        <v>25.792000000000002</v>
      </c>
      <c r="D447">
        <v>23</v>
      </c>
      <c r="E447">
        <v>23.59</v>
      </c>
      <c r="F447">
        <v>291902.14500000002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-0.57736389684813783</v>
      </c>
      <c r="Q447">
        <f t="shared" si="975"/>
        <v>-168533.75993553019</v>
      </c>
      <c r="R447">
        <f t="shared" si="976"/>
        <v>-239670.02011099484</v>
      </c>
      <c r="S447">
        <f t="shared" si="977"/>
        <v>-2.3967002011099483</v>
      </c>
      <c r="T447">
        <f t="shared" si="978"/>
        <v>-2.3967002011099484E-3</v>
      </c>
    </row>
    <row r="448" spans="1:20" x14ac:dyDescent="0.25">
      <c r="A448" s="5">
        <v>44145</v>
      </c>
      <c r="B448">
        <v>22.045999999999999</v>
      </c>
      <c r="C448">
        <v>25.25</v>
      </c>
      <c r="D448">
        <v>21.696000000000002</v>
      </c>
      <c r="E448">
        <v>24.739000000000001</v>
      </c>
      <c r="F448">
        <v>244558.08900000001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0.71243669105233576</v>
      </c>
      <c r="Q448">
        <f t="shared" si="975"/>
        <v>174232.15569724265</v>
      </c>
      <c r="R448">
        <f t="shared" si="976"/>
        <v>-71136.260175464646</v>
      </c>
      <c r="S448">
        <f t="shared" si="977"/>
        <v>-0.7113626017546465</v>
      </c>
      <c r="T448">
        <f t="shared" si="978"/>
        <v>-7.1136260175464654E-4</v>
      </c>
    </row>
    <row r="449" spans="1:20" x14ac:dyDescent="0.25">
      <c r="A449" s="5">
        <v>44144</v>
      </c>
      <c r="B449">
        <v>23.597999999999999</v>
      </c>
      <c r="C449">
        <v>23.792000000000002</v>
      </c>
      <c r="D449">
        <v>21.004999999999999</v>
      </c>
      <c r="E449">
        <v>22</v>
      </c>
      <c r="F449">
        <v>249713.34099999999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-0.28597057768209538</v>
      </c>
      <c r="Q449">
        <f t="shared" si="975"/>
        <v>-71410.668380696065</v>
      </c>
      <c r="R449">
        <f t="shared" si="976"/>
        <v>-245368.41587270729</v>
      </c>
      <c r="S449">
        <f t="shared" si="977"/>
        <v>-2.4536841587270728</v>
      </c>
      <c r="T449">
        <f t="shared" si="978"/>
        <v>-2.453684158727073E-3</v>
      </c>
    </row>
    <row r="450" spans="1:20" x14ac:dyDescent="0.25">
      <c r="A450" s="5">
        <v>44143</v>
      </c>
      <c r="B450">
        <v>22.718</v>
      </c>
      <c r="C450">
        <v>24.48</v>
      </c>
      <c r="D450">
        <v>21.693000000000001</v>
      </c>
      <c r="E450">
        <v>23.587</v>
      </c>
      <c r="F450">
        <v>298262.65000000002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0.35916756368855329</v>
      </c>
      <c r="Q450">
        <f t="shared" si="975"/>
        <v>107126.26933979169</v>
      </c>
      <c r="R450">
        <f t="shared" si="976"/>
        <v>-173957.74749201123</v>
      </c>
      <c r="S450">
        <f t="shared" si="977"/>
        <v>-1.7395774749201123</v>
      </c>
      <c r="T450">
        <f t="shared" si="978"/>
        <v>-1.7395774749201123E-3</v>
      </c>
    </row>
    <row r="451" spans="1:20" x14ac:dyDescent="0.25">
      <c r="A451" s="5">
        <v>44142</v>
      </c>
      <c r="B451">
        <v>25.466999999999999</v>
      </c>
      <c r="C451">
        <v>27.623999999999999</v>
      </c>
      <c r="D451">
        <v>20.614999999999998</v>
      </c>
      <c r="E451">
        <v>22.79</v>
      </c>
      <c r="F451">
        <v>480296.36200000002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-0.37936938222285616</v>
      </c>
      <c r="Q451">
        <f t="shared" si="975"/>
        <v>-182209.7341358253</v>
      </c>
      <c r="R451">
        <f t="shared" si="976"/>
        <v>-281084.0168318029</v>
      </c>
      <c r="S451">
        <f t="shared" si="977"/>
        <v>-2.8108401683180291</v>
      </c>
      <c r="T451">
        <f t="shared" si="978"/>
        <v>-2.810840168318029E-3</v>
      </c>
    </row>
    <row r="452" spans="1:20" x14ac:dyDescent="0.25">
      <c r="A452" s="5">
        <v>44141</v>
      </c>
      <c r="B452">
        <v>20.6</v>
      </c>
      <c r="C452">
        <v>25.99</v>
      </c>
      <c r="D452">
        <v>20.542000000000002</v>
      </c>
      <c r="E452">
        <v>25.504000000000001</v>
      </c>
      <c r="F452">
        <v>353714.35399999999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0.82158590308370139</v>
      </c>
      <c r="Q452">
        <f t="shared" si="975"/>
        <v>290606.72696475801</v>
      </c>
      <c r="R452">
        <f t="shared" si="976"/>
        <v>-98874.282695977599</v>
      </c>
      <c r="S452">
        <f t="shared" si="977"/>
        <v>-0.988742826959776</v>
      </c>
      <c r="T452">
        <f t="shared" si="978"/>
        <v>-9.8874282695977597E-4</v>
      </c>
    </row>
    <row r="453" spans="1:20" x14ac:dyDescent="0.25">
      <c r="A453" s="5">
        <v>44140</v>
      </c>
      <c r="B453">
        <v>18.741</v>
      </c>
      <c r="C453">
        <v>22.06</v>
      </c>
      <c r="D453">
        <v>18.146000000000001</v>
      </c>
      <c r="E453">
        <v>20.6</v>
      </c>
      <c r="F453">
        <v>245697.383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0.2539601430761379</v>
      </c>
      <c r="Q453">
        <f t="shared" si="975"/>
        <v>62397.342540112651</v>
      </c>
      <c r="R453">
        <f t="shared" si="976"/>
        <v>-389481.00966073561</v>
      </c>
      <c r="S453">
        <f t="shared" si="977"/>
        <v>-3.894810096607356</v>
      </c>
      <c r="T453">
        <f t="shared" si="978"/>
        <v>-3.8948100966073561E-3</v>
      </c>
    </row>
    <row r="454" spans="1:20" x14ac:dyDescent="0.25">
      <c r="A454" s="5">
        <v>44139</v>
      </c>
      <c r="B454">
        <v>18.024999999999999</v>
      </c>
      <c r="C454">
        <v>19.445</v>
      </c>
      <c r="D454">
        <v>16.556000000000001</v>
      </c>
      <c r="E454">
        <v>18.771999999999998</v>
      </c>
      <c r="F454">
        <v>206773.92300000001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0.5340948425060561</v>
      </c>
      <c r="Q454">
        <f t="shared" ref="Q454:Q517" si="980">F454*P454</f>
        <v>110436.88583904438</v>
      </c>
      <c r="R454">
        <f t="shared" ref="R454:R517" si="981">R455+Q454</f>
        <v>-451878.35220084828</v>
      </c>
      <c r="S454">
        <f t="shared" ref="S454:S517" si="982">R454/100000</f>
        <v>-4.5187835220084827</v>
      </c>
      <c r="T454">
        <f t="shared" ref="T454:T517" si="983">S454/1000</f>
        <v>-4.5187835220084826E-3</v>
      </c>
    </row>
    <row r="455" spans="1:20" x14ac:dyDescent="0.25">
      <c r="A455" s="5">
        <v>44138</v>
      </c>
      <c r="B455">
        <v>18.564</v>
      </c>
      <c r="C455">
        <v>18.565999999999999</v>
      </c>
      <c r="D455">
        <v>16.55</v>
      </c>
      <c r="E455">
        <v>17.928999999999998</v>
      </c>
      <c r="F455">
        <v>209109.628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0.36805555555555453</v>
      </c>
      <c r="Q455">
        <f t="shared" si="980"/>
        <v>76963.960305555345</v>
      </c>
      <c r="R455">
        <f t="shared" si="981"/>
        <v>-562315.23803989263</v>
      </c>
      <c r="S455">
        <f t="shared" si="982"/>
        <v>-5.6231523803989267</v>
      </c>
      <c r="T455">
        <f t="shared" si="983"/>
        <v>-5.623152380398927E-3</v>
      </c>
    </row>
    <row r="456" spans="1:20" x14ac:dyDescent="0.25">
      <c r="A456" s="5">
        <v>44137</v>
      </c>
      <c r="B456">
        <v>20.795000000000002</v>
      </c>
      <c r="C456">
        <v>21.625</v>
      </c>
      <c r="D456">
        <v>18.516999999999999</v>
      </c>
      <c r="E456">
        <v>18.574000000000002</v>
      </c>
      <c r="F456">
        <v>185845.55900000001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-0.96332046332046195</v>
      </c>
      <c r="Q456">
        <f t="shared" si="980"/>
        <v>-179028.83000193027</v>
      </c>
      <c r="R456">
        <f t="shared" si="981"/>
        <v>-639279.19834544801</v>
      </c>
      <c r="S456">
        <f t="shared" si="982"/>
        <v>-6.3927919834544804</v>
      </c>
      <c r="T456">
        <f t="shared" si="983"/>
        <v>-6.3927919834544803E-3</v>
      </c>
    </row>
    <row r="457" spans="1:20" x14ac:dyDescent="0.25">
      <c r="A457" s="5">
        <v>44136</v>
      </c>
      <c r="B457">
        <v>20.681000000000001</v>
      </c>
      <c r="C457">
        <v>21.132999999999999</v>
      </c>
      <c r="D457">
        <v>19.683</v>
      </c>
      <c r="E457">
        <v>20.838000000000001</v>
      </c>
      <c r="F457">
        <v>114101.93399999999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0.59310344827586436</v>
      </c>
      <c r="Q457">
        <f t="shared" si="980"/>
        <v>67674.250510345082</v>
      </c>
      <c r="R457">
        <f t="shared" si="981"/>
        <v>-460250.36834351777</v>
      </c>
      <c r="S457">
        <f t="shared" si="982"/>
        <v>-4.6025036834351774</v>
      </c>
      <c r="T457">
        <f t="shared" si="983"/>
        <v>-4.6025036834351774E-3</v>
      </c>
    </row>
    <row r="458" spans="1:20" x14ac:dyDescent="0.25">
      <c r="A458" s="5">
        <v>44135</v>
      </c>
      <c r="B458">
        <v>21.201000000000001</v>
      </c>
      <c r="C458">
        <v>22.7</v>
      </c>
      <c r="D458">
        <v>20.3</v>
      </c>
      <c r="E458">
        <v>20.742999999999999</v>
      </c>
      <c r="F458">
        <v>127957.663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-0.63083333333333491</v>
      </c>
      <c r="Q458">
        <f t="shared" si="980"/>
        <v>-80719.95907583354</v>
      </c>
      <c r="R458">
        <f t="shared" si="981"/>
        <v>-527924.61885386286</v>
      </c>
      <c r="S458">
        <f t="shared" si="982"/>
        <v>-5.2792461885386288</v>
      </c>
      <c r="T458">
        <f t="shared" si="983"/>
        <v>-5.2792461885386287E-3</v>
      </c>
    </row>
    <row r="459" spans="1:20" x14ac:dyDescent="0.25">
      <c r="A459" s="5">
        <v>44134</v>
      </c>
      <c r="B459">
        <v>20.587</v>
      </c>
      <c r="C459">
        <v>21.84</v>
      </c>
      <c r="D459">
        <v>18.536999999999999</v>
      </c>
      <c r="E459">
        <v>21.225000000000001</v>
      </c>
      <c r="F459">
        <v>289818.10200000001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0.62761126248864774</v>
      </c>
      <c r="Q459">
        <f t="shared" si="980"/>
        <v>181893.10488828371</v>
      </c>
      <c r="R459">
        <f t="shared" si="981"/>
        <v>-447204.65977802937</v>
      </c>
      <c r="S459">
        <f t="shared" si="982"/>
        <v>-4.4720465977802935</v>
      </c>
      <c r="T459">
        <f t="shared" si="983"/>
        <v>-4.4720465977802935E-3</v>
      </c>
    </row>
    <row r="460" spans="1:20" x14ac:dyDescent="0.25">
      <c r="A460" s="5">
        <v>44133</v>
      </c>
      <c r="B460">
        <v>23.236000000000001</v>
      </c>
      <c r="C460">
        <v>24.082000000000001</v>
      </c>
      <c r="D460">
        <v>20.068000000000001</v>
      </c>
      <c r="E460">
        <v>20.646000000000001</v>
      </c>
      <c r="F460">
        <v>232715.74400000001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-0.71200797209765843</v>
      </c>
      <c r="Q460">
        <f t="shared" si="980"/>
        <v>-165695.46496063782</v>
      </c>
      <c r="R460">
        <f t="shared" si="981"/>
        <v>-629097.76466631307</v>
      </c>
      <c r="S460">
        <f t="shared" si="982"/>
        <v>-6.2909776466631309</v>
      </c>
      <c r="T460">
        <f t="shared" si="983"/>
        <v>-6.2909776466631307E-3</v>
      </c>
    </row>
    <row r="461" spans="1:20" x14ac:dyDescent="0.25">
      <c r="A461" s="5">
        <v>44132</v>
      </c>
      <c r="B461">
        <v>26.093</v>
      </c>
      <c r="C461">
        <v>26.7</v>
      </c>
      <c r="D461">
        <v>22.033999999999999</v>
      </c>
      <c r="E461">
        <v>23.234999999999999</v>
      </c>
      <c r="F461">
        <v>228519.94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-0.48521217316759518</v>
      </c>
      <c r="Q461">
        <f t="shared" si="980"/>
        <v>-110880.65669952847</v>
      </c>
      <c r="R461">
        <f t="shared" si="981"/>
        <v>-463402.29970567528</v>
      </c>
      <c r="S461">
        <f t="shared" si="982"/>
        <v>-4.6340229970567526</v>
      </c>
      <c r="T461">
        <f t="shared" si="983"/>
        <v>-4.6340229970567529E-3</v>
      </c>
    </row>
    <row r="462" spans="1:20" x14ac:dyDescent="0.25">
      <c r="A462" s="5">
        <v>44131</v>
      </c>
      <c r="B462">
        <v>26.302</v>
      </c>
      <c r="C462">
        <v>28</v>
      </c>
      <c r="D462">
        <v>25.605</v>
      </c>
      <c r="E462">
        <v>26.111999999999998</v>
      </c>
      <c r="F462">
        <v>205019.829</v>
      </c>
      <c r="G462">
        <v>0</v>
      </c>
      <c r="L462" t="s">
        <v>8</v>
      </c>
      <c r="M462" t="s">
        <v>7</v>
      </c>
      <c r="N462" t="s">
        <v>8</v>
      </c>
      <c r="P462">
        <f t="shared" si="979"/>
        <v>-0.57661795407098293</v>
      </c>
      <c r="Q462">
        <f t="shared" si="980"/>
        <v>-118218.11434196278</v>
      </c>
      <c r="R462">
        <f t="shared" si="981"/>
        <v>-352521.64300614683</v>
      </c>
      <c r="S462">
        <f t="shared" si="982"/>
        <v>-3.5252164300614681</v>
      </c>
      <c r="T462">
        <f t="shared" si="983"/>
        <v>-3.5252164300614681E-3</v>
      </c>
    </row>
    <row r="463" spans="1:20" x14ac:dyDescent="0.25">
      <c r="A463" s="5">
        <v>44130</v>
      </c>
      <c r="B463">
        <v>28.173999999999999</v>
      </c>
      <c r="C463">
        <v>29.346</v>
      </c>
      <c r="D463">
        <v>24.437999999999999</v>
      </c>
      <c r="E463">
        <v>26.31</v>
      </c>
      <c r="F463">
        <v>309188.47999999998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-0.23716381418092933</v>
      </c>
      <c r="Q463">
        <f t="shared" si="980"/>
        <v>-73328.319217603974</v>
      </c>
      <c r="R463">
        <f t="shared" si="981"/>
        <v>-234303.52866418406</v>
      </c>
      <c r="S463">
        <f t="shared" si="982"/>
        <v>-2.3430352866418405</v>
      </c>
      <c r="T463">
        <f t="shared" si="983"/>
        <v>-2.3430352866418403E-3</v>
      </c>
    </row>
    <row r="464" spans="1:20" x14ac:dyDescent="0.25">
      <c r="A464" s="5">
        <v>44129</v>
      </c>
      <c r="B464">
        <v>29.47</v>
      </c>
      <c r="C464">
        <v>30.073</v>
      </c>
      <c r="D464">
        <v>26.712</v>
      </c>
      <c r="E464">
        <v>28.18</v>
      </c>
      <c r="F464">
        <v>301345.52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-0.12645046117227035</v>
      </c>
      <c r="Q464">
        <f t="shared" si="980"/>
        <v>-38105.27997619762</v>
      </c>
      <c r="R464">
        <f t="shared" si="981"/>
        <v>-160975.20944658009</v>
      </c>
      <c r="S464">
        <f t="shared" si="982"/>
        <v>-1.6097520944658008</v>
      </c>
      <c r="T464">
        <f t="shared" si="983"/>
        <v>-1.6097520944658007E-3</v>
      </c>
    </row>
    <row r="465" spans="1:20" x14ac:dyDescent="0.25">
      <c r="A465" s="5">
        <v>44128</v>
      </c>
      <c r="B465">
        <v>25.859000000000002</v>
      </c>
      <c r="C465">
        <v>30.19</v>
      </c>
      <c r="D465">
        <v>24.009</v>
      </c>
      <c r="E465">
        <v>29.547000000000001</v>
      </c>
      <c r="F465">
        <v>307531.56300000002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0.79194305128619946</v>
      </c>
      <c r="Q465">
        <f t="shared" si="980"/>
        <v>243547.48436903409</v>
      </c>
      <c r="R465">
        <f t="shared" si="981"/>
        <v>-122869.92947038249</v>
      </c>
      <c r="S465">
        <f t="shared" si="982"/>
        <v>-1.2286992947038249</v>
      </c>
      <c r="T465">
        <f t="shared" si="983"/>
        <v>-1.2286992947038249E-3</v>
      </c>
    </row>
    <row r="466" spans="1:20" x14ac:dyDescent="0.25">
      <c r="A466" s="5">
        <v>44127</v>
      </c>
      <c r="B466">
        <v>24.058</v>
      </c>
      <c r="C466">
        <v>26.577999999999999</v>
      </c>
      <c r="D466">
        <v>21.815999999999999</v>
      </c>
      <c r="E466">
        <v>25.890999999999998</v>
      </c>
      <c r="F466">
        <v>353486.91600000003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0.71146577068458583</v>
      </c>
      <c r="Q466">
        <f t="shared" si="980"/>
        <v>251493.84111885747</v>
      </c>
      <c r="R466">
        <f t="shared" si="981"/>
        <v>-366417.41383941658</v>
      </c>
      <c r="S466">
        <f t="shared" si="982"/>
        <v>-3.6641741383941659</v>
      </c>
      <c r="T466">
        <f t="shared" si="983"/>
        <v>-3.664174138394166E-3</v>
      </c>
    </row>
    <row r="467" spans="1:20" x14ac:dyDescent="0.25">
      <c r="A467" s="5">
        <v>44126</v>
      </c>
      <c r="B467">
        <v>20.577000000000002</v>
      </c>
      <c r="C467">
        <v>24.597999999999999</v>
      </c>
      <c r="D467">
        <v>20.562000000000001</v>
      </c>
      <c r="E467">
        <v>24.024999999999999</v>
      </c>
      <c r="F467">
        <v>201453.899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0.71605550049553979</v>
      </c>
      <c r="Q467">
        <f t="shared" si="980"/>
        <v>144252.17247522293</v>
      </c>
      <c r="R467">
        <f t="shared" si="981"/>
        <v>-617911.25495827408</v>
      </c>
      <c r="S467">
        <f t="shared" si="982"/>
        <v>-6.179112549582741</v>
      </c>
      <c r="T467">
        <f t="shared" si="983"/>
        <v>-6.1791125495827409E-3</v>
      </c>
    </row>
    <row r="468" spans="1:20" x14ac:dyDescent="0.25">
      <c r="A468" s="5">
        <v>44125</v>
      </c>
      <c r="B468">
        <v>19.155000000000001</v>
      </c>
      <c r="C468">
        <v>22.317</v>
      </c>
      <c r="D468">
        <v>18.89</v>
      </c>
      <c r="E468">
        <v>20.541</v>
      </c>
      <c r="F468">
        <v>234079.53099999999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-3.6475051065071498E-2</v>
      </c>
      <c r="Q468">
        <f t="shared" si="980"/>
        <v>-8538.0628465129867</v>
      </c>
      <c r="R468">
        <f t="shared" si="981"/>
        <v>-762163.42743349704</v>
      </c>
      <c r="S468">
        <f t="shared" si="982"/>
        <v>-7.6216342743349701</v>
      </c>
      <c r="T468">
        <f t="shared" si="983"/>
        <v>-7.6216342743349701E-3</v>
      </c>
    </row>
    <row r="469" spans="1:20" x14ac:dyDescent="0.25">
      <c r="A469" s="5">
        <v>44124</v>
      </c>
      <c r="B469">
        <v>22.032</v>
      </c>
      <c r="C469">
        <v>22.053999999999998</v>
      </c>
      <c r="D469">
        <v>18.512</v>
      </c>
      <c r="E469">
        <v>19.155999999999999</v>
      </c>
      <c r="F469">
        <v>199608.16399999999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-0.63636363636363713</v>
      </c>
      <c r="Q469">
        <f t="shared" si="980"/>
        <v>-127023.37709090924</v>
      </c>
      <c r="R469">
        <f t="shared" si="981"/>
        <v>-753625.36458698404</v>
      </c>
      <c r="S469">
        <f t="shared" si="982"/>
        <v>-7.5362536458698406</v>
      </c>
      <c r="T469">
        <f t="shared" si="983"/>
        <v>-7.5362536458698408E-3</v>
      </c>
    </row>
    <row r="470" spans="1:20" x14ac:dyDescent="0.25">
      <c r="A470" s="5">
        <v>44123</v>
      </c>
      <c r="B470">
        <v>24.440999999999999</v>
      </c>
      <c r="C470">
        <v>24.591999999999999</v>
      </c>
      <c r="D470">
        <v>21.385999999999999</v>
      </c>
      <c r="E470">
        <v>22.05</v>
      </c>
      <c r="F470">
        <v>163687.35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-0.58577666874610013</v>
      </c>
      <c r="Q470">
        <f t="shared" si="980"/>
        <v>-95884.230598876951</v>
      </c>
      <c r="R470">
        <f t="shared" si="981"/>
        <v>-626601.98749607475</v>
      </c>
      <c r="S470">
        <f t="shared" si="982"/>
        <v>-6.2660198749607474</v>
      </c>
      <c r="T470">
        <f t="shared" si="983"/>
        <v>-6.2660198749607474E-3</v>
      </c>
    </row>
    <row r="471" spans="1:20" x14ac:dyDescent="0.25">
      <c r="A471" s="5">
        <v>44122</v>
      </c>
      <c r="B471">
        <v>23.535</v>
      </c>
      <c r="C471">
        <v>25</v>
      </c>
      <c r="D471">
        <v>22.25</v>
      </c>
      <c r="E471">
        <v>24.442</v>
      </c>
      <c r="F471">
        <v>175116.52100000001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0.59418181818181826</v>
      </c>
      <c r="Q471">
        <f t="shared" si="980"/>
        <v>104051.05284145457</v>
      </c>
      <c r="R471">
        <f t="shared" si="981"/>
        <v>-530717.7568971978</v>
      </c>
      <c r="S471">
        <f t="shared" si="982"/>
        <v>-5.3071775689719782</v>
      </c>
      <c r="T471">
        <f t="shared" si="983"/>
        <v>-5.3071775689719786E-3</v>
      </c>
    </row>
    <row r="472" spans="1:20" x14ac:dyDescent="0.25">
      <c r="A472" s="5">
        <v>44121</v>
      </c>
      <c r="B472">
        <v>19.859000000000002</v>
      </c>
      <c r="C472">
        <v>24.372</v>
      </c>
      <c r="D472">
        <v>18.923999999999999</v>
      </c>
      <c r="E472">
        <v>23.599</v>
      </c>
      <c r="F472">
        <v>222267.31700000001</v>
      </c>
      <c r="G472">
        <v>0</v>
      </c>
      <c r="L472" t="s">
        <v>8</v>
      </c>
      <c r="M472" t="s">
        <v>8</v>
      </c>
      <c r="N472" t="s">
        <v>7</v>
      </c>
      <c r="P472">
        <f t="shared" si="979"/>
        <v>0.71622613803230561</v>
      </c>
      <c r="Q472">
        <f t="shared" si="980"/>
        <v>159193.66206571224</v>
      </c>
      <c r="R472">
        <f t="shared" si="981"/>
        <v>-634768.80973865231</v>
      </c>
      <c r="S472">
        <f t="shared" si="982"/>
        <v>-6.3476880973865235</v>
      </c>
      <c r="T472">
        <f t="shared" si="983"/>
        <v>-6.3476880973865231E-3</v>
      </c>
    </row>
    <row r="473" spans="1:20" x14ac:dyDescent="0.25">
      <c r="A473" s="5">
        <v>44120</v>
      </c>
      <c r="B473">
        <v>21.027000000000001</v>
      </c>
      <c r="C473">
        <v>21.335999999999999</v>
      </c>
      <c r="D473">
        <v>18.8</v>
      </c>
      <c r="E473">
        <v>19.802</v>
      </c>
      <c r="F473">
        <v>182634.671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-0.20977917981072575</v>
      </c>
      <c r="Q473">
        <f t="shared" si="980"/>
        <v>-38312.951487381739</v>
      </c>
      <c r="R473">
        <f t="shared" si="981"/>
        <v>-793962.47180436458</v>
      </c>
      <c r="S473">
        <f t="shared" si="982"/>
        <v>-7.9396247180436461</v>
      </c>
      <c r="T473">
        <f t="shared" si="983"/>
        <v>-7.9396247180436464E-3</v>
      </c>
    </row>
    <row r="474" spans="1:20" x14ac:dyDescent="0.25">
      <c r="A474" s="5">
        <v>44119</v>
      </c>
      <c r="B474">
        <v>21.655999999999999</v>
      </c>
      <c r="C474">
        <v>22.2</v>
      </c>
      <c r="D474">
        <v>19.375</v>
      </c>
      <c r="E474">
        <v>21.064</v>
      </c>
      <c r="F474">
        <v>157861.413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0.19575221238938087</v>
      </c>
      <c r="Q474">
        <f t="shared" si="980"/>
        <v>30901.720845663771</v>
      </c>
      <c r="R474">
        <f t="shared" si="981"/>
        <v>-755649.52031698287</v>
      </c>
      <c r="S474">
        <f t="shared" si="982"/>
        <v>-7.5564952031698285</v>
      </c>
      <c r="T474">
        <f t="shared" si="983"/>
        <v>-7.5564952031698281E-3</v>
      </c>
    </row>
    <row r="475" spans="1:20" x14ac:dyDescent="0.25">
      <c r="A475" s="5">
        <v>44118</v>
      </c>
      <c r="B475">
        <v>24.838999999999999</v>
      </c>
      <c r="C475">
        <v>25.390999999999998</v>
      </c>
      <c r="D475">
        <v>21.004000000000001</v>
      </c>
      <c r="E475">
        <v>21.706</v>
      </c>
      <c r="F475">
        <v>165948.19899999999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-0.67996352860724929</v>
      </c>
      <c r="Q475">
        <f t="shared" si="980"/>
        <v>-112838.72295805799</v>
      </c>
      <c r="R475">
        <f t="shared" si="981"/>
        <v>-786551.24116264668</v>
      </c>
      <c r="S475">
        <f t="shared" si="982"/>
        <v>-7.865512411626467</v>
      </c>
      <c r="T475">
        <f t="shared" si="983"/>
        <v>-7.8655124116264671E-3</v>
      </c>
    </row>
    <row r="476" spans="1:20" x14ac:dyDescent="0.25">
      <c r="A476" s="5">
        <v>44117</v>
      </c>
      <c r="B476">
        <v>25.568000000000001</v>
      </c>
      <c r="C476">
        <v>26.5</v>
      </c>
      <c r="D476">
        <v>23.963000000000001</v>
      </c>
      <c r="E476">
        <v>24.82</v>
      </c>
      <c r="F476">
        <v>122366.05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-0.32439889633425334</v>
      </c>
      <c r="Q476">
        <f t="shared" si="980"/>
        <v>-39695.411568782059</v>
      </c>
      <c r="R476">
        <f t="shared" si="981"/>
        <v>-673712.51820458868</v>
      </c>
      <c r="S476">
        <f t="shared" si="982"/>
        <v>-6.7371251820458866</v>
      </c>
      <c r="T476">
        <f t="shared" si="983"/>
        <v>-6.7371251820458862E-3</v>
      </c>
    </row>
    <row r="477" spans="1:20" x14ac:dyDescent="0.25">
      <c r="A477" s="5">
        <v>44116</v>
      </c>
      <c r="B477">
        <v>22.632000000000001</v>
      </c>
      <c r="C477">
        <v>26.795999999999999</v>
      </c>
      <c r="D477">
        <v>22.2</v>
      </c>
      <c r="E477">
        <v>25.562000000000001</v>
      </c>
      <c r="F477">
        <v>191696.93299999999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0.46301131418624969</v>
      </c>
      <c r="Q477">
        <f t="shared" si="980"/>
        <v>88757.84887380345</v>
      </c>
      <c r="R477">
        <f t="shared" si="981"/>
        <v>-634017.10663580662</v>
      </c>
      <c r="S477">
        <f t="shared" si="982"/>
        <v>-6.3401710663580664</v>
      </c>
      <c r="T477">
        <f t="shared" si="983"/>
        <v>-6.3401710663580661E-3</v>
      </c>
    </row>
    <row r="478" spans="1:20" x14ac:dyDescent="0.25">
      <c r="A478" s="5">
        <v>44115</v>
      </c>
      <c r="B478">
        <v>24.45</v>
      </c>
      <c r="C478">
        <v>25</v>
      </c>
      <c r="D478">
        <v>21.986999999999998</v>
      </c>
      <c r="E478">
        <v>22.706</v>
      </c>
      <c r="F478">
        <v>220041.32500000001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-0.52273481579820724</v>
      </c>
      <c r="Q478">
        <f t="shared" si="980"/>
        <v>-115023.26149186846</v>
      </c>
      <c r="R478">
        <f t="shared" si="981"/>
        <v>-722774.95550961001</v>
      </c>
      <c r="S478">
        <f t="shared" si="982"/>
        <v>-7.2277495550961</v>
      </c>
      <c r="T478">
        <f t="shared" si="983"/>
        <v>-7.2277495550960996E-3</v>
      </c>
    </row>
    <row r="479" spans="1:20" x14ac:dyDescent="0.25">
      <c r="A479" s="5">
        <v>44114</v>
      </c>
      <c r="B479">
        <v>20.99</v>
      </c>
      <c r="C479">
        <v>26.632000000000001</v>
      </c>
      <c r="D479">
        <v>20.021000000000001</v>
      </c>
      <c r="E479">
        <v>24.45</v>
      </c>
      <c r="F479">
        <v>200719.94399999999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0.33988806534563548</v>
      </c>
      <c r="Q479">
        <f t="shared" si="980"/>
        <v>68222.313442444298</v>
      </c>
      <c r="R479">
        <f t="shared" si="981"/>
        <v>-607751.6940177416</v>
      </c>
      <c r="S479">
        <f t="shared" si="982"/>
        <v>-6.0775169401774161</v>
      </c>
      <c r="T479">
        <f t="shared" si="983"/>
        <v>-6.0775169401774158E-3</v>
      </c>
    </row>
    <row r="480" spans="1:20" x14ac:dyDescent="0.25">
      <c r="A480" s="5">
        <v>44113</v>
      </c>
      <c r="B480">
        <v>17.177</v>
      </c>
      <c r="C480">
        <v>21.498999999999999</v>
      </c>
      <c r="D480">
        <v>16.843</v>
      </c>
      <c r="E480">
        <v>21</v>
      </c>
      <c r="F480">
        <v>165554.367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0.78565292096219974</v>
      </c>
      <c r="Q480">
        <f t="shared" si="980"/>
        <v>130068.272011598</v>
      </c>
      <c r="R480">
        <f t="shared" si="981"/>
        <v>-675974.00746018591</v>
      </c>
      <c r="S480">
        <f t="shared" si="982"/>
        <v>-6.7597400746018588</v>
      </c>
      <c r="T480">
        <f t="shared" si="983"/>
        <v>-6.7597400746018587E-3</v>
      </c>
    </row>
    <row r="481" spans="1:20" x14ac:dyDescent="0.25">
      <c r="A481" s="5">
        <v>44112</v>
      </c>
      <c r="B481">
        <v>16.207999999999998</v>
      </c>
      <c r="C481">
        <v>18.227</v>
      </c>
      <c r="D481">
        <v>14.614000000000001</v>
      </c>
      <c r="E481">
        <v>17.189</v>
      </c>
      <c r="F481">
        <v>192014.58300000001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0.42540824799335708</v>
      </c>
      <c r="Q481">
        <f t="shared" si="980"/>
        <v>81684.587343205058</v>
      </c>
      <c r="R481">
        <f t="shared" si="981"/>
        <v>-806042.2794717839</v>
      </c>
      <c r="S481">
        <f t="shared" si="982"/>
        <v>-8.0604227947178391</v>
      </c>
      <c r="T481">
        <f t="shared" si="983"/>
        <v>-8.0604227947178395E-3</v>
      </c>
    </row>
    <row r="482" spans="1:20" x14ac:dyDescent="0.25">
      <c r="A482" s="5">
        <v>44111</v>
      </c>
      <c r="B482">
        <v>13.894</v>
      </c>
      <c r="C482">
        <v>16.510000000000002</v>
      </c>
      <c r="D482">
        <v>12.788</v>
      </c>
      <c r="E482">
        <v>16.169</v>
      </c>
      <c r="F482">
        <v>237779.33499999999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0.81676518001074638</v>
      </c>
      <c r="Q482">
        <f t="shared" si="980"/>
        <v>194209.88135411055</v>
      </c>
      <c r="R482">
        <f t="shared" si="981"/>
        <v>-887726.8668149889</v>
      </c>
      <c r="S482">
        <f t="shared" si="982"/>
        <v>-8.8772686681498882</v>
      </c>
      <c r="T482">
        <f t="shared" si="983"/>
        <v>-8.8772686681498885E-3</v>
      </c>
    </row>
    <row r="483" spans="1:20" x14ac:dyDescent="0.25">
      <c r="A483" s="5">
        <v>44110</v>
      </c>
      <c r="B483">
        <v>17.337</v>
      </c>
      <c r="C483">
        <v>17.474</v>
      </c>
      <c r="D483">
        <v>13.731999999999999</v>
      </c>
      <c r="E483">
        <v>13.877000000000001</v>
      </c>
      <c r="F483">
        <v>153533.21299999999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-0.92250133618385821</v>
      </c>
      <c r="Q483">
        <f t="shared" si="980"/>
        <v>-141634.59414110091</v>
      </c>
      <c r="R483">
        <f t="shared" si="981"/>
        <v>-1081936.7481690994</v>
      </c>
      <c r="S483">
        <f t="shared" si="982"/>
        <v>-10.819367481690994</v>
      </c>
      <c r="T483">
        <f t="shared" si="983"/>
        <v>-1.0819367481690994E-2</v>
      </c>
    </row>
    <row r="484" spans="1:20" x14ac:dyDescent="0.25">
      <c r="A484" s="5">
        <v>44109</v>
      </c>
      <c r="B484">
        <v>18.446000000000002</v>
      </c>
      <c r="C484">
        <v>18.734000000000002</v>
      </c>
      <c r="D484">
        <v>17.251999999999999</v>
      </c>
      <c r="E484">
        <v>17.303000000000001</v>
      </c>
      <c r="F484">
        <v>56917.981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-0.93117408906882349</v>
      </c>
      <c r="Q484">
        <f t="shared" si="980"/>
        <v>-53000.5491093116</v>
      </c>
      <c r="R484">
        <f t="shared" si="981"/>
        <v>-940302.15402799845</v>
      </c>
      <c r="S484">
        <f t="shared" si="982"/>
        <v>-9.403021540279985</v>
      </c>
      <c r="T484">
        <f t="shared" si="983"/>
        <v>-9.4030215402799849E-3</v>
      </c>
    </row>
    <row r="485" spans="1:20" x14ac:dyDescent="0.25">
      <c r="A485" s="5">
        <v>44108</v>
      </c>
      <c r="B485">
        <v>18.776</v>
      </c>
      <c r="C485">
        <v>19.273</v>
      </c>
      <c r="D485">
        <v>17.702999999999999</v>
      </c>
      <c r="E485">
        <v>18.449000000000002</v>
      </c>
      <c r="F485">
        <v>73261.092999999993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-4.9681528662417727E-2</v>
      </c>
      <c r="Q485">
        <f t="shared" si="980"/>
        <v>-3639.7230917195502</v>
      </c>
      <c r="R485">
        <f t="shared" si="981"/>
        <v>-887301.60491868679</v>
      </c>
      <c r="S485">
        <f t="shared" si="982"/>
        <v>-8.8730160491868677</v>
      </c>
      <c r="T485">
        <f t="shared" si="983"/>
        <v>-8.8730160491868673E-3</v>
      </c>
    </row>
    <row r="486" spans="1:20" x14ac:dyDescent="0.25">
      <c r="A486" s="5">
        <v>44107</v>
      </c>
      <c r="B486">
        <v>20.084</v>
      </c>
      <c r="C486">
        <v>20.952000000000002</v>
      </c>
      <c r="D486">
        <v>18.7</v>
      </c>
      <c r="E486">
        <v>18.835000000000001</v>
      </c>
      <c r="F486">
        <v>62174.872000000003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-0.88010657193605557</v>
      </c>
      <c r="Q486">
        <f t="shared" si="980"/>
        <v>-54720.513456483051</v>
      </c>
      <c r="R486">
        <f t="shared" si="981"/>
        <v>-883661.88182696723</v>
      </c>
      <c r="S486">
        <f t="shared" si="982"/>
        <v>-8.8366188182696721</v>
      </c>
      <c r="T486">
        <f t="shared" si="983"/>
        <v>-8.8366188182696717E-3</v>
      </c>
    </row>
    <row r="487" spans="1:20" x14ac:dyDescent="0.25">
      <c r="A487" s="5">
        <v>44106</v>
      </c>
      <c r="B487">
        <v>20.696000000000002</v>
      </c>
      <c r="C487">
        <v>21.013000000000002</v>
      </c>
      <c r="D487">
        <v>18.05</v>
      </c>
      <c r="E487">
        <v>20.108000000000001</v>
      </c>
      <c r="F487">
        <v>178085.27499999999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0.38913263584205143</v>
      </c>
      <c r="Q487">
        <f t="shared" si="980"/>
        <v>69298.792465406586</v>
      </c>
      <c r="R487">
        <f t="shared" si="981"/>
        <v>-828941.36837048421</v>
      </c>
      <c r="S487">
        <f t="shared" si="982"/>
        <v>-8.2894136837048418</v>
      </c>
      <c r="T487">
        <f t="shared" si="983"/>
        <v>-8.2894136837048417E-3</v>
      </c>
    </row>
    <row r="488" spans="1:20" x14ac:dyDescent="0.25">
      <c r="A488" s="5">
        <v>44105</v>
      </c>
      <c r="B488">
        <v>22.47</v>
      </c>
      <c r="C488">
        <v>23.97</v>
      </c>
      <c r="D488">
        <v>20</v>
      </c>
      <c r="E488">
        <v>20.707999999999998</v>
      </c>
      <c r="F488">
        <v>119433.167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-0.64332493702770854</v>
      </c>
      <c r="Q488">
        <f t="shared" si="980"/>
        <v>-76834.334639294801</v>
      </c>
      <c r="R488">
        <f t="shared" si="981"/>
        <v>-898240.1608358908</v>
      </c>
      <c r="S488">
        <f t="shared" si="982"/>
        <v>-8.9824016083589076</v>
      </c>
      <c r="T488">
        <f t="shared" si="983"/>
        <v>-8.9824016083589076E-3</v>
      </c>
    </row>
    <row r="489" spans="1:20" x14ac:dyDescent="0.25">
      <c r="A489" s="5">
        <v>44104</v>
      </c>
      <c r="B489">
        <v>23.474</v>
      </c>
      <c r="C489">
        <v>23.645</v>
      </c>
      <c r="D489">
        <v>21.713999999999999</v>
      </c>
      <c r="E489">
        <v>22.402999999999999</v>
      </c>
      <c r="F489">
        <v>93154.460999999996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-0.28638011393060619</v>
      </c>
      <c r="Q489">
        <f t="shared" si="980"/>
        <v>-26677.58515432421</v>
      </c>
      <c r="R489">
        <f t="shared" si="981"/>
        <v>-821405.82619659603</v>
      </c>
      <c r="S489">
        <f t="shared" si="982"/>
        <v>-8.2140582619659597</v>
      </c>
      <c r="T489">
        <f t="shared" si="983"/>
        <v>-8.2140582619659591E-3</v>
      </c>
    </row>
    <row r="490" spans="1:20" x14ac:dyDescent="0.25">
      <c r="A490" s="5">
        <v>44103</v>
      </c>
      <c r="B490">
        <v>24.917000000000002</v>
      </c>
      <c r="C490">
        <v>25.550999999999998</v>
      </c>
      <c r="D490">
        <v>22.56</v>
      </c>
      <c r="E490">
        <v>23.401</v>
      </c>
      <c r="F490">
        <v>125303.113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-0.43764627214978191</v>
      </c>
      <c r="Q490">
        <f t="shared" si="980"/>
        <v>-54838.440293212872</v>
      </c>
      <c r="R490">
        <f t="shared" si="981"/>
        <v>-794728.24104227184</v>
      </c>
      <c r="S490">
        <f t="shared" si="982"/>
        <v>-7.9472824104227184</v>
      </c>
      <c r="T490">
        <f t="shared" si="983"/>
        <v>-7.9472824104227183E-3</v>
      </c>
    </row>
    <row r="491" spans="1:20" x14ac:dyDescent="0.25">
      <c r="A491" s="5">
        <v>44102</v>
      </c>
      <c r="B491">
        <v>23.097999999999999</v>
      </c>
      <c r="C491">
        <v>26.917000000000002</v>
      </c>
      <c r="D491">
        <v>22.677</v>
      </c>
      <c r="E491">
        <v>24.916</v>
      </c>
      <c r="F491">
        <v>145353.89199999999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5.6132075471697983E-2</v>
      </c>
      <c r="Q491">
        <f t="shared" si="980"/>
        <v>8159.0156358490376</v>
      </c>
      <c r="R491">
        <f t="shared" si="981"/>
        <v>-739889.80074905895</v>
      </c>
      <c r="S491">
        <f t="shared" si="982"/>
        <v>-7.3988980074905895</v>
      </c>
      <c r="T491">
        <f t="shared" si="983"/>
        <v>-7.3988980074905899E-3</v>
      </c>
    </row>
    <row r="492" spans="1:20" x14ac:dyDescent="0.25">
      <c r="A492" s="5">
        <v>44101</v>
      </c>
      <c r="B492">
        <v>23.579000000000001</v>
      </c>
      <c r="C492">
        <v>24.009</v>
      </c>
      <c r="D492">
        <v>21.798999999999999</v>
      </c>
      <c r="E492">
        <v>23.059000000000001</v>
      </c>
      <c r="F492">
        <v>72709.850000000006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0.14027149321267066</v>
      </c>
      <c r="Q492">
        <f t="shared" si="980"/>
        <v>10199.119230769302</v>
      </c>
      <c r="R492">
        <f t="shared" si="981"/>
        <v>-748048.81638490804</v>
      </c>
      <c r="S492">
        <f t="shared" si="982"/>
        <v>-7.4804881638490803</v>
      </c>
      <c r="T492">
        <f t="shared" si="983"/>
        <v>-7.4804881638490806E-3</v>
      </c>
    </row>
    <row r="493" spans="1:20" x14ac:dyDescent="0.25">
      <c r="A493" s="5">
        <v>44100</v>
      </c>
      <c r="B493">
        <v>23.106999999999999</v>
      </c>
      <c r="C493">
        <v>25</v>
      </c>
      <c r="D493">
        <v>22.023</v>
      </c>
      <c r="E493">
        <v>23.567</v>
      </c>
      <c r="F493">
        <v>110817.57399999999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3.7285858246557155E-2</v>
      </c>
      <c r="Q493">
        <f t="shared" si="980"/>
        <v>4131.9283553913574</v>
      </c>
      <c r="R493">
        <f t="shared" si="981"/>
        <v>-758247.93561567739</v>
      </c>
      <c r="S493">
        <f t="shared" si="982"/>
        <v>-7.5824793561567736</v>
      </c>
      <c r="T493">
        <f t="shared" si="983"/>
        <v>-7.5824793561567738E-3</v>
      </c>
    </row>
    <row r="494" spans="1:20" x14ac:dyDescent="0.25">
      <c r="A494" s="5">
        <v>44099</v>
      </c>
      <c r="B494">
        <v>22.388000000000002</v>
      </c>
      <c r="C494">
        <v>24.097999999999999</v>
      </c>
      <c r="D494">
        <v>19.911999999999999</v>
      </c>
      <c r="E494">
        <v>23.06</v>
      </c>
      <c r="F494">
        <v>151973.36199999999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0.5040611562350692</v>
      </c>
      <c r="Q494">
        <f t="shared" si="980"/>
        <v>76603.868566650723</v>
      </c>
      <c r="R494">
        <f t="shared" si="981"/>
        <v>-762379.86397106876</v>
      </c>
      <c r="S494">
        <f t="shared" si="982"/>
        <v>-7.6237986397106878</v>
      </c>
      <c r="T494">
        <f t="shared" si="983"/>
        <v>-7.6237986397106874E-3</v>
      </c>
    </row>
    <row r="495" spans="1:20" x14ac:dyDescent="0.25">
      <c r="A495" s="5">
        <v>44098</v>
      </c>
      <c r="B495">
        <v>19.213000000000001</v>
      </c>
      <c r="C495">
        <v>22.45</v>
      </c>
      <c r="D495">
        <v>18.873000000000001</v>
      </c>
      <c r="E495">
        <v>22.45</v>
      </c>
      <c r="F495">
        <v>155887.25099999999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1</v>
      </c>
      <c r="Q495">
        <f t="shared" si="980"/>
        <v>155887.25099999999</v>
      </c>
      <c r="R495">
        <f t="shared" si="981"/>
        <v>-838983.73253771942</v>
      </c>
      <c r="S495">
        <f t="shared" si="982"/>
        <v>-8.3898373253771936</v>
      </c>
      <c r="T495">
        <f t="shared" si="983"/>
        <v>-8.3898373253771929E-3</v>
      </c>
    </row>
    <row r="496" spans="1:20" x14ac:dyDescent="0.25">
      <c r="A496" s="5">
        <v>44097</v>
      </c>
      <c r="B496">
        <v>21.484999999999999</v>
      </c>
      <c r="C496">
        <v>26.687000000000001</v>
      </c>
      <c r="D496">
        <v>18.57</v>
      </c>
      <c r="E496">
        <v>19.251999999999999</v>
      </c>
      <c r="F496">
        <v>333813.864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-0.83195761981027505</v>
      </c>
      <c r="Q496">
        <f t="shared" si="980"/>
        <v>-277718.98775311088</v>
      </c>
      <c r="R496">
        <f t="shared" si="981"/>
        <v>-994870.98353771935</v>
      </c>
      <c r="S496">
        <f t="shared" si="982"/>
        <v>-9.9487098353771941</v>
      </c>
      <c r="T496">
        <f t="shared" si="983"/>
        <v>-9.9487098353771945E-3</v>
      </c>
    </row>
    <row r="497" spans="1:20" x14ac:dyDescent="0.25">
      <c r="A497" s="5">
        <v>44096</v>
      </c>
      <c r="B497">
        <v>21.795000000000002</v>
      </c>
      <c r="C497">
        <v>22.77</v>
      </c>
      <c r="D497">
        <v>19.809000000000001</v>
      </c>
      <c r="E497">
        <v>21.4</v>
      </c>
      <c r="F497">
        <v>152266.75599999999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7.4636946977371374E-2</v>
      </c>
      <c r="Q497">
        <f t="shared" si="980"/>
        <v>11364.725793988344</v>
      </c>
      <c r="R497">
        <f t="shared" si="981"/>
        <v>-717151.99578460853</v>
      </c>
      <c r="S497">
        <f t="shared" si="982"/>
        <v>-7.1715199578460851</v>
      </c>
      <c r="T497">
        <f t="shared" si="983"/>
        <v>-7.1715199578460849E-3</v>
      </c>
    </row>
    <row r="498" spans="1:20" x14ac:dyDescent="0.25">
      <c r="A498" s="5">
        <v>44095</v>
      </c>
      <c r="B498">
        <v>27.736999999999998</v>
      </c>
      <c r="C498">
        <v>28.334</v>
      </c>
      <c r="D498">
        <v>20.5</v>
      </c>
      <c r="E498">
        <v>21.71</v>
      </c>
      <c r="F498">
        <v>218133.41200000001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-0.69109011998978787</v>
      </c>
      <c r="Q498">
        <f t="shared" si="980"/>
        <v>-150749.84587286183</v>
      </c>
      <c r="R498">
        <f t="shared" si="981"/>
        <v>-728516.72157859686</v>
      </c>
      <c r="S498">
        <f t="shared" si="982"/>
        <v>-7.2851672157859682</v>
      </c>
      <c r="T498">
        <f t="shared" si="983"/>
        <v>-7.2851672157859685E-3</v>
      </c>
    </row>
    <row r="499" spans="1:20" x14ac:dyDescent="0.25">
      <c r="A499" s="5">
        <v>44094</v>
      </c>
      <c r="B499">
        <v>30.718</v>
      </c>
      <c r="C499">
        <v>31.914999999999999</v>
      </c>
      <c r="D499">
        <v>26.870999999999999</v>
      </c>
      <c r="E499">
        <v>27.736999999999998</v>
      </c>
      <c r="F499">
        <v>96356.414000000004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-0.65662172878667746</v>
      </c>
      <c r="Q499">
        <f t="shared" si="980"/>
        <v>-63269.715140364817</v>
      </c>
      <c r="R499">
        <f t="shared" si="981"/>
        <v>-577766.87570573506</v>
      </c>
      <c r="S499">
        <f t="shared" si="982"/>
        <v>-5.7776687570573504</v>
      </c>
      <c r="T499">
        <f t="shared" si="983"/>
        <v>-5.7776687570573505E-3</v>
      </c>
    </row>
    <row r="500" spans="1:20" x14ac:dyDescent="0.25">
      <c r="A500" s="5">
        <v>44093</v>
      </c>
      <c r="B500">
        <v>31.314</v>
      </c>
      <c r="C500">
        <v>31.341000000000001</v>
      </c>
      <c r="D500">
        <v>28.393000000000001</v>
      </c>
      <c r="E500">
        <v>30.792000000000002</v>
      </c>
      <c r="F500">
        <v>107300.05100000001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0.62754409769335184</v>
      </c>
      <c r="Q500">
        <f t="shared" si="980"/>
        <v>67335.513687245635</v>
      </c>
      <c r="R500">
        <f t="shared" si="981"/>
        <v>-514497.16056537023</v>
      </c>
      <c r="S500">
        <f t="shared" si="982"/>
        <v>-5.1449716056537023</v>
      </c>
      <c r="T500">
        <f t="shared" si="983"/>
        <v>-5.1449716056537025E-3</v>
      </c>
    </row>
    <row r="501" spans="1:20" x14ac:dyDescent="0.25">
      <c r="A501" s="5">
        <v>44092</v>
      </c>
      <c r="B501">
        <v>30.757999999999999</v>
      </c>
      <c r="C501">
        <v>34.143999999999998</v>
      </c>
      <c r="D501">
        <v>29.306000000000001</v>
      </c>
      <c r="E501">
        <v>31.311</v>
      </c>
      <c r="F501">
        <v>134842.94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-0.17114510128152124</v>
      </c>
      <c r="Q501">
        <f t="shared" si="980"/>
        <v>-23077.708623398092</v>
      </c>
      <c r="R501">
        <f t="shared" si="981"/>
        <v>-581832.67425261589</v>
      </c>
      <c r="S501">
        <f t="shared" si="982"/>
        <v>-5.8183267425261587</v>
      </c>
      <c r="T501">
        <f t="shared" si="983"/>
        <v>-5.818326742526159E-3</v>
      </c>
    </row>
    <row r="502" spans="1:20" x14ac:dyDescent="0.25">
      <c r="A502" s="5">
        <v>44091</v>
      </c>
      <c r="B502">
        <v>30.44</v>
      </c>
      <c r="C502">
        <v>32.884</v>
      </c>
      <c r="D502">
        <v>28.893000000000001</v>
      </c>
      <c r="E502">
        <v>30.483000000000001</v>
      </c>
      <c r="F502">
        <v>101858.33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-0.20320721623653221</v>
      </c>
      <c r="Q502">
        <f t="shared" si="980"/>
        <v>-20698.347689802056</v>
      </c>
      <c r="R502">
        <f t="shared" si="981"/>
        <v>-558754.9656292178</v>
      </c>
      <c r="S502">
        <f t="shared" si="982"/>
        <v>-5.587549656292178</v>
      </c>
      <c r="T502">
        <f t="shared" si="983"/>
        <v>-5.5875496562921784E-3</v>
      </c>
    </row>
    <row r="503" spans="1:20" x14ac:dyDescent="0.25">
      <c r="A503" s="5">
        <v>44090</v>
      </c>
      <c r="B503">
        <v>31.943999999999999</v>
      </c>
      <c r="C503">
        <v>33.689</v>
      </c>
      <c r="D503">
        <v>28.77</v>
      </c>
      <c r="E503">
        <v>30.443000000000001</v>
      </c>
      <c r="F503">
        <v>116955.568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-0.31978044317950738</v>
      </c>
      <c r="Q503">
        <f t="shared" si="980"/>
        <v>-37400.10336735101</v>
      </c>
      <c r="R503">
        <f t="shared" si="981"/>
        <v>-538056.61793941574</v>
      </c>
      <c r="S503">
        <f t="shared" si="982"/>
        <v>-5.3805661793941573</v>
      </c>
      <c r="T503">
        <f t="shared" si="983"/>
        <v>-5.3805661793941573E-3</v>
      </c>
    </row>
    <row r="504" spans="1:20" x14ac:dyDescent="0.25">
      <c r="A504" s="5">
        <v>44089</v>
      </c>
      <c r="B504">
        <v>38.945999999999998</v>
      </c>
      <c r="C504">
        <v>39.161000000000001</v>
      </c>
      <c r="D504">
        <v>31.88</v>
      </c>
      <c r="E504">
        <v>32</v>
      </c>
      <c r="F504">
        <v>117901.173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-0.96703749484960833</v>
      </c>
      <c r="Q504">
        <f t="shared" si="980"/>
        <v>-114014.85497775028</v>
      </c>
      <c r="R504">
        <f t="shared" si="981"/>
        <v>-500656.51457206468</v>
      </c>
      <c r="S504">
        <f t="shared" si="982"/>
        <v>-5.0065651457206473</v>
      </c>
      <c r="T504">
        <f t="shared" si="983"/>
        <v>-5.0065651457206475E-3</v>
      </c>
    </row>
    <row r="505" spans="1:20" x14ac:dyDescent="0.25">
      <c r="A505" s="5">
        <v>44088</v>
      </c>
      <c r="B505">
        <v>39.218000000000004</v>
      </c>
      <c r="C505">
        <v>41.887999999999998</v>
      </c>
      <c r="D505">
        <v>36.799999999999997</v>
      </c>
      <c r="E505">
        <v>39.07</v>
      </c>
      <c r="F505">
        <v>121149.537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-0.10770440251572221</v>
      </c>
      <c r="Q505">
        <f t="shared" si="980"/>
        <v>-13048.33849764138</v>
      </c>
      <c r="R505">
        <f t="shared" si="981"/>
        <v>-386641.65959431441</v>
      </c>
      <c r="S505">
        <f t="shared" si="982"/>
        <v>-3.8664165959431442</v>
      </c>
      <c r="T505">
        <f t="shared" si="983"/>
        <v>-3.8664165959431443E-3</v>
      </c>
    </row>
    <row r="506" spans="1:20" x14ac:dyDescent="0.25">
      <c r="A506" s="5">
        <v>44087</v>
      </c>
      <c r="B506">
        <v>44.328000000000003</v>
      </c>
      <c r="C506">
        <v>45</v>
      </c>
      <c r="D506">
        <v>35.886000000000003</v>
      </c>
      <c r="E506">
        <v>39.203000000000003</v>
      </c>
      <c r="F506">
        <v>162634.83100000001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-0.27210884353741471</v>
      </c>
      <c r="Q506">
        <f t="shared" si="980"/>
        <v>-44254.375782312884</v>
      </c>
      <c r="R506">
        <f t="shared" si="981"/>
        <v>-373593.32109667303</v>
      </c>
      <c r="S506">
        <f t="shared" si="982"/>
        <v>-3.7359332109667305</v>
      </c>
      <c r="T506">
        <f t="shared" si="983"/>
        <v>-3.7359332109667305E-3</v>
      </c>
    </row>
    <row r="507" spans="1:20" x14ac:dyDescent="0.25">
      <c r="A507" s="5">
        <v>44086</v>
      </c>
      <c r="B507">
        <v>37.938000000000002</v>
      </c>
      <c r="C507">
        <v>46.97</v>
      </c>
      <c r="D507">
        <v>36.375999999999998</v>
      </c>
      <c r="E507">
        <v>44.448999999999998</v>
      </c>
      <c r="F507">
        <v>232593.73199999999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0.52407022843118733</v>
      </c>
      <c r="Q507">
        <f t="shared" si="980"/>
        <v>121895.45026090236</v>
      </c>
      <c r="R507">
        <f t="shared" si="981"/>
        <v>-329338.94531436014</v>
      </c>
      <c r="S507">
        <f t="shared" si="982"/>
        <v>-3.2933894531436012</v>
      </c>
      <c r="T507">
        <f t="shared" si="983"/>
        <v>-3.2933894531436011E-3</v>
      </c>
    </row>
    <row r="508" spans="1:20" x14ac:dyDescent="0.25">
      <c r="A508" s="5">
        <v>44085</v>
      </c>
      <c r="B508">
        <v>37.006</v>
      </c>
      <c r="C508">
        <v>39.75</v>
      </c>
      <c r="D508">
        <v>32.06</v>
      </c>
      <c r="E508">
        <v>37.92</v>
      </c>
      <c r="F508">
        <v>102427.579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0.52405721716514986</v>
      </c>
      <c r="Q508">
        <f t="shared" si="980"/>
        <v>53677.912011703542</v>
      </c>
      <c r="R508">
        <f t="shared" si="981"/>
        <v>-451234.39557526249</v>
      </c>
      <c r="S508">
        <f t="shared" si="982"/>
        <v>-4.512343955752625</v>
      </c>
      <c r="T508">
        <f t="shared" si="983"/>
        <v>-4.5123439557526249E-3</v>
      </c>
    </row>
    <row r="509" spans="1:20" x14ac:dyDescent="0.25">
      <c r="A509" s="5">
        <v>44084</v>
      </c>
      <c r="B509">
        <v>34.524999999999999</v>
      </c>
      <c r="C509">
        <v>40.226999999999997</v>
      </c>
      <c r="D509">
        <v>34.473999999999997</v>
      </c>
      <c r="E509">
        <v>37.036000000000001</v>
      </c>
      <c r="F509">
        <v>134341.75599999999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-0.10933426038588401</v>
      </c>
      <c r="Q509">
        <f t="shared" si="980"/>
        <v>-14688.156531200895</v>
      </c>
      <c r="R509">
        <f t="shared" si="981"/>
        <v>-504912.30758696602</v>
      </c>
      <c r="S509">
        <f t="shared" si="982"/>
        <v>-5.0491230758696606</v>
      </c>
      <c r="T509">
        <f t="shared" si="983"/>
        <v>-5.0491230758696604E-3</v>
      </c>
    </row>
    <row r="510" spans="1:20" x14ac:dyDescent="0.25">
      <c r="A510" s="5">
        <v>44083</v>
      </c>
      <c r="B510">
        <v>32.825000000000003</v>
      </c>
      <c r="C510">
        <v>37.789000000000001</v>
      </c>
      <c r="D510">
        <v>30.617000000000001</v>
      </c>
      <c r="E510">
        <v>34.567999999999998</v>
      </c>
      <c r="F510">
        <v>138942.31599999999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0.10178471834913459</v>
      </c>
      <c r="Q510">
        <f t="shared" si="980"/>
        <v>14142.204500836457</v>
      </c>
      <c r="R510">
        <f t="shared" si="981"/>
        <v>-490224.15105576511</v>
      </c>
      <c r="S510">
        <f t="shared" si="982"/>
        <v>-4.9022415105576513</v>
      </c>
      <c r="T510">
        <f t="shared" si="983"/>
        <v>-4.9022415105576516E-3</v>
      </c>
    </row>
    <row r="511" spans="1:20" x14ac:dyDescent="0.25">
      <c r="A511" s="5">
        <v>44082</v>
      </c>
      <c r="B511">
        <v>37.999000000000002</v>
      </c>
      <c r="C511">
        <v>38.499000000000002</v>
      </c>
      <c r="D511">
        <v>30.5</v>
      </c>
      <c r="E511">
        <v>32.841000000000001</v>
      </c>
      <c r="F511">
        <v>165461.535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-0.41467683460432542</v>
      </c>
      <c r="Q511">
        <f t="shared" si="980"/>
        <v>-68613.065582572803</v>
      </c>
      <c r="R511">
        <f t="shared" si="981"/>
        <v>-504366.35555660154</v>
      </c>
      <c r="S511">
        <f t="shared" si="982"/>
        <v>-5.043663555566015</v>
      </c>
      <c r="T511">
        <f t="shared" si="983"/>
        <v>-5.0436635555660154E-3</v>
      </c>
    </row>
    <row r="512" spans="1:20" x14ac:dyDescent="0.25">
      <c r="A512" s="5">
        <v>44081</v>
      </c>
      <c r="B512">
        <v>38.341000000000001</v>
      </c>
      <c r="C512">
        <v>45</v>
      </c>
      <c r="D512">
        <v>29.192</v>
      </c>
      <c r="E512">
        <v>37.848999999999997</v>
      </c>
      <c r="F512">
        <v>296600.17700000003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9.5268218623481352E-2</v>
      </c>
      <c r="Q512">
        <f t="shared" si="980"/>
        <v>28256.570506199267</v>
      </c>
      <c r="R512">
        <f t="shared" si="981"/>
        <v>-435753.28997402877</v>
      </c>
      <c r="S512">
        <f t="shared" si="982"/>
        <v>-4.3575328997402876</v>
      </c>
      <c r="T512">
        <f t="shared" si="983"/>
        <v>-4.3575328997402874E-3</v>
      </c>
    </row>
    <row r="513" spans="1:20" x14ac:dyDescent="0.25">
      <c r="A513" s="5">
        <v>44080</v>
      </c>
      <c r="B513">
        <v>30.497</v>
      </c>
      <c r="C513">
        <v>39.999000000000002</v>
      </c>
      <c r="D513">
        <v>25.7</v>
      </c>
      <c r="E513">
        <v>38.404000000000003</v>
      </c>
      <c r="F513">
        <v>230695.90599999999</v>
      </c>
      <c r="G513">
        <v>0</v>
      </c>
      <c r="L513" t="s">
        <v>7</v>
      </c>
      <c r="M513" t="s">
        <v>8</v>
      </c>
      <c r="N513" t="s">
        <v>8</v>
      </c>
      <c r="P513">
        <f t="shared" si="979"/>
        <v>0.77690747604727628</v>
      </c>
      <c r="Q513">
        <f t="shared" si="980"/>
        <v>179229.37406489969</v>
      </c>
      <c r="R513">
        <f t="shared" si="981"/>
        <v>-464009.86048022803</v>
      </c>
      <c r="S513">
        <f t="shared" si="982"/>
        <v>-4.6400986048022803</v>
      </c>
      <c r="T513">
        <f t="shared" si="983"/>
        <v>-4.6400986048022799E-3</v>
      </c>
    </row>
    <row r="514" spans="1:20" x14ac:dyDescent="0.25">
      <c r="A514" s="5">
        <v>44079</v>
      </c>
      <c r="B514">
        <v>45.496000000000002</v>
      </c>
      <c r="C514">
        <v>47.045999999999999</v>
      </c>
      <c r="D514">
        <v>25.834</v>
      </c>
      <c r="E514">
        <v>30.78</v>
      </c>
      <c r="F514">
        <v>169215.08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-0.53366019234395612</v>
      </c>
      <c r="Q514">
        <f t="shared" si="980"/>
        <v>-90303.35214029791</v>
      </c>
      <c r="R514">
        <f t="shared" si="981"/>
        <v>-643239.23454512772</v>
      </c>
      <c r="S514">
        <f t="shared" si="982"/>
        <v>-6.4323923454512775</v>
      </c>
      <c r="T514">
        <f t="shared" si="983"/>
        <v>-6.4323923454512773E-3</v>
      </c>
    </row>
    <row r="515" spans="1:20" x14ac:dyDescent="0.25">
      <c r="A515" s="5">
        <v>44078</v>
      </c>
      <c r="B515">
        <v>43.216000000000001</v>
      </c>
      <c r="C515">
        <v>49.19</v>
      </c>
      <c r="D515">
        <v>40.5</v>
      </c>
      <c r="E515">
        <v>45.418999999999997</v>
      </c>
      <c r="F515">
        <v>113531.875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0.13210586881472916</v>
      </c>
      <c r="Q515">
        <f t="shared" si="980"/>
        <v>14998.22698504023</v>
      </c>
      <c r="R515">
        <f t="shared" si="981"/>
        <v>-552935.88240482984</v>
      </c>
      <c r="S515">
        <f t="shared" si="982"/>
        <v>-5.5293588240482983</v>
      </c>
      <c r="T515">
        <f t="shared" si="983"/>
        <v>-5.5293588240482982E-3</v>
      </c>
    </row>
    <row r="516" spans="1:20" x14ac:dyDescent="0.25">
      <c r="A516" s="5">
        <v>44077</v>
      </c>
      <c r="B516">
        <v>59.353000000000002</v>
      </c>
      <c r="C516">
        <v>62.057000000000002</v>
      </c>
      <c r="D516">
        <v>40</v>
      </c>
      <c r="E516">
        <v>43.052</v>
      </c>
      <c r="F516">
        <v>190848.935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-0.72326245636305941</v>
      </c>
      <c r="Q516">
        <f t="shared" si="980"/>
        <v>-138033.86952237386</v>
      </c>
      <c r="R516">
        <f t="shared" si="981"/>
        <v>-567934.10938987008</v>
      </c>
      <c r="S516">
        <f t="shared" si="982"/>
        <v>-5.6793410938987003</v>
      </c>
      <c r="T516">
        <f t="shared" si="983"/>
        <v>-5.6793410938987005E-3</v>
      </c>
    </row>
    <row r="517" spans="1:20" x14ac:dyDescent="0.25">
      <c r="A517" s="5">
        <v>44076</v>
      </c>
      <c r="B517">
        <v>60.213000000000001</v>
      </c>
      <c r="C517">
        <v>68.3</v>
      </c>
      <c r="D517">
        <v>54.183</v>
      </c>
      <c r="E517">
        <v>59.371000000000002</v>
      </c>
      <c r="F517">
        <v>97841.990999999995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-0.26499964581709945</v>
      </c>
      <c r="Q517">
        <f t="shared" si="980"/>
        <v>-25928.092961039831</v>
      </c>
      <c r="R517">
        <f t="shared" si="981"/>
        <v>-429900.23986749619</v>
      </c>
      <c r="S517">
        <f t="shared" si="982"/>
        <v>-4.2990023986749621</v>
      </c>
      <c r="T517">
        <f t="shared" si="983"/>
        <v>-4.2990023986749625E-3</v>
      </c>
    </row>
    <row r="518" spans="1:20" x14ac:dyDescent="0.25">
      <c r="A518" s="5">
        <v>44075</v>
      </c>
      <c r="B518">
        <v>68.406000000000006</v>
      </c>
      <c r="C518">
        <v>75</v>
      </c>
      <c r="D518">
        <v>57.905999999999999</v>
      </c>
      <c r="E518">
        <v>60.222000000000001</v>
      </c>
      <c r="F518">
        <v>168599.89199999999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-0.72902772902772872</v>
      </c>
      <c r="Q518">
        <f t="shared" ref="Q518:Q581" si="985">F518*P518</f>
        <v>-122913.99637908032</v>
      </c>
      <c r="R518">
        <f t="shared" ref="R518:R581" si="986">R519+Q518</f>
        <v>-403972.14690645633</v>
      </c>
      <c r="S518">
        <f t="shared" ref="S518:S581" si="987">R518/100000</f>
        <v>-4.0397214690645633</v>
      </c>
      <c r="T518">
        <f t="shared" ref="T518:T581" si="988">S518/1000</f>
        <v>-4.0397214690645637E-3</v>
      </c>
    </row>
    <row r="519" spans="1:20" x14ac:dyDescent="0.25">
      <c r="A519" s="5">
        <v>44074</v>
      </c>
      <c r="B519">
        <v>72.141000000000005</v>
      </c>
      <c r="C519">
        <v>75.033000000000001</v>
      </c>
      <c r="D519">
        <v>64.495999999999995</v>
      </c>
      <c r="E519">
        <v>68.369</v>
      </c>
      <c r="F519">
        <v>118219.11500000001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-0.26487615070703191</v>
      </c>
      <c r="Q519">
        <f t="shared" si="985"/>
        <v>-31313.42412119194</v>
      </c>
      <c r="R519">
        <f t="shared" si="986"/>
        <v>-281058.15052737598</v>
      </c>
      <c r="S519">
        <f t="shared" si="987"/>
        <v>-2.8105815052737597</v>
      </c>
      <c r="T519">
        <f t="shared" si="988"/>
        <v>-2.8105815052737598E-3</v>
      </c>
    </row>
    <row r="520" spans="1:20" x14ac:dyDescent="0.25">
      <c r="A520" s="5">
        <v>44073</v>
      </c>
      <c r="B520">
        <v>74.989999999999995</v>
      </c>
      <c r="C520">
        <v>90.100999999999999</v>
      </c>
      <c r="D520">
        <v>70.099999999999994</v>
      </c>
      <c r="E520">
        <v>71.8</v>
      </c>
      <c r="F520">
        <v>323136.28600000002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-0.83000849957502099</v>
      </c>
      <c r="Q520">
        <f t="shared" si="985"/>
        <v>-268205.86390110489</v>
      </c>
      <c r="R520">
        <f t="shared" si="986"/>
        <v>-249744.72640618405</v>
      </c>
      <c r="S520">
        <f t="shared" si="987"/>
        <v>-2.4974472640618406</v>
      </c>
      <c r="T520">
        <f t="shared" si="988"/>
        <v>-2.4974472640618404E-3</v>
      </c>
    </row>
    <row r="521" spans="1:20" x14ac:dyDescent="0.25">
      <c r="A521" s="5">
        <v>44072</v>
      </c>
      <c r="B521">
        <v>45.07</v>
      </c>
      <c r="C521">
        <v>100</v>
      </c>
      <c r="D521">
        <v>45.07</v>
      </c>
      <c r="E521">
        <v>74.989000000000004</v>
      </c>
      <c r="F521">
        <v>206615.78700000001</v>
      </c>
      <c r="G521">
        <v>0</v>
      </c>
      <c r="P521">
        <f t="shared" si="984"/>
        <v>8.9350081922446908E-2</v>
      </c>
      <c r="Q521">
        <f t="shared" si="985"/>
        <v>18461.13749492084</v>
      </c>
      <c r="R521">
        <f t="shared" si="986"/>
        <v>18461.13749492084</v>
      </c>
      <c r="S521">
        <f t="shared" si="987"/>
        <v>0.1846113749492084</v>
      </c>
      <c r="T521">
        <f t="shared" si="988"/>
        <v>1.846113749492084E-4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439" sqref="IX43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$A$438</v>
      </c>
      <c r="D111" s="1" t="str">
        <f>ADDRESS(C121-1,D121,1,1)</f>
        <v>$IX$438</v>
      </c>
      <c r="E111"/>
    </row>
    <row r="112" spans="1:5" x14ac:dyDescent="0.25">
      <c r="A112" s="7">
        <v>12164.144957890772</v>
      </c>
      <c r="C112" s="1" t="str">
        <f>ADDRESS(C121,1,1,1)</f>
        <v>$A$439</v>
      </c>
      <c r="D112" s="1" t="str">
        <f>ADDRESS(C121,D121-1,1,1)</f>
        <v>$IW$439</v>
      </c>
      <c r="E112"/>
    </row>
    <row r="113" spans="1:5" x14ac:dyDescent="0.25">
      <c r="A113" s="7">
        <v>11925.63231165762</v>
      </c>
      <c r="C113" s="1" t="str">
        <f>ADDRESS(C121+1,1,1,1)</f>
        <v>$A$440</v>
      </c>
      <c r="D113" s="1" t="str">
        <f>ADDRESS(C121-1,D121+1,1,1)</f>
        <v>$IY$438</v>
      </c>
    </row>
    <row r="114" spans="1:5" x14ac:dyDescent="0.25">
      <c r="A114" s="7">
        <v>11691.796383978059</v>
      </c>
      <c r="C114" s="1" t="str">
        <f>ADDRESS(C121,D121,1,1)</f>
        <v>$IX$439</v>
      </c>
      <c r="D114" s="1" t="str">
        <f>ADDRESS(C121+1,D121+1,1,1)</f>
        <v>$IY$440</v>
      </c>
    </row>
    <row r="115" spans="1:5" x14ac:dyDescent="0.25">
      <c r="A115" s="7">
        <v>11462.545474488292</v>
      </c>
      <c r="C115" s="1" t="str">
        <f>ADDRESS(C121+1,D121,1,1)</f>
        <v>$IX$440</v>
      </c>
    </row>
    <row r="116" spans="1:5" x14ac:dyDescent="0.25">
      <c r="A116" s="7">
        <v>11237.789680870874</v>
      </c>
      <c r="C116" s="1">
        <f>C117-1</f>
        <v>438</v>
      </c>
    </row>
    <row r="117" spans="1:5" x14ac:dyDescent="0.25">
      <c r="A117" s="7">
        <v>11017.440863598895</v>
      </c>
      <c r="C117" s="1">
        <f>C121</f>
        <v>439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440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439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R439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18.74240942595404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124" x14ac:dyDescent="0.25">
      <c r="A321" s="7">
        <v>193.93030865451311</v>
      </c>
      <c r="B321"/>
      <c r="C321"/>
      <c r="D321"/>
      <c r="E321"/>
    </row>
    <row r="322" spans="1:124" x14ac:dyDescent="0.25">
      <c r="A322" s="7">
        <v>190.127753582856</v>
      </c>
      <c r="B322"/>
      <c r="C322"/>
      <c r="D322"/>
      <c r="E322"/>
    </row>
    <row r="323" spans="1:124" x14ac:dyDescent="0.25">
      <c r="A323" s="7">
        <v>186.3997584145647</v>
      </c>
      <c r="B323"/>
      <c r="C323"/>
      <c r="D323"/>
      <c r="E323"/>
    </row>
    <row r="324" spans="1:124" x14ac:dyDescent="0.25">
      <c r="A324" s="7">
        <v>182.7448611907497</v>
      </c>
      <c r="B324"/>
      <c r="C324"/>
      <c r="D324"/>
      <c r="E324"/>
    </row>
    <row r="325" spans="1:124" x14ac:dyDescent="0.25">
      <c r="A325" s="7">
        <v>179.16162861838205</v>
      </c>
      <c r="B325"/>
      <c r="C325"/>
      <c r="D325"/>
      <c r="E325"/>
    </row>
    <row r="326" spans="1:124" x14ac:dyDescent="0.25">
      <c r="A326" s="7">
        <v>175.6486555082177</v>
      </c>
      <c r="B326"/>
      <c r="C326"/>
      <c r="D326"/>
      <c r="E326"/>
    </row>
    <row r="327" spans="1:124" x14ac:dyDescent="0.25">
      <c r="A327" s="7">
        <v>172.20456422374284</v>
      </c>
      <c r="B327"/>
      <c r="C327"/>
      <c r="D327"/>
      <c r="E327"/>
    </row>
    <row r="328" spans="1:124" x14ac:dyDescent="0.25">
      <c r="A328" s="7">
        <v>168.82800414092435</v>
      </c>
      <c r="B328"/>
      <c r="C328"/>
      <c r="D328"/>
      <c r="E328"/>
    </row>
    <row r="329" spans="1:124" x14ac:dyDescent="0.25">
      <c r="A329" s="7">
        <v>165.51765111855329</v>
      </c>
      <c r="B329"/>
      <c r="C329"/>
      <c r="D329"/>
      <c r="E329"/>
    </row>
    <row r="330" spans="1:124" x14ac:dyDescent="0.25">
      <c r="A330" s="7">
        <v>162.2722069789738</v>
      </c>
      <c r="B330"/>
      <c r="C330"/>
      <c r="D330"/>
      <c r="E330"/>
      <c r="DS330" s="27" t="s">
        <v>8</v>
      </c>
    </row>
    <row r="331" spans="1:124" x14ac:dyDescent="0.25">
      <c r="A331" s="7">
        <v>159.09039899899392</v>
      </c>
      <c r="B331"/>
      <c r="C331"/>
      <c r="D331"/>
      <c r="E331"/>
      <c r="DS331" s="27" t="s">
        <v>8</v>
      </c>
      <c r="DT331" s="27" t="s">
        <v>7</v>
      </c>
    </row>
    <row r="332" spans="1:124" x14ac:dyDescent="0.25">
      <c r="A332" s="7">
        <v>155.97097941077834</v>
      </c>
      <c r="B332"/>
      <c r="C332"/>
      <c r="D332"/>
      <c r="E332"/>
      <c r="DS332" s="27" t="s">
        <v>8</v>
      </c>
      <c r="DT332" s="27" t="s">
        <v>7</v>
      </c>
    </row>
    <row r="333" spans="1:124" x14ac:dyDescent="0.25">
      <c r="A333" s="7">
        <v>152.91272491252778</v>
      </c>
      <c r="B333"/>
      <c r="C333"/>
      <c r="D333"/>
      <c r="E333"/>
      <c r="DS333" s="27" t="s">
        <v>8</v>
      </c>
      <c r="DT333" s="27" t="s">
        <v>7</v>
      </c>
    </row>
    <row r="334" spans="1:124" x14ac:dyDescent="0.25">
      <c r="A334" s="7">
        <v>149.91443618875272</v>
      </c>
      <c r="B334"/>
      <c r="C334"/>
      <c r="D334"/>
      <c r="E334"/>
      <c r="DQ334" s="27" t="s">
        <v>8</v>
      </c>
      <c r="DS334" s="27" t="s">
        <v>8</v>
      </c>
      <c r="DT334" s="27" t="s">
        <v>7</v>
      </c>
    </row>
    <row r="335" spans="1:124" x14ac:dyDescent="0.25">
      <c r="A335" s="7">
        <v>146.97493743995364</v>
      </c>
      <c r="B335"/>
      <c r="C335"/>
      <c r="D335"/>
      <c r="E335"/>
      <c r="DQ335" s="27" t="s">
        <v>8</v>
      </c>
      <c r="DR335" s="27" t="s">
        <v>7</v>
      </c>
      <c r="DS335" s="27" t="s">
        <v>8</v>
      </c>
      <c r="DT335" s="27" t="s">
        <v>7</v>
      </c>
    </row>
    <row r="336" spans="1:124" x14ac:dyDescent="0.25">
      <c r="A336" s="7">
        <v>144.09307592152317</v>
      </c>
      <c r="B336"/>
      <c r="C336"/>
      <c r="D336"/>
      <c r="E336"/>
      <c r="DQ336" s="27" t="s">
        <v>8</v>
      </c>
      <c r="DR336" s="27" t="s">
        <v>7</v>
      </c>
      <c r="DS336" s="27" t="s">
        <v>8</v>
      </c>
      <c r="DT336" s="27" t="s">
        <v>7</v>
      </c>
    </row>
    <row r="337" spans="1:126" x14ac:dyDescent="0.25">
      <c r="A337" s="7">
        <v>141.26772149168937</v>
      </c>
      <c r="B337"/>
      <c r="C337"/>
      <c r="D337"/>
      <c r="E337"/>
      <c r="DQ337" s="27" t="s">
        <v>8</v>
      </c>
      <c r="DR337" s="27" t="s">
        <v>7</v>
      </c>
      <c r="DS337" s="27" t="s">
        <v>8</v>
      </c>
      <c r="DT337" s="27" t="s">
        <v>7</v>
      </c>
    </row>
    <row r="338" spans="1:126" x14ac:dyDescent="0.25">
      <c r="A338" s="7">
        <v>138.4977661683229</v>
      </c>
      <c r="B338"/>
      <c r="C338"/>
      <c r="D338"/>
      <c r="E338"/>
      <c r="DQ338" s="27" t="s">
        <v>8</v>
      </c>
      <c r="DR338" s="27" t="s">
        <v>7</v>
      </c>
      <c r="DS338" s="27" t="s">
        <v>8</v>
      </c>
      <c r="DT338" s="27" t="s">
        <v>7</v>
      </c>
    </row>
    <row r="339" spans="1:126" x14ac:dyDescent="0.25">
      <c r="A339" s="7">
        <v>135.7821236944342</v>
      </c>
      <c r="B339"/>
      <c r="C339"/>
      <c r="D339"/>
      <c r="E339"/>
      <c r="DQ339" s="27" t="s">
        <v>8</v>
      </c>
      <c r="DR339" s="27" t="s">
        <v>7</v>
      </c>
      <c r="DS339" s="27" t="s">
        <v>8</v>
      </c>
      <c r="DT339" s="27" t="s">
        <v>7</v>
      </c>
    </row>
    <row r="340" spans="1:126" x14ac:dyDescent="0.25">
      <c r="A340" s="7">
        <v>133.11972911219038</v>
      </c>
      <c r="B340"/>
      <c r="C340"/>
      <c r="D340"/>
      <c r="E340"/>
      <c r="DQ340" s="27" t="s">
        <v>8</v>
      </c>
      <c r="DR340" s="27" t="s">
        <v>7</v>
      </c>
      <c r="DS340" s="27" t="s">
        <v>8</v>
      </c>
      <c r="DT340" s="27" t="s">
        <v>7</v>
      </c>
    </row>
    <row r="341" spans="1:126" x14ac:dyDescent="0.25">
      <c r="A341" s="7">
        <v>130.50953834528468</v>
      </c>
      <c r="B341"/>
      <c r="C341"/>
      <c r="D341"/>
      <c r="E341"/>
      <c r="DQ341" s="27" t="s">
        <v>8</v>
      </c>
      <c r="DR341" s="27" t="s">
        <v>7</v>
      </c>
      <c r="DS341" s="27" t="s">
        <v>8</v>
      </c>
      <c r="DT341" s="27" t="s">
        <v>7</v>
      </c>
    </row>
    <row r="342" spans="1:126" x14ac:dyDescent="0.25">
      <c r="A342" s="7">
        <v>127.95052778949477</v>
      </c>
      <c r="B342"/>
      <c r="C342"/>
      <c r="D342"/>
      <c r="E342"/>
      <c r="DQ342" s="27" t="s">
        <v>8</v>
      </c>
      <c r="DR342" s="27" t="s">
        <v>7</v>
      </c>
      <c r="DS342" s="27" t="s">
        <v>8</v>
      </c>
      <c r="DT342" s="27" t="s">
        <v>7</v>
      </c>
    </row>
    <row r="343" spans="1:126" x14ac:dyDescent="0.25">
      <c r="A343" s="7">
        <v>125.44169391126938</v>
      </c>
      <c r="B343"/>
      <c r="C343"/>
      <c r="D343"/>
      <c r="E343"/>
      <c r="DQ343" s="27" t="s">
        <v>8</v>
      </c>
      <c r="DR343" s="27" t="s">
        <v>7</v>
      </c>
      <c r="DS343" s="27" t="s">
        <v>8</v>
      </c>
      <c r="DT343" s="27" t="s">
        <v>7</v>
      </c>
    </row>
    <row r="344" spans="1:126" x14ac:dyDescent="0.25">
      <c r="A344" s="7">
        <v>122.98205285418567</v>
      </c>
      <c r="B344"/>
      <c r="C344"/>
      <c r="D344"/>
      <c r="E344"/>
      <c r="DQ344" s="27" t="s">
        <v>8</v>
      </c>
      <c r="DR344" s="27" t="s">
        <v>7</v>
      </c>
      <c r="DS344" s="27" t="s">
        <v>8</v>
      </c>
      <c r="DT344" s="27" t="s">
        <v>7</v>
      </c>
    </row>
    <row r="345" spans="1:126" x14ac:dyDescent="0.25">
      <c r="A345" s="7">
        <v>120.5706400531232</v>
      </c>
      <c r="B345"/>
      <c r="C345"/>
      <c r="D345"/>
      <c r="E345"/>
      <c r="DQ345" s="27" t="s">
        <v>8</v>
      </c>
      <c r="DR345" s="27" t="s">
        <v>7</v>
      </c>
      <c r="DS345" s="27" t="s">
        <v>8</v>
      </c>
      <c r="DT345" s="27" t="s">
        <v>7</v>
      </c>
    </row>
    <row r="346" spans="1:126" x14ac:dyDescent="0.25">
      <c r="A346" s="7">
        <v>118.20650985600314</v>
      </c>
      <c r="B346"/>
      <c r="C346"/>
      <c r="D346"/>
      <c r="E346"/>
      <c r="DQ346" s="27" t="s">
        <v>8</v>
      </c>
      <c r="DR346" s="27" t="s">
        <v>7</v>
      </c>
      <c r="DS346" s="27" t="s">
        <v>8</v>
      </c>
      <c r="DT346" s="27" t="s">
        <v>7</v>
      </c>
    </row>
    <row r="347" spans="1:126" x14ac:dyDescent="0.25">
      <c r="A347" s="7">
        <v>115.88873515294425</v>
      </c>
      <c r="B347"/>
      <c r="C347"/>
      <c r="D347"/>
      <c r="E347"/>
      <c r="DQ347" s="27" t="s">
        <v>8</v>
      </c>
      <c r="DR347" s="27" t="s">
        <v>7</v>
      </c>
      <c r="DS347" s="27" t="s">
        <v>8</v>
      </c>
      <c r="DT347" s="27" t="s">
        <v>7</v>
      </c>
      <c r="DU347" s="27" t="s">
        <v>8</v>
      </c>
    </row>
    <row r="348" spans="1:126" x14ac:dyDescent="0.25">
      <c r="A348" s="7">
        <v>113.61640701269044</v>
      </c>
      <c r="B348"/>
      <c r="C348"/>
      <c r="D348"/>
      <c r="E348"/>
      <c r="DQ348" s="27" t="s">
        <v>8</v>
      </c>
      <c r="DR348" s="27" t="s">
        <v>7</v>
      </c>
      <c r="DS348" s="27" t="s">
        <v>8</v>
      </c>
      <c r="DT348" s="27" t="s">
        <v>7</v>
      </c>
      <c r="DU348" s="27" t="s">
        <v>8</v>
      </c>
      <c r="DV348" s="27" t="s">
        <v>7</v>
      </c>
    </row>
    <row r="349" spans="1:126" x14ac:dyDescent="0.25">
      <c r="A349" s="7">
        <v>111.38863432616711</v>
      </c>
      <c r="B349"/>
      <c r="C349"/>
      <c r="D349"/>
      <c r="E349"/>
      <c r="DQ349" s="27" t="s">
        <v>8</v>
      </c>
      <c r="DR349" s="27" t="s">
        <v>7</v>
      </c>
      <c r="DS349" s="27" t="s">
        <v>8</v>
      </c>
      <c r="DT349" s="27" t="s">
        <v>7</v>
      </c>
      <c r="DU349" s="27" t="s">
        <v>8</v>
      </c>
      <c r="DV349" s="27" t="s">
        <v>7</v>
      </c>
    </row>
    <row r="350" spans="1:126" x14ac:dyDescent="0.25">
      <c r="A350" s="7">
        <v>109.20454345702657</v>
      </c>
      <c r="B350"/>
      <c r="C350"/>
      <c r="D350"/>
      <c r="E350"/>
      <c r="DQ350" s="27" t="s">
        <v>8</v>
      </c>
      <c r="DR350" s="27" t="s">
        <v>7</v>
      </c>
      <c r="DS350" s="27" t="s">
        <v>8</v>
      </c>
      <c r="DT350" s="27" t="s">
        <v>7</v>
      </c>
      <c r="DU350" s="27" t="s">
        <v>8</v>
      </c>
      <c r="DV350" s="27" t="s">
        <v>7</v>
      </c>
    </row>
    <row r="351" spans="1:126" x14ac:dyDescent="0.25">
      <c r="A351" s="7">
        <v>107.06327789904566</v>
      </c>
      <c r="B351"/>
      <c r="C351"/>
      <c r="D351"/>
      <c r="E351"/>
      <c r="DQ351" s="27" t="s">
        <v>8</v>
      </c>
      <c r="DR351" s="27" t="s">
        <v>7</v>
      </c>
      <c r="DS351" s="27" t="s">
        <v>8</v>
      </c>
      <c r="DT351" s="27" t="s">
        <v>7</v>
      </c>
      <c r="DU351" s="27" t="s">
        <v>8</v>
      </c>
      <c r="DV351" s="27" t="s">
        <v>7</v>
      </c>
    </row>
    <row r="352" spans="1:126" x14ac:dyDescent="0.25">
      <c r="A352" s="7">
        <v>104.96399794024084</v>
      </c>
      <c r="B352"/>
      <c r="C352"/>
      <c r="D352"/>
      <c r="E352"/>
      <c r="DQ352" s="27" t="s">
        <v>8</v>
      </c>
      <c r="DR352" s="27" t="s">
        <v>7</v>
      </c>
      <c r="DS352" s="27" t="s">
        <v>8</v>
      </c>
      <c r="DT352" s="27" t="s">
        <v>7</v>
      </c>
      <c r="DU352" s="27" t="s">
        <v>8</v>
      </c>
      <c r="DV352" s="27" t="s">
        <v>7</v>
      </c>
    </row>
    <row r="353" spans="1:220" x14ac:dyDescent="0.25">
      <c r="A353" s="7">
        <v>102.90588033356946</v>
      </c>
      <c r="B353"/>
      <c r="C353"/>
      <c r="D353"/>
      <c r="E353"/>
      <c r="DQ353" s="27" t="s">
        <v>8</v>
      </c>
      <c r="DR353" s="27" t="s">
        <v>7</v>
      </c>
      <c r="DS353" s="27" t="s">
        <v>8</v>
      </c>
      <c r="DT353" s="27" t="s">
        <v>7</v>
      </c>
      <c r="DU353" s="27" t="s">
        <v>8</v>
      </c>
      <c r="DV353" s="27" t="s">
        <v>7</v>
      </c>
    </row>
    <row r="354" spans="1:220" x14ac:dyDescent="0.25">
      <c r="A354" s="7">
        <v>100.88811797408771</v>
      </c>
      <c r="B354"/>
      <c r="C354"/>
      <c r="D354"/>
      <c r="E354"/>
      <c r="DM354" s="27" t="s">
        <v>8</v>
      </c>
      <c r="DO354" s="27" t="s">
        <v>8</v>
      </c>
      <c r="DQ354" s="27" t="s">
        <v>8</v>
      </c>
      <c r="DR354" s="27" t="s">
        <v>7</v>
      </c>
      <c r="DS354" s="27" t="s">
        <v>8</v>
      </c>
      <c r="DT354" s="27" t="s">
        <v>7</v>
      </c>
      <c r="DU354" s="27" t="s">
        <v>8</v>
      </c>
      <c r="DV354" s="27" t="s">
        <v>7</v>
      </c>
    </row>
    <row r="355" spans="1:220" x14ac:dyDescent="0.25">
      <c r="A355" s="7">
        <v>98.909919582438931</v>
      </c>
      <c r="B355"/>
      <c r="C355"/>
      <c r="D355"/>
      <c r="E355"/>
      <c r="DM355" s="27" t="s">
        <v>8</v>
      </c>
      <c r="DN355" s="27" t="s">
        <v>7</v>
      </c>
      <c r="DO355" s="27" t="s">
        <v>8</v>
      </c>
      <c r="DP355" s="27" t="s">
        <v>7</v>
      </c>
      <c r="DQ355" s="27" t="s">
        <v>8</v>
      </c>
      <c r="DR355" s="27" t="s">
        <v>7</v>
      </c>
      <c r="DT355" s="27" t="s">
        <v>7</v>
      </c>
      <c r="DU355" s="27" t="s">
        <v>8</v>
      </c>
      <c r="DV355" s="27" t="s">
        <v>7</v>
      </c>
    </row>
    <row r="356" spans="1:220" x14ac:dyDescent="0.25">
      <c r="A356" s="7">
        <v>96.970509394547975</v>
      </c>
      <c r="B356"/>
      <c r="C356"/>
      <c r="D356"/>
      <c r="E356"/>
      <c r="DM356" s="27" t="s">
        <v>8</v>
      </c>
      <c r="DN356" s="27" t="s">
        <v>7</v>
      </c>
      <c r="DO356" s="27" t="s">
        <v>8</v>
      </c>
      <c r="DP356" s="27" t="s">
        <v>7</v>
      </c>
      <c r="DQ356" s="27" t="s">
        <v>8</v>
      </c>
      <c r="DT356" s="27" t="s">
        <v>7</v>
      </c>
      <c r="DU356" s="27" t="s">
        <v>8</v>
      </c>
      <c r="DV356" s="27" t="s">
        <v>7</v>
      </c>
    </row>
    <row r="357" spans="1:220" x14ac:dyDescent="0.25">
      <c r="A357" s="7">
        <v>95.069126857399979</v>
      </c>
      <c r="B357"/>
      <c r="C357"/>
      <c r="D357"/>
      <c r="E357"/>
      <c r="DK357" s="27" t="s">
        <v>8</v>
      </c>
      <c r="DM357" s="27" t="s">
        <v>8</v>
      </c>
      <c r="DN357" s="27" t="s">
        <v>7</v>
      </c>
      <c r="DO357" s="27" t="s">
        <v>8</v>
      </c>
      <c r="DP357" s="27" t="s">
        <v>7</v>
      </c>
      <c r="DQ357" s="27" t="s">
        <v>8</v>
      </c>
      <c r="DT357" s="27" t="s">
        <v>7</v>
      </c>
      <c r="DU357" s="27" t="s">
        <v>8</v>
      </c>
      <c r="DV357" s="27" t="s">
        <v>7</v>
      </c>
    </row>
    <row r="358" spans="1:220" x14ac:dyDescent="0.25">
      <c r="A358" s="7">
        <v>93.205026330784293</v>
      </c>
      <c r="B358"/>
      <c r="C358"/>
      <c r="D358"/>
      <c r="E358"/>
      <c r="DK358" s="27" t="s">
        <v>8</v>
      </c>
      <c r="DL358" s="27" t="s">
        <v>7</v>
      </c>
      <c r="DM358" s="27" t="s">
        <v>8</v>
      </c>
      <c r="DN358" s="27" t="s">
        <v>7</v>
      </c>
      <c r="DO358" s="27" t="s">
        <v>8</v>
      </c>
      <c r="DP358" s="27" t="s">
        <v>7</v>
      </c>
      <c r="DQ358" s="27" t="s">
        <v>8</v>
      </c>
      <c r="DT358" s="27" t="s">
        <v>7</v>
      </c>
      <c r="DV358" s="27" t="s">
        <v>7</v>
      </c>
      <c r="DW358" s="27" t="s">
        <v>8</v>
      </c>
    </row>
    <row r="359" spans="1:220" x14ac:dyDescent="0.25">
      <c r="A359" s="7">
        <v>91.377476794886562</v>
      </c>
      <c r="B359"/>
      <c r="C359"/>
      <c r="D359"/>
      <c r="E359"/>
      <c r="DC359" s="27" t="s">
        <v>8</v>
      </c>
      <c r="DK359" s="27" t="s">
        <v>8</v>
      </c>
      <c r="DL359" s="27" t="s">
        <v>7</v>
      </c>
      <c r="DM359" s="27" t="s">
        <v>8</v>
      </c>
      <c r="DN359" s="27" t="s">
        <v>7</v>
      </c>
      <c r="DO359" s="27" t="s">
        <v>8</v>
      </c>
      <c r="DP359" s="27" t="s">
        <v>7</v>
      </c>
      <c r="DQ359" s="27" t="s">
        <v>8</v>
      </c>
      <c r="DV359" s="27" t="s">
        <v>7</v>
      </c>
      <c r="DW359" s="27" t="s">
        <v>8</v>
      </c>
      <c r="DX359" s="27" t="s">
        <v>7</v>
      </c>
    </row>
    <row r="360" spans="1:220" x14ac:dyDescent="0.25">
      <c r="A360" s="7">
        <v>89.58576156361427</v>
      </c>
      <c r="B360"/>
      <c r="C360"/>
      <c r="D360"/>
      <c r="E360" t="s">
        <v>8</v>
      </c>
      <c r="DC360" s="27" t="s">
        <v>8</v>
      </c>
      <c r="DD360" s="27" t="s">
        <v>7</v>
      </c>
      <c r="DI360" s="27" t="s">
        <v>8</v>
      </c>
      <c r="DK360" s="27" t="s">
        <v>8</v>
      </c>
      <c r="DL360" s="27" t="s">
        <v>7</v>
      </c>
      <c r="DM360" s="27" t="s">
        <v>8</v>
      </c>
      <c r="DN360" s="27" t="s">
        <v>7</v>
      </c>
      <c r="DO360" s="27" t="s">
        <v>8</v>
      </c>
      <c r="DP360" s="27" t="s">
        <v>7</v>
      </c>
      <c r="DQ360" s="27" t="s">
        <v>8</v>
      </c>
      <c r="DV360" s="27" t="s">
        <v>7</v>
      </c>
      <c r="DW360" s="27" t="s">
        <v>8</v>
      </c>
      <c r="DX360" s="27" t="s">
        <v>7</v>
      </c>
    </row>
    <row r="361" spans="1:220" x14ac:dyDescent="0.25">
      <c r="A361" s="7">
        <v>87.829178003543404</v>
      </c>
      <c r="B361"/>
      <c r="C361"/>
      <c r="D361"/>
      <c r="E361" t="s">
        <v>8</v>
      </c>
      <c r="F361" s="27" t="s">
        <v>7</v>
      </c>
      <c r="DC361" s="27" t="s">
        <v>8</v>
      </c>
      <c r="DD361" s="27" t="s">
        <v>7</v>
      </c>
      <c r="DE361" s="27" t="s">
        <v>8</v>
      </c>
      <c r="DI361" s="27" t="s">
        <v>8</v>
      </c>
      <c r="DJ361" s="27" t="s">
        <v>7</v>
      </c>
      <c r="DK361" s="27" t="s">
        <v>8</v>
      </c>
      <c r="DL361" s="27" t="s">
        <v>7</v>
      </c>
      <c r="DM361" s="27" t="s">
        <v>8</v>
      </c>
      <c r="DN361" s="27" t="s">
        <v>7</v>
      </c>
      <c r="DO361" s="27" t="s">
        <v>8</v>
      </c>
      <c r="DP361" s="27" t="s">
        <v>7</v>
      </c>
      <c r="DQ361" s="27" t="s">
        <v>8</v>
      </c>
      <c r="DV361" s="27" t="s">
        <v>7</v>
      </c>
      <c r="DW361" s="27" t="s">
        <v>8</v>
      </c>
      <c r="DX361" s="27" t="s">
        <v>7</v>
      </c>
    </row>
    <row r="362" spans="1:220" x14ac:dyDescent="0.25">
      <c r="A362" s="7">
        <v>86.107037258375883</v>
      </c>
      <c r="B362"/>
      <c r="C362"/>
      <c r="D362"/>
      <c r="E362" t="s">
        <v>8</v>
      </c>
      <c r="F362" s="27" t="s">
        <v>7</v>
      </c>
      <c r="DC362" s="27" t="s">
        <v>8</v>
      </c>
      <c r="DD362" s="27" t="s">
        <v>7</v>
      </c>
      <c r="DE362" s="27" t="s">
        <v>8</v>
      </c>
      <c r="DF362" s="27" t="s">
        <v>7</v>
      </c>
      <c r="DI362" s="27" t="s">
        <v>8</v>
      </c>
      <c r="DJ362" s="27" t="s">
        <v>7</v>
      </c>
      <c r="DK362" s="27" t="s">
        <v>8</v>
      </c>
      <c r="DL362" s="27" t="s">
        <v>7</v>
      </c>
      <c r="DM362" s="27" t="s">
        <v>8</v>
      </c>
      <c r="DN362" s="27" t="s">
        <v>7</v>
      </c>
      <c r="DO362" s="27" t="s">
        <v>8</v>
      </c>
      <c r="DP362" s="27" t="s">
        <v>7</v>
      </c>
      <c r="DQ362" s="27" t="s">
        <v>8</v>
      </c>
      <c r="DV362" s="27" t="s">
        <v>7</v>
      </c>
      <c r="DW362" s="27" t="s">
        <v>8</v>
      </c>
      <c r="DX362" s="27" t="s">
        <v>7</v>
      </c>
    </row>
    <row r="363" spans="1:220" x14ac:dyDescent="0.25">
      <c r="A363" s="7">
        <v>84.418663978799884</v>
      </c>
      <c r="B363"/>
      <c r="C363"/>
      <c r="D363"/>
      <c r="E363" t="s">
        <v>8</v>
      </c>
      <c r="F363" s="27" t="s">
        <v>7</v>
      </c>
      <c r="DC363" s="27" t="s">
        <v>8</v>
      </c>
      <c r="DD363" s="27" t="s">
        <v>7</v>
      </c>
      <c r="DE363" s="27" t="s">
        <v>8</v>
      </c>
      <c r="DF363" s="27" t="s">
        <v>7</v>
      </c>
      <c r="DI363" s="27" t="s">
        <v>8</v>
      </c>
      <c r="DJ363" s="27" t="s">
        <v>7</v>
      </c>
      <c r="DK363" s="27" t="s">
        <v>8</v>
      </c>
      <c r="DL363" s="27" t="s">
        <v>7</v>
      </c>
      <c r="DM363" s="27" t="s">
        <v>8</v>
      </c>
      <c r="DN363" s="27" t="s">
        <v>7</v>
      </c>
      <c r="DO363" s="27" t="s">
        <v>8</v>
      </c>
      <c r="DP363" s="27" t="s">
        <v>7</v>
      </c>
      <c r="DQ363" s="27" t="s">
        <v>8</v>
      </c>
      <c r="DV363" s="27" t="s">
        <v>7</v>
      </c>
      <c r="DW363" s="27" t="s">
        <v>8</v>
      </c>
      <c r="DX363" s="27" t="s">
        <v>7</v>
      </c>
    </row>
    <row r="364" spans="1:220" x14ac:dyDescent="0.25">
      <c r="A364" s="7">
        <v>82.763396057646943</v>
      </c>
      <c r="B364"/>
      <c r="C364"/>
      <c r="D364"/>
      <c r="E364" t="s">
        <v>8</v>
      </c>
      <c r="F364" s="27" t="s">
        <v>7</v>
      </c>
      <c r="DC364" s="27" t="s">
        <v>8</v>
      </c>
      <c r="DD364" s="27" t="s">
        <v>7</v>
      </c>
      <c r="DE364" s="27" t="s">
        <v>8</v>
      </c>
      <c r="DF364" s="27" t="s">
        <v>7</v>
      </c>
      <c r="DG364" s="27" t="s">
        <v>8</v>
      </c>
      <c r="DI364" s="27" t="s">
        <v>8</v>
      </c>
      <c r="DJ364" s="27" t="s">
        <v>7</v>
      </c>
      <c r="DK364" s="27" t="s">
        <v>8</v>
      </c>
      <c r="DL364" s="27" t="s">
        <v>7</v>
      </c>
      <c r="DM364" s="27" t="s">
        <v>8</v>
      </c>
      <c r="DN364" s="27" t="s">
        <v>7</v>
      </c>
      <c r="DO364" s="27" t="s">
        <v>8</v>
      </c>
      <c r="DP364" s="27" t="s">
        <v>7</v>
      </c>
      <c r="DQ364" s="27" t="s">
        <v>8</v>
      </c>
      <c r="DV364" s="27" t="s">
        <v>7</v>
      </c>
      <c r="DW364" s="27" t="s">
        <v>8</v>
      </c>
      <c r="DX364" s="27" t="s">
        <v>7</v>
      </c>
    </row>
    <row r="365" spans="1:220" x14ac:dyDescent="0.25">
      <c r="A365" s="7">
        <v>81.140584370242095</v>
      </c>
      <c r="B365"/>
      <c r="C365"/>
      <c r="D365"/>
      <c r="E365" t="s">
        <v>8</v>
      </c>
      <c r="F365" s="27" t="s">
        <v>7</v>
      </c>
      <c r="DC365" s="27" t="s">
        <v>8</v>
      </c>
      <c r="DD365" s="27" t="s">
        <v>7</v>
      </c>
      <c r="DE365" s="27" t="s">
        <v>8</v>
      </c>
      <c r="DF365" s="27" t="s">
        <v>7</v>
      </c>
      <c r="DG365" s="27" t="s">
        <v>8</v>
      </c>
      <c r="DH365" s="27" t="s">
        <v>7</v>
      </c>
      <c r="DI365" s="27" t="s">
        <v>8</v>
      </c>
      <c r="DJ365" s="27" t="s">
        <v>7</v>
      </c>
      <c r="DK365" s="27" t="s">
        <v>8</v>
      </c>
      <c r="DL365" s="27" t="s">
        <v>7</v>
      </c>
      <c r="DM365" s="27" t="s">
        <v>8</v>
      </c>
      <c r="DN365" s="27" t="s">
        <v>7</v>
      </c>
      <c r="DO365" s="27" t="s">
        <v>8</v>
      </c>
      <c r="DP365" s="27" t="s">
        <v>7</v>
      </c>
      <c r="DQ365" s="27" t="s">
        <v>8</v>
      </c>
      <c r="DV365" s="27" t="s">
        <v>7</v>
      </c>
      <c r="DX365" s="27" t="s">
        <v>7</v>
      </c>
    </row>
    <row r="366" spans="1:220" x14ac:dyDescent="0.25">
      <c r="A366" s="7">
        <v>79.549592519845191</v>
      </c>
      <c r="B366"/>
      <c r="C366"/>
      <c r="D366"/>
      <c r="E366" t="s">
        <v>8</v>
      </c>
      <c r="F366" s="27" t="s">
        <v>7</v>
      </c>
      <c r="DC366" s="27" t="s">
        <v>8</v>
      </c>
      <c r="DD366" s="27" t="s">
        <v>7</v>
      </c>
      <c r="DE366" s="27" t="s">
        <v>8</v>
      </c>
      <c r="DF366" s="27" t="s">
        <v>7</v>
      </c>
      <c r="DG366" s="27" t="s">
        <v>8</v>
      </c>
      <c r="DH366" s="27" t="s">
        <v>7</v>
      </c>
      <c r="DI366" s="27" t="s">
        <v>8</v>
      </c>
      <c r="DJ366" s="27" t="s">
        <v>7</v>
      </c>
      <c r="DK366" s="27" t="s">
        <v>8</v>
      </c>
      <c r="DL366" s="27" t="s">
        <v>7</v>
      </c>
      <c r="DM366" s="27" t="s">
        <v>8</v>
      </c>
      <c r="DN366" s="27" t="s">
        <v>7</v>
      </c>
      <c r="DO366" s="27" t="s">
        <v>8</v>
      </c>
      <c r="DP366" s="27" t="s">
        <v>7</v>
      </c>
      <c r="DX366" s="27" t="s">
        <v>7</v>
      </c>
      <c r="HK366" s="27" t="s">
        <v>8</v>
      </c>
    </row>
    <row r="367" spans="1:220" x14ac:dyDescent="0.25">
      <c r="A367" s="7">
        <v>77.989796588083522</v>
      </c>
      <c r="B367"/>
      <c r="C367"/>
      <c r="D367"/>
      <c r="E367" t="s">
        <v>8</v>
      </c>
      <c r="F367" s="27" t="s">
        <v>7</v>
      </c>
      <c r="DC367" s="27" t="s">
        <v>8</v>
      </c>
      <c r="DD367" s="27" t="s">
        <v>7</v>
      </c>
      <c r="DE367" s="27" t="s">
        <v>8</v>
      </c>
      <c r="DF367" s="27" t="s">
        <v>7</v>
      </c>
      <c r="DG367" s="27" t="s">
        <v>8</v>
      </c>
      <c r="DH367" s="27" t="s">
        <v>7</v>
      </c>
      <c r="DI367" s="27" t="s">
        <v>8</v>
      </c>
      <c r="DJ367" s="27" t="s">
        <v>7</v>
      </c>
      <c r="DK367" s="27" t="s">
        <v>8</v>
      </c>
      <c r="DL367" s="27" t="s">
        <v>7</v>
      </c>
      <c r="DM367" s="27" t="s">
        <v>8</v>
      </c>
      <c r="DN367" s="27" t="s">
        <v>7</v>
      </c>
      <c r="DO367" s="27" t="s">
        <v>8</v>
      </c>
      <c r="DX367" s="27" t="s">
        <v>7</v>
      </c>
      <c r="EC367" s="27" t="s">
        <v>8</v>
      </c>
      <c r="HK367" s="27" t="s">
        <v>8</v>
      </c>
      <c r="HL367" s="27" t="s">
        <v>7</v>
      </c>
    </row>
    <row r="368" spans="1:220" x14ac:dyDescent="0.25">
      <c r="A368" s="7">
        <v>76.460584890277957</v>
      </c>
      <c r="B368"/>
      <c r="C368"/>
      <c r="D368"/>
      <c r="E368" t="s">
        <v>8</v>
      </c>
      <c r="F368" s="27" t="s">
        <v>7</v>
      </c>
      <c r="DC368" s="27" t="s">
        <v>8</v>
      </c>
      <c r="DD368" s="27" t="s">
        <v>7</v>
      </c>
      <c r="DF368" s="27" t="s">
        <v>7</v>
      </c>
      <c r="DG368" s="27" t="s">
        <v>8</v>
      </c>
      <c r="DH368" s="27" t="s">
        <v>7</v>
      </c>
      <c r="DI368" s="27" t="s">
        <v>8</v>
      </c>
      <c r="DJ368" s="27" t="s">
        <v>7</v>
      </c>
      <c r="DK368" s="27" t="s">
        <v>8</v>
      </c>
      <c r="DL368" s="27" t="s">
        <v>7</v>
      </c>
      <c r="DM368" s="27" t="s">
        <v>8</v>
      </c>
      <c r="DN368" s="27" t="s">
        <v>7</v>
      </c>
      <c r="DO368" s="27" t="s">
        <v>8</v>
      </c>
      <c r="DX368" s="27" t="s">
        <v>7</v>
      </c>
      <c r="EC368" s="27" t="s">
        <v>8</v>
      </c>
      <c r="ED368" s="27" t="s">
        <v>7</v>
      </c>
      <c r="HK368" s="27" t="s">
        <v>8</v>
      </c>
      <c r="HL368" s="27" t="s">
        <v>7</v>
      </c>
    </row>
    <row r="369" spans="1:231" x14ac:dyDescent="0.25">
      <c r="A369" s="7">
        <v>74.961357735566622</v>
      </c>
      <c r="B369"/>
      <c r="C369"/>
      <c r="D369"/>
      <c r="E369" t="s">
        <v>8</v>
      </c>
      <c r="F369" s="27" t="s">
        <v>7</v>
      </c>
      <c r="DC369" s="27" t="s">
        <v>8</v>
      </c>
      <c r="DF369" s="27" t="s">
        <v>7</v>
      </c>
      <c r="DG369" s="27" t="s">
        <v>8</v>
      </c>
      <c r="DH369" s="27" t="s">
        <v>7</v>
      </c>
      <c r="DI369" s="27" t="s">
        <v>8</v>
      </c>
      <c r="DJ369" s="27" t="s">
        <v>7</v>
      </c>
      <c r="DK369" s="27" t="s">
        <v>8</v>
      </c>
      <c r="DL369" s="27" t="s">
        <v>7</v>
      </c>
      <c r="DM369" s="27" t="s">
        <v>8</v>
      </c>
      <c r="DN369" s="27" t="s">
        <v>7</v>
      </c>
      <c r="DO369" s="27" t="s">
        <v>8</v>
      </c>
      <c r="DX369" s="27" t="s">
        <v>7</v>
      </c>
      <c r="EC369" s="27" t="s">
        <v>8</v>
      </c>
      <c r="ED369" s="27" t="s">
        <v>7</v>
      </c>
      <c r="EG369" s="27" t="s">
        <v>8</v>
      </c>
      <c r="HK369" s="27" t="s">
        <v>8</v>
      </c>
      <c r="HL369" s="27" t="s">
        <v>7</v>
      </c>
    </row>
    <row r="370" spans="1:231" x14ac:dyDescent="0.25">
      <c r="A370" s="7">
        <v>73.491527191731976</v>
      </c>
      <c r="B370"/>
      <c r="C370"/>
      <c r="D370"/>
      <c r="E370" t="s">
        <v>8</v>
      </c>
      <c r="F370" s="27" t="s">
        <v>7</v>
      </c>
      <c r="DC370" s="27" t="s">
        <v>8</v>
      </c>
      <c r="DF370" s="27" t="s">
        <v>7</v>
      </c>
      <c r="DG370" s="27" t="s">
        <v>8</v>
      </c>
      <c r="DH370" s="27" t="s">
        <v>7</v>
      </c>
      <c r="DI370" s="27" t="s">
        <v>8</v>
      </c>
      <c r="DJ370" s="27" t="s">
        <v>7</v>
      </c>
      <c r="DK370" s="27" t="s">
        <v>8</v>
      </c>
      <c r="DL370" s="27" t="s">
        <v>7</v>
      </c>
      <c r="DM370" s="27" t="s">
        <v>8</v>
      </c>
      <c r="DN370" s="27" t="s">
        <v>7</v>
      </c>
      <c r="DO370" s="27" t="s">
        <v>8</v>
      </c>
      <c r="DX370" s="27" t="s">
        <v>7</v>
      </c>
      <c r="DY370" s="27" t="s">
        <v>8</v>
      </c>
      <c r="EC370" s="27" t="s">
        <v>8</v>
      </c>
      <c r="ED370" s="27" t="s">
        <v>7</v>
      </c>
      <c r="EG370" s="27" t="s">
        <v>8</v>
      </c>
      <c r="EH370" s="27" t="s">
        <v>7</v>
      </c>
      <c r="HK370" s="27" t="s">
        <v>8</v>
      </c>
      <c r="HL370" s="27" t="s">
        <v>7</v>
      </c>
    </row>
    <row r="371" spans="1:231" x14ac:dyDescent="0.25">
      <c r="A371" s="7">
        <v>72.050516854639184</v>
      </c>
      <c r="B371"/>
      <c r="C371"/>
      <c r="D371"/>
      <c r="E371" t="s">
        <v>8</v>
      </c>
      <c r="F371" s="27" t="s">
        <v>7</v>
      </c>
      <c r="DC371" s="27" t="s">
        <v>8</v>
      </c>
      <c r="DF371" s="27" t="s">
        <v>7</v>
      </c>
      <c r="DG371" s="27" t="s">
        <v>8</v>
      </c>
      <c r="DH371" s="27" t="s">
        <v>7</v>
      </c>
      <c r="DI371" s="27" t="s">
        <v>8</v>
      </c>
      <c r="DJ371" s="27" t="s">
        <v>7</v>
      </c>
      <c r="DK371" s="27" t="s">
        <v>8</v>
      </c>
      <c r="DL371" s="27" t="s">
        <v>7</v>
      </c>
      <c r="DM371" s="27" t="s">
        <v>8</v>
      </c>
      <c r="DN371" s="27" t="s">
        <v>7</v>
      </c>
      <c r="DO371" s="27" t="s">
        <v>8</v>
      </c>
      <c r="DX371" s="27" t="s">
        <v>7</v>
      </c>
      <c r="DY371" s="27" t="s">
        <v>8</v>
      </c>
      <c r="DZ371" s="27" t="s">
        <v>7</v>
      </c>
      <c r="EC371" s="27" t="s">
        <v>8</v>
      </c>
      <c r="ED371" s="27" t="s">
        <v>7</v>
      </c>
      <c r="EG371" s="27" t="s">
        <v>8</v>
      </c>
      <c r="EH371" s="27" t="s">
        <v>7</v>
      </c>
      <c r="HI371" s="27" t="s">
        <v>8</v>
      </c>
      <c r="HK371" s="27" t="s">
        <v>8</v>
      </c>
      <c r="HL371" s="27" t="s">
        <v>7</v>
      </c>
    </row>
    <row r="372" spans="1:231" x14ac:dyDescent="0.25">
      <c r="A372" s="7">
        <v>70.637761622195271</v>
      </c>
      <c r="B372"/>
      <c r="C372"/>
      <c r="D372"/>
      <c r="E372" t="s">
        <v>8</v>
      </c>
      <c r="F372" s="27" t="s">
        <v>7</v>
      </c>
      <c r="DC372" s="27" t="s">
        <v>8</v>
      </c>
      <c r="DF372" s="27" t="s">
        <v>7</v>
      </c>
      <c r="DG372" s="27" t="s">
        <v>8</v>
      </c>
      <c r="DH372" s="27" t="s">
        <v>7</v>
      </c>
      <c r="DI372" s="27" t="s">
        <v>8</v>
      </c>
      <c r="DJ372" s="27" t="s">
        <v>7</v>
      </c>
      <c r="DK372" s="27" t="s">
        <v>8</v>
      </c>
      <c r="DL372" s="27" t="s">
        <v>7</v>
      </c>
      <c r="DM372" s="27" t="s">
        <v>8</v>
      </c>
      <c r="DN372" s="27" t="s">
        <v>7</v>
      </c>
      <c r="DO372" s="27" t="s">
        <v>8</v>
      </c>
      <c r="DX372" s="27" t="s">
        <v>7</v>
      </c>
      <c r="DY372" s="27" t="s">
        <v>8</v>
      </c>
      <c r="DZ372" s="27" t="s">
        <v>7</v>
      </c>
      <c r="EC372" s="27" t="s">
        <v>8</v>
      </c>
      <c r="ED372" s="27" t="s">
        <v>7</v>
      </c>
      <c r="EG372" s="27" t="s">
        <v>8</v>
      </c>
      <c r="EH372" s="27" t="s">
        <v>7</v>
      </c>
      <c r="HI372" s="27" t="s">
        <v>8</v>
      </c>
      <c r="HJ372" s="27" t="s">
        <v>7</v>
      </c>
      <c r="HK372" s="27" t="s">
        <v>8</v>
      </c>
      <c r="HL372" s="27" t="s">
        <v>7</v>
      </c>
    </row>
    <row r="373" spans="1:231" x14ac:dyDescent="0.25">
      <c r="A373" s="7">
        <v>69.252707472740454</v>
      </c>
      <c r="B373"/>
      <c r="C373"/>
      <c r="D373"/>
      <c r="E373" t="s">
        <v>8</v>
      </c>
      <c r="F373" s="27" t="s">
        <v>7</v>
      </c>
      <c r="DC373" s="27" t="s">
        <v>8</v>
      </c>
      <c r="DF373" s="27" t="s">
        <v>7</v>
      </c>
      <c r="DG373" s="27" t="s">
        <v>8</v>
      </c>
      <c r="DH373" s="27" t="s">
        <v>7</v>
      </c>
      <c r="DI373" s="27" t="s">
        <v>8</v>
      </c>
      <c r="DJ373" s="27" t="s">
        <v>7</v>
      </c>
      <c r="DK373" s="27" t="s">
        <v>8</v>
      </c>
      <c r="DL373" s="27" t="s">
        <v>7</v>
      </c>
      <c r="DM373" s="27" t="s">
        <v>8</v>
      </c>
      <c r="DN373" s="27" t="s">
        <v>7</v>
      </c>
      <c r="DO373" s="27" t="s">
        <v>8</v>
      </c>
      <c r="DX373" s="27" t="s">
        <v>7</v>
      </c>
      <c r="DY373" s="27" t="s">
        <v>8</v>
      </c>
      <c r="DZ373" s="27" t="s">
        <v>7</v>
      </c>
      <c r="EC373" s="27" t="s">
        <v>8</v>
      </c>
      <c r="ED373" s="27" t="s">
        <v>7</v>
      </c>
      <c r="EG373" s="27" t="s">
        <v>8</v>
      </c>
      <c r="EH373" s="27" t="s">
        <v>7</v>
      </c>
      <c r="HG373" s="27" t="s">
        <v>8</v>
      </c>
      <c r="HI373" s="27" t="s">
        <v>8</v>
      </c>
      <c r="HJ373" s="27" t="s">
        <v>7</v>
      </c>
      <c r="HK373" s="27" t="s">
        <v>8</v>
      </c>
      <c r="HL373" s="27" t="s">
        <v>7</v>
      </c>
    </row>
    <row r="374" spans="1:231" x14ac:dyDescent="0.25">
      <c r="A374" s="7">
        <v>67.894811247784759</v>
      </c>
      <c r="B374"/>
      <c r="C374"/>
      <c r="D374"/>
      <c r="E374" t="s">
        <v>8</v>
      </c>
      <c r="F374" s="27" t="s">
        <v>7</v>
      </c>
      <c r="DC374" s="27" t="s">
        <v>8</v>
      </c>
      <c r="DF374" s="27" t="s">
        <v>7</v>
      </c>
      <c r="DG374" s="27" t="s">
        <v>8</v>
      </c>
      <c r="DH374" s="27" t="s">
        <v>7</v>
      </c>
      <c r="DJ374" s="27" t="s">
        <v>7</v>
      </c>
      <c r="DL374" s="27" t="s">
        <v>7</v>
      </c>
      <c r="DM374" s="27" t="s">
        <v>8</v>
      </c>
      <c r="DN374" s="27" t="s">
        <v>7</v>
      </c>
      <c r="DO374" s="27" t="s">
        <v>8</v>
      </c>
      <c r="DX374" s="27" t="s">
        <v>7</v>
      </c>
      <c r="DY374" s="27" t="s">
        <v>8</v>
      </c>
      <c r="DZ374" s="27" t="s">
        <v>7</v>
      </c>
      <c r="EC374" s="27" t="s">
        <v>8</v>
      </c>
      <c r="ED374" s="27" t="s">
        <v>7</v>
      </c>
      <c r="EG374" s="27" t="s">
        <v>8</v>
      </c>
      <c r="EH374" s="27" t="s">
        <v>7</v>
      </c>
      <c r="EI374" s="27" t="s">
        <v>8</v>
      </c>
      <c r="HG374" s="27" t="s">
        <v>8</v>
      </c>
      <c r="HH374" s="27" t="s">
        <v>7</v>
      </c>
      <c r="HI374" s="27" t="s">
        <v>8</v>
      </c>
      <c r="HJ374" s="27" t="s">
        <v>7</v>
      </c>
      <c r="HK374" s="27" t="s">
        <v>8</v>
      </c>
      <c r="HL374" s="27" t="s">
        <v>7</v>
      </c>
    </row>
    <row r="375" spans="1:231" x14ac:dyDescent="0.25">
      <c r="A375" s="7">
        <v>66.563540439004669</v>
      </c>
      <c r="B375"/>
      <c r="C375"/>
      <c r="D375"/>
      <c r="E375" t="s">
        <v>8</v>
      </c>
      <c r="F375" s="27" t="s">
        <v>7</v>
      </c>
      <c r="DA375" s="27" t="s">
        <v>8</v>
      </c>
      <c r="DC375" s="27" t="s">
        <v>8</v>
      </c>
      <c r="DF375" s="27" t="s">
        <v>7</v>
      </c>
      <c r="DL375" s="27" t="s">
        <v>7</v>
      </c>
      <c r="DM375" s="27" t="s">
        <v>8</v>
      </c>
      <c r="DN375" s="27" t="s">
        <v>7</v>
      </c>
      <c r="DO375" s="27" t="s">
        <v>8</v>
      </c>
      <c r="DX375" s="27" t="s">
        <v>7</v>
      </c>
      <c r="DY375" s="27" t="s">
        <v>8</v>
      </c>
      <c r="DZ375" s="27" t="s">
        <v>7</v>
      </c>
      <c r="EC375" s="27" t="s">
        <v>8</v>
      </c>
      <c r="ED375" s="27" t="s">
        <v>7</v>
      </c>
      <c r="EG375" s="27" t="s">
        <v>8</v>
      </c>
      <c r="EH375" s="27" t="s">
        <v>7</v>
      </c>
      <c r="EI375" s="27" t="s">
        <v>8</v>
      </c>
      <c r="EJ375" s="27" t="s">
        <v>7</v>
      </c>
      <c r="GA375" s="27" t="s">
        <v>8</v>
      </c>
      <c r="GI375" s="27" t="s">
        <v>8</v>
      </c>
      <c r="HE375" s="27" t="s">
        <v>8</v>
      </c>
      <c r="HG375" s="27" t="s">
        <v>8</v>
      </c>
      <c r="HH375" s="27" t="s">
        <v>7</v>
      </c>
      <c r="HI375" s="27" t="s">
        <v>8</v>
      </c>
      <c r="HJ375" s="27" t="s">
        <v>7</v>
      </c>
      <c r="HK375" s="27" t="s">
        <v>8</v>
      </c>
      <c r="HL375" s="27" t="s">
        <v>7</v>
      </c>
    </row>
    <row r="376" spans="1:231" x14ac:dyDescent="0.25">
      <c r="A376" s="7">
        <v>65.258372979416336</v>
      </c>
      <c r="B376"/>
      <c r="C376"/>
      <c r="D376"/>
      <c r="E376" t="s">
        <v>8</v>
      </c>
      <c r="F376" s="27" t="s">
        <v>7</v>
      </c>
      <c r="DA376" s="27" t="s">
        <v>8</v>
      </c>
      <c r="DB376" s="27" t="s">
        <v>7</v>
      </c>
      <c r="DC376" s="27" t="s">
        <v>8</v>
      </c>
      <c r="DL376" s="27" t="s">
        <v>7</v>
      </c>
      <c r="DM376" s="27" t="s">
        <v>8</v>
      </c>
      <c r="DN376" s="27" t="s">
        <v>7</v>
      </c>
      <c r="DO376" s="27" t="s">
        <v>8</v>
      </c>
      <c r="DX376" s="27" t="s">
        <v>7</v>
      </c>
      <c r="DY376" s="27" t="s">
        <v>8</v>
      </c>
      <c r="DZ376" s="27" t="s">
        <v>7</v>
      </c>
      <c r="EC376" s="27" t="s">
        <v>8</v>
      </c>
      <c r="ED376" s="27" t="s">
        <v>7</v>
      </c>
      <c r="EG376" s="27" t="s">
        <v>8</v>
      </c>
      <c r="EH376" s="27" t="s">
        <v>7</v>
      </c>
      <c r="EI376" s="27" t="s">
        <v>8</v>
      </c>
      <c r="EJ376" s="27" t="s">
        <v>7</v>
      </c>
      <c r="GA376" s="27" t="s">
        <v>8</v>
      </c>
      <c r="GB376" s="27" t="s">
        <v>7</v>
      </c>
      <c r="GI376" s="27" t="s">
        <v>8</v>
      </c>
      <c r="GJ376" s="27" t="s">
        <v>7</v>
      </c>
      <c r="HE376" s="27" t="s">
        <v>8</v>
      </c>
      <c r="HF376" s="27" t="s">
        <v>7</v>
      </c>
      <c r="HG376" s="27" t="s">
        <v>8</v>
      </c>
      <c r="HH376" s="27" t="s">
        <v>7</v>
      </c>
      <c r="HI376" s="27" t="s">
        <v>8</v>
      </c>
      <c r="HJ376" s="27" t="s">
        <v>7</v>
      </c>
      <c r="HK376" s="27" t="s">
        <v>8</v>
      </c>
      <c r="HL376" s="27" t="s">
        <v>7</v>
      </c>
    </row>
    <row r="377" spans="1:231" x14ac:dyDescent="0.25">
      <c r="A377" s="7">
        <v>63.978797038643471</v>
      </c>
      <c r="B377"/>
      <c r="C377"/>
      <c r="D377"/>
      <c r="E377" t="s">
        <v>8</v>
      </c>
      <c r="F377" s="27" t="s">
        <v>7</v>
      </c>
      <c r="CG377" s="27" t="s">
        <v>8</v>
      </c>
      <c r="DA377" s="27" t="s">
        <v>8</v>
      </c>
      <c r="DB377" s="27" t="s">
        <v>7</v>
      </c>
      <c r="DC377" s="27" t="s">
        <v>8</v>
      </c>
      <c r="DL377" s="27" t="s">
        <v>7</v>
      </c>
      <c r="DM377" s="27" t="s">
        <v>8</v>
      </c>
      <c r="DN377" s="27" t="s">
        <v>7</v>
      </c>
      <c r="DO377" s="27" t="s">
        <v>8</v>
      </c>
      <c r="DX377" s="27" t="s">
        <v>7</v>
      </c>
      <c r="DY377" s="27" t="s">
        <v>8</v>
      </c>
      <c r="DZ377" s="27" t="s">
        <v>7</v>
      </c>
      <c r="EC377" s="27" t="s">
        <v>8</v>
      </c>
      <c r="ED377" s="27" t="s">
        <v>7</v>
      </c>
      <c r="EG377" s="27" t="s">
        <v>8</v>
      </c>
      <c r="EH377" s="27" t="s">
        <v>7</v>
      </c>
      <c r="EI377" s="27" t="s">
        <v>8</v>
      </c>
      <c r="EJ377" s="27" t="s">
        <v>7</v>
      </c>
      <c r="GA377" s="27" t="s">
        <v>8</v>
      </c>
      <c r="GB377" s="27" t="s">
        <v>7</v>
      </c>
      <c r="GI377" s="27" t="s">
        <v>8</v>
      </c>
      <c r="GJ377" s="27" t="s">
        <v>7</v>
      </c>
      <c r="HE377" s="27" t="s">
        <v>8</v>
      </c>
      <c r="HF377" s="27" t="s">
        <v>7</v>
      </c>
      <c r="HG377" s="27" t="s">
        <v>8</v>
      </c>
      <c r="HH377" s="27" t="s">
        <v>7</v>
      </c>
      <c r="HI377" s="27" t="s">
        <v>8</v>
      </c>
      <c r="HJ377" s="27" t="s">
        <v>7</v>
      </c>
      <c r="HK377" s="27" t="s">
        <v>8</v>
      </c>
      <c r="HL377" s="27" t="s">
        <v>7</v>
      </c>
    </row>
    <row r="378" spans="1:231" x14ac:dyDescent="0.25">
      <c r="A378" s="7">
        <v>62.724310822199477</v>
      </c>
      <c r="B378"/>
      <c r="C378"/>
      <c r="D378"/>
      <c r="E378" t="s">
        <v>8</v>
      </c>
      <c r="F378" s="27" t="s">
        <v>7</v>
      </c>
      <c r="CG378" s="27" t="s">
        <v>8</v>
      </c>
      <c r="CH378" s="27" t="s">
        <v>7</v>
      </c>
      <c r="DA378" s="27" t="s">
        <v>8</v>
      </c>
      <c r="DB378" s="27" t="s">
        <v>7</v>
      </c>
      <c r="DC378" s="27" t="s">
        <v>8</v>
      </c>
      <c r="DL378" s="27" t="s">
        <v>7</v>
      </c>
      <c r="DM378" s="27" t="s">
        <v>8</v>
      </c>
      <c r="DN378" s="27" t="s">
        <v>7</v>
      </c>
      <c r="DO378" s="27" t="s">
        <v>8</v>
      </c>
      <c r="DX378" s="27" t="s">
        <v>7</v>
      </c>
      <c r="DY378" s="27" t="s">
        <v>8</v>
      </c>
      <c r="DZ378" s="27" t="s">
        <v>7</v>
      </c>
      <c r="EC378" s="27" t="s">
        <v>8</v>
      </c>
      <c r="ED378" s="27" t="s">
        <v>7</v>
      </c>
      <c r="EE378" s="27" t="s">
        <v>8</v>
      </c>
      <c r="EG378" s="27" t="s">
        <v>8</v>
      </c>
      <c r="EH378" s="27" t="s">
        <v>7</v>
      </c>
      <c r="EI378" s="27" t="s">
        <v>8</v>
      </c>
      <c r="EJ378" s="27" t="s">
        <v>7</v>
      </c>
      <c r="FS378" s="27" t="s">
        <v>8</v>
      </c>
      <c r="FY378" s="27" t="s">
        <v>8</v>
      </c>
      <c r="GA378" s="27" t="s">
        <v>8</v>
      </c>
      <c r="GB378" s="27" t="s">
        <v>7</v>
      </c>
      <c r="GI378" s="27" t="s">
        <v>8</v>
      </c>
      <c r="GJ378" s="27" t="s">
        <v>7</v>
      </c>
      <c r="HA378" s="27" t="s">
        <v>8</v>
      </c>
      <c r="HE378" s="27" t="s">
        <v>8</v>
      </c>
      <c r="HF378" s="27" t="s">
        <v>7</v>
      </c>
      <c r="HG378" s="27" t="s">
        <v>8</v>
      </c>
      <c r="HH378" s="27" t="s">
        <v>7</v>
      </c>
      <c r="HI378" s="27" t="s">
        <v>8</v>
      </c>
      <c r="HJ378" s="27" t="s">
        <v>7</v>
      </c>
      <c r="HL378" s="27" t="s">
        <v>7</v>
      </c>
    </row>
    <row r="379" spans="1:231" x14ac:dyDescent="0.25">
      <c r="A379" s="7">
        <v>61.494422374705366</v>
      </c>
      <c r="B379"/>
      <c r="C379"/>
      <c r="D379"/>
      <c r="E379" t="s">
        <v>8</v>
      </c>
      <c r="F379" s="27" t="s">
        <v>7</v>
      </c>
      <c r="CG379" s="27" t="s">
        <v>8</v>
      </c>
      <c r="CH379" s="27" t="s">
        <v>7</v>
      </c>
      <c r="DA379" s="27" t="s">
        <v>8</v>
      </c>
      <c r="DB379" s="27" t="s">
        <v>7</v>
      </c>
      <c r="DC379" s="27" t="s">
        <v>8</v>
      </c>
      <c r="DL379" s="27" t="s">
        <v>7</v>
      </c>
      <c r="DM379" s="27" t="s">
        <v>8</v>
      </c>
      <c r="DN379" s="27" t="s">
        <v>7</v>
      </c>
      <c r="DO379" s="27" t="s">
        <v>8</v>
      </c>
      <c r="DX379" s="27" t="s">
        <v>7</v>
      </c>
      <c r="DY379" s="27" t="s">
        <v>8</v>
      </c>
      <c r="DZ379" s="27" t="s">
        <v>7</v>
      </c>
      <c r="EC379" s="27" t="s">
        <v>8</v>
      </c>
      <c r="ED379" s="27" t="s">
        <v>7</v>
      </c>
      <c r="EE379" s="27" t="s">
        <v>8</v>
      </c>
      <c r="EF379" s="27" t="s">
        <v>7</v>
      </c>
      <c r="EG379" s="27" t="s">
        <v>8</v>
      </c>
      <c r="EH379" s="27" t="s">
        <v>7</v>
      </c>
      <c r="EI379" s="27" t="s">
        <v>8</v>
      </c>
      <c r="EJ379" s="27" t="s">
        <v>7</v>
      </c>
      <c r="FS379" s="27" t="s">
        <v>8</v>
      </c>
      <c r="FT379" s="27" t="s">
        <v>7</v>
      </c>
      <c r="FY379" s="27" t="s">
        <v>8</v>
      </c>
      <c r="FZ379" s="27" t="s">
        <v>7</v>
      </c>
      <c r="GA379" s="27" t="s">
        <v>8</v>
      </c>
      <c r="GB379" s="27" t="s">
        <v>7</v>
      </c>
      <c r="GG379" s="27" t="s">
        <v>8</v>
      </c>
      <c r="GI379" s="27" t="s">
        <v>8</v>
      </c>
      <c r="GJ379" s="27" t="s">
        <v>7</v>
      </c>
      <c r="HA379" s="27" t="s">
        <v>8</v>
      </c>
      <c r="HB379" s="27" t="s">
        <v>7</v>
      </c>
      <c r="HE379" s="27" t="s">
        <v>8</v>
      </c>
      <c r="HF379" s="27" t="s">
        <v>7</v>
      </c>
      <c r="HG379" s="27" t="s">
        <v>8</v>
      </c>
      <c r="HH379" s="27" t="s">
        <v>7</v>
      </c>
      <c r="HI379" s="27" t="s">
        <v>8</v>
      </c>
      <c r="HL379" s="27" t="s">
        <v>7</v>
      </c>
    </row>
    <row r="380" spans="1:231" x14ac:dyDescent="0.25">
      <c r="A380" s="7">
        <v>60.288649386966043</v>
      </c>
      <c r="B380"/>
      <c r="C380"/>
      <c r="D380"/>
      <c r="E380" t="s">
        <v>8</v>
      </c>
      <c r="F380" s="27" t="s">
        <v>7</v>
      </c>
      <c r="CG380" s="27" t="s">
        <v>8</v>
      </c>
      <c r="CH380" s="27" t="s">
        <v>7</v>
      </c>
      <c r="DA380" s="27" t="s">
        <v>8</v>
      </c>
      <c r="DB380" s="27" t="s">
        <v>7</v>
      </c>
      <c r="DC380" s="27" t="s">
        <v>8</v>
      </c>
      <c r="DL380" s="27" t="s">
        <v>7</v>
      </c>
      <c r="DM380" s="27" t="s">
        <v>8</v>
      </c>
      <c r="DN380" s="27" t="s">
        <v>7</v>
      </c>
      <c r="DO380" s="27" t="s">
        <v>8</v>
      </c>
      <c r="DX380" s="27" t="s">
        <v>7</v>
      </c>
      <c r="DY380" s="27" t="s">
        <v>8</v>
      </c>
      <c r="DZ380" s="27" t="s">
        <v>7</v>
      </c>
      <c r="EC380" s="27" t="s">
        <v>8</v>
      </c>
      <c r="ED380" s="27" t="s">
        <v>7</v>
      </c>
      <c r="EE380" s="27" t="s">
        <v>8</v>
      </c>
      <c r="EF380" s="27" t="s">
        <v>7</v>
      </c>
      <c r="EG380" s="27" t="s">
        <v>8</v>
      </c>
      <c r="EH380" s="27" t="s">
        <v>7</v>
      </c>
      <c r="EI380" s="27" t="s">
        <v>8</v>
      </c>
      <c r="EJ380" s="27" t="s">
        <v>7</v>
      </c>
      <c r="FS380" s="27" t="s">
        <v>8</v>
      </c>
      <c r="FT380" s="27" t="s">
        <v>7</v>
      </c>
      <c r="FY380" s="27" t="s">
        <v>8</v>
      </c>
      <c r="FZ380" s="27" t="s">
        <v>7</v>
      </c>
      <c r="GA380" s="27" t="s">
        <v>8</v>
      </c>
      <c r="GB380" s="27" t="s">
        <v>7</v>
      </c>
      <c r="GG380" s="27" t="s">
        <v>8</v>
      </c>
      <c r="GH380" s="27" t="s">
        <v>7</v>
      </c>
      <c r="GI380" s="27" t="s">
        <v>8</v>
      </c>
      <c r="GJ380" s="27" t="s">
        <v>7</v>
      </c>
      <c r="GY380" s="27" t="s">
        <v>8</v>
      </c>
      <c r="HA380" s="27" t="s">
        <v>8</v>
      </c>
      <c r="HB380" s="27" t="s">
        <v>7</v>
      </c>
      <c r="HE380" s="27" t="s">
        <v>8</v>
      </c>
      <c r="HF380" s="27" t="s">
        <v>7</v>
      </c>
      <c r="HH380" s="27" t="s">
        <v>7</v>
      </c>
      <c r="HI380" s="27" t="s">
        <v>8</v>
      </c>
      <c r="HL380" s="27" t="s">
        <v>7</v>
      </c>
      <c r="HQ380" s="27" t="s">
        <v>8</v>
      </c>
    </row>
    <row r="381" spans="1:231" x14ac:dyDescent="0.25">
      <c r="A381" s="7">
        <v>59.106519006829451</v>
      </c>
      <c r="B381"/>
      <c r="C381"/>
      <c r="D381"/>
      <c r="E381" t="s">
        <v>8</v>
      </c>
      <c r="F381" s="27" t="s">
        <v>7</v>
      </c>
      <c r="CE381" s="27" t="s">
        <v>8</v>
      </c>
      <c r="CG381" s="27" t="s">
        <v>8</v>
      </c>
      <c r="CH381" s="27" t="s">
        <v>7</v>
      </c>
      <c r="DA381" s="27" t="s">
        <v>8</v>
      </c>
      <c r="DB381" s="27" t="s">
        <v>7</v>
      </c>
      <c r="DC381" s="27" t="s">
        <v>8</v>
      </c>
      <c r="DL381" s="27" t="s">
        <v>7</v>
      </c>
      <c r="DM381" s="27" t="s">
        <v>8</v>
      </c>
      <c r="DN381" s="27" t="s">
        <v>7</v>
      </c>
      <c r="DO381" s="27" t="s">
        <v>8</v>
      </c>
      <c r="DX381" s="27" t="s">
        <v>7</v>
      </c>
      <c r="DY381" s="27" t="s">
        <v>8</v>
      </c>
      <c r="DZ381" s="27" t="s">
        <v>7</v>
      </c>
      <c r="EC381" s="27" t="s">
        <v>8</v>
      </c>
      <c r="ED381" s="27" t="s">
        <v>7</v>
      </c>
      <c r="EE381" s="27" t="s">
        <v>8</v>
      </c>
      <c r="EF381" s="27" t="s">
        <v>7</v>
      </c>
      <c r="EG381" s="27" t="s">
        <v>8</v>
      </c>
      <c r="EH381" s="27" t="s">
        <v>7</v>
      </c>
      <c r="EJ381" s="27" t="s">
        <v>7</v>
      </c>
      <c r="FS381" s="27" t="s">
        <v>8</v>
      </c>
      <c r="FT381" s="27" t="s">
        <v>7</v>
      </c>
      <c r="FY381" s="27" t="s">
        <v>8</v>
      </c>
      <c r="FZ381" s="27" t="s">
        <v>7</v>
      </c>
      <c r="GA381" s="27" t="s">
        <v>8</v>
      </c>
      <c r="GB381" s="27" t="s">
        <v>7</v>
      </c>
      <c r="GG381" s="27" t="s">
        <v>8</v>
      </c>
      <c r="GH381" s="27" t="s">
        <v>7</v>
      </c>
      <c r="GI381" s="27" t="s">
        <v>8</v>
      </c>
      <c r="GJ381" s="27" t="s">
        <v>7</v>
      </c>
      <c r="GW381" s="27" t="s">
        <v>8</v>
      </c>
      <c r="GY381" s="27" t="s">
        <v>8</v>
      </c>
      <c r="GZ381" s="27" t="s">
        <v>7</v>
      </c>
      <c r="HA381" s="27" t="s">
        <v>8</v>
      </c>
      <c r="HB381" s="27" t="s">
        <v>7</v>
      </c>
      <c r="HE381" s="27" t="s">
        <v>8</v>
      </c>
      <c r="HH381" s="27" t="s">
        <v>7</v>
      </c>
      <c r="HI381" s="27" t="s">
        <v>8</v>
      </c>
      <c r="HL381" s="27" t="s">
        <v>7</v>
      </c>
      <c r="HO381" s="27" t="s">
        <v>8</v>
      </c>
      <c r="HQ381" s="27" t="s">
        <v>8</v>
      </c>
      <c r="HR381" s="27" t="s">
        <v>7</v>
      </c>
    </row>
    <row r="382" spans="1:231" x14ac:dyDescent="0.25">
      <c r="A382" s="7">
        <v>57.947567653754362</v>
      </c>
      <c r="B382"/>
      <c r="C382"/>
      <c r="D382"/>
      <c r="E382" t="s">
        <v>8</v>
      </c>
      <c r="F382" s="27" t="s">
        <v>7</v>
      </c>
      <c r="CE382" s="27" t="s">
        <v>8</v>
      </c>
      <c r="CF382" s="27" t="s">
        <v>7</v>
      </c>
      <c r="CG382" s="27" t="s">
        <v>8</v>
      </c>
      <c r="CH382" s="27" t="s">
        <v>7</v>
      </c>
      <c r="DA382" s="27" t="s">
        <v>8</v>
      </c>
      <c r="DB382" s="27" t="s">
        <v>7</v>
      </c>
      <c r="DC382" s="27" t="s">
        <v>8</v>
      </c>
      <c r="DL382" s="27" t="s">
        <v>7</v>
      </c>
      <c r="DM382" s="27" t="s">
        <v>8</v>
      </c>
      <c r="DN382" s="27" t="s">
        <v>7</v>
      </c>
      <c r="DO382" s="27" t="s">
        <v>8</v>
      </c>
      <c r="DX382" s="27" t="s">
        <v>7</v>
      </c>
      <c r="DY382" s="27" t="s">
        <v>8</v>
      </c>
      <c r="DZ382" s="27" t="s">
        <v>7</v>
      </c>
      <c r="EA382" s="27" t="s">
        <v>8</v>
      </c>
      <c r="EC382" s="27" t="s">
        <v>8</v>
      </c>
      <c r="ED382" s="27" t="s">
        <v>7</v>
      </c>
      <c r="EE382" s="27" t="s">
        <v>8</v>
      </c>
      <c r="EF382" s="27" t="s">
        <v>7</v>
      </c>
      <c r="EJ382" s="27" t="s">
        <v>7</v>
      </c>
      <c r="FQ382" s="27" t="s">
        <v>8</v>
      </c>
      <c r="FS382" s="27" t="s">
        <v>8</v>
      </c>
      <c r="FT382" s="27" t="s">
        <v>7</v>
      </c>
      <c r="FY382" s="27" t="s">
        <v>8</v>
      </c>
      <c r="FZ382" s="27" t="s">
        <v>7</v>
      </c>
      <c r="GA382" s="27" t="s">
        <v>8</v>
      </c>
      <c r="GB382" s="27" t="s">
        <v>7</v>
      </c>
      <c r="GE382" s="27" t="s">
        <v>8</v>
      </c>
      <c r="GG382" s="27" t="s">
        <v>8</v>
      </c>
      <c r="GH382" s="27" t="s">
        <v>7</v>
      </c>
      <c r="GI382" s="27" t="s">
        <v>8</v>
      </c>
      <c r="GJ382" s="27" t="s">
        <v>7</v>
      </c>
      <c r="GW382" s="27" t="s">
        <v>8</v>
      </c>
      <c r="GX382" s="27" t="s">
        <v>7</v>
      </c>
      <c r="GY382" s="27" t="s">
        <v>8</v>
      </c>
      <c r="GZ382" s="27" t="s">
        <v>7</v>
      </c>
      <c r="HA382" s="27" t="s">
        <v>8</v>
      </c>
      <c r="HB382" s="27" t="s">
        <v>7</v>
      </c>
      <c r="HC382" s="27" t="s">
        <v>8</v>
      </c>
      <c r="HE382" s="27" t="s">
        <v>8</v>
      </c>
      <c r="HH382" s="27" t="s">
        <v>7</v>
      </c>
      <c r="HL382" s="27" t="s">
        <v>7</v>
      </c>
      <c r="HM382" s="27" t="s">
        <v>8</v>
      </c>
      <c r="HO382" s="27" t="s">
        <v>8</v>
      </c>
      <c r="HP382" s="27" t="s">
        <v>7</v>
      </c>
      <c r="HQ382" s="27" t="s">
        <v>8</v>
      </c>
      <c r="HR382" s="27" t="s">
        <v>7</v>
      </c>
    </row>
    <row r="383" spans="1:231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CE383" s="27" t="s">
        <v>8</v>
      </c>
      <c r="CF383" s="27" t="s">
        <v>7</v>
      </c>
      <c r="CG383" s="27" t="s">
        <v>8</v>
      </c>
      <c r="CH383" s="27" t="s">
        <v>7</v>
      </c>
      <c r="DA383" s="27" t="s">
        <v>8</v>
      </c>
      <c r="DB383" s="27" t="s">
        <v>7</v>
      </c>
      <c r="DC383" s="27" t="s">
        <v>8</v>
      </c>
      <c r="DL383" s="27" t="s">
        <v>7</v>
      </c>
      <c r="DM383" s="27" t="s">
        <v>8</v>
      </c>
      <c r="DN383" s="27" t="s">
        <v>7</v>
      </c>
      <c r="DO383" s="27" t="s">
        <v>8</v>
      </c>
      <c r="DX383" s="27" t="s">
        <v>7</v>
      </c>
      <c r="DY383" s="27" t="s">
        <v>8</v>
      </c>
      <c r="DZ383" s="27" t="s">
        <v>7</v>
      </c>
      <c r="EA383" s="27" t="s">
        <v>8</v>
      </c>
      <c r="EB383" s="27" t="s">
        <v>7</v>
      </c>
      <c r="EC383" s="27" t="s">
        <v>8</v>
      </c>
      <c r="ED383" s="27" t="s">
        <v>7</v>
      </c>
      <c r="EE383" s="27" t="s">
        <v>8</v>
      </c>
      <c r="EJ383" s="27" t="s">
        <v>7</v>
      </c>
      <c r="EK383" s="27" t="s">
        <v>8</v>
      </c>
      <c r="FQ383" s="27" t="s">
        <v>8</v>
      </c>
      <c r="FR383" s="27" t="s">
        <v>7</v>
      </c>
      <c r="FS383" s="27" t="s">
        <v>8</v>
      </c>
      <c r="FT383" s="27" t="s">
        <v>7</v>
      </c>
      <c r="FY383" s="27" t="s">
        <v>8</v>
      </c>
      <c r="FZ383" s="27" t="s">
        <v>7</v>
      </c>
      <c r="GB383" s="27" t="s">
        <v>7</v>
      </c>
      <c r="GC383" s="27" t="s">
        <v>8</v>
      </c>
      <c r="GE383" s="27" t="s">
        <v>8</v>
      </c>
      <c r="GF383" s="27" t="s">
        <v>7</v>
      </c>
      <c r="GG383" s="27" t="s">
        <v>8</v>
      </c>
      <c r="GH383" s="27" t="s">
        <v>7</v>
      </c>
      <c r="GI383" s="27" t="s">
        <v>8</v>
      </c>
      <c r="GJ383" s="27" t="s">
        <v>7</v>
      </c>
      <c r="GW383" s="27" t="s">
        <v>8</v>
      </c>
      <c r="GX383" s="27" t="s">
        <v>7</v>
      </c>
      <c r="GY383" s="27" t="s">
        <v>8</v>
      </c>
      <c r="GZ383" s="27" t="s">
        <v>7</v>
      </c>
      <c r="HA383" s="27" t="s">
        <v>8</v>
      </c>
      <c r="HB383" s="27" t="s">
        <v>7</v>
      </c>
      <c r="HC383" s="27" t="s">
        <v>8</v>
      </c>
      <c r="HD383" s="27" t="s">
        <v>7</v>
      </c>
      <c r="HE383" s="27" t="s">
        <v>8</v>
      </c>
      <c r="HL383" s="27" t="s">
        <v>7</v>
      </c>
      <c r="HM383" s="27" t="s">
        <v>8</v>
      </c>
      <c r="HN383" s="27" t="s">
        <v>7</v>
      </c>
      <c r="HO383" s="27" t="s">
        <v>8</v>
      </c>
      <c r="HP383" s="27" t="s">
        <v>7</v>
      </c>
      <c r="HQ383" s="27" t="s">
        <v>8</v>
      </c>
      <c r="HR383" s="27" t="s">
        <v>7</v>
      </c>
      <c r="HS383" s="27" t="s">
        <v>8</v>
      </c>
    </row>
    <row r="384" spans="1:231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CE384" s="27" t="s">
        <v>8</v>
      </c>
      <c r="CF384" s="27" t="s">
        <v>7</v>
      </c>
      <c r="CG384" s="27" t="s">
        <v>8</v>
      </c>
      <c r="CH384" s="27" t="s">
        <v>7</v>
      </c>
      <c r="CK384" s="27" t="s">
        <v>8</v>
      </c>
      <c r="DA384" s="27" t="s">
        <v>8</v>
      </c>
      <c r="DB384" s="27" t="s">
        <v>7</v>
      </c>
      <c r="DC384" s="27" t="s">
        <v>8</v>
      </c>
      <c r="DL384" s="27" t="s">
        <v>7</v>
      </c>
      <c r="DN384" s="27" t="s">
        <v>7</v>
      </c>
      <c r="DO384" s="27" t="s">
        <v>8</v>
      </c>
      <c r="DX384" s="27" t="s">
        <v>7</v>
      </c>
      <c r="DY384" s="27" t="s">
        <v>8</v>
      </c>
      <c r="DZ384" s="27" t="s">
        <v>7</v>
      </c>
      <c r="EA384" s="27" t="s">
        <v>8</v>
      </c>
      <c r="EB384" s="27" t="s">
        <v>7</v>
      </c>
      <c r="EC384" s="27" t="s">
        <v>8</v>
      </c>
      <c r="ED384" s="27" t="s">
        <v>7</v>
      </c>
      <c r="EE384" s="27" t="s">
        <v>8</v>
      </c>
      <c r="EJ384" s="27" t="s">
        <v>7</v>
      </c>
      <c r="EK384" s="27" t="s">
        <v>8</v>
      </c>
      <c r="EL384" s="27" t="s">
        <v>7</v>
      </c>
      <c r="FQ384" s="27" t="s">
        <v>8</v>
      </c>
      <c r="FR384" s="27" t="s">
        <v>7</v>
      </c>
      <c r="FS384" s="27" t="s">
        <v>8</v>
      </c>
      <c r="FT384" s="27" t="s">
        <v>7</v>
      </c>
      <c r="FY384" s="27" t="s">
        <v>8</v>
      </c>
      <c r="GB384" s="27" t="s">
        <v>7</v>
      </c>
      <c r="GC384" s="27" t="s">
        <v>8</v>
      </c>
      <c r="GD384" s="27" t="s">
        <v>7</v>
      </c>
      <c r="GE384" s="27" t="s">
        <v>8</v>
      </c>
      <c r="GF384" s="27" t="s">
        <v>7</v>
      </c>
      <c r="GG384" s="27" t="s">
        <v>8</v>
      </c>
      <c r="GH384" s="27" t="s">
        <v>7</v>
      </c>
      <c r="GJ384" s="27" t="s">
        <v>7</v>
      </c>
      <c r="GW384" s="27" t="s">
        <v>8</v>
      </c>
      <c r="GX384" s="27" t="s">
        <v>7</v>
      </c>
      <c r="GY384" s="27" t="s">
        <v>8</v>
      </c>
      <c r="GZ384" s="27" t="s">
        <v>7</v>
      </c>
      <c r="HB384" s="27" t="s">
        <v>7</v>
      </c>
      <c r="HC384" s="27" t="s">
        <v>8</v>
      </c>
      <c r="HD384" s="27" t="s">
        <v>7</v>
      </c>
      <c r="HE384" s="27" t="s">
        <v>8</v>
      </c>
      <c r="HL384" s="27" t="s">
        <v>7</v>
      </c>
      <c r="HM384" s="27" t="s">
        <v>8</v>
      </c>
      <c r="HN384" s="27" t="s">
        <v>7</v>
      </c>
      <c r="HO384" s="27" t="s">
        <v>8</v>
      </c>
      <c r="HP384" s="27" t="s">
        <v>7</v>
      </c>
      <c r="HQ384" s="27" t="s">
        <v>8</v>
      </c>
      <c r="HR384" s="27" t="s">
        <v>7</v>
      </c>
      <c r="HS384" s="27" t="s">
        <v>8</v>
      </c>
      <c r="HT384" s="27" t="s">
        <v>7</v>
      </c>
      <c r="HU384" s="27" t="s">
        <v>8</v>
      </c>
      <c r="HW384" s="27" t="s">
        <v>8</v>
      </c>
    </row>
    <row r="385" spans="1:246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CE385" s="27" t="s">
        <v>8</v>
      </c>
      <c r="CF385" s="27" t="s">
        <v>7</v>
      </c>
      <c r="CG385" s="27" t="s">
        <v>8</v>
      </c>
      <c r="CH385" s="27" t="s">
        <v>7</v>
      </c>
      <c r="CK385" s="27" t="s">
        <v>8</v>
      </c>
      <c r="CL385" s="27" t="s">
        <v>7</v>
      </c>
      <c r="CY385" s="27" t="s">
        <v>8</v>
      </c>
      <c r="DA385" s="27" t="s">
        <v>8</v>
      </c>
      <c r="DB385" s="27" t="s">
        <v>7</v>
      </c>
      <c r="DC385" s="27" t="s">
        <v>8</v>
      </c>
      <c r="DN385" s="27" t="s">
        <v>7</v>
      </c>
      <c r="DX385" s="27" t="s">
        <v>7</v>
      </c>
      <c r="DY385" s="27" t="s">
        <v>8</v>
      </c>
      <c r="DZ385" s="27" t="s">
        <v>7</v>
      </c>
      <c r="EA385" s="27" t="s">
        <v>8</v>
      </c>
      <c r="EB385" s="27" t="s">
        <v>7</v>
      </c>
      <c r="EC385" s="27" t="s">
        <v>8</v>
      </c>
      <c r="ED385" s="27" t="s">
        <v>7</v>
      </c>
      <c r="EE385" s="27" t="s">
        <v>8</v>
      </c>
      <c r="EJ385" s="27" t="s">
        <v>7</v>
      </c>
      <c r="EK385" s="27" t="s">
        <v>8</v>
      </c>
      <c r="EL385" s="27" t="s">
        <v>7</v>
      </c>
      <c r="FO385" s="27" t="s">
        <v>8</v>
      </c>
      <c r="FQ385" s="27" t="s">
        <v>8</v>
      </c>
      <c r="FR385" s="27" t="s">
        <v>7</v>
      </c>
      <c r="FS385" s="27" t="s">
        <v>8</v>
      </c>
      <c r="FT385" s="27" t="s">
        <v>7</v>
      </c>
      <c r="FU385" s="27" t="s">
        <v>8</v>
      </c>
      <c r="FW385" s="27" t="s">
        <v>8</v>
      </c>
      <c r="FY385" s="27" t="s">
        <v>8</v>
      </c>
      <c r="GB385" s="27" t="s">
        <v>7</v>
      </c>
      <c r="GC385" s="27" t="s">
        <v>8</v>
      </c>
      <c r="GD385" s="27" t="s">
        <v>7</v>
      </c>
      <c r="GE385" s="27" t="s">
        <v>8</v>
      </c>
      <c r="GF385" s="27" t="s">
        <v>7</v>
      </c>
      <c r="GG385" s="27" t="s">
        <v>8</v>
      </c>
      <c r="GJ385" s="27" t="s">
        <v>7</v>
      </c>
      <c r="GW385" s="27" t="s">
        <v>8</v>
      </c>
      <c r="GX385" s="27" t="s">
        <v>7</v>
      </c>
      <c r="GY385" s="27" t="s">
        <v>8</v>
      </c>
      <c r="HB385" s="27" t="s">
        <v>7</v>
      </c>
      <c r="HC385" s="27" t="s">
        <v>8</v>
      </c>
      <c r="HD385" s="27" t="s">
        <v>7</v>
      </c>
      <c r="HE385" s="27" t="s">
        <v>8</v>
      </c>
      <c r="HL385" s="27" t="s">
        <v>7</v>
      </c>
      <c r="HM385" s="27" t="s">
        <v>8</v>
      </c>
      <c r="HN385" s="27" t="s">
        <v>7</v>
      </c>
      <c r="HO385" s="27" t="s">
        <v>8</v>
      </c>
      <c r="HP385" s="27" t="s">
        <v>7</v>
      </c>
      <c r="HQ385" s="27" t="s">
        <v>8</v>
      </c>
      <c r="HR385" s="27" t="s">
        <v>7</v>
      </c>
      <c r="HS385" s="27" t="s">
        <v>8</v>
      </c>
      <c r="HT385" s="27" t="s">
        <v>7</v>
      </c>
      <c r="HU385" s="27" t="s">
        <v>8</v>
      </c>
      <c r="HV385" s="27" t="s">
        <v>7</v>
      </c>
      <c r="HW385" s="27" t="s">
        <v>8</v>
      </c>
      <c r="HX385" s="27" t="s">
        <v>7</v>
      </c>
    </row>
    <row r="386" spans="1:246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CE386" s="27" t="s">
        <v>8</v>
      </c>
      <c r="CF386" s="27" t="s">
        <v>7</v>
      </c>
      <c r="CG386" s="27" t="s">
        <v>8</v>
      </c>
      <c r="CH386" s="27" t="s">
        <v>7</v>
      </c>
      <c r="CK386" s="27" t="s">
        <v>8</v>
      </c>
      <c r="CL386" s="27" t="s">
        <v>7</v>
      </c>
      <c r="CY386" s="27" t="s">
        <v>8</v>
      </c>
      <c r="CZ386" s="27" t="s">
        <v>7</v>
      </c>
      <c r="DA386" s="27" t="s">
        <v>8</v>
      </c>
      <c r="DB386" s="27" t="s">
        <v>7</v>
      </c>
      <c r="DC386" s="27" t="s">
        <v>8</v>
      </c>
      <c r="DX386" s="27" t="s">
        <v>7</v>
      </c>
      <c r="DY386" s="27" t="s">
        <v>8</v>
      </c>
      <c r="DZ386" s="27" t="s">
        <v>7</v>
      </c>
      <c r="EA386" s="27" t="s">
        <v>8</v>
      </c>
      <c r="EB386" s="27" t="s">
        <v>7</v>
      </c>
      <c r="EC386" s="27" t="s">
        <v>8</v>
      </c>
      <c r="ED386" s="27" t="s">
        <v>7</v>
      </c>
      <c r="EE386" s="27" t="s">
        <v>8</v>
      </c>
      <c r="EJ386" s="27" t="s">
        <v>7</v>
      </c>
      <c r="EK386" s="27" t="s">
        <v>8</v>
      </c>
      <c r="EL386" s="27" t="s">
        <v>7</v>
      </c>
      <c r="FO386" s="27" t="s">
        <v>8</v>
      </c>
      <c r="FP386" s="27" t="s">
        <v>7</v>
      </c>
      <c r="FQ386" s="27" t="s">
        <v>8</v>
      </c>
      <c r="FR386" s="27" t="s">
        <v>7</v>
      </c>
      <c r="FS386" s="27" t="s">
        <v>8</v>
      </c>
      <c r="FT386" s="27" t="s">
        <v>7</v>
      </c>
      <c r="FU386" s="27" t="s">
        <v>8</v>
      </c>
      <c r="FV386" s="27" t="s">
        <v>7</v>
      </c>
      <c r="FW386" s="27" t="s">
        <v>8</v>
      </c>
      <c r="FX386" s="27" t="s">
        <v>7</v>
      </c>
      <c r="FY386" s="27" t="s">
        <v>8</v>
      </c>
      <c r="GB386" s="27" t="s">
        <v>7</v>
      </c>
      <c r="GC386" s="27" t="s">
        <v>8</v>
      </c>
      <c r="GD386" s="27" t="s">
        <v>7</v>
      </c>
      <c r="GE386" s="27" t="s">
        <v>8</v>
      </c>
      <c r="GF386" s="27" t="s">
        <v>7</v>
      </c>
      <c r="GG386" s="27" t="s">
        <v>8</v>
      </c>
      <c r="GJ386" s="27" t="s">
        <v>7</v>
      </c>
      <c r="GS386" s="27" t="s">
        <v>8</v>
      </c>
      <c r="GW386" s="27" t="s">
        <v>8</v>
      </c>
      <c r="GX386" s="27" t="s">
        <v>7</v>
      </c>
      <c r="GY386" s="27" t="s">
        <v>8</v>
      </c>
      <c r="HB386" s="27" t="s">
        <v>7</v>
      </c>
      <c r="HD386" s="27" t="s">
        <v>7</v>
      </c>
      <c r="HE386" s="27" t="s">
        <v>8</v>
      </c>
      <c r="HL386" s="27" t="s">
        <v>7</v>
      </c>
      <c r="HN386" s="27" t="s">
        <v>7</v>
      </c>
      <c r="HO386" s="27" t="s">
        <v>8</v>
      </c>
      <c r="HP386" s="27" t="s">
        <v>7</v>
      </c>
      <c r="HQ386" s="27" t="s">
        <v>8</v>
      </c>
      <c r="HR386" s="27" t="s">
        <v>7</v>
      </c>
      <c r="HS386" s="27" t="s">
        <v>8</v>
      </c>
      <c r="HT386" s="27" t="s">
        <v>7</v>
      </c>
      <c r="HU386" s="27" t="s">
        <v>8</v>
      </c>
      <c r="HV386" s="27" t="s">
        <v>7</v>
      </c>
      <c r="HW386" s="27" t="s">
        <v>8</v>
      </c>
      <c r="HX386" s="27" t="s">
        <v>7</v>
      </c>
    </row>
    <row r="387" spans="1:246" x14ac:dyDescent="0.25">
      <c r="A387" s="7">
        <v>52.484897378708773</v>
      </c>
      <c r="B387"/>
      <c r="C387"/>
      <c r="D387"/>
      <c r="E387" t="s">
        <v>8</v>
      </c>
      <c r="F387" s="27" t="s">
        <v>7</v>
      </c>
      <c r="CE387" s="27" t="s">
        <v>8</v>
      </c>
      <c r="CF387" s="27" t="s">
        <v>7</v>
      </c>
      <c r="CG387" s="27" t="s">
        <v>8</v>
      </c>
      <c r="CH387" s="27" t="s">
        <v>7</v>
      </c>
      <c r="CK387" s="27" t="s">
        <v>8</v>
      </c>
      <c r="CL387" s="27" t="s">
        <v>7</v>
      </c>
      <c r="CW387" s="27" t="s">
        <v>8</v>
      </c>
      <c r="CY387" s="27" t="s">
        <v>8</v>
      </c>
      <c r="CZ387" s="27" t="s">
        <v>7</v>
      </c>
      <c r="DA387" s="27" t="s">
        <v>8</v>
      </c>
      <c r="DB387" s="27" t="s">
        <v>7</v>
      </c>
      <c r="DC387" s="27" t="s">
        <v>8</v>
      </c>
      <c r="DX387" s="27" t="s">
        <v>7</v>
      </c>
      <c r="DY387" s="27" t="s">
        <v>8</v>
      </c>
      <c r="DZ387" s="27" t="s">
        <v>7</v>
      </c>
      <c r="EA387" s="27" t="s">
        <v>8</v>
      </c>
      <c r="EB387" s="27" t="s">
        <v>7</v>
      </c>
      <c r="EC387" s="27" t="s">
        <v>8</v>
      </c>
      <c r="ED387" s="27" t="s">
        <v>7</v>
      </c>
      <c r="EE387" s="27" t="s">
        <v>8</v>
      </c>
      <c r="EJ387" s="27" t="s">
        <v>7</v>
      </c>
      <c r="EK387" s="27" t="s">
        <v>8</v>
      </c>
      <c r="EL387" s="27" t="s">
        <v>7</v>
      </c>
      <c r="EM387" s="27" t="s">
        <v>8</v>
      </c>
      <c r="FO387" s="27" t="s">
        <v>8</v>
      </c>
      <c r="FP387" s="27" t="s">
        <v>7</v>
      </c>
      <c r="FQ387" s="27" t="s">
        <v>8</v>
      </c>
      <c r="FR387" s="27" t="s">
        <v>7</v>
      </c>
      <c r="FS387" s="27" t="s">
        <v>8</v>
      </c>
      <c r="FT387" s="27" t="s">
        <v>7</v>
      </c>
      <c r="FU387" s="27" t="s">
        <v>8</v>
      </c>
      <c r="FV387" s="27" t="s">
        <v>7</v>
      </c>
      <c r="FW387" s="27" t="s">
        <v>8</v>
      </c>
      <c r="FX387" s="27" t="s">
        <v>7</v>
      </c>
      <c r="FY387" s="27" t="s">
        <v>8</v>
      </c>
      <c r="GB387" s="27" t="s">
        <v>7</v>
      </c>
      <c r="GC387" s="27" t="s">
        <v>8</v>
      </c>
      <c r="GD387" s="27" t="s">
        <v>7</v>
      </c>
      <c r="GE387" s="27" t="s">
        <v>8</v>
      </c>
      <c r="GF387" s="27" t="s">
        <v>7</v>
      </c>
      <c r="GG387" s="27" t="s">
        <v>8</v>
      </c>
      <c r="GJ387" s="27" t="s">
        <v>7</v>
      </c>
      <c r="GS387" s="27" t="s">
        <v>8</v>
      </c>
      <c r="GT387" s="27" t="s">
        <v>7</v>
      </c>
      <c r="GW387" s="27" t="s">
        <v>8</v>
      </c>
      <c r="GX387" s="27" t="s">
        <v>7</v>
      </c>
      <c r="GY387" s="27" t="s">
        <v>8</v>
      </c>
      <c r="HD387" s="27" t="s">
        <v>7</v>
      </c>
      <c r="HE387" s="27" t="s">
        <v>8</v>
      </c>
      <c r="HN387" s="27" t="s">
        <v>7</v>
      </c>
      <c r="HO387" s="27" t="s">
        <v>8</v>
      </c>
      <c r="HP387" s="27" t="s">
        <v>7</v>
      </c>
      <c r="HR387" s="27" t="s">
        <v>7</v>
      </c>
      <c r="HS387" s="27" t="s">
        <v>8</v>
      </c>
      <c r="HT387" s="27" t="s">
        <v>7</v>
      </c>
      <c r="HU387" s="27" t="s">
        <v>8</v>
      </c>
      <c r="HV387" s="27" t="s">
        <v>7</v>
      </c>
      <c r="HX387" s="27" t="s">
        <v>7</v>
      </c>
    </row>
    <row r="388" spans="1:246" x14ac:dyDescent="0.25">
      <c r="A388" s="7">
        <v>51.455781743832127</v>
      </c>
      <c r="B388"/>
      <c r="C388"/>
      <c r="D388"/>
      <c r="E388" t="s">
        <v>8</v>
      </c>
      <c r="F388" s="27" t="s">
        <v>7</v>
      </c>
      <c r="CE388" s="27" t="s">
        <v>8</v>
      </c>
      <c r="CF388" s="27" t="s">
        <v>7</v>
      </c>
      <c r="CG388" s="27" t="s">
        <v>8</v>
      </c>
      <c r="CH388" s="27" t="s">
        <v>7</v>
      </c>
      <c r="CI388" s="27" t="s">
        <v>8</v>
      </c>
      <c r="CK388" s="27" t="s">
        <v>8</v>
      </c>
      <c r="CL388" s="27" t="s">
        <v>7</v>
      </c>
      <c r="CW388" s="27" t="s">
        <v>8</v>
      </c>
      <c r="CX388" s="27" t="s">
        <v>7</v>
      </c>
      <c r="CY388" s="27" t="s">
        <v>8</v>
      </c>
      <c r="CZ388" s="27" t="s">
        <v>7</v>
      </c>
      <c r="DA388" s="27" t="s">
        <v>8</v>
      </c>
      <c r="DB388" s="27" t="s">
        <v>7</v>
      </c>
      <c r="DC388" s="27" t="s">
        <v>8</v>
      </c>
      <c r="DX388" s="27" t="s">
        <v>7</v>
      </c>
      <c r="DY388" s="27" t="s">
        <v>8</v>
      </c>
      <c r="DZ388" s="27" t="s">
        <v>7</v>
      </c>
      <c r="EA388" s="27" t="s">
        <v>8</v>
      </c>
      <c r="EB388" s="27" t="s">
        <v>7</v>
      </c>
      <c r="EC388" s="27" t="s">
        <v>8</v>
      </c>
      <c r="ED388" s="27" t="s">
        <v>7</v>
      </c>
      <c r="EE388" s="27" t="s">
        <v>8</v>
      </c>
      <c r="EJ388" s="27" t="s">
        <v>7</v>
      </c>
      <c r="EK388" s="27" t="s">
        <v>8</v>
      </c>
      <c r="EL388" s="27" t="s">
        <v>7</v>
      </c>
      <c r="EM388" s="27" t="s">
        <v>8</v>
      </c>
      <c r="EN388" s="27" t="s">
        <v>7</v>
      </c>
      <c r="FM388" s="27" t="s">
        <v>8</v>
      </c>
      <c r="FO388" s="27" t="s">
        <v>8</v>
      </c>
      <c r="FP388" s="27" t="s">
        <v>7</v>
      </c>
      <c r="FQ388" s="27" t="s">
        <v>8</v>
      </c>
      <c r="FR388" s="27" t="s">
        <v>7</v>
      </c>
      <c r="FS388" s="27" t="s">
        <v>8</v>
      </c>
      <c r="FT388" s="27" t="s">
        <v>7</v>
      </c>
      <c r="FU388" s="27" t="s">
        <v>8</v>
      </c>
      <c r="FV388" s="27" t="s">
        <v>7</v>
      </c>
      <c r="FW388" s="27" t="s">
        <v>8</v>
      </c>
      <c r="FX388" s="27" t="s">
        <v>7</v>
      </c>
      <c r="FY388" s="27" t="s">
        <v>8</v>
      </c>
      <c r="GB388" s="27" t="s">
        <v>7</v>
      </c>
      <c r="GC388" s="27" t="s">
        <v>8</v>
      </c>
      <c r="GD388" s="27" t="s">
        <v>7</v>
      </c>
      <c r="GE388" s="27" t="s">
        <v>8</v>
      </c>
      <c r="GF388" s="27" t="s">
        <v>7</v>
      </c>
      <c r="GJ388" s="27" t="s">
        <v>7</v>
      </c>
      <c r="GQ388" s="27" t="s">
        <v>8</v>
      </c>
      <c r="GS388" s="27" t="s">
        <v>8</v>
      </c>
      <c r="GT388" s="27" t="s">
        <v>7</v>
      </c>
      <c r="GU388" s="27" t="s">
        <v>8</v>
      </c>
      <c r="GW388" s="27" t="s">
        <v>8</v>
      </c>
      <c r="GX388" s="27" t="s">
        <v>7</v>
      </c>
      <c r="GY388" s="27" t="s">
        <v>8</v>
      </c>
      <c r="HD388" s="27" t="s">
        <v>7</v>
      </c>
      <c r="HE388" s="27" t="s">
        <v>8</v>
      </c>
      <c r="HN388" s="27" t="s">
        <v>7</v>
      </c>
      <c r="HO388" s="27" t="s">
        <v>8</v>
      </c>
      <c r="HR388" s="27" t="s">
        <v>7</v>
      </c>
      <c r="HS388" s="27" t="s">
        <v>8</v>
      </c>
      <c r="HT388" s="27" t="s">
        <v>7</v>
      </c>
      <c r="HU388" s="27" t="s">
        <v>8</v>
      </c>
      <c r="HX388" s="27" t="s">
        <v>7</v>
      </c>
    </row>
    <row r="389" spans="1:246" x14ac:dyDescent="0.25">
      <c r="A389" s="7">
        <v>50.446844846894244</v>
      </c>
      <c r="B389"/>
      <c r="C389"/>
      <c r="D389"/>
      <c r="E389" t="s">
        <v>8</v>
      </c>
      <c r="F389" s="27" t="s">
        <v>7</v>
      </c>
      <c r="CE389" s="27" t="s">
        <v>8</v>
      </c>
      <c r="CF389" s="27" t="s">
        <v>7</v>
      </c>
      <c r="CH389" s="27" t="s">
        <v>7</v>
      </c>
      <c r="CI389" s="27" t="s">
        <v>8</v>
      </c>
      <c r="CJ389" s="27" t="s">
        <v>7</v>
      </c>
      <c r="CK389" s="27" t="s">
        <v>8</v>
      </c>
      <c r="CL389" s="27" t="s">
        <v>7</v>
      </c>
      <c r="CW389" s="27" t="s">
        <v>8</v>
      </c>
      <c r="CX389" s="27" t="s">
        <v>7</v>
      </c>
      <c r="CY389" s="27" t="s">
        <v>8</v>
      </c>
      <c r="CZ389" s="27" t="s">
        <v>7</v>
      </c>
      <c r="DA389" s="27" t="s">
        <v>8</v>
      </c>
      <c r="DB389" s="27" t="s">
        <v>7</v>
      </c>
      <c r="DC389" s="27" t="s">
        <v>8</v>
      </c>
      <c r="DX389" s="27" t="s">
        <v>7</v>
      </c>
      <c r="DY389" s="27" t="s">
        <v>8</v>
      </c>
      <c r="DZ389" s="27" t="s">
        <v>7</v>
      </c>
      <c r="EA389" s="27" t="s">
        <v>8</v>
      </c>
      <c r="EB389" s="27" t="s">
        <v>7</v>
      </c>
      <c r="EC389" s="27" t="s">
        <v>8</v>
      </c>
      <c r="ED389" s="27" t="s">
        <v>7</v>
      </c>
      <c r="EE389" s="27" t="s">
        <v>8</v>
      </c>
      <c r="EJ389" s="27" t="s">
        <v>7</v>
      </c>
      <c r="EK389" s="27" t="s">
        <v>8</v>
      </c>
      <c r="EL389" s="27" t="s">
        <v>7</v>
      </c>
      <c r="EM389" s="27" t="s">
        <v>8</v>
      </c>
      <c r="EN389" s="27" t="s">
        <v>7</v>
      </c>
      <c r="FM389" s="27" t="s">
        <v>8</v>
      </c>
      <c r="FN389" s="27" t="s">
        <v>7</v>
      </c>
      <c r="FO389" s="27" t="s">
        <v>8</v>
      </c>
      <c r="FP389" s="27" t="s">
        <v>7</v>
      </c>
      <c r="FQ389" s="27" t="s">
        <v>8</v>
      </c>
      <c r="FR389" s="27" t="s">
        <v>7</v>
      </c>
      <c r="FS389" s="27" t="s">
        <v>8</v>
      </c>
      <c r="FT389" s="27" t="s">
        <v>7</v>
      </c>
      <c r="FU389" s="27" t="s">
        <v>8</v>
      </c>
      <c r="FV389" s="27" t="s">
        <v>7</v>
      </c>
      <c r="FX389" s="27" t="s">
        <v>7</v>
      </c>
      <c r="GB389" s="27" t="s">
        <v>7</v>
      </c>
      <c r="GC389" s="27" t="s">
        <v>8</v>
      </c>
      <c r="GD389" s="27" t="s">
        <v>7</v>
      </c>
      <c r="GE389" s="27" t="s">
        <v>8</v>
      </c>
      <c r="GJ389" s="27" t="s">
        <v>7</v>
      </c>
      <c r="GK389" s="27" t="s">
        <v>8</v>
      </c>
      <c r="GQ389" s="27" t="s">
        <v>8</v>
      </c>
      <c r="GR389" s="27" t="s">
        <v>7</v>
      </c>
      <c r="GS389" s="27" t="s">
        <v>8</v>
      </c>
      <c r="GT389" s="27" t="s">
        <v>7</v>
      </c>
      <c r="GU389" s="27" t="s">
        <v>8</v>
      </c>
      <c r="GV389" s="27" t="s">
        <v>7</v>
      </c>
      <c r="GW389" s="27" t="s">
        <v>8</v>
      </c>
      <c r="GX389" s="27" t="s">
        <v>7</v>
      </c>
      <c r="HD389" s="27" t="s">
        <v>7</v>
      </c>
      <c r="HE389" s="27" t="s">
        <v>8</v>
      </c>
      <c r="HN389" s="27" t="s">
        <v>7</v>
      </c>
      <c r="HO389" s="27" t="s">
        <v>8</v>
      </c>
      <c r="HR389" s="27" t="s">
        <v>7</v>
      </c>
      <c r="HT389" s="27" t="s">
        <v>7</v>
      </c>
      <c r="HX389" s="27" t="s">
        <v>7</v>
      </c>
    </row>
    <row r="390" spans="1:246" x14ac:dyDescent="0.25">
      <c r="A390" s="7">
        <v>49.457691026366902</v>
      </c>
      <c r="B390"/>
      <c r="C390"/>
      <c r="D390"/>
      <c r="E390" t="s">
        <v>8</v>
      </c>
      <c r="F390" s="27" t="s">
        <v>7</v>
      </c>
      <c r="CE390" s="27" t="s">
        <v>8</v>
      </c>
      <c r="CH390" s="27" t="s">
        <v>7</v>
      </c>
      <c r="CI390" s="27" t="s">
        <v>8</v>
      </c>
      <c r="CJ390" s="27" t="s">
        <v>7</v>
      </c>
      <c r="CK390" s="27" t="s">
        <v>8</v>
      </c>
      <c r="CL390" s="27" t="s">
        <v>7</v>
      </c>
      <c r="CW390" s="27" t="s">
        <v>8</v>
      </c>
      <c r="CX390" s="27" t="s">
        <v>7</v>
      </c>
      <c r="CY390" s="27" t="s">
        <v>8</v>
      </c>
      <c r="CZ390" s="27" t="s">
        <v>7</v>
      </c>
      <c r="DA390" s="27" t="s">
        <v>8</v>
      </c>
      <c r="DB390" s="27" t="s">
        <v>7</v>
      </c>
      <c r="DC390" s="27" t="s">
        <v>8</v>
      </c>
      <c r="DX390" s="27" t="s">
        <v>7</v>
      </c>
      <c r="DY390" s="27" t="s">
        <v>8</v>
      </c>
      <c r="DZ390" s="27" t="s">
        <v>7</v>
      </c>
      <c r="EA390" s="27" t="s">
        <v>8</v>
      </c>
      <c r="EB390" s="27" t="s">
        <v>7</v>
      </c>
      <c r="EC390" s="27" t="s">
        <v>8</v>
      </c>
      <c r="ED390" s="27" t="s">
        <v>7</v>
      </c>
      <c r="EE390" s="27" t="s">
        <v>8</v>
      </c>
      <c r="EJ390" s="27" t="s">
        <v>7</v>
      </c>
      <c r="EL390" s="27" t="s">
        <v>7</v>
      </c>
      <c r="EM390" s="27" t="s">
        <v>8</v>
      </c>
      <c r="EN390" s="27" t="s">
        <v>7</v>
      </c>
      <c r="FM390" s="27" t="s">
        <v>8</v>
      </c>
      <c r="FN390" s="27" t="s">
        <v>7</v>
      </c>
      <c r="FO390" s="27" t="s">
        <v>8</v>
      </c>
      <c r="FP390" s="27" t="s">
        <v>7</v>
      </c>
      <c r="FR390" s="27" t="s">
        <v>7</v>
      </c>
      <c r="FS390" s="27" t="s">
        <v>8</v>
      </c>
      <c r="FT390" s="27" t="s">
        <v>7</v>
      </c>
      <c r="FU390" s="27" t="s">
        <v>8</v>
      </c>
      <c r="GB390" s="27" t="s">
        <v>7</v>
      </c>
      <c r="GC390" s="27" t="s">
        <v>8</v>
      </c>
      <c r="GD390" s="27" t="s">
        <v>7</v>
      </c>
      <c r="GE390" s="27" t="s">
        <v>8</v>
      </c>
      <c r="GJ390" s="27" t="s">
        <v>7</v>
      </c>
      <c r="GK390" s="27" t="s">
        <v>8</v>
      </c>
      <c r="GL390" s="27" t="s">
        <v>7</v>
      </c>
      <c r="GQ390" s="27" t="s">
        <v>8</v>
      </c>
      <c r="GR390" s="27" t="s">
        <v>7</v>
      </c>
      <c r="GS390" s="27" t="s">
        <v>8</v>
      </c>
      <c r="GT390" s="27" t="s">
        <v>7</v>
      </c>
      <c r="GU390" s="27" t="s">
        <v>8</v>
      </c>
      <c r="GV390" s="27" t="s">
        <v>7</v>
      </c>
      <c r="GW390" s="27" t="s">
        <v>8</v>
      </c>
      <c r="HD390" s="27" t="s">
        <v>7</v>
      </c>
      <c r="HE390" s="27" t="s">
        <v>8</v>
      </c>
      <c r="HN390" s="27" t="s">
        <v>7</v>
      </c>
      <c r="HO390" s="27" t="s">
        <v>8</v>
      </c>
      <c r="HX390" s="27" t="s">
        <v>7</v>
      </c>
    </row>
    <row r="391" spans="1:246" x14ac:dyDescent="0.25">
      <c r="A391" s="7">
        <v>48.487932378791079</v>
      </c>
      <c r="B391"/>
      <c r="C391"/>
      <c r="D391"/>
      <c r="E391" t="s">
        <v>8</v>
      </c>
      <c r="F391" s="27" t="s">
        <v>7</v>
      </c>
      <c r="G391" s="27" t="s">
        <v>8</v>
      </c>
      <c r="CE391" s="27" t="s">
        <v>8</v>
      </c>
      <c r="CH391" s="27" t="s">
        <v>7</v>
      </c>
      <c r="CI391" s="27" t="s">
        <v>8</v>
      </c>
      <c r="CJ391" s="27" t="s">
        <v>7</v>
      </c>
      <c r="CK391" s="27" t="s">
        <v>8</v>
      </c>
      <c r="CL391" s="27" t="s">
        <v>7</v>
      </c>
      <c r="CU391" s="27" t="s">
        <v>8</v>
      </c>
      <c r="CW391" s="27" t="s">
        <v>8</v>
      </c>
      <c r="CX391" s="27" t="s">
        <v>7</v>
      </c>
      <c r="CY391" s="27" t="s">
        <v>8</v>
      </c>
      <c r="CZ391" s="27" t="s">
        <v>7</v>
      </c>
      <c r="DA391" s="27" t="s">
        <v>8</v>
      </c>
      <c r="DB391" s="27" t="s">
        <v>7</v>
      </c>
      <c r="DC391" s="27" t="s">
        <v>8</v>
      </c>
      <c r="DX391" s="27" t="s">
        <v>7</v>
      </c>
      <c r="DY391" s="27" t="s">
        <v>8</v>
      </c>
      <c r="DZ391" s="27" t="s">
        <v>7</v>
      </c>
      <c r="EB391" s="27" t="s">
        <v>7</v>
      </c>
      <c r="EC391" s="27" t="s">
        <v>8</v>
      </c>
      <c r="ED391" s="27" t="s">
        <v>7</v>
      </c>
      <c r="EL391" s="27" t="s">
        <v>7</v>
      </c>
      <c r="EM391" s="27" t="s">
        <v>8</v>
      </c>
      <c r="EN391" s="27" t="s">
        <v>7</v>
      </c>
      <c r="FK391" s="27" t="s">
        <v>8</v>
      </c>
      <c r="FM391" s="27" t="s">
        <v>8</v>
      </c>
      <c r="FN391" s="27" t="s">
        <v>7</v>
      </c>
      <c r="FO391" s="27" t="s">
        <v>8</v>
      </c>
      <c r="FR391" s="27" t="s">
        <v>7</v>
      </c>
      <c r="FS391" s="27" t="s">
        <v>8</v>
      </c>
      <c r="FT391" s="27" t="s">
        <v>7</v>
      </c>
      <c r="GB391" s="27" t="s">
        <v>7</v>
      </c>
      <c r="GC391" s="27" t="s">
        <v>8</v>
      </c>
      <c r="GD391" s="27" t="s">
        <v>7</v>
      </c>
      <c r="GJ391" s="27" t="s">
        <v>7</v>
      </c>
      <c r="GK391" s="27" t="s">
        <v>8</v>
      </c>
      <c r="GL391" s="27" t="s">
        <v>7</v>
      </c>
      <c r="GQ391" s="27" t="s">
        <v>8</v>
      </c>
      <c r="GR391" s="27" t="s">
        <v>7</v>
      </c>
      <c r="GS391" s="27" t="s">
        <v>8</v>
      </c>
      <c r="GT391" s="27" t="s">
        <v>7</v>
      </c>
      <c r="GU391" s="27" t="s">
        <v>8</v>
      </c>
      <c r="GV391" s="27" t="s">
        <v>7</v>
      </c>
      <c r="GW391" s="27" t="s">
        <v>8</v>
      </c>
      <c r="HD391" s="27" t="s">
        <v>7</v>
      </c>
      <c r="HE391" s="27" t="s">
        <v>8</v>
      </c>
      <c r="HN391" s="27" t="s">
        <v>7</v>
      </c>
      <c r="HX391" s="27" t="s">
        <v>7</v>
      </c>
    </row>
    <row r="392" spans="1:246" x14ac:dyDescent="0.25">
      <c r="A392" s="7">
        <v>47.537188606657921</v>
      </c>
      <c r="B392"/>
      <c r="C392"/>
      <c r="D392"/>
      <c r="E392" t="s">
        <v>8</v>
      </c>
      <c r="F392" s="27" t="s">
        <v>7</v>
      </c>
      <c r="G392" s="27" t="s">
        <v>8</v>
      </c>
      <c r="H392" s="27" t="s">
        <v>7</v>
      </c>
      <c r="CE392" s="27" t="s">
        <v>8</v>
      </c>
      <c r="CH392" s="27" t="s">
        <v>7</v>
      </c>
      <c r="CI392" s="27" t="s">
        <v>8</v>
      </c>
      <c r="CJ392" s="27" t="s">
        <v>7</v>
      </c>
      <c r="CK392" s="27" t="s">
        <v>8</v>
      </c>
      <c r="CL392" s="27" t="s">
        <v>7</v>
      </c>
      <c r="CU392" s="27" t="s">
        <v>8</v>
      </c>
      <c r="CV392" s="27" t="s">
        <v>7</v>
      </c>
      <c r="CW392" s="27" t="s">
        <v>8</v>
      </c>
      <c r="CX392" s="27" t="s">
        <v>7</v>
      </c>
      <c r="CY392" s="27" t="s">
        <v>8</v>
      </c>
      <c r="CZ392" s="27" t="s">
        <v>7</v>
      </c>
      <c r="DB392" s="27" t="s">
        <v>7</v>
      </c>
      <c r="DX392" s="27" t="s">
        <v>7</v>
      </c>
      <c r="DY392" s="27" t="s">
        <v>8</v>
      </c>
      <c r="EB392" s="27" t="s">
        <v>7</v>
      </c>
      <c r="EC392" s="27" t="s">
        <v>8</v>
      </c>
      <c r="EL392" s="27" t="s">
        <v>7</v>
      </c>
      <c r="EM392" s="27" t="s">
        <v>8</v>
      </c>
      <c r="EN392" s="27" t="s">
        <v>7</v>
      </c>
      <c r="FK392" s="27" t="s">
        <v>8</v>
      </c>
      <c r="FL392" s="27" t="s">
        <v>7</v>
      </c>
      <c r="FM392" s="27" t="s">
        <v>8</v>
      </c>
      <c r="FN392" s="27" t="s">
        <v>7</v>
      </c>
      <c r="FO392" s="27" t="s">
        <v>8</v>
      </c>
      <c r="FR392" s="27" t="s">
        <v>7</v>
      </c>
      <c r="GB392" s="27" t="s">
        <v>7</v>
      </c>
      <c r="GC392" s="27" t="s">
        <v>8</v>
      </c>
      <c r="GJ392" s="27" t="s">
        <v>7</v>
      </c>
      <c r="GK392" s="27" t="s">
        <v>8</v>
      </c>
      <c r="GL392" s="27" t="s">
        <v>7</v>
      </c>
      <c r="GM392" s="27" t="s">
        <v>8</v>
      </c>
      <c r="GQ392" s="27" t="s">
        <v>8</v>
      </c>
      <c r="GR392" s="27" t="s">
        <v>7</v>
      </c>
      <c r="GS392" s="27" t="s">
        <v>8</v>
      </c>
      <c r="GT392" s="27" t="s">
        <v>7</v>
      </c>
      <c r="GV392" s="27" t="s">
        <v>7</v>
      </c>
      <c r="GW392" s="27" t="s">
        <v>8</v>
      </c>
      <c r="HD392" s="27" t="s">
        <v>7</v>
      </c>
      <c r="HE392" s="27" t="s">
        <v>8</v>
      </c>
      <c r="HX392" s="27" t="s">
        <v>7</v>
      </c>
    </row>
    <row r="393" spans="1:246" x14ac:dyDescent="0.25">
      <c r="A393" s="7">
        <v>46.605086869272469</v>
      </c>
      <c r="B393"/>
      <c r="C393"/>
      <c r="D393"/>
      <c r="E393" t="s">
        <v>8</v>
      </c>
      <c r="F393" s="27" t="s">
        <v>7</v>
      </c>
      <c r="G393" s="27" t="s">
        <v>8</v>
      </c>
      <c r="H393" s="27" t="s">
        <v>7</v>
      </c>
      <c r="M393" s="27" t="s">
        <v>8</v>
      </c>
      <c r="CE393" s="27" t="s">
        <v>8</v>
      </c>
      <c r="CH393" s="27" t="s">
        <v>7</v>
      </c>
      <c r="CI393" s="27" t="s">
        <v>8</v>
      </c>
      <c r="CJ393" s="27" t="s">
        <v>7</v>
      </c>
      <c r="CK393" s="27" t="s">
        <v>8</v>
      </c>
      <c r="CL393" s="27" t="s">
        <v>7</v>
      </c>
      <c r="CS393" s="27" t="s">
        <v>8</v>
      </c>
      <c r="CU393" s="27" t="s">
        <v>8</v>
      </c>
      <c r="CV393" s="27" t="s">
        <v>7</v>
      </c>
      <c r="CW393" s="27" t="s">
        <v>8</v>
      </c>
      <c r="CX393" s="27" t="s">
        <v>7</v>
      </c>
      <c r="DX393" s="27" t="s">
        <v>7</v>
      </c>
      <c r="DY393" s="27" t="s">
        <v>8</v>
      </c>
      <c r="EB393" s="27" t="s">
        <v>7</v>
      </c>
      <c r="EC393" s="27" t="s">
        <v>8</v>
      </c>
      <c r="EL393" s="27" t="s">
        <v>7</v>
      </c>
      <c r="EM393" s="27" t="s">
        <v>8</v>
      </c>
      <c r="EN393" s="27" t="s">
        <v>7</v>
      </c>
      <c r="FK393" s="27" t="s">
        <v>8</v>
      </c>
      <c r="FL393" s="27" t="s">
        <v>7</v>
      </c>
      <c r="FM393" s="27" t="s">
        <v>8</v>
      </c>
      <c r="FN393" s="27" t="s">
        <v>7</v>
      </c>
      <c r="FO393" s="27" t="s">
        <v>8</v>
      </c>
      <c r="GB393" s="27" t="s">
        <v>7</v>
      </c>
      <c r="GC393" s="27" t="s">
        <v>8</v>
      </c>
      <c r="GJ393" s="27" t="s">
        <v>7</v>
      </c>
      <c r="GK393" s="27" t="s">
        <v>8</v>
      </c>
      <c r="GL393" s="27" t="s">
        <v>7</v>
      </c>
      <c r="GM393" s="27" t="s">
        <v>8</v>
      </c>
      <c r="GN393" s="27" t="s">
        <v>7</v>
      </c>
      <c r="GQ393" s="27" t="s">
        <v>8</v>
      </c>
      <c r="GR393" s="27" t="s">
        <v>7</v>
      </c>
      <c r="GS393" s="27" t="s">
        <v>8</v>
      </c>
      <c r="GV393" s="27" t="s">
        <v>7</v>
      </c>
      <c r="GW393" s="27" t="s">
        <v>8</v>
      </c>
      <c r="HD393" s="27" t="s">
        <v>7</v>
      </c>
      <c r="HE393" s="27" t="s">
        <v>8</v>
      </c>
      <c r="HX393" s="27" t="s">
        <v>7</v>
      </c>
    </row>
    <row r="394" spans="1:246" x14ac:dyDescent="0.25">
      <c r="A394" s="7">
        <v>45.691261636541633</v>
      </c>
      <c r="B394"/>
      <c r="C394"/>
      <c r="D394"/>
      <c r="E394" t="s">
        <v>8</v>
      </c>
      <c r="F394" s="27" t="s">
        <v>7</v>
      </c>
      <c r="G394" s="27" t="s">
        <v>8</v>
      </c>
      <c r="H394" s="27" t="s">
        <v>7</v>
      </c>
      <c r="M394" s="27" t="s">
        <v>8</v>
      </c>
      <c r="N394" s="27" t="s">
        <v>7</v>
      </c>
      <c r="CE394" s="27" t="s">
        <v>8</v>
      </c>
      <c r="CH394" s="27" t="s">
        <v>7</v>
      </c>
      <c r="CI394" s="27" t="s">
        <v>8</v>
      </c>
      <c r="CJ394" s="27" t="s">
        <v>7</v>
      </c>
      <c r="CK394" s="27" t="s">
        <v>8</v>
      </c>
      <c r="CL394" s="27" t="s">
        <v>7</v>
      </c>
      <c r="CS394" s="27" t="s">
        <v>8</v>
      </c>
      <c r="CT394" s="27" t="s">
        <v>7</v>
      </c>
      <c r="CU394" s="27" t="s">
        <v>8</v>
      </c>
      <c r="CV394" s="27" t="s">
        <v>7</v>
      </c>
      <c r="CW394" s="27" t="s">
        <v>8</v>
      </c>
      <c r="DX394" s="27" t="s">
        <v>7</v>
      </c>
      <c r="DY394" s="27" t="s">
        <v>8</v>
      </c>
      <c r="EB394" s="27" t="s">
        <v>7</v>
      </c>
      <c r="EC394" s="27" t="s">
        <v>8</v>
      </c>
      <c r="EL394" s="27" t="s">
        <v>7</v>
      </c>
      <c r="EM394" s="27" t="s">
        <v>8</v>
      </c>
      <c r="EN394" s="27" t="s">
        <v>7</v>
      </c>
      <c r="FK394" s="27" t="s">
        <v>8</v>
      </c>
      <c r="FL394" s="27" t="s">
        <v>7</v>
      </c>
      <c r="FM394" s="27" t="s">
        <v>8</v>
      </c>
      <c r="FN394" s="27" t="s">
        <v>7</v>
      </c>
      <c r="FO394" s="27" t="s">
        <v>8</v>
      </c>
      <c r="GB394" s="27" t="s">
        <v>7</v>
      </c>
      <c r="GC394" s="27" t="s">
        <v>8</v>
      </c>
      <c r="GJ394" s="27" t="s">
        <v>7</v>
      </c>
      <c r="GK394" s="27" t="s">
        <v>8</v>
      </c>
      <c r="GL394" s="27" t="s">
        <v>7</v>
      </c>
      <c r="GM394" s="27" t="s">
        <v>8</v>
      </c>
      <c r="GN394" s="27" t="s">
        <v>7</v>
      </c>
      <c r="GQ394" s="27" t="s">
        <v>8</v>
      </c>
      <c r="GR394" s="27" t="s">
        <v>7</v>
      </c>
      <c r="GV394" s="27" t="s">
        <v>7</v>
      </c>
      <c r="GW394" s="27" t="s">
        <v>8</v>
      </c>
      <c r="HD394" s="27" t="s">
        <v>7</v>
      </c>
      <c r="HE394" s="27" t="s">
        <v>8</v>
      </c>
      <c r="HX394" s="27" t="s">
        <v>7</v>
      </c>
    </row>
    <row r="395" spans="1:246" x14ac:dyDescent="0.25">
      <c r="A395" s="7">
        <v>44.795354545629053</v>
      </c>
      <c r="B395"/>
      <c r="C395"/>
      <c r="D395"/>
      <c r="E395" t="s">
        <v>8</v>
      </c>
      <c r="F395" s="27" t="s">
        <v>7</v>
      </c>
      <c r="G395" s="27" t="s">
        <v>8</v>
      </c>
      <c r="H395" s="27" t="s">
        <v>7</v>
      </c>
      <c r="I395" s="27" t="s">
        <v>8</v>
      </c>
      <c r="M395" s="27" t="s">
        <v>8</v>
      </c>
      <c r="N395" s="27" t="s">
        <v>7</v>
      </c>
      <c r="CE395" s="27" t="s">
        <v>8</v>
      </c>
      <c r="CH395" s="27" t="s">
        <v>7</v>
      </c>
      <c r="CI395" s="27" t="s">
        <v>8</v>
      </c>
      <c r="CJ395" s="27" t="s">
        <v>7</v>
      </c>
      <c r="CK395" s="27" t="s">
        <v>8</v>
      </c>
      <c r="CL395" s="27" t="s">
        <v>7</v>
      </c>
      <c r="CS395" s="27" t="s">
        <v>8</v>
      </c>
      <c r="CT395" s="27" t="s">
        <v>7</v>
      </c>
      <c r="CU395" s="27" t="s">
        <v>8</v>
      </c>
      <c r="CV395" s="27" t="s">
        <v>7</v>
      </c>
      <c r="CW395" s="27" t="s">
        <v>8</v>
      </c>
      <c r="DX395" s="27" t="s">
        <v>7</v>
      </c>
      <c r="DY395" s="27" t="s">
        <v>8</v>
      </c>
      <c r="EB395" s="27" t="s">
        <v>7</v>
      </c>
      <c r="EC395" s="27" t="s">
        <v>8</v>
      </c>
      <c r="EL395" s="27" t="s">
        <v>7</v>
      </c>
      <c r="EM395" s="27" t="s">
        <v>8</v>
      </c>
      <c r="EN395" s="27" t="s">
        <v>7</v>
      </c>
      <c r="EU395" s="27" t="s">
        <v>8</v>
      </c>
      <c r="FG395" s="27" t="s">
        <v>8</v>
      </c>
      <c r="FK395" s="27" t="s">
        <v>8</v>
      </c>
      <c r="FL395" s="27" t="s">
        <v>7</v>
      </c>
      <c r="FM395" s="27" t="s">
        <v>8</v>
      </c>
      <c r="FN395" s="27" t="s">
        <v>7</v>
      </c>
      <c r="GB395" s="27" t="s">
        <v>7</v>
      </c>
      <c r="GC395" s="27" t="s">
        <v>8</v>
      </c>
      <c r="GJ395" s="27" t="s">
        <v>7</v>
      </c>
      <c r="GK395" s="27" t="s">
        <v>8</v>
      </c>
      <c r="GL395" s="27" t="s">
        <v>7</v>
      </c>
      <c r="GM395" s="27" t="s">
        <v>8</v>
      </c>
      <c r="GN395" s="27" t="s">
        <v>7</v>
      </c>
      <c r="GQ395" s="27" t="s">
        <v>8</v>
      </c>
      <c r="GV395" s="27" t="s">
        <v>7</v>
      </c>
      <c r="GW395" s="27" t="s">
        <v>8</v>
      </c>
      <c r="HD395" s="27" t="s">
        <v>7</v>
      </c>
      <c r="HE395" s="27" t="s">
        <v>8</v>
      </c>
      <c r="HX395" s="27" t="s">
        <v>7</v>
      </c>
    </row>
    <row r="396" spans="1:246" x14ac:dyDescent="0.25">
      <c r="A396" s="7">
        <v>43.917014260420636</v>
      </c>
      <c r="B396"/>
      <c r="C396"/>
      <c r="D396"/>
      <c r="E396" t="s">
        <v>8</v>
      </c>
      <c r="F396" s="27" t="s">
        <v>7</v>
      </c>
      <c r="G396" s="27" t="s">
        <v>8</v>
      </c>
      <c r="H396" s="27" t="s">
        <v>7</v>
      </c>
      <c r="I396" s="27" t="s">
        <v>8</v>
      </c>
      <c r="J396" s="27" t="s">
        <v>7</v>
      </c>
      <c r="M396" s="27" t="s">
        <v>8</v>
      </c>
      <c r="N396" s="27" t="s">
        <v>7</v>
      </c>
      <c r="CE396" s="27" t="s">
        <v>8</v>
      </c>
      <c r="CH396" s="27" t="s">
        <v>7</v>
      </c>
      <c r="CI396" s="27" t="s">
        <v>8</v>
      </c>
      <c r="CJ396" s="27" t="s">
        <v>7</v>
      </c>
      <c r="CK396" s="27" t="s">
        <v>8</v>
      </c>
      <c r="CL396" s="27" t="s">
        <v>7</v>
      </c>
      <c r="CS396" s="27" t="s">
        <v>8</v>
      </c>
      <c r="CT396" s="27" t="s">
        <v>7</v>
      </c>
      <c r="CU396" s="27" t="s">
        <v>8</v>
      </c>
      <c r="CV396" s="27" t="s">
        <v>7</v>
      </c>
      <c r="CW396" s="27" t="s">
        <v>8</v>
      </c>
      <c r="DX396" s="27" t="s">
        <v>7</v>
      </c>
      <c r="DY396" s="27" t="s">
        <v>8</v>
      </c>
      <c r="EB396" s="27" t="s">
        <v>7</v>
      </c>
      <c r="EC396" s="27" t="s">
        <v>8</v>
      </c>
      <c r="EL396" s="27" t="s">
        <v>7</v>
      </c>
      <c r="EM396" s="27" t="s">
        <v>8</v>
      </c>
      <c r="EN396" s="27" t="s">
        <v>7</v>
      </c>
      <c r="EQ396" s="27" t="s">
        <v>8</v>
      </c>
      <c r="EU396" s="27" t="s">
        <v>8</v>
      </c>
      <c r="EV396" s="27" t="s">
        <v>7</v>
      </c>
      <c r="FG396" s="27" t="s">
        <v>8</v>
      </c>
      <c r="FH396" s="27" t="s">
        <v>7</v>
      </c>
      <c r="FK396" s="27" t="s">
        <v>8</v>
      </c>
      <c r="FL396" s="27" t="s">
        <v>7</v>
      </c>
      <c r="FM396" s="27" t="s">
        <v>8</v>
      </c>
      <c r="GB396" s="27" t="s">
        <v>7</v>
      </c>
      <c r="GC396" s="27" t="s">
        <v>8</v>
      </c>
      <c r="GJ396" s="27" t="s">
        <v>7</v>
      </c>
      <c r="GK396" s="27" t="s">
        <v>8</v>
      </c>
      <c r="GL396" s="27" t="s">
        <v>7</v>
      </c>
      <c r="GM396" s="27" t="s">
        <v>8</v>
      </c>
      <c r="GN396" s="27" t="s">
        <v>7</v>
      </c>
      <c r="GO396" s="27" t="s">
        <v>8</v>
      </c>
      <c r="GQ396" s="27" t="s">
        <v>8</v>
      </c>
      <c r="GV396" s="27" t="s">
        <v>7</v>
      </c>
      <c r="GW396" s="27" t="s">
        <v>8</v>
      </c>
      <c r="HD396" s="27" t="s">
        <v>7</v>
      </c>
      <c r="HX396" s="27" t="s">
        <v>7</v>
      </c>
    </row>
    <row r="397" spans="1:246" x14ac:dyDescent="0.25">
      <c r="A397" s="7">
        <v>43.055896333745721</v>
      </c>
      <c r="B397"/>
      <c r="C397"/>
      <c r="D397"/>
      <c r="E397" t="s">
        <v>8</v>
      </c>
      <c r="F397" s="27" t="s">
        <v>7</v>
      </c>
      <c r="G397" s="27" t="s">
        <v>8</v>
      </c>
      <c r="H397" s="27" t="s">
        <v>7</v>
      </c>
      <c r="I397" s="27" t="s">
        <v>8</v>
      </c>
      <c r="J397" s="27" t="s">
        <v>7</v>
      </c>
      <c r="M397" s="27" t="s">
        <v>8</v>
      </c>
      <c r="N397" s="27" t="s">
        <v>7</v>
      </c>
      <c r="CE397" s="27" t="s">
        <v>8</v>
      </c>
      <c r="CH397" s="27" t="s">
        <v>7</v>
      </c>
      <c r="CI397" s="27" t="s">
        <v>8</v>
      </c>
      <c r="CJ397" s="27" t="s">
        <v>7</v>
      </c>
      <c r="CK397" s="27" t="s">
        <v>8</v>
      </c>
      <c r="CL397" s="27" t="s">
        <v>7</v>
      </c>
      <c r="CM397" s="27" t="s">
        <v>8</v>
      </c>
      <c r="CS397" s="27" t="s">
        <v>8</v>
      </c>
      <c r="CT397" s="27" t="s">
        <v>7</v>
      </c>
      <c r="CU397" s="27" t="s">
        <v>8</v>
      </c>
      <c r="CV397" s="27" t="s">
        <v>7</v>
      </c>
      <c r="CW397" s="27" t="s">
        <v>8</v>
      </c>
      <c r="DX397" s="27" t="s">
        <v>7</v>
      </c>
      <c r="DY397" s="27" t="s">
        <v>8</v>
      </c>
      <c r="EB397" s="27" t="s">
        <v>7</v>
      </c>
      <c r="EC397" s="27" t="s">
        <v>8</v>
      </c>
      <c r="EL397" s="27" t="s">
        <v>7</v>
      </c>
      <c r="EN397" s="27" t="s">
        <v>7</v>
      </c>
      <c r="EQ397" s="27" t="s">
        <v>8</v>
      </c>
      <c r="ER397" s="27" t="s">
        <v>7</v>
      </c>
      <c r="EU397" s="27" t="s">
        <v>8</v>
      </c>
      <c r="EV397" s="27" t="s">
        <v>7</v>
      </c>
      <c r="FG397" s="27" t="s">
        <v>8</v>
      </c>
      <c r="FH397" s="27" t="s">
        <v>7</v>
      </c>
      <c r="FK397" s="27" t="s">
        <v>8</v>
      </c>
      <c r="FL397" s="27" t="s">
        <v>7</v>
      </c>
      <c r="FM397" s="27" t="s">
        <v>8</v>
      </c>
      <c r="GB397" s="27" t="s">
        <v>7</v>
      </c>
      <c r="GC397" s="27" t="s">
        <v>8</v>
      </c>
      <c r="GJ397" s="27" t="s">
        <v>7</v>
      </c>
      <c r="GK397" s="27" t="s">
        <v>8</v>
      </c>
      <c r="GL397" s="27" t="s">
        <v>7</v>
      </c>
      <c r="GM397" s="27" t="s">
        <v>8</v>
      </c>
      <c r="GN397" s="27" t="s">
        <v>7</v>
      </c>
      <c r="GO397" s="27" t="s">
        <v>8</v>
      </c>
      <c r="GP397" s="27" t="s">
        <v>7</v>
      </c>
      <c r="GQ397" s="27" t="s">
        <v>8</v>
      </c>
      <c r="GV397" s="27" t="s">
        <v>7</v>
      </c>
      <c r="GW397" s="27" t="s">
        <v>8</v>
      </c>
      <c r="HX397" s="27" t="s">
        <v>7</v>
      </c>
    </row>
    <row r="398" spans="1:246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G398" s="27" t="s">
        <v>8</v>
      </c>
      <c r="H398" s="27" t="s">
        <v>7</v>
      </c>
      <c r="I398" s="27" t="s">
        <v>8</v>
      </c>
      <c r="J398" s="27" t="s">
        <v>7</v>
      </c>
      <c r="M398" s="27" t="s">
        <v>8</v>
      </c>
      <c r="N398" s="27" t="s">
        <v>7</v>
      </c>
      <c r="CC398" s="27" t="s">
        <v>8</v>
      </c>
      <c r="CE398" s="27" t="s">
        <v>8</v>
      </c>
      <c r="CH398" s="27" t="s">
        <v>7</v>
      </c>
      <c r="CI398" s="27" t="s">
        <v>8</v>
      </c>
      <c r="CJ398" s="27" t="s">
        <v>7</v>
      </c>
      <c r="CK398" s="27" t="s">
        <v>8</v>
      </c>
      <c r="CL398" s="27" t="s">
        <v>7</v>
      </c>
      <c r="CM398" s="27" t="s">
        <v>8</v>
      </c>
      <c r="CN398" s="27" t="s">
        <v>7</v>
      </c>
      <c r="CS398" s="27" t="s">
        <v>8</v>
      </c>
      <c r="CT398" s="27" t="s">
        <v>7</v>
      </c>
      <c r="CU398" s="27" t="s">
        <v>8</v>
      </c>
      <c r="CV398" s="27" t="s">
        <v>7</v>
      </c>
      <c r="CW398" s="27" t="s">
        <v>8</v>
      </c>
      <c r="DX398" s="27" t="s">
        <v>7</v>
      </c>
      <c r="DY398" s="27" t="s">
        <v>8</v>
      </c>
      <c r="EB398" s="27" t="s">
        <v>7</v>
      </c>
      <c r="EC398" s="27" t="s">
        <v>8</v>
      </c>
      <c r="EN398" s="27" t="s">
        <v>7</v>
      </c>
      <c r="EQ398" s="27" t="s">
        <v>8</v>
      </c>
      <c r="ER398" s="27" t="s">
        <v>7</v>
      </c>
      <c r="EU398" s="27" t="s">
        <v>8</v>
      </c>
      <c r="EV398" s="27" t="s">
        <v>7</v>
      </c>
      <c r="EW398" s="27" t="s">
        <v>8</v>
      </c>
      <c r="FG398" s="27" t="s">
        <v>8</v>
      </c>
      <c r="FH398" s="27" t="s">
        <v>7</v>
      </c>
      <c r="FI398" s="27" t="s">
        <v>8</v>
      </c>
      <c r="FK398" s="27" t="s">
        <v>8</v>
      </c>
      <c r="FL398" s="27" t="s">
        <v>7</v>
      </c>
      <c r="FM398" s="27" t="s">
        <v>8</v>
      </c>
      <c r="GB398" s="27" t="s">
        <v>7</v>
      </c>
      <c r="GC398" s="27" t="s">
        <v>8</v>
      </c>
      <c r="GJ398" s="27" t="s">
        <v>7</v>
      </c>
      <c r="GK398" s="27" t="s">
        <v>8</v>
      </c>
      <c r="GL398" s="27" t="s">
        <v>7</v>
      </c>
      <c r="GM398" s="27" t="s">
        <v>8</v>
      </c>
      <c r="GN398" s="27" t="s">
        <v>7</v>
      </c>
      <c r="GO398" s="27" t="s">
        <v>8</v>
      </c>
      <c r="GP398" s="27" t="s">
        <v>7</v>
      </c>
      <c r="GQ398" s="27" t="s">
        <v>8</v>
      </c>
      <c r="GV398" s="27" t="s">
        <v>7</v>
      </c>
      <c r="HX398" s="27" t="s">
        <v>7</v>
      </c>
    </row>
    <row r="399" spans="1:246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G399" s="27" t="s">
        <v>8</v>
      </c>
      <c r="H399" s="27" t="s">
        <v>7</v>
      </c>
      <c r="I399" s="27" t="s">
        <v>8</v>
      </c>
      <c r="J399" s="27" t="s">
        <v>7</v>
      </c>
      <c r="M399" s="27" t="s">
        <v>8</v>
      </c>
      <c r="N399" s="27" t="s">
        <v>7</v>
      </c>
      <c r="O399" s="27" t="s">
        <v>8</v>
      </c>
      <c r="CC399" s="27" t="s">
        <v>8</v>
      </c>
      <c r="CD399" s="27" t="s">
        <v>7</v>
      </c>
      <c r="CE399" s="27" t="s">
        <v>8</v>
      </c>
      <c r="CH399" s="27" t="s">
        <v>7</v>
      </c>
      <c r="CI399" s="27" t="s">
        <v>8</v>
      </c>
      <c r="CJ399" s="27" t="s">
        <v>7</v>
      </c>
      <c r="CK399" s="27" t="s">
        <v>8</v>
      </c>
      <c r="CL399" s="27" t="s">
        <v>7</v>
      </c>
      <c r="CM399" s="27" t="s">
        <v>8</v>
      </c>
      <c r="CN399" s="27" t="s">
        <v>7</v>
      </c>
      <c r="CS399" s="27" t="s">
        <v>8</v>
      </c>
      <c r="CT399" s="27" t="s">
        <v>7</v>
      </c>
      <c r="CU399" s="27" t="s">
        <v>8</v>
      </c>
      <c r="CV399" s="27" t="s">
        <v>7</v>
      </c>
      <c r="DX399" s="27" t="s">
        <v>7</v>
      </c>
      <c r="DY399" s="27" t="s">
        <v>8</v>
      </c>
      <c r="EB399" s="27" t="s">
        <v>7</v>
      </c>
      <c r="EC399" s="27" t="s">
        <v>8</v>
      </c>
      <c r="EN399" s="27" t="s">
        <v>7</v>
      </c>
      <c r="EQ399" s="27" t="s">
        <v>8</v>
      </c>
      <c r="ER399" s="27" t="s">
        <v>7</v>
      </c>
      <c r="EU399" s="27" t="s">
        <v>8</v>
      </c>
      <c r="EV399" s="27" t="s">
        <v>7</v>
      </c>
      <c r="EW399" s="27" t="s">
        <v>8</v>
      </c>
      <c r="EX399" s="27" t="s">
        <v>7</v>
      </c>
      <c r="FG399" s="27" t="s">
        <v>8</v>
      </c>
      <c r="FH399" s="27" t="s">
        <v>7</v>
      </c>
      <c r="FI399" s="27" t="s">
        <v>8</v>
      </c>
      <c r="FJ399" s="27" t="s">
        <v>7</v>
      </c>
      <c r="FK399" s="27" t="s">
        <v>8</v>
      </c>
      <c r="FL399" s="27" t="s">
        <v>7</v>
      </c>
      <c r="GB399" s="27" t="s">
        <v>7</v>
      </c>
      <c r="GC399" s="27" t="s">
        <v>8</v>
      </c>
      <c r="GJ399" s="27" t="s">
        <v>7</v>
      </c>
      <c r="GK399" s="27" t="s">
        <v>8</v>
      </c>
      <c r="GL399" s="27" t="s">
        <v>7</v>
      </c>
      <c r="GM399" s="27" t="s">
        <v>8</v>
      </c>
      <c r="GN399" s="27" t="s">
        <v>7</v>
      </c>
      <c r="GP399" s="27" t="s">
        <v>7</v>
      </c>
      <c r="HX399" s="27" t="s">
        <v>7</v>
      </c>
      <c r="IK399" s="27" t="s">
        <v>8</v>
      </c>
    </row>
    <row r="400" spans="1:246" x14ac:dyDescent="0.25">
      <c r="A400" s="7">
        <v>40.572532749230803</v>
      </c>
      <c r="B400"/>
      <c r="C400"/>
      <c r="D400"/>
      <c r="E400" t="s">
        <v>8</v>
      </c>
      <c r="F400" s="27" t="s">
        <v>7</v>
      </c>
      <c r="H400" s="27" t="s">
        <v>7</v>
      </c>
      <c r="I400" s="27" t="s">
        <v>8</v>
      </c>
      <c r="J400" s="27" t="s">
        <v>7</v>
      </c>
      <c r="M400" s="27" t="s">
        <v>8</v>
      </c>
      <c r="N400" s="27" t="s">
        <v>7</v>
      </c>
      <c r="O400" s="27" t="s">
        <v>8</v>
      </c>
      <c r="P400" s="27" t="s">
        <v>7</v>
      </c>
      <c r="CC400" s="27" t="s">
        <v>8</v>
      </c>
      <c r="CD400" s="27" t="s">
        <v>7</v>
      </c>
      <c r="CE400" s="27" t="s">
        <v>8</v>
      </c>
      <c r="CH400" s="27" t="s">
        <v>7</v>
      </c>
      <c r="CI400" s="27" t="s">
        <v>8</v>
      </c>
      <c r="CJ400" s="27" t="s">
        <v>7</v>
      </c>
      <c r="CL400" s="27" t="s">
        <v>7</v>
      </c>
      <c r="CM400" s="27" t="s">
        <v>8</v>
      </c>
      <c r="CN400" s="27" t="s">
        <v>7</v>
      </c>
      <c r="CS400" s="27" t="s">
        <v>8</v>
      </c>
      <c r="CT400" s="27" t="s">
        <v>7</v>
      </c>
      <c r="CU400" s="27" t="s">
        <v>8</v>
      </c>
      <c r="DX400" s="27" t="s">
        <v>7</v>
      </c>
      <c r="EB400" s="27" t="s">
        <v>7</v>
      </c>
      <c r="EC400" s="27" t="s">
        <v>8</v>
      </c>
      <c r="EN400" s="27" t="s">
        <v>7</v>
      </c>
      <c r="EQ400" s="27" t="s">
        <v>8</v>
      </c>
      <c r="ER400" s="27" t="s">
        <v>7</v>
      </c>
      <c r="ES400" s="27" t="s">
        <v>8</v>
      </c>
      <c r="EU400" s="27" t="s">
        <v>8</v>
      </c>
      <c r="EV400" s="27" t="s">
        <v>7</v>
      </c>
      <c r="EW400" s="27" t="s">
        <v>8</v>
      </c>
      <c r="EX400" s="27" t="s">
        <v>7</v>
      </c>
      <c r="FG400" s="27" t="s">
        <v>8</v>
      </c>
      <c r="FH400" s="27" t="s">
        <v>7</v>
      </c>
      <c r="FI400" s="27" t="s">
        <v>8</v>
      </c>
      <c r="FJ400" s="27" t="s">
        <v>7</v>
      </c>
      <c r="FK400" s="27" t="s">
        <v>8</v>
      </c>
      <c r="GB400" s="27" t="s">
        <v>7</v>
      </c>
      <c r="GJ400" s="27" t="s">
        <v>7</v>
      </c>
      <c r="GL400" s="27" t="s">
        <v>7</v>
      </c>
      <c r="HX400" s="27" t="s">
        <v>7</v>
      </c>
      <c r="IK400" s="27" t="s">
        <v>8</v>
      </c>
      <c r="IL400" s="27" t="s">
        <v>7</v>
      </c>
    </row>
    <row r="401" spans="1:254" x14ac:dyDescent="0.25">
      <c r="A401" s="7">
        <v>39.776992891402749</v>
      </c>
      <c r="B401"/>
      <c r="C401"/>
      <c r="D401"/>
      <c r="E401" t="s">
        <v>8</v>
      </c>
      <c r="H401" s="27" t="s">
        <v>7</v>
      </c>
      <c r="I401" s="27" t="s">
        <v>8</v>
      </c>
      <c r="J401" s="27" t="s">
        <v>7</v>
      </c>
      <c r="K401" s="27" t="s">
        <v>8</v>
      </c>
      <c r="M401" s="27" t="s">
        <v>8</v>
      </c>
      <c r="N401" s="27" t="s">
        <v>7</v>
      </c>
      <c r="O401" s="27" t="s">
        <v>8</v>
      </c>
      <c r="P401" s="27" t="s">
        <v>7</v>
      </c>
      <c r="CC401" s="27" t="s">
        <v>8</v>
      </c>
      <c r="CD401" s="27" t="s">
        <v>7</v>
      </c>
      <c r="CE401" s="27" t="s">
        <v>8</v>
      </c>
      <c r="CH401" s="27" t="s">
        <v>7</v>
      </c>
      <c r="CI401" s="27" t="s">
        <v>8</v>
      </c>
      <c r="CL401" s="27" t="s">
        <v>7</v>
      </c>
      <c r="CM401" s="27" t="s">
        <v>8</v>
      </c>
      <c r="CN401" s="27" t="s">
        <v>7</v>
      </c>
      <c r="CQ401" s="27" t="s">
        <v>8</v>
      </c>
      <c r="CS401" s="27" t="s">
        <v>8</v>
      </c>
      <c r="CT401" s="27" t="s">
        <v>7</v>
      </c>
      <c r="CU401" s="27" t="s">
        <v>8</v>
      </c>
      <c r="EB401" s="27" t="s">
        <v>7</v>
      </c>
      <c r="EC401" s="27" t="s">
        <v>8</v>
      </c>
      <c r="EN401" s="27" t="s">
        <v>7</v>
      </c>
      <c r="EQ401" s="27" t="s">
        <v>8</v>
      </c>
      <c r="ER401" s="27" t="s">
        <v>7</v>
      </c>
      <c r="ES401" s="27" t="s">
        <v>8</v>
      </c>
      <c r="ET401" s="27" t="s">
        <v>7</v>
      </c>
      <c r="EU401" s="27" t="s">
        <v>8</v>
      </c>
      <c r="EV401" s="27" t="s">
        <v>7</v>
      </c>
      <c r="EW401" s="27" t="s">
        <v>8</v>
      </c>
      <c r="EX401" s="27" t="s">
        <v>7</v>
      </c>
      <c r="FG401" s="27" t="s">
        <v>8</v>
      </c>
      <c r="FH401" s="27" t="s">
        <v>7</v>
      </c>
      <c r="FI401" s="27" t="s">
        <v>8</v>
      </c>
      <c r="FJ401" s="27" t="s">
        <v>7</v>
      </c>
      <c r="FK401" s="27" t="s">
        <v>8</v>
      </c>
      <c r="HX401" s="27" t="s">
        <v>7</v>
      </c>
      <c r="HY401" s="27" t="s">
        <v>8</v>
      </c>
      <c r="IK401" s="27" t="s">
        <v>8</v>
      </c>
      <c r="IL401" s="27" t="s">
        <v>7</v>
      </c>
    </row>
    <row r="402" spans="1:254" x14ac:dyDescent="0.25">
      <c r="A402" s="7">
        <v>38.997051854316418</v>
      </c>
      <c r="B402"/>
      <c r="C402"/>
      <c r="D402"/>
      <c r="E402" t="s">
        <v>8</v>
      </c>
      <c r="H402" s="27" t="s">
        <v>7</v>
      </c>
      <c r="I402" s="27" t="s">
        <v>8</v>
      </c>
      <c r="J402" s="27" t="s">
        <v>7</v>
      </c>
      <c r="K402" s="27" t="s">
        <v>8</v>
      </c>
      <c r="L402" s="27" t="s">
        <v>7</v>
      </c>
      <c r="M402" s="27" t="s">
        <v>8</v>
      </c>
      <c r="N402" s="27" t="s">
        <v>7</v>
      </c>
      <c r="O402" s="27" t="s">
        <v>8</v>
      </c>
      <c r="P402" s="27" t="s">
        <v>7</v>
      </c>
      <c r="CC402" s="27" t="s">
        <v>8</v>
      </c>
      <c r="CD402" s="27" t="s">
        <v>7</v>
      </c>
      <c r="CE402" s="27" t="s">
        <v>8</v>
      </c>
      <c r="CH402" s="27" t="s">
        <v>7</v>
      </c>
      <c r="CI402" s="27" t="s">
        <v>8</v>
      </c>
      <c r="CL402" s="27" t="s">
        <v>7</v>
      </c>
      <c r="CM402" s="27" t="s">
        <v>8</v>
      </c>
      <c r="CN402" s="27" t="s">
        <v>7</v>
      </c>
      <c r="CQ402" s="27" t="s">
        <v>8</v>
      </c>
      <c r="CR402" s="27" t="s">
        <v>7</v>
      </c>
      <c r="CS402" s="27" t="s">
        <v>8</v>
      </c>
      <c r="CT402" s="27" t="s">
        <v>7</v>
      </c>
      <c r="CU402" s="27" t="s">
        <v>8</v>
      </c>
      <c r="EB402" s="27" t="s">
        <v>7</v>
      </c>
      <c r="EC402" s="27" t="s">
        <v>8</v>
      </c>
      <c r="EN402" s="27" t="s">
        <v>7</v>
      </c>
      <c r="EO402" s="27" t="s">
        <v>8</v>
      </c>
      <c r="EQ402" s="27" t="s">
        <v>8</v>
      </c>
      <c r="ER402" s="27" t="s">
        <v>7</v>
      </c>
      <c r="ES402" s="27" t="s">
        <v>8</v>
      </c>
      <c r="ET402" s="27" t="s">
        <v>7</v>
      </c>
      <c r="EU402" s="27" t="s">
        <v>8</v>
      </c>
      <c r="EV402" s="27" t="s">
        <v>7</v>
      </c>
      <c r="EW402" s="27" t="s">
        <v>8</v>
      </c>
      <c r="EX402" s="27" t="s">
        <v>7</v>
      </c>
      <c r="FG402" s="27" t="s">
        <v>8</v>
      </c>
      <c r="FH402" s="27" t="s">
        <v>7</v>
      </c>
      <c r="FI402" s="27" t="s">
        <v>8</v>
      </c>
      <c r="FJ402" s="27" t="s">
        <v>7</v>
      </c>
      <c r="FK402" s="27" t="s">
        <v>8</v>
      </c>
      <c r="HX402" s="27" t="s">
        <v>7</v>
      </c>
      <c r="HY402" s="27" t="s">
        <v>8</v>
      </c>
      <c r="HZ402" s="27" t="s">
        <v>7</v>
      </c>
      <c r="IA402" s="27" t="s">
        <v>8</v>
      </c>
      <c r="IK402" s="27" t="s">
        <v>8</v>
      </c>
      <c r="IL402" s="27" t="s">
        <v>7</v>
      </c>
      <c r="IM402" s="27" t="s">
        <v>8</v>
      </c>
    </row>
    <row r="403" spans="1:254" x14ac:dyDescent="0.25">
      <c r="A403" s="7">
        <v>38.232403778741585</v>
      </c>
      <c r="B403"/>
      <c r="C403"/>
      <c r="D403"/>
      <c r="E403" t="s">
        <v>8</v>
      </c>
      <c r="H403" s="27" t="s">
        <v>7</v>
      </c>
      <c r="I403" s="27" t="s">
        <v>8</v>
      </c>
      <c r="J403" s="27" t="s">
        <v>7</v>
      </c>
      <c r="K403" s="27" t="s">
        <v>8</v>
      </c>
      <c r="L403" s="27" t="s">
        <v>7</v>
      </c>
      <c r="M403" s="27" t="s">
        <v>8</v>
      </c>
      <c r="N403" s="27" t="s">
        <v>7</v>
      </c>
      <c r="O403" s="27" t="s">
        <v>8</v>
      </c>
      <c r="P403" s="27" t="s">
        <v>7</v>
      </c>
      <c r="CC403" s="27" t="s">
        <v>8</v>
      </c>
      <c r="CD403" s="27" t="s">
        <v>7</v>
      </c>
      <c r="CE403" s="27" t="s">
        <v>8</v>
      </c>
      <c r="CH403" s="27" t="s">
        <v>7</v>
      </c>
      <c r="CI403" s="27" t="s">
        <v>8</v>
      </c>
      <c r="CL403" s="27" t="s">
        <v>7</v>
      </c>
      <c r="CM403" s="27" t="s">
        <v>8</v>
      </c>
      <c r="CN403" s="27" t="s">
        <v>7</v>
      </c>
      <c r="CQ403" s="27" t="s">
        <v>8</v>
      </c>
      <c r="CR403" s="27" t="s">
        <v>7</v>
      </c>
      <c r="CS403" s="27" t="s">
        <v>8</v>
      </c>
      <c r="CT403" s="27" t="s">
        <v>7</v>
      </c>
      <c r="EB403" s="27" t="s">
        <v>7</v>
      </c>
      <c r="EC403" s="27" t="s">
        <v>8</v>
      </c>
      <c r="EN403" s="27" t="s">
        <v>7</v>
      </c>
      <c r="EO403" s="27" t="s">
        <v>8</v>
      </c>
      <c r="EP403" s="27" t="s">
        <v>7</v>
      </c>
      <c r="EQ403" s="27" t="s">
        <v>8</v>
      </c>
      <c r="ER403" s="27" t="s">
        <v>7</v>
      </c>
      <c r="ES403" s="27" t="s">
        <v>8</v>
      </c>
      <c r="ET403" s="27" t="s">
        <v>7</v>
      </c>
      <c r="EU403" s="27" t="s">
        <v>8</v>
      </c>
      <c r="EV403" s="27" t="s">
        <v>7</v>
      </c>
      <c r="EW403" s="27" t="s">
        <v>8</v>
      </c>
      <c r="EX403" s="27" t="s">
        <v>7</v>
      </c>
      <c r="FE403" s="27" t="s">
        <v>8</v>
      </c>
      <c r="FG403" s="27" t="s">
        <v>8</v>
      </c>
      <c r="FH403" s="27" t="s">
        <v>7</v>
      </c>
      <c r="FJ403" s="27" t="s">
        <v>7</v>
      </c>
      <c r="HX403" s="27" t="s">
        <v>7</v>
      </c>
      <c r="HY403" s="27" t="s">
        <v>8</v>
      </c>
      <c r="HZ403" s="27" t="s">
        <v>7</v>
      </c>
      <c r="IA403" s="27" t="s">
        <v>8</v>
      </c>
      <c r="IB403" s="27" t="s">
        <v>7</v>
      </c>
      <c r="IK403" s="27" t="s">
        <v>8</v>
      </c>
      <c r="IL403" s="27" t="s">
        <v>7</v>
      </c>
      <c r="IM403" s="27" t="s">
        <v>8</v>
      </c>
      <c r="IN403" s="27" t="s">
        <v>7</v>
      </c>
    </row>
    <row r="404" spans="1:254" x14ac:dyDescent="0.25">
      <c r="A404" s="7">
        <v>37.48274880268783</v>
      </c>
      <c r="B404"/>
      <c r="C404"/>
      <c r="D404"/>
      <c r="E404" t="s">
        <v>8</v>
      </c>
      <c r="H404" s="27" t="s">
        <v>7</v>
      </c>
      <c r="I404" s="27" t="s">
        <v>8</v>
      </c>
      <c r="J404" s="27" t="s">
        <v>7</v>
      </c>
      <c r="K404" s="27" t="s">
        <v>8</v>
      </c>
      <c r="L404" s="27" t="s">
        <v>7</v>
      </c>
      <c r="M404" s="27" t="s">
        <v>8</v>
      </c>
      <c r="N404" s="27" t="s">
        <v>7</v>
      </c>
      <c r="O404" s="27" t="s">
        <v>8</v>
      </c>
      <c r="P404" s="27" t="s">
        <v>7</v>
      </c>
      <c r="CC404" s="27" t="s">
        <v>8</v>
      </c>
      <c r="CD404" s="27" t="s">
        <v>7</v>
      </c>
      <c r="CE404" s="27" t="s">
        <v>8</v>
      </c>
      <c r="CH404" s="27" t="s">
        <v>7</v>
      </c>
      <c r="CI404" s="27" t="s">
        <v>8</v>
      </c>
      <c r="CL404" s="27" t="s">
        <v>7</v>
      </c>
      <c r="CM404" s="27" t="s">
        <v>8</v>
      </c>
      <c r="CN404" s="27" t="s">
        <v>7</v>
      </c>
      <c r="CQ404" s="27" t="s">
        <v>8</v>
      </c>
      <c r="CR404" s="27" t="s">
        <v>7</v>
      </c>
      <c r="CS404" s="27" t="s">
        <v>8</v>
      </c>
      <c r="EB404" s="27" t="s">
        <v>7</v>
      </c>
      <c r="EC404" s="27" t="s">
        <v>8</v>
      </c>
      <c r="EN404" s="27" t="s">
        <v>7</v>
      </c>
      <c r="EO404" s="27" t="s">
        <v>8</v>
      </c>
      <c r="EP404" s="27" t="s">
        <v>7</v>
      </c>
      <c r="EQ404" s="27" t="s">
        <v>8</v>
      </c>
      <c r="ER404" s="27" t="s">
        <v>7</v>
      </c>
      <c r="ES404" s="27" t="s">
        <v>8</v>
      </c>
      <c r="ET404" s="27" t="s">
        <v>7</v>
      </c>
      <c r="EU404" s="27" t="s">
        <v>8</v>
      </c>
      <c r="EV404" s="27" t="s">
        <v>7</v>
      </c>
      <c r="EW404" s="27" t="s">
        <v>8</v>
      </c>
      <c r="EX404" s="27" t="s">
        <v>7</v>
      </c>
      <c r="FE404" s="27" t="s">
        <v>8</v>
      </c>
      <c r="FF404" s="27" t="s">
        <v>7</v>
      </c>
      <c r="FG404" s="27" t="s">
        <v>8</v>
      </c>
      <c r="HX404" s="27" t="s">
        <v>7</v>
      </c>
      <c r="HY404" s="27" t="s">
        <v>8</v>
      </c>
      <c r="HZ404" s="27" t="s">
        <v>7</v>
      </c>
      <c r="IA404" s="27" t="s">
        <v>8</v>
      </c>
      <c r="IB404" s="27" t="s">
        <v>7</v>
      </c>
      <c r="IK404" s="27" t="s">
        <v>8</v>
      </c>
      <c r="IL404" s="27" t="s">
        <v>7</v>
      </c>
      <c r="IM404" s="27" t="s">
        <v>8</v>
      </c>
      <c r="IN404" s="27" t="s">
        <v>7</v>
      </c>
    </row>
    <row r="405" spans="1:254" x14ac:dyDescent="0.25">
      <c r="A405" s="7">
        <v>36.747792943811596</v>
      </c>
      <c r="B405"/>
      <c r="C405"/>
      <c r="D405"/>
      <c r="E405" t="s">
        <v>8</v>
      </c>
      <c r="H405" s="27" t="s">
        <v>7</v>
      </c>
      <c r="I405" s="27" t="s">
        <v>8</v>
      </c>
      <c r="J405" s="27" t="s">
        <v>7</v>
      </c>
      <c r="K405" s="27" t="s">
        <v>8</v>
      </c>
      <c r="L405" s="27" t="s">
        <v>7</v>
      </c>
      <c r="M405" s="27" t="s">
        <v>8</v>
      </c>
      <c r="N405" s="27" t="s">
        <v>7</v>
      </c>
      <c r="O405" s="27" t="s">
        <v>8</v>
      </c>
      <c r="P405" s="27" t="s">
        <v>7</v>
      </c>
      <c r="BY405" s="27" t="s">
        <v>8</v>
      </c>
      <c r="CC405" s="27" t="s">
        <v>8</v>
      </c>
      <c r="CD405" s="27" t="s">
        <v>7</v>
      </c>
      <c r="CE405" s="27" t="s">
        <v>8</v>
      </c>
      <c r="CH405" s="27" t="s">
        <v>7</v>
      </c>
      <c r="CI405" s="27" t="s">
        <v>8</v>
      </c>
      <c r="CL405" s="27" t="s">
        <v>7</v>
      </c>
      <c r="CM405" s="27" t="s">
        <v>8</v>
      </c>
      <c r="CN405" s="27" t="s">
        <v>7</v>
      </c>
      <c r="CO405" s="27" t="s">
        <v>8</v>
      </c>
      <c r="CQ405" s="27" t="s">
        <v>8</v>
      </c>
      <c r="CR405" s="27" t="s">
        <v>7</v>
      </c>
      <c r="CS405" s="27" t="s">
        <v>8</v>
      </c>
      <c r="EB405" s="27" t="s">
        <v>7</v>
      </c>
      <c r="EC405" s="27" t="s">
        <v>8</v>
      </c>
      <c r="EN405" s="27" t="s">
        <v>7</v>
      </c>
      <c r="EO405" s="27" t="s">
        <v>8</v>
      </c>
      <c r="EP405" s="27" t="s">
        <v>7</v>
      </c>
      <c r="EQ405" s="27" t="s">
        <v>8</v>
      </c>
      <c r="ER405" s="27" t="s">
        <v>7</v>
      </c>
      <c r="ES405" s="27" t="s">
        <v>8</v>
      </c>
      <c r="ET405" s="27" t="s">
        <v>7</v>
      </c>
      <c r="EV405" s="27" t="s">
        <v>7</v>
      </c>
      <c r="EX405" s="27" t="s">
        <v>7</v>
      </c>
      <c r="EY405" s="27" t="s">
        <v>8</v>
      </c>
      <c r="FE405" s="27" t="s">
        <v>8</v>
      </c>
      <c r="FF405" s="27" t="s">
        <v>7</v>
      </c>
      <c r="FG405" s="27" t="s">
        <v>8</v>
      </c>
      <c r="HX405" s="27" t="s">
        <v>7</v>
      </c>
      <c r="HY405" s="27" t="s">
        <v>8</v>
      </c>
      <c r="HZ405" s="27" t="s">
        <v>7</v>
      </c>
      <c r="IA405" s="27" t="s">
        <v>8</v>
      </c>
      <c r="IB405" s="27" t="s">
        <v>7</v>
      </c>
      <c r="IC405" s="27" t="s">
        <v>8</v>
      </c>
      <c r="II405" s="27" t="s">
        <v>8</v>
      </c>
      <c r="IK405" s="27" t="s">
        <v>8</v>
      </c>
      <c r="IL405" s="27" t="s">
        <v>7</v>
      </c>
      <c r="IM405" s="27" t="s">
        <v>8</v>
      </c>
      <c r="IN405" s="27" t="s">
        <v>7</v>
      </c>
    </row>
    <row r="406" spans="1:254" x14ac:dyDescent="0.25">
      <c r="A406" s="7">
        <v>36.027247984129012</v>
      </c>
      <c r="B406"/>
      <c r="C406"/>
      <c r="D406"/>
      <c r="E406" t="s">
        <v>8</v>
      </c>
      <c r="H406" s="27" t="s">
        <v>7</v>
      </c>
      <c r="I406" s="27" t="s">
        <v>8</v>
      </c>
      <c r="J406" s="27" t="s">
        <v>7</v>
      </c>
      <c r="K406" s="27" t="s">
        <v>8</v>
      </c>
      <c r="L406" s="27" t="s">
        <v>7</v>
      </c>
      <c r="M406" s="27" t="s">
        <v>8</v>
      </c>
      <c r="N406" s="27" t="s">
        <v>7</v>
      </c>
      <c r="P406" s="27" t="s">
        <v>7</v>
      </c>
      <c r="BY406" s="27" t="s">
        <v>8</v>
      </c>
      <c r="BZ406" s="27" t="s">
        <v>7</v>
      </c>
      <c r="CC406" s="27" t="s">
        <v>8</v>
      </c>
      <c r="CD406" s="27" t="s">
        <v>7</v>
      </c>
      <c r="CE406" s="27" t="s">
        <v>8</v>
      </c>
      <c r="CH406" s="27" t="s">
        <v>7</v>
      </c>
      <c r="CI406" s="27" t="s">
        <v>8</v>
      </c>
      <c r="CL406" s="27" t="s">
        <v>7</v>
      </c>
      <c r="CM406" s="27" t="s">
        <v>8</v>
      </c>
      <c r="CN406" s="27" t="s">
        <v>7</v>
      </c>
      <c r="CO406" s="27" t="s">
        <v>8</v>
      </c>
      <c r="CP406" s="27" t="s">
        <v>7</v>
      </c>
      <c r="CQ406" s="27" t="s">
        <v>8</v>
      </c>
      <c r="CR406" s="27" t="s">
        <v>7</v>
      </c>
      <c r="EB406" s="27" t="s">
        <v>7</v>
      </c>
      <c r="EC406" s="27" t="s">
        <v>8</v>
      </c>
      <c r="EN406" s="27" t="s">
        <v>7</v>
      </c>
      <c r="EO406" s="27" t="s">
        <v>8</v>
      </c>
      <c r="EP406" s="27" t="s">
        <v>7</v>
      </c>
      <c r="EQ406" s="27" t="s">
        <v>8</v>
      </c>
      <c r="ER406" s="27" t="s">
        <v>7</v>
      </c>
      <c r="ES406" s="27" t="s">
        <v>8</v>
      </c>
      <c r="EX406" s="27" t="s">
        <v>7</v>
      </c>
      <c r="EY406" s="27" t="s">
        <v>8</v>
      </c>
      <c r="EZ406" s="27" t="s">
        <v>7</v>
      </c>
      <c r="FE406" s="27" t="s">
        <v>8</v>
      </c>
      <c r="FF406" s="27" t="s">
        <v>7</v>
      </c>
      <c r="FG406" s="27" t="s">
        <v>8</v>
      </c>
      <c r="HX406" s="27" t="s">
        <v>7</v>
      </c>
      <c r="HY406" s="27" t="s">
        <v>8</v>
      </c>
      <c r="HZ406" s="27" t="s">
        <v>7</v>
      </c>
      <c r="IA406" s="27" t="s">
        <v>8</v>
      </c>
      <c r="IB406" s="27" t="s">
        <v>7</v>
      </c>
      <c r="IC406" s="27" t="s">
        <v>8</v>
      </c>
      <c r="ID406" s="27" t="s">
        <v>7</v>
      </c>
      <c r="II406" s="27" t="s">
        <v>8</v>
      </c>
      <c r="IJ406" s="27" t="s">
        <v>7</v>
      </c>
      <c r="IK406" s="27" t="s">
        <v>8</v>
      </c>
      <c r="IL406" s="27" t="s">
        <v>7</v>
      </c>
      <c r="IM406" s="27" t="s">
        <v>8</v>
      </c>
      <c r="IN406" s="27" t="s">
        <v>7</v>
      </c>
    </row>
    <row r="407" spans="1:254" x14ac:dyDescent="0.25">
      <c r="A407" s="7">
        <v>35.320831356989224</v>
      </c>
      <c r="B407"/>
      <c r="C407"/>
      <c r="D407"/>
      <c r="E407" t="s">
        <v>8</v>
      </c>
      <c r="H407" s="27" t="s">
        <v>7</v>
      </c>
      <c r="I407" s="27" t="s">
        <v>8</v>
      </c>
      <c r="J407" s="27" t="s">
        <v>7</v>
      </c>
      <c r="K407" s="27" t="s">
        <v>8</v>
      </c>
      <c r="L407" s="27" t="s">
        <v>7</v>
      </c>
      <c r="M407" s="27" t="s">
        <v>8</v>
      </c>
      <c r="P407" s="27" t="s">
        <v>7</v>
      </c>
      <c r="BU407" s="27" t="s">
        <v>8</v>
      </c>
      <c r="BY407" s="27" t="s">
        <v>8</v>
      </c>
      <c r="BZ407" s="27" t="s">
        <v>7</v>
      </c>
      <c r="CC407" s="27" t="s">
        <v>8</v>
      </c>
      <c r="CD407" s="27" t="s">
        <v>7</v>
      </c>
      <c r="CE407" s="27" t="s">
        <v>8</v>
      </c>
      <c r="CH407" s="27" t="s">
        <v>7</v>
      </c>
      <c r="CL407" s="27" t="s">
        <v>7</v>
      </c>
      <c r="CM407" s="27" t="s">
        <v>8</v>
      </c>
      <c r="CN407" s="27" t="s">
        <v>7</v>
      </c>
      <c r="CO407" s="27" t="s">
        <v>8</v>
      </c>
      <c r="CP407" s="27" t="s">
        <v>7</v>
      </c>
      <c r="CQ407" s="27" t="s">
        <v>8</v>
      </c>
      <c r="EB407" s="27" t="s">
        <v>7</v>
      </c>
      <c r="EC407" s="27" t="s">
        <v>8</v>
      </c>
      <c r="EN407" s="27" t="s">
        <v>7</v>
      </c>
      <c r="EO407" s="27" t="s">
        <v>8</v>
      </c>
      <c r="EP407" s="27" t="s">
        <v>7</v>
      </c>
      <c r="EQ407" s="27" t="s">
        <v>8</v>
      </c>
      <c r="ER407" s="27" t="s">
        <v>7</v>
      </c>
      <c r="ES407" s="27" t="s">
        <v>8</v>
      </c>
      <c r="EX407" s="27" t="s">
        <v>7</v>
      </c>
      <c r="EY407" s="27" t="s">
        <v>8</v>
      </c>
      <c r="EZ407" s="27" t="s">
        <v>7</v>
      </c>
      <c r="FC407" s="27" t="s">
        <v>8</v>
      </c>
      <c r="FE407" s="27" t="s">
        <v>8</v>
      </c>
      <c r="FF407" s="27" t="s">
        <v>7</v>
      </c>
      <c r="FG407" s="27" t="s">
        <v>8</v>
      </c>
      <c r="HX407" s="27" t="s">
        <v>7</v>
      </c>
      <c r="HY407" s="27" t="s">
        <v>8</v>
      </c>
      <c r="HZ407" s="27" t="s">
        <v>7</v>
      </c>
      <c r="IA407" s="27" t="s">
        <v>8</v>
      </c>
      <c r="IB407" s="27" t="s">
        <v>7</v>
      </c>
      <c r="IC407" s="27" t="s">
        <v>8</v>
      </c>
      <c r="ID407" s="27" t="s">
        <v>7</v>
      </c>
      <c r="II407" s="27" t="s">
        <v>8</v>
      </c>
      <c r="IJ407" s="27" t="s">
        <v>7</v>
      </c>
      <c r="IK407" s="27" t="s">
        <v>8</v>
      </c>
      <c r="IL407" s="27" t="s">
        <v>7</v>
      </c>
      <c r="IM407" s="27" t="s">
        <v>8</v>
      </c>
      <c r="IN407" s="27" t="s">
        <v>7</v>
      </c>
    </row>
    <row r="408" spans="1:254" x14ac:dyDescent="0.25">
      <c r="A408" s="7">
        <v>34.628266036263945</v>
      </c>
      <c r="B408"/>
      <c r="C408"/>
      <c r="D408"/>
      <c r="E408" t="s">
        <v>8</v>
      </c>
      <c r="H408" s="27" t="s">
        <v>7</v>
      </c>
      <c r="I408" s="27" t="s">
        <v>8</v>
      </c>
      <c r="J408" s="27" t="s">
        <v>7</v>
      </c>
      <c r="K408" s="27" t="s">
        <v>8</v>
      </c>
      <c r="L408" s="27" t="s">
        <v>7</v>
      </c>
      <c r="M408" s="27" t="s">
        <v>8</v>
      </c>
      <c r="P408" s="27" t="s">
        <v>7</v>
      </c>
      <c r="AQ408" s="27" t="s">
        <v>8</v>
      </c>
      <c r="BU408" s="27" t="s">
        <v>8</v>
      </c>
      <c r="BV408" s="27" t="s">
        <v>7</v>
      </c>
      <c r="BY408" s="27" t="s">
        <v>8</v>
      </c>
      <c r="BZ408" s="27" t="s">
        <v>7</v>
      </c>
      <c r="CC408" s="27" t="s">
        <v>8</v>
      </c>
      <c r="CD408" s="27" t="s">
        <v>7</v>
      </c>
      <c r="CE408" s="27" t="s">
        <v>8</v>
      </c>
      <c r="CL408" s="27" t="s">
        <v>7</v>
      </c>
      <c r="CM408" s="27" t="s">
        <v>8</v>
      </c>
      <c r="CN408" s="27" t="s">
        <v>7</v>
      </c>
      <c r="CO408" s="27" t="s">
        <v>8</v>
      </c>
      <c r="CP408" s="27" t="s">
        <v>7</v>
      </c>
      <c r="CQ408" s="27" t="s">
        <v>8</v>
      </c>
      <c r="EB408" s="27" t="s">
        <v>7</v>
      </c>
      <c r="EC408" s="27" t="s">
        <v>8</v>
      </c>
      <c r="EN408" s="27" t="s">
        <v>7</v>
      </c>
      <c r="EO408" s="27" t="s">
        <v>8</v>
      </c>
      <c r="EP408" s="27" t="s">
        <v>7</v>
      </c>
      <c r="EQ408" s="27" t="s">
        <v>8</v>
      </c>
      <c r="ER408" s="27" t="s">
        <v>7</v>
      </c>
      <c r="EX408" s="27" t="s">
        <v>7</v>
      </c>
      <c r="EY408" s="27" t="s">
        <v>8</v>
      </c>
      <c r="EZ408" s="27" t="s">
        <v>7</v>
      </c>
      <c r="FC408" s="27" t="s">
        <v>8</v>
      </c>
      <c r="FD408" s="27" t="s">
        <v>7</v>
      </c>
      <c r="FE408" s="27" t="s">
        <v>8</v>
      </c>
      <c r="FF408" s="27" t="s">
        <v>7</v>
      </c>
      <c r="FG408" s="27" t="s">
        <v>8</v>
      </c>
      <c r="HX408" s="27" t="s">
        <v>7</v>
      </c>
      <c r="HY408" s="27" t="s">
        <v>8</v>
      </c>
      <c r="HZ408" s="27" t="s">
        <v>7</v>
      </c>
      <c r="IA408" s="27" t="s">
        <v>8</v>
      </c>
      <c r="IB408" s="27" t="s">
        <v>7</v>
      </c>
      <c r="IC408" s="27" t="s">
        <v>8</v>
      </c>
      <c r="ID408" s="27" t="s">
        <v>7</v>
      </c>
      <c r="IG408" s="27" t="s">
        <v>8</v>
      </c>
      <c r="II408" s="27" t="s">
        <v>8</v>
      </c>
      <c r="IJ408" s="27" t="s">
        <v>7</v>
      </c>
      <c r="IL408" s="27" t="s">
        <v>7</v>
      </c>
      <c r="IM408" s="27" t="s">
        <v>8</v>
      </c>
      <c r="IN408" s="27" t="s">
        <v>7</v>
      </c>
    </row>
    <row r="409" spans="1:254" x14ac:dyDescent="0.25">
      <c r="A409" s="7">
        <v>33.949280427709752</v>
      </c>
      <c r="B409"/>
      <c r="C409"/>
      <c r="D409"/>
      <c r="E409" t="s">
        <v>8</v>
      </c>
      <c r="H409" s="27" t="s">
        <v>7</v>
      </c>
      <c r="I409" s="27" t="s">
        <v>8</v>
      </c>
      <c r="J409" s="27" t="s">
        <v>7</v>
      </c>
      <c r="K409" s="27" t="s">
        <v>8</v>
      </c>
      <c r="L409" s="27" t="s">
        <v>7</v>
      </c>
      <c r="M409" s="27" t="s">
        <v>8</v>
      </c>
      <c r="P409" s="27" t="s">
        <v>7</v>
      </c>
      <c r="Q409" s="27" t="s">
        <v>8</v>
      </c>
      <c r="AQ409" s="27" t="s">
        <v>8</v>
      </c>
      <c r="AR409" s="27" t="s">
        <v>7</v>
      </c>
      <c r="BU409" s="27" t="s">
        <v>8</v>
      </c>
      <c r="BV409" s="27" t="s">
        <v>7</v>
      </c>
      <c r="BY409" s="27" t="s">
        <v>8</v>
      </c>
      <c r="BZ409" s="27" t="s">
        <v>7</v>
      </c>
      <c r="CA409" s="27" t="s">
        <v>8</v>
      </c>
      <c r="CC409" s="27" t="s">
        <v>8</v>
      </c>
      <c r="CD409" s="27" t="s">
        <v>7</v>
      </c>
      <c r="CL409" s="27" t="s">
        <v>7</v>
      </c>
      <c r="CM409" s="27" t="s">
        <v>8</v>
      </c>
      <c r="CN409" s="27" t="s">
        <v>7</v>
      </c>
      <c r="CO409" s="27" t="s">
        <v>8</v>
      </c>
      <c r="CP409" s="27" t="s">
        <v>7</v>
      </c>
      <c r="CQ409" s="27" t="s">
        <v>8</v>
      </c>
      <c r="EB409" s="27" t="s">
        <v>7</v>
      </c>
      <c r="EN409" s="27" t="s">
        <v>7</v>
      </c>
      <c r="EO409" s="27" t="s">
        <v>8</v>
      </c>
      <c r="EP409" s="27" t="s">
        <v>7</v>
      </c>
      <c r="EQ409" s="27" t="s">
        <v>8</v>
      </c>
      <c r="EX409" s="27" t="s">
        <v>7</v>
      </c>
      <c r="EY409" s="27" t="s">
        <v>8</v>
      </c>
      <c r="EZ409" s="27" t="s">
        <v>7</v>
      </c>
      <c r="FC409" s="27" t="s">
        <v>8</v>
      </c>
      <c r="FD409" s="27" t="s">
        <v>7</v>
      </c>
      <c r="FE409" s="27" t="s">
        <v>8</v>
      </c>
      <c r="FF409" s="27" t="s">
        <v>7</v>
      </c>
      <c r="HX409" s="27" t="s">
        <v>7</v>
      </c>
      <c r="HY409" s="27" t="s">
        <v>8</v>
      </c>
      <c r="HZ409" s="27" t="s">
        <v>7</v>
      </c>
      <c r="IA409" s="27" t="s">
        <v>8</v>
      </c>
      <c r="IB409" s="27" t="s">
        <v>7</v>
      </c>
      <c r="IC409" s="27" t="s">
        <v>8</v>
      </c>
      <c r="ID409" s="27" t="s">
        <v>7</v>
      </c>
      <c r="IG409" s="27" t="s">
        <v>8</v>
      </c>
      <c r="IH409" s="27" t="s">
        <v>7</v>
      </c>
      <c r="II409" s="27" t="s">
        <v>8</v>
      </c>
      <c r="IL409" s="27" t="s">
        <v>7</v>
      </c>
      <c r="IM409" s="27" t="s">
        <v>8</v>
      </c>
      <c r="IN409" s="27" t="s">
        <v>7</v>
      </c>
    </row>
    <row r="410" spans="1:254" x14ac:dyDescent="0.25">
      <c r="A410" s="7">
        <v>33.28360826246054</v>
      </c>
      <c r="B410"/>
      <c r="C410"/>
      <c r="D410"/>
      <c r="E410" t="s">
        <v>8</v>
      </c>
      <c r="H410" s="27" t="s">
        <v>7</v>
      </c>
      <c r="I410" s="27" t="s">
        <v>8</v>
      </c>
      <c r="J410" s="27" t="s">
        <v>7</v>
      </c>
      <c r="K410" s="27" t="s">
        <v>8</v>
      </c>
      <c r="L410" s="27" t="s">
        <v>7</v>
      </c>
      <c r="M410" s="27" t="s">
        <v>8</v>
      </c>
      <c r="P410" s="27" t="s">
        <v>7</v>
      </c>
      <c r="Q410" s="27" t="s">
        <v>8</v>
      </c>
      <c r="R410" s="27" t="s">
        <v>7</v>
      </c>
      <c r="AQ410" s="27" t="s">
        <v>8</v>
      </c>
      <c r="AR410" s="27" t="s">
        <v>7</v>
      </c>
      <c r="BU410" s="27" t="s">
        <v>8</v>
      </c>
      <c r="BV410" s="27" t="s">
        <v>7</v>
      </c>
      <c r="BY410" s="27" t="s">
        <v>8</v>
      </c>
      <c r="BZ410" s="27" t="s">
        <v>7</v>
      </c>
      <c r="CA410" s="27" t="s">
        <v>8</v>
      </c>
      <c r="CB410" s="27" t="s">
        <v>7</v>
      </c>
      <c r="CC410" s="27" t="s">
        <v>8</v>
      </c>
      <c r="CL410" s="27" t="s">
        <v>7</v>
      </c>
      <c r="CM410" s="27" t="s">
        <v>8</v>
      </c>
      <c r="CN410" s="27" t="s">
        <v>7</v>
      </c>
      <c r="CO410" s="27" t="s">
        <v>8</v>
      </c>
      <c r="CP410" s="27" t="s">
        <v>7</v>
      </c>
      <c r="CQ410" s="27" t="s">
        <v>8</v>
      </c>
      <c r="EN410" s="27" t="s">
        <v>7</v>
      </c>
      <c r="EO410" s="27" t="s">
        <v>8</v>
      </c>
      <c r="EP410" s="27" t="s">
        <v>7</v>
      </c>
      <c r="EQ410" s="27" t="s">
        <v>8</v>
      </c>
      <c r="EX410" s="27" t="s">
        <v>7</v>
      </c>
      <c r="EZ410" s="27" t="s">
        <v>7</v>
      </c>
      <c r="FA410" s="27" t="s">
        <v>8</v>
      </c>
      <c r="FC410" s="27" t="s">
        <v>8</v>
      </c>
      <c r="FD410" s="27" t="s">
        <v>7</v>
      </c>
      <c r="HX410" s="27" t="s">
        <v>7</v>
      </c>
      <c r="HY410" s="27" t="s">
        <v>8</v>
      </c>
      <c r="HZ410" s="27" t="s">
        <v>7</v>
      </c>
      <c r="IB410" s="27" t="s">
        <v>7</v>
      </c>
      <c r="ID410" s="27" t="s">
        <v>7</v>
      </c>
      <c r="IE410" s="27" t="s">
        <v>8</v>
      </c>
      <c r="IG410" s="27" t="s">
        <v>8</v>
      </c>
      <c r="IH410" s="27" t="s">
        <v>7</v>
      </c>
      <c r="II410" s="27" t="s">
        <v>8</v>
      </c>
      <c r="IL410" s="27" t="s">
        <v>7</v>
      </c>
      <c r="IM410" s="27" t="s">
        <v>8</v>
      </c>
      <c r="IN410" s="27" t="s">
        <v>7</v>
      </c>
    </row>
    <row r="411" spans="1:254" x14ac:dyDescent="0.25">
      <c r="A411" s="7">
        <v>32.630988492608374</v>
      </c>
      <c r="B411"/>
      <c r="C411"/>
      <c r="D411"/>
      <c r="E411" t="s">
        <v>8</v>
      </c>
      <c r="H411" s="27" t="s">
        <v>7</v>
      </c>
      <c r="I411" s="27" t="s">
        <v>8</v>
      </c>
      <c r="J411" s="27" t="s">
        <v>7</v>
      </c>
      <c r="K411" s="27" t="s">
        <v>8</v>
      </c>
      <c r="L411" s="27" t="s">
        <v>7</v>
      </c>
      <c r="P411" s="27" t="s">
        <v>7</v>
      </c>
      <c r="Q411" s="27" t="s">
        <v>8</v>
      </c>
      <c r="R411" s="27" t="s">
        <v>7</v>
      </c>
      <c r="AQ411" s="27" t="s">
        <v>8</v>
      </c>
      <c r="AR411" s="27" t="s">
        <v>7</v>
      </c>
      <c r="BU411" s="27" t="s">
        <v>8</v>
      </c>
      <c r="BV411" s="27" t="s">
        <v>7</v>
      </c>
      <c r="BW411" s="27" t="s">
        <v>8</v>
      </c>
      <c r="BY411" s="27" t="s">
        <v>8</v>
      </c>
      <c r="BZ411" s="27" t="s">
        <v>7</v>
      </c>
      <c r="CA411" s="27" t="s">
        <v>8</v>
      </c>
      <c r="CB411" s="27" t="s">
        <v>7</v>
      </c>
      <c r="CC411" s="27" t="s">
        <v>8</v>
      </c>
      <c r="CL411" s="27" t="s">
        <v>7</v>
      </c>
      <c r="CM411" s="27" t="s">
        <v>8</v>
      </c>
      <c r="CN411" s="27" t="s">
        <v>7</v>
      </c>
      <c r="CO411" s="27" t="s">
        <v>8</v>
      </c>
      <c r="CP411" s="27" t="s">
        <v>7</v>
      </c>
      <c r="CQ411" s="27" t="s">
        <v>8</v>
      </c>
      <c r="EN411" s="27" t="s">
        <v>7</v>
      </c>
      <c r="EO411" s="27" t="s">
        <v>8</v>
      </c>
      <c r="EP411" s="27" t="s">
        <v>7</v>
      </c>
      <c r="EQ411" s="27" t="s">
        <v>8</v>
      </c>
      <c r="EZ411" s="27" t="s">
        <v>7</v>
      </c>
      <c r="FA411" s="27" t="s">
        <v>8</v>
      </c>
      <c r="FB411" s="27" t="s">
        <v>7</v>
      </c>
      <c r="FC411" s="27" t="s">
        <v>8</v>
      </c>
      <c r="HX411" s="27" t="s">
        <v>7</v>
      </c>
      <c r="HY411" s="27" t="s">
        <v>8</v>
      </c>
      <c r="ID411" s="27" t="s">
        <v>7</v>
      </c>
      <c r="IE411" s="27" t="s">
        <v>8</v>
      </c>
      <c r="IF411" s="27" t="s">
        <v>7</v>
      </c>
      <c r="IG411" s="27" t="s">
        <v>8</v>
      </c>
      <c r="IH411" s="27" t="s">
        <v>7</v>
      </c>
      <c r="II411" s="27" t="s">
        <v>8</v>
      </c>
      <c r="IL411" s="27" t="s">
        <v>7</v>
      </c>
      <c r="IN411" s="27" t="s">
        <v>7</v>
      </c>
    </row>
    <row r="412" spans="1:254" x14ac:dyDescent="0.25">
      <c r="A412" s="7">
        <v>31.99116518883174</v>
      </c>
      <c r="B412"/>
      <c r="C412"/>
      <c r="D412"/>
      <c r="E412" t="s">
        <v>8</v>
      </c>
      <c r="H412" s="27" t="s">
        <v>7</v>
      </c>
      <c r="I412" s="27" t="s">
        <v>8</v>
      </c>
      <c r="J412" s="27" t="s">
        <v>7</v>
      </c>
      <c r="K412" s="27" t="s">
        <v>8</v>
      </c>
      <c r="P412" s="27" t="s">
        <v>7</v>
      </c>
      <c r="Q412" s="27" t="s">
        <v>8</v>
      </c>
      <c r="R412" s="27" t="s">
        <v>7</v>
      </c>
      <c r="AO412" s="27" t="s">
        <v>8</v>
      </c>
      <c r="AQ412" s="27" t="s">
        <v>8</v>
      </c>
      <c r="AR412" s="27" t="s">
        <v>7</v>
      </c>
      <c r="BU412" s="27" t="s">
        <v>8</v>
      </c>
      <c r="BV412" s="27" t="s">
        <v>7</v>
      </c>
      <c r="BW412" s="27" t="s">
        <v>8</v>
      </c>
      <c r="BX412" s="27" t="s">
        <v>7</v>
      </c>
      <c r="BY412" s="27" t="s">
        <v>8</v>
      </c>
      <c r="BZ412" s="27" t="s">
        <v>7</v>
      </c>
      <c r="CA412" s="27" t="s">
        <v>8</v>
      </c>
      <c r="CB412" s="27" t="s">
        <v>7</v>
      </c>
      <c r="CC412" s="27" t="s">
        <v>8</v>
      </c>
      <c r="CL412" s="27" t="s">
        <v>7</v>
      </c>
      <c r="CM412" s="27" t="s">
        <v>8</v>
      </c>
      <c r="CN412" s="27" t="s">
        <v>7</v>
      </c>
      <c r="CO412" s="27" t="s">
        <v>8</v>
      </c>
      <c r="CP412" s="27" t="s">
        <v>7</v>
      </c>
      <c r="CQ412" s="27" t="s">
        <v>8</v>
      </c>
      <c r="EN412" s="27" t="s">
        <v>7</v>
      </c>
      <c r="EO412" s="27" t="s">
        <v>8</v>
      </c>
      <c r="EP412" s="27" t="s">
        <v>7</v>
      </c>
      <c r="EZ412" s="27" t="s">
        <v>7</v>
      </c>
      <c r="FA412" s="27" t="s">
        <v>8</v>
      </c>
      <c r="FB412" s="27" t="s">
        <v>7</v>
      </c>
      <c r="FC412" s="27" t="s">
        <v>8</v>
      </c>
      <c r="HX412" s="27" t="s">
        <v>7</v>
      </c>
      <c r="HY412" s="27" t="s">
        <v>8</v>
      </c>
      <c r="ID412" s="27" t="s">
        <v>7</v>
      </c>
      <c r="IE412" s="27" t="s">
        <v>8</v>
      </c>
      <c r="IF412" s="27" t="s">
        <v>7</v>
      </c>
      <c r="IG412" s="27" t="s">
        <v>8</v>
      </c>
      <c r="IH412" s="27" t="s">
        <v>7</v>
      </c>
      <c r="II412" s="27" t="s">
        <v>8</v>
      </c>
      <c r="IN412" s="27" t="s">
        <v>7</v>
      </c>
      <c r="IQ412" s="27" t="s">
        <v>8</v>
      </c>
    </row>
    <row r="413" spans="1:254" x14ac:dyDescent="0.25">
      <c r="A413" s="7">
        <v>31.363887440031117</v>
      </c>
      <c r="B413"/>
      <c r="C413"/>
      <c r="D413"/>
      <c r="E413" t="s">
        <v>8</v>
      </c>
      <c r="H413" s="27" t="s">
        <v>7</v>
      </c>
      <c r="I413" s="27" t="s">
        <v>8</v>
      </c>
      <c r="J413" s="27" t="s">
        <v>7</v>
      </c>
      <c r="K413" s="27" t="s">
        <v>8</v>
      </c>
      <c r="P413" s="27" t="s">
        <v>7</v>
      </c>
      <c r="Q413" s="27" t="s">
        <v>8</v>
      </c>
      <c r="R413" s="27" t="s">
        <v>7</v>
      </c>
      <c r="AO413" s="27" t="s">
        <v>8</v>
      </c>
      <c r="AP413" s="27" t="s">
        <v>7</v>
      </c>
      <c r="AQ413" s="27" t="s">
        <v>8</v>
      </c>
      <c r="AR413" s="27" t="s">
        <v>7</v>
      </c>
      <c r="BU413" s="27" t="s">
        <v>8</v>
      </c>
      <c r="BV413" s="27" t="s">
        <v>7</v>
      </c>
      <c r="BW413" s="27" t="s">
        <v>8</v>
      </c>
      <c r="BX413" s="27" t="s">
        <v>7</v>
      </c>
      <c r="BY413" s="27" t="s">
        <v>8</v>
      </c>
      <c r="BZ413" s="27" t="s">
        <v>7</v>
      </c>
      <c r="CA413" s="27" t="s">
        <v>8</v>
      </c>
      <c r="CB413" s="27" t="s">
        <v>7</v>
      </c>
      <c r="CC413" s="27" t="s">
        <v>8</v>
      </c>
      <c r="CL413" s="27" t="s">
        <v>7</v>
      </c>
      <c r="CM413" s="27" t="s">
        <v>8</v>
      </c>
      <c r="CN413" s="27" t="s">
        <v>7</v>
      </c>
      <c r="CP413" s="27" t="s">
        <v>7</v>
      </c>
      <c r="CQ413" s="27" t="s">
        <v>8</v>
      </c>
      <c r="EN413" s="27" t="s">
        <v>7</v>
      </c>
      <c r="EO413" s="27" t="s">
        <v>8</v>
      </c>
      <c r="EZ413" s="27" t="s">
        <v>7</v>
      </c>
      <c r="FB413" s="27" t="s">
        <v>7</v>
      </c>
      <c r="FC413" s="27" t="s">
        <v>8</v>
      </c>
      <c r="HX413" s="27" t="s">
        <v>7</v>
      </c>
      <c r="HY413" s="27" t="s">
        <v>8</v>
      </c>
      <c r="ID413" s="27" t="s">
        <v>7</v>
      </c>
      <c r="IE413" s="27" t="s">
        <v>8</v>
      </c>
      <c r="IF413" s="27" t="s">
        <v>7</v>
      </c>
      <c r="IG413" s="27" t="s">
        <v>8</v>
      </c>
      <c r="IH413" s="27" t="s">
        <v>7</v>
      </c>
      <c r="II413" s="27" t="s">
        <v>8</v>
      </c>
      <c r="IN413" s="27" t="s">
        <v>7</v>
      </c>
      <c r="IQ413" s="27" t="s">
        <v>8</v>
      </c>
      <c r="IR413" s="27" t="s">
        <v>7</v>
      </c>
      <c r="IS413" s="27" t="s">
        <v>8</v>
      </c>
    </row>
    <row r="414" spans="1:254" x14ac:dyDescent="0.25">
      <c r="A414" s="7">
        <v>30.748909254932467</v>
      </c>
      <c r="B414"/>
      <c r="C414"/>
      <c r="D414"/>
      <c r="E414" t="s">
        <v>8</v>
      </c>
      <c r="H414" s="27" t="s">
        <v>7</v>
      </c>
      <c r="I414" s="27" t="s">
        <v>8</v>
      </c>
      <c r="J414" s="27" t="s">
        <v>7</v>
      </c>
      <c r="P414" s="27" t="s">
        <v>7</v>
      </c>
      <c r="Q414" s="27" t="s">
        <v>8</v>
      </c>
      <c r="R414" s="27" t="s">
        <v>7</v>
      </c>
      <c r="AO414" s="27" t="s">
        <v>8</v>
      </c>
      <c r="AP414" s="27" t="s">
        <v>7</v>
      </c>
      <c r="AQ414" s="27" t="s">
        <v>8</v>
      </c>
      <c r="AR414" s="27" t="s">
        <v>7</v>
      </c>
      <c r="BU414" s="27" t="s">
        <v>8</v>
      </c>
      <c r="BV414" s="27" t="s">
        <v>7</v>
      </c>
      <c r="BW414" s="27" t="s">
        <v>8</v>
      </c>
      <c r="BX414" s="27" t="s">
        <v>7</v>
      </c>
      <c r="BY414" s="27" t="s">
        <v>8</v>
      </c>
      <c r="BZ414" s="27" t="s">
        <v>7</v>
      </c>
      <c r="CA414" s="27" t="s">
        <v>8</v>
      </c>
      <c r="CB414" s="27" t="s">
        <v>7</v>
      </c>
      <c r="CC414" s="27" t="s">
        <v>8</v>
      </c>
      <c r="CL414" s="27" t="s">
        <v>7</v>
      </c>
      <c r="CM414" s="27" t="s">
        <v>8</v>
      </c>
      <c r="CP414" s="27" t="s">
        <v>7</v>
      </c>
      <c r="CQ414" s="27" t="s">
        <v>8</v>
      </c>
      <c r="EN414" s="27" t="s">
        <v>7</v>
      </c>
      <c r="EO414" s="27" t="s">
        <v>8</v>
      </c>
      <c r="FB414" s="27" t="s">
        <v>7</v>
      </c>
      <c r="FC414" s="27" t="s">
        <v>8</v>
      </c>
      <c r="HX414" s="27" t="s">
        <v>7</v>
      </c>
      <c r="HY414" s="27" t="s">
        <v>8</v>
      </c>
      <c r="ID414" s="27" t="s">
        <v>7</v>
      </c>
      <c r="IE414" s="27" t="s">
        <v>8</v>
      </c>
      <c r="IF414" s="27" t="s">
        <v>7</v>
      </c>
      <c r="IH414" s="27" t="s">
        <v>7</v>
      </c>
      <c r="II414" s="27" t="s">
        <v>8</v>
      </c>
      <c r="IN414" s="27" t="s">
        <v>7</v>
      </c>
      <c r="IQ414" s="27" t="s">
        <v>8</v>
      </c>
      <c r="IR414" s="27" t="s">
        <v>7</v>
      </c>
      <c r="IS414" s="27" t="s">
        <v>8</v>
      </c>
      <c r="IT414" s="27" t="s">
        <v>7</v>
      </c>
    </row>
    <row r="415" spans="1:254" x14ac:dyDescent="0.25">
      <c r="A415" s="7">
        <v>30.145989465620065</v>
      </c>
      <c r="B415"/>
      <c r="C415"/>
      <c r="D415"/>
      <c r="E415" t="s">
        <v>8</v>
      </c>
      <c r="H415" s="27" t="s">
        <v>7</v>
      </c>
      <c r="I415" s="27" t="s">
        <v>8</v>
      </c>
      <c r="P415" s="27" t="s">
        <v>7</v>
      </c>
      <c r="Q415" s="27" t="s">
        <v>8</v>
      </c>
      <c r="R415" s="27" t="s">
        <v>7</v>
      </c>
      <c r="AE415" s="27" t="s">
        <v>8</v>
      </c>
      <c r="AO415" s="27" t="s">
        <v>8</v>
      </c>
      <c r="AP415" s="27" t="s">
        <v>7</v>
      </c>
      <c r="AQ415" s="27" t="s">
        <v>8</v>
      </c>
      <c r="AR415" s="27" t="s">
        <v>7</v>
      </c>
      <c r="BU415" s="27" t="s">
        <v>8</v>
      </c>
      <c r="BV415" s="27" t="s">
        <v>7</v>
      </c>
      <c r="BW415" s="27" t="s">
        <v>8</v>
      </c>
      <c r="BX415" s="27" t="s">
        <v>7</v>
      </c>
      <c r="BY415" s="27" t="s">
        <v>8</v>
      </c>
      <c r="BZ415" s="27" t="s">
        <v>7</v>
      </c>
      <c r="CA415" s="27" t="s">
        <v>8</v>
      </c>
      <c r="CB415" s="27" t="s">
        <v>7</v>
      </c>
      <c r="CC415" s="27" t="s">
        <v>8</v>
      </c>
      <c r="CL415" s="27" t="s">
        <v>7</v>
      </c>
      <c r="CM415" s="27" t="s">
        <v>8</v>
      </c>
      <c r="CP415" s="27" t="s">
        <v>7</v>
      </c>
      <c r="CQ415" s="27" t="s">
        <v>8</v>
      </c>
      <c r="EN415" s="27" t="s">
        <v>7</v>
      </c>
      <c r="EO415" s="27" t="s">
        <v>8</v>
      </c>
      <c r="FB415" s="27" t="s">
        <v>7</v>
      </c>
      <c r="FC415" s="27" t="s">
        <v>8</v>
      </c>
      <c r="HX415" s="27" t="s">
        <v>7</v>
      </c>
      <c r="HY415" s="27" t="s">
        <v>8</v>
      </c>
      <c r="ID415" s="27" t="s">
        <v>7</v>
      </c>
      <c r="IE415" s="27" t="s">
        <v>8</v>
      </c>
      <c r="IH415" s="27" t="s">
        <v>7</v>
      </c>
      <c r="II415" s="27" t="s">
        <v>8</v>
      </c>
      <c r="IN415" s="27" t="s">
        <v>7</v>
      </c>
      <c r="IO415" s="27" t="s">
        <v>8</v>
      </c>
      <c r="IQ415" s="27" t="s">
        <v>8</v>
      </c>
      <c r="IR415" s="27" t="s">
        <v>7</v>
      </c>
      <c r="IS415" s="27" t="s">
        <v>8</v>
      </c>
      <c r="IT415" s="27" t="s">
        <v>7</v>
      </c>
    </row>
    <row r="416" spans="1:254" x14ac:dyDescent="0.25">
      <c r="A416" s="7">
        <v>29.55489163296085</v>
      </c>
      <c r="B416"/>
      <c r="C416"/>
      <c r="D416"/>
      <c r="E416" t="s">
        <v>8</v>
      </c>
      <c r="H416" s="27" t="s">
        <v>7</v>
      </c>
      <c r="I416" s="27" t="s">
        <v>8</v>
      </c>
      <c r="P416" s="27" t="s">
        <v>7</v>
      </c>
      <c r="Q416" s="27" t="s">
        <v>8</v>
      </c>
      <c r="R416" s="27" t="s">
        <v>7</v>
      </c>
      <c r="AE416" s="27" t="s">
        <v>8</v>
      </c>
      <c r="AF416" s="27" t="s">
        <v>7</v>
      </c>
      <c r="AO416" s="27" t="s">
        <v>8</v>
      </c>
      <c r="AP416" s="27" t="s">
        <v>7</v>
      </c>
      <c r="AQ416" s="27" t="s">
        <v>8</v>
      </c>
      <c r="AR416" s="27" t="s">
        <v>7</v>
      </c>
      <c r="BU416" s="27" t="s">
        <v>8</v>
      </c>
      <c r="BV416" s="27" t="s">
        <v>7</v>
      </c>
      <c r="BW416" s="27" t="s">
        <v>8</v>
      </c>
      <c r="BX416" s="27" t="s">
        <v>7</v>
      </c>
      <c r="BY416" s="27" t="s">
        <v>8</v>
      </c>
      <c r="BZ416" s="27" t="s">
        <v>7</v>
      </c>
      <c r="CB416" s="27" t="s">
        <v>7</v>
      </c>
      <c r="CC416" s="27" t="s">
        <v>8</v>
      </c>
      <c r="CL416" s="27" t="s">
        <v>7</v>
      </c>
      <c r="CM416" s="27" t="s">
        <v>8</v>
      </c>
      <c r="CP416" s="27" t="s">
        <v>7</v>
      </c>
      <c r="CQ416" s="27" t="s">
        <v>8</v>
      </c>
      <c r="EN416" s="27" t="s">
        <v>7</v>
      </c>
      <c r="EO416" s="27" t="s">
        <v>8</v>
      </c>
      <c r="FB416" s="18" t="s">
        <v>7</v>
      </c>
      <c r="FC416" s="27" t="s">
        <v>8</v>
      </c>
      <c r="HX416" s="27" t="s">
        <v>7</v>
      </c>
      <c r="HY416" s="27" t="s">
        <v>8</v>
      </c>
      <c r="ID416" s="27" t="s">
        <v>7</v>
      </c>
      <c r="IH416" s="27" t="s">
        <v>7</v>
      </c>
      <c r="IN416" s="27" t="s">
        <v>7</v>
      </c>
      <c r="IO416" s="27" t="s">
        <v>8</v>
      </c>
      <c r="IP416" s="27" t="s">
        <v>7</v>
      </c>
      <c r="IQ416" s="27" t="s">
        <v>8</v>
      </c>
      <c r="IR416" s="27" t="s">
        <v>7</v>
      </c>
      <c r="IS416" s="27" t="s">
        <v>8</v>
      </c>
      <c r="IT416" s="27" t="s">
        <v>7</v>
      </c>
    </row>
    <row r="417" spans="1:254" x14ac:dyDescent="0.25">
      <c r="A417" s="7">
        <v>28.975383953883185</v>
      </c>
      <c r="B417"/>
      <c r="C417"/>
      <c r="D417"/>
      <c r="E417" t="s">
        <v>8</v>
      </c>
      <c r="H417" s="27" t="s">
        <v>7</v>
      </c>
      <c r="I417" s="27" t="s">
        <v>8</v>
      </c>
      <c r="P417" s="27" t="s">
        <v>7</v>
      </c>
      <c r="R417" s="27" t="s">
        <v>7</v>
      </c>
      <c r="AE417" s="27" t="s">
        <v>8</v>
      </c>
      <c r="AF417" s="27" t="s">
        <v>7</v>
      </c>
      <c r="AO417" s="27" t="s">
        <v>8</v>
      </c>
      <c r="AP417" s="27" t="s">
        <v>7</v>
      </c>
      <c r="AQ417" s="27" t="s">
        <v>8</v>
      </c>
      <c r="AR417" s="27" t="s">
        <v>7</v>
      </c>
      <c r="AW417" s="27" t="s">
        <v>8</v>
      </c>
      <c r="BU417" s="27" t="s">
        <v>8</v>
      </c>
      <c r="BV417" s="27" t="s">
        <v>7</v>
      </c>
      <c r="BW417" s="27" t="s">
        <v>8</v>
      </c>
      <c r="BX417" s="27" t="s">
        <v>7</v>
      </c>
      <c r="BY417" s="27" t="s">
        <v>8</v>
      </c>
      <c r="CB417" s="27" t="s">
        <v>7</v>
      </c>
      <c r="CL417" s="27" t="s">
        <v>7</v>
      </c>
      <c r="CM417" s="27" t="s">
        <v>8</v>
      </c>
      <c r="CP417" s="27" t="s">
        <v>7</v>
      </c>
      <c r="EN417" s="27" t="s">
        <v>7</v>
      </c>
      <c r="EO417" s="27" t="s">
        <v>8</v>
      </c>
      <c r="FB417" s="27" t="s">
        <v>7</v>
      </c>
      <c r="FC417" s="27" t="s">
        <v>8</v>
      </c>
      <c r="HX417" s="27" t="s">
        <v>7</v>
      </c>
      <c r="HY417" s="27" t="s">
        <v>8</v>
      </c>
      <c r="IN417" s="27" t="s">
        <v>7</v>
      </c>
      <c r="IO417" s="27" t="s">
        <v>8</v>
      </c>
      <c r="IP417" s="27" t="s">
        <v>7</v>
      </c>
      <c r="IQ417" s="27" t="s">
        <v>8</v>
      </c>
      <c r="IR417" s="27" t="s">
        <v>7</v>
      </c>
      <c r="IT417" s="27" t="s">
        <v>7</v>
      </c>
    </row>
    <row r="418" spans="1:254" x14ac:dyDescent="0.25">
      <c r="A418" s="7">
        <v>28.407239170473709</v>
      </c>
      <c r="B418"/>
      <c r="C418"/>
      <c r="D418"/>
      <c r="E418" t="s">
        <v>8</v>
      </c>
      <c r="H418" s="27" t="s">
        <v>7</v>
      </c>
      <c r="I418" s="27" t="s">
        <v>8</v>
      </c>
      <c r="R418" s="27" t="s">
        <v>7</v>
      </c>
      <c r="AE418" s="27" t="s">
        <v>8</v>
      </c>
      <c r="AF418" s="27" t="s">
        <v>7</v>
      </c>
      <c r="AO418" s="27" t="s">
        <v>8</v>
      </c>
      <c r="AP418" s="27" t="s">
        <v>7</v>
      </c>
      <c r="AQ418" s="27" t="s">
        <v>8</v>
      </c>
      <c r="AR418" s="27" t="s">
        <v>7</v>
      </c>
      <c r="AW418" s="27" t="s">
        <v>8</v>
      </c>
      <c r="AX418" s="27" t="s">
        <v>7</v>
      </c>
      <c r="BU418" s="27" t="s">
        <v>8</v>
      </c>
      <c r="BV418" s="27" t="s">
        <v>7</v>
      </c>
      <c r="BW418" s="27" t="s">
        <v>8</v>
      </c>
      <c r="BX418" s="27" t="s">
        <v>7</v>
      </c>
      <c r="BY418" s="27" t="s">
        <v>8</v>
      </c>
      <c r="CL418" s="27" t="s">
        <v>7</v>
      </c>
      <c r="CM418" s="27" t="s">
        <v>8</v>
      </c>
      <c r="EN418" s="27" t="s">
        <v>7</v>
      </c>
      <c r="EO418" s="27" t="s">
        <v>8</v>
      </c>
      <c r="FB418" s="27" t="s">
        <v>7</v>
      </c>
      <c r="FC418" s="27" t="s">
        <v>8</v>
      </c>
      <c r="HX418" s="27" t="s">
        <v>7</v>
      </c>
      <c r="IN418" s="27" t="s">
        <v>7</v>
      </c>
      <c r="IP418" s="27" t="s">
        <v>7</v>
      </c>
      <c r="IQ418" s="27" t="s">
        <v>8</v>
      </c>
      <c r="IT418" s="27" t="s">
        <v>7</v>
      </c>
    </row>
    <row r="419" spans="1:254" x14ac:dyDescent="0.25">
      <c r="A419" s="7">
        <v>27.850234480856578</v>
      </c>
      <c r="B419"/>
      <c r="C419"/>
      <c r="D419"/>
      <c r="E419" t="s">
        <v>8</v>
      </c>
      <c r="H419" s="27" t="s">
        <v>7</v>
      </c>
      <c r="I419" s="27" t="s">
        <v>8</v>
      </c>
      <c r="R419" s="27" t="s">
        <v>7</v>
      </c>
      <c r="AE419" s="27" t="s">
        <v>8</v>
      </c>
      <c r="AF419" s="27" t="s">
        <v>7</v>
      </c>
      <c r="AG419" s="27" t="s">
        <v>8</v>
      </c>
      <c r="AO419" s="27" t="s">
        <v>8</v>
      </c>
      <c r="AP419" s="27" t="s">
        <v>7</v>
      </c>
      <c r="AQ419" s="27" t="s">
        <v>8</v>
      </c>
      <c r="AR419" s="27" t="s">
        <v>7</v>
      </c>
      <c r="AW419" s="27" t="s">
        <v>8</v>
      </c>
      <c r="AX419" s="27" t="s">
        <v>7</v>
      </c>
      <c r="BU419" s="27" t="s">
        <v>8</v>
      </c>
      <c r="BV419" s="27" t="s">
        <v>7</v>
      </c>
      <c r="BW419" s="27" t="s">
        <v>8</v>
      </c>
      <c r="BX419" s="27" t="s">
        <v>7</v>
      </c>
      <c r="BY419" s="27" t="s">
        <v>8</v>
      </c>
      <c r="CL419" s="27" t="s">
        <v>7</v>
      </c>
      <c r="CM419" s="27" t="s">
        <v>8</v>
      </c>
      <c r="EN419" s="27" t="s">
        <v>7</v>
      </c>
      <c r="FB419" s="27" t="s">
        <v>7</v>
      </c>
      <c r="FC419" s="27" t="s">
        <v>8</v>
      </c>
      <c r="IP419" s="27" t="s">
        <v>7</v>
      </c>
      <c r="IQ419" s="27" t="s">
        <v>8</v>
      </c>
      <c r="IT419" s="27" t="s">
        <v>7</v>
      </c>
    </row>
    <row r="420" spans="1:254" x14ac:dyDescent="0.25">
      <c r="A420" s="7">
        <v>27.304151451820175</v>
      </c>
      <c r="B420"/>
      <c r="C420"/>
      <c r="D420"/>
      <c r="E420" t="s">
        <v>8</v>
      </c>
      <c r="H420" s="27" t="s">
        <v>7</v>
      </c>
      <c r="I420" s="27" t="s">
        <v>8</v>
      </c>
      <c r="R420" s="27" t="s">
        <v>7</v>
      </c>
      <c r="AE420" s="27" t="s">
        <v>8</v>
      </c>
      <c r="AF420" s="27" t="s">
        <v>7</v>
      </c>
      <c r="AG420" s="27" t="s">
        <v>8</v>
      </c>
      <c r="AH420" s="27" t="s">
        <v>7</v>
      </c>
      <c r="AK420" s="27" t="s">
        <v>8</v>
      </c>
      <c r="AO420" s="27" t="s">
        <v>8</v>
      </c>
      <c r="AP420" s="27" t="s">
        <v>7</v>
      </c>
      <c r="AQ420" s="27" t="s">
        <v>8</v>
      </c>
      <c r="AR420" s="27" t="s">
        <v>7</v>
      </c>
      <c r="AU420" s="27" t="s">
        <v>8</v>
      </c>
      <c r="AW420" s="27" t="s">
        <v>8</v>
      </c>
      <c r="AX420" s="27" t="s">
        <v>7</v>
      </c>
      <c r="BU420" s="27" t="s">
        <v>8</v>
      </c>
      <c r="BV420" s="27" t="s">
        <v>7</v>
      </c>
      <c r="BW420" s="27" t="s">
        <v>8</v>
      </c>
      <c r="BX420" s="27" t="s">
        <v>7</v>
      </c>
      <c r="BY420" s="27" t="s">
        <v>8</v>
      </c>
      <c r="CL420" s="27" t="s">
        <v>7</v>
      </c>
      <c r="FB420" s="27" t="s">
        <v>7</v>
      </c>
      <c r="IP420" s="27" t="s">
        <v>7</v>
      </c>
      <c r="IQ420" s="27" t="s">
        <v>8</v>
      </c>
      <c r="IT420" s="27" t="s">
        <v>7</v>
      </c>
    </row>
    <row r="421" spans="1:254" x14ac:dyDescent="0.25">
      <c r="A421" s="7">
        <v>26.768775933157034</v>
      </c>
      <c r="B421"/>
      <c r="C421"/>
      <c r="D421"/>
      <c r="E421" t="s">
        <v>8</v>
      </c>
      <c r="H421" s="27" t="s">
        <v>7</v>
      </c>
      <c r="I421" s="27" t="s">
        <v>8</v>
      </c>
      <c r="R421" s="27" t="s">
        <v>7</v>
      </c>
      <c r="U421" s="27" t="s">
        <v>8</v>
      </c>
      <c r="AA421" s="27" t="s">
        <v>8</v>
      </c>
      <c r="AE421" s="27" t="s">
        <v>8</v>
      </c>
      <c r="AF421" s="27" t="s">
        <v>7</v>
      </c>
      <c r="AG421" s="27" t="s">
        <v>8</v>
      </c>
      <c r="AH421" s="27" t="s">
        <v>7</v>
      </c>
      <c r="AK421" s="27" t="s">
        <v>8</v>
      </c>
      <c r="AL421" s="27" t="s">
        <v>7</v>
      </c>
      <c r="AO421" s="27" t="s">
        <v>8</v>
      </c>
      <c r="AP421" s="27" t="s">
        <v>7</v>
      </c>
      <c r="AQ421" s="27" t="s">
        <v>8</v>
      </c>
      <c r="AR421" s="27" t="s">
        <v>7</v>
      </c>
      <c r="AU421" s="27" t="s">
        <v>8</v>
      </c>
      <c r="AV421" s="27" t="s">
        <v>7</v>
      </c>
      <c r="AW421" s="27" t="s">
        <v>8</v>
      </c>
      <c r="AX421" s="27" t="s">
        <v>7</v>
      </c>
      <c r="AY421" s="27" t="s">
        <v>8</v>
      </c>
      <c r="BQ421" s="27" t="s">
        <v>8</v>
      </c>
      <c r="BU421" s="27" t="s">
        <v>8</v>
      </c>
      <c r="BV421" s="27" t="s">
        <v>7</v>
      </c>
      <c r="BW421" s="27" t="s">
        <v>8</v>
      </c>
      <c r="BX421" s="27" t="s">
        <v>7</v>
      </c>
      <c r="BY421" s="27" t="s">
        <v>8</v>
      </c>
      <c r="IP421" s="27" t="s">
        <v>7</v>
      </c>
      <c r="IT421" s="27" t="s">
        <v>7</v>
      </c>
    </row>
    <row r="422" spans="1:254" x14ac:dyDescent="0.25">
      <c r="A422" s="7">
        <v>26.243897973683367</v>
      </c>
      <c r="B422"/>
      <c r="C422"/>
      <c r="D422"/>
      <c r="E422" t="s">
        <v>8</v>
      </c>
      <c r="H422" s="27" t="s">
        <v>7</v>
      </c>
      <c r="I422" s="27" t="s">
        <v>8</v>
      </c>
      <c r="R422" s="27" t="s">
        <v>7</v>
      </c>
      <c r="U422" s="27" t="s">
        <v>8</v>
      </c>
      <c r="V422" s="27" t="s">
        <v>7</v>
      </c>
      <c r="Y422" s="27" t="s">
        <v>8</v>
      </c>
      <c r="AA422" s="27" t="s">
        <v>8</v>
      </c>
      <c r="AB422" s="27" t="s">
        <v>7</v>
      </c>
      <c r="AE422" s="27" t="s">
        <v>8</v>
      </c>
      <c r="AF422" s="27" t="s">
        <v>7</v>
      </c>
      <c r="AG422" s="27" t="s">
        <v>8</v>
      </c>
      <c r="AH422" s="27" t="s">
        <v>7</v>
      </c>
      <c r="AK422" s="27" t="s">
        <v>8</v>
      </c>
      <c r="AL422" s="27" t="s">
        <v>7</v>
      </c>
      <c r="AO422" s="27" t="s">
        <v>8</v>
      </c>
      <c r="AP422" s="27" t="s">
        <v>7</v>
      </c>
      <c r="AQ422" s="27" t="s">
        <v>8</v>
      </c>
      <c r="AR422" s="27" t="s">
        <v>7</v>
      </c>
      <c r="AU422" s="27" t="s">
        <v>8</v>
      </c>
      <c r="AV422" s="27" t="s">
        <v>7</v>
      </c>
      <c r="AW422" s="27" t="s">
        <v>8</v>
      </c>
      <c r="AX422" s="27" t="s">
        <v>7</v>
      </c>
      <c r="AY422" s="27" t="s">
        <v>8</v>
      </c>
      <c r="AZ422" s="27" t="s">
        <v>7</v>
      </c>
      <c r="BE422" s="27" t="s">
        <v>8</v>
      </c>
      <c r="BQ422" s="27" t="s">
        <v>8</v>
      </c>
      <c r="BR422" s="27" t="s">
        <v>7</v>
      </c>
      <c r="BU422" s="27" t="s">
        <v>8</v>
      </c>
      <c r="BV422" s="27" t="s">
        <v>7</v>
      </c>
      <c r="BW422" s="27" t="s">
        <v>8</v>
      </c>
      <c r="BX422" s="27" t="s">
        <v>7</v>
      </c>
      <c r="IT422" s="27" t="s">
        <v>7</v>
      </c>
    </row>
    <row r="423" spans="1:254" x14ac:dyDescent="0.25">
      <c r="A423" s="7">
        <v>25.729311738905263</v>
      </c>
      <c r="B423"/>
      <c r="C423"/>
      <c r="D423"/>
      <c r="E423" t="s">
        <v>8</v>
      </c>
      <c r="H423" s="27" t="s">
        <v>7</v>
      </c>
      <c r="R423" s="27" t="s">
        <v>7</v>
      </c>
      <c r="U423" s="27" t="s">
        <v>8</v>
      </c>
      <c r="V423" s="27" t="s">
        <v>7</v>
      </c>
      <c r="Y423" s="27" t="s">
        <v>8</v>
      </c>
      <c r="Z423" s="27" t="s">
        <v>7</v>
      </c>
      <c r="AA423" s="27" t="s">
        <v>8</v>
      </c>
      <c r="AB423" s="27" t="s">
        <v>7</v>
      </c>
      <c r="AE423" s="27" t="s">
        <v>8</v>
      </c>
      <c r="AF423" s="27" t="s">
        <v>7</v>
      </c>
      <c r="AG423" s="27" t="s">
        <v>8</v>
      </c>
      <c r="AH423" s="27" t="s">
        <v>7</v>
      </c>
      <c r="AK423" s="27" t="s">
        <v>8</v>
      </c>
      <c r="AL423" s="27" t="s">
        <v>7</v>
      </c>
      <c r="AM423" s="27" t="s">
        <v>8</v>
      </c>
      <c r="AO423" s="27" t="s">
        <v>8</v>
      </c>
      <c r="AP423" s="27" t="s">
        <v>7</v>
      </c>
      <c r="AQ423" s="27" t="s">
        <v>8</v>
      </c>
      <c r="AR423" s="27" t="s">
        <v>7</v>
      </c>
      <c r="AU423" s="27" t="s">
        <v>8</v>
      </c>
      <c r="AV423" s="27" t="s">
        <v>7</v>
      </c>
      <c r="AW423" s="27" t="s">
        <v>8</v>
      </c>
      <c r="AX423" s="27" t="s">
        <v>7</v>
      </c>
      <c r="AY423" s="27" t="s">
        <v>8</v>
      </c>
      <c r="AZ423" s="27" t="s">
        <v>7</v>
      </c>
      <c r="BC423" s="27" t="s">
        <v>8</v>
      </c>
      <c r="BE423" s="27" t="s">
        <v>8</v>
      </c>
      <c r="BF423" s="27" t="s">
        <v>7</v>
      </c>
      <c r="BQ423" s="27" t="s">
        <v>8</v>
      </c>
      <c r="BR423" s="27" t="s">
        <v>7</v>
      </c>
      <c r="BU423" s="27" t="s">
        <v>8</v>
      </c>
      <c r="BV423" s="27" t="s">
        <v>7</v>
      </c>
      <c r="BW423" s="27" t="s">
        <v>8</v>
      </c>
      <c r="IT423" s="27" t="s">
        <v>7</v>
      </c>
    </row>
    <row r="424" spans="1:254" x14ac:dyDescent="0.25">
      <c r="A424" s="7">
        <v>25.224815430299277</v>
      </c>
      <c r="B424"/>
      <c r="C424"/>
      <c r="D424"/>
      <c r="E424" t="s">
        <v>8</v>
      </c>
      <c r="R424" s="27" t="s">
        <v>7</v>
      </c>
      <c r="U424" s="27" t="s">
        <v>8</v>
      </c>
      <c r="V424" s="27" t="s">
        <v>7</v>
      </c>
      <c r="Y424" s="27" t="s">
        <v>8</v>
      </c>
      <c r="Z424" s="27" t="s">
        <v>7</v>
      </c>
      <c r="AA424" s="27" t="s">
        <v>8</v>
      </c>
      <c r="AB424" s="27" t="s">
        <v>7</v>
      </c>
      <c r="AE424" s="27" t="s">
        <v>8</v>
      </c>
      <c r="AF424" s="27" t="s">
        <v>7</v>
      </c>
      <c r="AG424" s="27" t="s">
        <v>8</v>
      </c>
      <c r="AH424" s="27" t="s">
        <v>7</v>
      </c>
      <c r="AK424" s="27" t="s">
        <v>8</v>
      </c>
      <c r="AL424" s="27" t="s">
        <v>7</v>
      </c>
      <c r="AM424" s="27" t="s">
        <v>8</v>
      </c>
      <c r="AN424" s="27" t="s">
        <v>7</v>
      </c>
      <c r="AO424" s="27" t="s">
        <v>8</v>
      </c>
      <c r="AP424" s="27" t="s">
        <v>7</v>
      </c>
      <c r="AR424" s="27" t="s">
        <v>7</v>
      </c>
      <c r="AS424" s="27" t="s">
        <v>8</v>
      </c>
      <c r="AU424" s="27" t="s">
        <v>8</v>
      </c>
      <c r="AV424" s="27" t="s">
        <v>7</v>
      </c>
      <c r="AW424" s="27" t="s">
        <v>8</v>
      </c>
      <c r="AX424" s="27" t="s">
        <v>7</v>
      </c>
      <c r="AY424" s="27" t="s">
        <v>8</v>
      </c>
      <c r="AZ424" s="27" t="s">
        <v>7</v>
      </c>
      <c r="BC424" s="27" t="s">
        <v>8</v>
      </c>
      <c r="BD424" s="27" t="s">
        <v>7</v>
      </c>
      <c r="BE424" s="27" t="s">
        <v>8</v>
      </c>
      <c r="BF424" s="27" t="s">
        <v>7</v>
      </c>
      <c r="BQ424" s="27" t="s">
        <v>8</v>
      </c>
      <c r="BR424" s="27" t="s">
        <v>7</v>
      </c>
      <c r="BU424" s="27" t="s">
        <v>8</v>
      </c>
      <c r="BV424" s="27" t="s">
        <v>7</v>
      </c>
      <c r="BW424" s="27" t="s">
        <v>8</v>
      </c>
      <c r="IT424" s="27" t="s">
        <v>7</v>
      </c>
    </row>
    <row r="425" spans="1:254" x14ac:dyDescent="0.25">
      <c r="A425" s="7">
        <v>24.73021120617576</v>
      </c>
      <c r="B425"/>
      <c r="C425"/>
      <c r="D425"/>
      <c r="E425" t="s">
        <v>8</v>
      </c>
      <c r="R425" s="27" t="s">
        <v>7</v>
      </c>
      <c r="S425" s="27" t="s">
        <v>8</v>
      </c>
      <c r="U425" s="27" t="s">
        <v>8</v>
      </c>
      <c r="V425" s="27" t="s">
        <v>7</v>
      </c>
      <c r="Y425" s="27" t="s">
        <v>8</v>
      </c>
      <c r="Z425" s="27" t="s">
        <v>7</v>
      </c>
      <c r="AA425" s="27" t="s">
        <v>8</v>
      </c>
      <c r="AB425" s="27" t="s">
        <v>7</v>
      </c>
      <c r="AC425" s="27" t="s">
        <v>8</v>
      </c>
      <c r="AE425" s="27" t="s">
        <v>8</v>
      </c>
      <c r="AF425" s="27" t="s">
        <v>7</v>
      </c>
      <c r="AH425" s="27" t="s">
        <v>7</v>
      </c>
      <c r="AK425" s="27" t="s">
        <v>8</v>
      </c>
      <c r="AL425" s="27" t="s">
        <v>7</v>
      </c>
      <c r="AM425" s="27" t="s">
        <v>8</v>
      </c>
      <c r="AN425" s="27" t="s">
        <v>7</v>
      </c>
      <c r="AO425" s="27" t="s">
        <v>8</v>
      </c>
      <c r="AR425" s="27" t="s">
        <v>7</v>
      </c>
      <c r="AS425" s="27" t="s">
        <v>8</v>
      </c>
      <c r="AT425" s="27" t="s">
        <v>7</v>
      </c>
      <c r="AU425" s="27" t="s">
        <v>8</v>
      </c>
      <c r="AV425" s="27" t="s">
        <v>7</v>
      </c>
      <c r="AW425" s="27" t="s">
        <v>8</v>
      </c>
      <c r="AX425" s="27" t="s">
        <v>7</v>
      </c>
      <c r="AZ425" s="27" t="s">
        <v>7</v>
      </c>
      <c r="BC425" s="27" t="s">
        <v>8</v>
      </c>
      <c r="BD425" s="27" t="s">
        <v>7</v>
      </c>
      <c r="BE425" s="27" t="s">
        <v>8</v>
      </c>
      <c r="BF425" s="27" t="s">
        <v>7</v>
      </c>
      <c r="BO425" s="27" t="s">
        <v>8</v>
      </c>
      <c r="BQ425" s="27" t="s">
        <v>8</v>
      </c>
      <c r="BR425" s="27" t="s">
        <v>7</v>
      </c>
      <c r="BU425" s="27" t="s">
        <v>8</v>
      </c>
      <c r="BV425" s="27" t="s">
        <v>7</v>
      </c>
      <c r="BW425" s="27" t="s">
        <v>8</v>
      </c>
      <c r="IT425" s="27" t="s">
        <v>7</v>
      </c>
    </row>
    <row r="426" spans="1:254" x14ac:dyDescent="0.25">
      <c r="A426" s="7">
        <v>24.24530510409388</v>
      </c>
      <c r="B426"/>
      <c r="C426"/>
      <c r="D426"/>
      <c r="E426" t="s">
        <v>8</v>
      </c>
      <c r="R426" s="27" t="s">
        <v>7</v>
      </c>
      <c r="S426" s="27" t="s">
        <v>8</v>
      </c>
      <c r="T426" s="27" t="s">
        <v>7</v>
      </c>
      <c r="U426" s="27" t="s">
        <v>8</v>
      </c>
      <c r="V426" s="27" t="s">
        <v>7</v>
      </c>
      <c r="Y426" s="27" t="s">
        <v>8</v>
      </c>
      <c r="Z426" s="27" t="s">
        <v>7</v>
      </c>
      <c r="AA426" s="27" t="s">
        <v>8</v>
      </c>
      <c r="AB426" s="27" t="s">
        <v>7</v>
      </c>
      <c r="AC426" s="27" t="s">
        <v>8</v>
      </c>
      <c r="AD426" s="27" t="s">
        <v>7</v>
      </c>
      <c r="AE426" s="27" t="s">
        <v>8</v>
      </c>
      <c r="AH426" s="27" t="s">
        <v>7</v>
      </c>
      <c r="AK426" s="27" t="s">
        <v>8</v>
      </c>
      <c r="AL426" s="27" t="s">
        <v>7</v>
      </c>
      <c r="AM426" s="27" t="s">
        <v>8</v>
      </c>
      <c r="AN426" s="27" t="s">
        <v>7</v>
      </c>
      <c r="AO426" s="27" t="s">
        <v>8</v>
      </c>
      <c r="AR426" s="27" t="s">
        <v>7</v>
      </c>
      <c r="AS426" s="27" t="s">
        <v>8</v>
      </c>
      <c r="AT426" s="27" t="s">
        <v>7</v>
      </c>
      <c r="AU426" s="27" t="s">
        <v>8</v>
      </c>
      <c r="AV426" s="27" t="s">
        <v>7</v>
      </c>
      <c r="AZ426" s="27" t="s">
        <v>7</v>
      </c>
      <c r="BA426" s="27" t="s">
        <v>8</v>
      </c>
      <c r="BC426" s="27" t="s">
        <v>8</v>
      </c>
      <c r="BD426" s="27" t="s">
        <v>7</v>
      </c>
      <c r="BF426" s="27" t="s">
        <v>7</v>
      </c>
      <c r="BO426" s="27" t="s">
        <v>8</v>
      </c>
      <c r="BP426" s="27" t="s">
        <v>7</v>
      </c>
      <c r="BQ426" s="27" t="s">
        <v>8</v>
      </c>
      <c r="BR426" s="27" t="s">
        <v>7</v>
      </c>
      <c r="BU426" s="27" t="s">
        <v>8</v>
      </c>
      <c r="BV426" s="27" t="s">
        <v>7</v>
      </c>
      <c r="BW426" s="27" t="s">
        <v>8</v>
      </c>
      <c r="IT426" s="27" t="s">
        <v>7</v>
      </c>
    </row>
    <row r="427" spans="1:254" x14ac:dyDescent="0.25">
      <c r="A427" s="7">
        <v>23.769906964797922</v>
      </c>
      <c r="B427"/>
      <c r="C427"/>
      <c r="D427"/>
      <c r="E427" t="s">
        <v>8</v>
      </c>
      <c r="R427" s="27" t="s">
        <v>7</v>
      </c>
      <c r="S427" s="27" t="s">
        <v>8</v>
      </c>
      <c r="T427" s="27" t="s">
        <v>7</v>
      </c>
      <c r="U427" s="27" t="s">
        <v>8</v>
      </c>
      <c r="V427" s="27" t="s">
        <v>7</v>
      </c>
      <c r="Y427" s="27" t="s">
        <v>8</v>
      </c>
      <c r="Z427" s="27" t="s">
        <v>7</v>
      </c>
      <c r="AA427" s="27" t="s">
        <v>8</v>
      </c>
      <c r="AB427" s="27" t="s">
        <v>7</v>
      </c>
      <c r="AC427" s="27" t="s">
        <v>8</v>
      </c>
      <c r="AD427" s="27" t="s">
        <v>7</v>
      </c>
      <c r="AE427" s="27" t="s">
        <v>8</v>
      </c>
      <c r="AH427" s="27" t="s">
        <v>7</v>
      </c>
      <c r="AK427" s="27" t="s">
        <v>8</v>
      </c>
      <c r="AL427" s="27" t="s">
        <v>7</v>
      </c>
      <c r="AM427" s="27" t="s">
        <v>8</v>
      </c>
      <c r="AN427" s="27" t="s">
        <v>7</v>
      </c>
      <c r="AO427" s="27" t="s">
        <v>8</v>
      </c>
      <c r="AR427" s="27" t="s">
        <v>7</v>
      </c>
      <c r="AS427" s="27" t="s">
        <v>8</v>
      </c>
      <c r="AT427" s="27" t="s">
        <v>7</v>
      </c>
      <c r="AU427" s="27" t="s">
        <v>8</v>
      </c>
      <c r="AZ427" s="27" t="s">
        <v>7</v>
      </c>
      <c r="BA427" s="27" t="s">
        <v>8</v>
      </c>
      <c r="BB427" s="27" t="s">
        <v>7</v>
      </c>
      <c r="BC427" s="27" t="s">
        <v>8</v>
      </c>
      <c r="BF427" s="27" t="s">
        <v>7</v>
      </c>
      <c r="BO427" s="27" t="s">
        <v>8</v>
      </c>
      <c r="BP427" s="27" t="s">
        <v>7</v>
      </c>
      <c r="BQ427" s="27" t="s">
        <v>8</v>
      </c>
      <c r="BR427" s="27" t="s">
        <v>7</v>
      </c>
      <c r="BU427" s="27" t="s">
        <v>8</v>
      </c>
      <c r="BV427" s="27" t="s">
        <v>7</v>
      </c>
      <c r="BW427" s="27" t="s">
        <v>8</v>
      </c>
      <c r="IT427" s="27" t="s">
        <v>7</v>
      </c>
    </row>
    <row r="428" spans="1:254" x14ac:dyDescent="0.25">
      <c r="A428" s="7">
        <v>23.303830357645023</v>
      </c>
      <c r="B428"/>
      <c r="C428"/>
      <c r="D428"/>
      <c r="E428" t="s">
        <v>8</v>
      </c>
      <c r="R428" s="27" t="s">
        <v>7</v>
      </c>
      <c r="S428" s="27" t="s">
        <v>8</v>
      </c>
      <c r="T428" s="27" t="s">
        <v>7</v>
      </c>
      <c r="U428" s="27" t="s">
        <v>8</v>
      </c>
      <c r="V428" s="27" t="s">
        <v>7</v>
      </c>
      <c r="Y428" s="27" t="s">
        <v>8</v>
      </c>
      <c r="Z428" s="27" t="s">
        <v>7</v>
      </c>
      <c r="AA428" s="27" t="s">
        <v>8</v>
      </c>
      <c r="AB428" s="27" t="s">
        <v>7</v>
      </c>
      <c r="AC428" s="27" t="s">
        <v>8</v>
      </c>
      <c r="AD428" s="27" t="s">
        <v>7</v>
      </c>
      <c r="AE428" s="27" t="s">
        <v>8</v>
      </c>
      <c r="AH428" s="27" t="s">
        <v>7</v>
      </c>
      <c r="AK428" s="27" t="s">
        <v>8</v>
      </c>
      <c r="AL428" s="27" t="s">
        <v>7</v>
      </c>
      <c r="AM428" s="27" t="s">
        <v>8</v>
      </c>
      <c r="AN428" s="27" t="s">
        <v>7</v>
      </c>
      <c r="AO428" s="27" t="s">
        <v>8</v>
      </c>
      <c r="AR428" s="27" t="s">
        <v>7</v>
      </c>
      <c r="AS428" s="27" t="s">
        <v>8</v>
      </c>
      <c r="AT428" s="27" t="s">
        <v>7</v>
      </c>
      <c r="AZ428" s="27" t="s">
        <v>7</v>
      </c>
      <c r="BA428" s="27" t="s">
        <v>8</v>
      </c>
      <c r="BB428" s="27" t="s">
        <v>7</v>
      </c>
      <c r="BC428" s="27" t="s">
        <v>8</v>
      </c>
      <c r="BF428" s="27" t="s">
        <v>7</v>
      </c>
      <c r="BO428" s="27" t="s">
        <v>8</v>
      </c>
      <c r="BP428" s="27" t="s">
        <v>7</v>
      </c>
      <c r="BQ428" s="27" t="s">
        <v>8</v>
      </c>
      <c r="BR428" s="27" t="s">
        <v>7</v>
      </c>
      <c r="BU428" s="27" t="s">
        <v>8</v>
      </c>
      <c r="BV428" s="27" t="s">
        <v>7</v>
      </c>
      <c r="BW428" s="27" t="s">
        <v>8</v>
      </c>
      <c r="IT428" s="27" t="s">
        <v>7</v>
      </c>
    </row>
    <row r="429" spans="1:254" x14ac:dyDescent="0.25">
      <c r="A429" s="7">
        <v>22.84689250749512</v>
      </c>
      <c r="B429"/>
      <c r="C429"/>
      <c r="D429"/>
      <c r="E429" t="s">
        <v>8</v>
      </c>
      <c r="R429" s="27" t="s">
        <v>7</v>
      </c>
      <c r="S429" s="27" t="s">
        <v>8</v>
      </c>
      <c r="T429" s="27" t="s">
        <v>7</v>
      </c>
      <c r="U429" s="27" t="s">
        <v>8</v>
      </c>
      <c r="V429" s="27" t="s">
        <v>7</v>
      </c>
      <c r="Y429" s="27" t="s">
        <v>8</v>
      </c>
      <c r="Z429" s="27" t="s">
        <v>7</v>
      </c>
      <c r="AA429" s="27" t="s">
        <v>8</v>
      </c>
      <c r="AB429" s="27" t="s">
        <v>7</v>
      </c>
      <c r="AC429" s="27" t="s">
        <v>8</v>
      </c>
      <c r="AD429" s="27" t="s">
        <v>7</v>
      </c>
      <c r="AE429" s="27" t="s">
        <v>8</v>
      </c>
      <c r="AH429" s="27" t="s">
        <v>7</v>
      </c>
      <c r="AK429" s="27" t="s">
        <v>8</v>
      </c>
      <c r="AL429" s="27" t="s">
        <v>7</v>
      </c>
      <c r="AM429" s="27" t="s">
        <v>8</v>
      </c>
      <c r="AN429" s="27" t="s">
        <v>7</v>
      </c>
      <c r="AO429" s="27" t="s">
        <v>8</v>
      </c>
      <c r="AR429" s="27" t="s">
        <v>7</v>
      </c>
      <c r="AS429" s="27" t="s">
        <v>8</v>
      </c>
      <c r="AZ429" s="27" t="s">
        <v>7</v>
      </c>
      <c r="BA429" s="27" t="s">
        <v>8</v>
      </c>
      <c r="BB429" s="27" t="s">
        <v>7</v>
      </c>
      <c r="BC429" s="27" t="s">
        <v>8</v>
      </c>
      <c r="BF429" s="27" t="s">
        <v>7</v>
      </c>
      <c r="BO429" s="27" t="s">
        <v>8</v>
      </c>
      <c r="BP429" s="27" t="s">
        <v>7</v>
      </c>
      <c r="BQ429" s="27" t="s">
        <v>8</v>
      </c>
      <c r="BR429" s="27" t="s">
        <v>7</v>
      </c>
      <c r="BU429" s="27" t="s">
        <v>8</v>
      </c>
      <c r="BV429" s="27" t="s">
        <v>7</v>
      </c>
      <c r="BW429" s="27" t="s">
        <v>8</v>
      </c>
      <c r="IT429" s="27" t="s">
        <v>7</v>
      </c>
    </row>
    <row r="430" spans="1:254" x14ac:dyDescent="0.25">
      <c r="A430" s="7">
        <v>22.398914223034431</v>
      </c>
      <c r="B430"/>
      <c r="C430"/>
      <c r="D430"/>
      <c r="E430" t="s">
        <v>8</v>
      </c>
      <c r="R430" s="27" t="s">
        <v>7</v>
      </c>
      <c r="S430" s="27" t="s">
        <v>8</v>
      </c>
      <c r="T430" s="27" t="s">
        <v>7</v>
      </c>
      <c r="U430" s="27" t="s">
        <v>8</v>
      </c>
      <c r="V430" s="27" t="s">
        <v>7</v>
      </c>
      <c r="Y430" s="27" t="s">
        <v>8</v>
      </c>
      <c r="Z430" s="27" t="s">
        <v>7</v>
      </c>
      <c r="AB430" s="27" t="s">
        <v>7</v>
      </c>
      <c r="AC430" s="27" t="s">
        <v>8</v>
      </c>
      <c r="AD430" s="27" t="s">
        <v>7</v>
      </c>
      <c r="AE430" s="27" t="s">
        <v>8</v>
      </c>
      <c r="AH430" s="27" t="s">
        <v>7</v>
      </c>
      <c r="AI430" s="27" t="s">
        <v>8</v>
      </c>
      <c r="AK430" s="27" t="s">
        <v>8</v>
      </c>
      <c r="AL430" s="27" t="s">
        <v>7</v>
      </c>
      <c r="AM430" s="27" t="s">
        <v>8</v>
      </c>
      <c r="AN430" s="27" t="s">
        <v>7</v>
      </c>
      <c r="AO430" s="27" t="s">
        <v>8</v>
      </c>
      <c r="AR430" s="27" t="s">
        <v>7</v>
      </c>
      <c r="AS430" s="27" t="s">
        <v>8</v>
      </c>
      <c r="AZ430" s="27" t="s">
        <v>7</v>
      </c>
      <c r="BA430" s="27" t="s">
        <v>8</v>
      </c>
      <c r="BB430" s="27" t="s">
        <v>7</v>
      </c>
      <c r="BC430" s="27" t="s">
        <v>8</v>
      </c>
      <c r="BF430" s="27" t="s">
        <v>7</v>
      </c>
      <c r="BO430" s="27" t="s">
        <v>8</v>
      </c>
      <c r="BP430" s="27" t="s">
        <v>7</v>
      </c>
      <c r="BQ430" s="27" t="s">
        <v>8</v>
      </c>
      <c r="BR430" s="27" t="s">
        <v>7</v>
      </c>
      <c r="BU430" s="27" t="s">
        <v>8</v>
      </c>
      <c r="BV430" s="27" t="s">
        <v>7</v>
      </c>
      <c r="BW430" s="27" t="s">
        <v>8</v>
      </c>
      <c r="IT430" s="27" t="s">
        <v>7</v>
      </c>
    </row>
    <row r="431" spans="1:254" x14ac:dyDescent="0.25">
      <c r="A431" s="7">
        <v>21.959719826504344</v>
      </c>
      <c r="B431"/>
      <c r="C431"/>
      <c r="D431"/>
      <c r="E431" t="s">
        <v>8</v>
      </c>
      <c r="R431" s="27" t="s">
        <v>7</v>
      </c>
      <c r="S431" s="27" t="s">
        <v>8</v>
      </c>
      <c r="T431" s="27" t="s">
        <v>7</v>
      </c>
      <c r="V431" s="27" t="s">
        <v>7</v>
      </c>
      <c r="Y431" s="27" t="s">
        <v>8</v>
      </c>
      <c r="AB431" s="27" t="s">
        <v>7</v>
      </c>
      <c r="AC431" s="27" t="s">
        <v>8</v>
      </c>
      <c r="AD431" s="27" t="s">
        <v>7</v>
      </c>
      <c r="AE431" s="27" t="s">
        <v>8</v>
      </c>
      <c r="AH431" s="27" t="s">
        <v>7</v>
      </c>
      <c r="AI431" s="27" t="s">
        <v>8</v>
      </c>
      <c r="AJ431" s="27" t="s">
        <v>7</v>
      </c>
      <c r="AK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R431" s="27" t="s">
        <v>7</v>
      </c>
      <c r="AZ431" s="27" t="s">
        <v>7</v>
      </c>
      <c r="BA431" s="27" t="s">
        <v>8</v>
      </c>
      <c r="BB431" s="27" t="s">
        <v>7</v>
      </c>
      <c r="BC431" s="27" t="s">
        <v>8</v>
      </c>
      <c r="BF431" s="27" t="s">
        <v>7</v>
      </c>
      <c r="BM431" s="27" t="s">
        <v>8</v>
      </c>
      <c r="BO431" s="27" t="s">
        <v>8</v>
      </c>
      <c r="BP431" s="27" t="s">
        <v>7</v>
      </c>
      <c r="BQ431" s="27" t="s">
        <v>8</v>
      </c>
      <c r="BR431" s="27" t="s">
        <v>7</v>
      </c>
      <c r="BS431" s="27" t="s">
        <v>8</v>
      </c>
      <c r="BU431" s="27" t="s">
        <v>8</v>
      </c>
      <c r="BV431" s="27" t="s">
        <v>7</v>
      </c>
      <c r="BW431" s="27" t="s">
        <v>8</v>
      </c>
      <c r="IT431" s="27" t="s">
        <v>7</v>
      </c>
    </row>
    <row r="432" spans="1:254" x14ac:dyDescent="0.25">
      <c r="A432" s="7">
        <v>21.52913708480818</v>
      </c>
      <c r="B432"/>
      <c r="C432"/>
      <c r="D432"/>
      <c r="E432" t="s">
        <v>8</v>
      </c>
      <c r="R432" s="27" t="s">
        <v>7</v>
      </c>
      <c r="S432" s="27" t="s">
        <v>8</v>
      </c>
      <c r="V432" s="27" t="s">
        <v>7</v>
      </c>
      <c r="Y432" s="27" t="s">
        <v>8</v>
      </c>
      <c r="AB432" s="27" t="s">
        <v>7</v>
      </c>
      <c r="AC432" s="27" t="s">
        <v>8</v>
      </c>
      <c r="AD432" s="27" t="s">
        <v>7</v>
      </c>
      <c r="AE432" s="27" t="s">
        <v>8</v>
      </c>
      <c r="AH432" s="27" t="s">
        <v>7</v>
      </c>
      <c r="AI432" s="27" t="s">
        <v>8</v>
      </c>
      <c r="AJ432" s="27" t="s">
        <v>7</v>
      </c>
      <c r="AK432" s="27" t="s">
        <v>8</v>
      </c>
      <c r="AL432" s="27" t="s">
        <v>7</v>
      </c>
      <c r="AM432" s="27" t="s">
        <v>8</v>
      </c>
      <c r="AN432" s="27" t="s">
        <v>7</v>
      </c>
      <c r="AZ432" s="27" t="s">
        <v>7</v>
      </c>
      <c r="BB432" s="27" t="s">
        <v>7</v>
      </c>
      <c r="BF432" s="27" t="s">
        <v>7</v>
      </c>
      <c r="BM432" s="27" t="s">
        <v>8</v>
      </c>
      <c r="BN432" s="27" t="s">
        <v>7</v>
      </c>
      <c r="BO432" s="27" t="s">
        <v>8</v>
      </c>
      <c r="BP432" s="27" t="s">
        <v>7</v>
      </c>
      <c r="BQ432" s="27" t="s">
        <v>8</v>
      </c>
      <c r="BR432" s="27" t="s">
        <v>7</v>
      </c>
      <c r="BS432" s="27" t="s">
        <v>8</v>
      </c>
      <c r="BT432" s="27" t="s">
        <v>7</v>
      </c>
      <c r="BU432" s="27" t="s">
        <v>8</v>
      </c>
      <c r="BV432" s="27" t="s">
        <v>7</v>
      </c>
      <c r="BW432" s="27" t="s">
        <v>8</v>
      </c>
      <c r="IT432" s="27" t="s">
        <v>7</v>
      </c>
    </row>
    <row r="433" spans="1:258" x14ac:dyDescent="0.25">
      <c r="A433" s="7">
        <v>21.106997141968804</v>
      </c>
      <c r="B433"/>
      <c r="C433"/>
      <c r="D433"/>
      <c r="E433" t="s">
        <v>8</v>
      </c>
      <c r="R433" s="27" t="s">
        <v>7</v>
      </c>
      <c r="S433" s="27" t="s">
        <v>8</v>
      </c>
      <c r="V433" s="27" t="s">
        <v>7</v>
      </c>
      <c r="Y433" s="27" t="s">
        <v>8</v>
      </c>
      <c r="AB433" s="27" t="s">
        <v>7</v>
      </c>
      <c r="AC433" s="27" t="s">
        <v>8</v>
      </c>
      <c r="AD433" s="27" t="s">
        <v>7</v>
      </c>
      <c r="AE433" s="27" t="s">
        <v>8</v>
      </c>
      <c r="AH433" s="27" t="s">
        <v>7</v>
      </c>
      <c r="AI433" s="27" t="s">
        <v>8</v>
      </c>
      <c r="AJ433" s="27" t="s">
        <v>7</v>
      </c>
      <c r="AK433" s="27" t="s">
        <v>8</v>
      </c>
      <c r="AL433" s="27" t="s">
        <v>7</v>
      </c>
      <c r="BF433" s="27" t="s">
        <v>7</v>
      </c>
      <c r="BM433" s="27" t="s">
        <v>8</v>
      </c>
      <c r="BN433" s="27" t="s">
        <v>7</v>
      </c>
      <c r="BO433" s="27" t="s">
        <v>8</v>
      </c>
      <c r="BP433" s="27" t="s">
        <v>7</v>
      </c>
      <c r="BQ433" s="27" t="s">
        <v>8</v>
      </c>
      <c r="BR433" s="27" t="s">
        <v>7</v>
      </c>
      <c r="BS433" s="27" t="s">
        <v>8</v>
      </c>
      <c r="BT433" s="27" t="s">
        <v>7</v>
      </c>
      <c r="BU433" s="27" t="s">
        <v>8</v>
      </c>
      <c r="BV433" s="27" t="s">
        <v>7</v>
      </c>
      <c r="IT433" s="27" t="s">
        <v>7</v>
      </c>
      <c r="IW433" s="27" t="s">
        <v>8</v>
      </c>
    </row>
    <row r="434" spans="1:258" x14ac:dyDescent="0.25">
      <c r="A434" s="7">
        <v>20.693134452910591</v>
      </c>
      <c r="B434"/>
      <c r="C434"/>
      <c r="D434"/>
      <c r="E434" t="s">
        <v>8</v>
      </c>
      <c r="R434" s="27" t="s">
        <v>7</v>
      </c>
      <c r="S434" s="27" t="s">
        <v>8</v>
      </c>
      <c r="V434" s="27" t="s">
        <v>7</v>
      </c>
      <c r="W434" s="27" t="s">
        <v>8</v>
      </c>
      <c r="Y434" s="27" t="s">
        <v>8</v>
      </c>
      <c r="AB434" s="27" t="s">
        <v>7</v>
      </c>
      <c r="AC434" s="27" t="s">
        <v>8</v>
      </c>
      <c r="AD434" s="27" t="s">
        <v>7</v>
      </c>
      <c r="AE434" s="27" t="s">
        <v>8</v>
      </c>
      <c r="AH434" s="27" t="s">
        <v>7</v>
      </c>
      <c r="AI434" s="27" t="s">
        <v>8</v>
      </c>
      <c r="AJ434" s="27" t="s">
        <v>7</v>
      </c>
      <c r="AK434" s="27" t="s">
        <v>8</v>
      </c>
      <c r="BF434" s="27" t="s">
        <v>7</v>
      </c>
      <c r="BM434" s="27" t="s">
        <v>8</v>
      </c>
      <c r="BN434" s="27" t="s">
        <v>7</v>
      </c>
      <c r="BO434" s="27" t="s">
        <v>8</v>
      </c>
      <c r="BP434" s="27" t="s">
        <v>7</v>
      </c>
      <c r="BQ434" s="27" t="s">
        <v>8</v>
      </c>
      <c r="BR434" s="27" t="s">
        <v>7</v>
      </c>
      <c r="BS434" s="27" t="s">
        <v>8</v>
      </c>
      <c r="BT434" s="27" t="s">
        <v>7</v>
      </c>
      <c r="BU434" s="27" t="s">
        <v>8</v>
      </c>
      <c r="IT434" s="27" t="s">
        <v>7</v>
      </c>
      <c r="IW434" s="27" t="s">
        <v>8</v>
      </c>
      <c r="IX434" s="27" t="s">
        <v>7</v>
      </c>
    </row>
    <row r="435" spans="1:258" x14ac:dyDescent="0.25">
      <c r="A435" s="7">
        <v>20.287386718539796</v>
      </c>
      <c r="B435"/>
      <c r="C435"/>
      <c r="D435"/>
      <c r="E435" t="s">
        <v>8</v>
      </c>
      <c r="R435" s="27" t="s">
        <v>7</v>
      </c>
      <c r="S435" s="27" t="s">
        <v>8</v>
      </c>
      <c r="V435" s="27" t="s">
        <v>7</v>
      </c>
      <c r="W435" s="27" t="s">
        <v>8</v>
      </c>
      <c r="X435" s="27" t="s">
        <v>7</v>
      </c>
      <c r="Y435" s="27" t="s">
        <v>8</v>
      </c>
      <c r="AB435" s="27" t="s">
        <v>7</v>
      </c>
      <c r="AC435" s="27" t="s">
        <v>8</v>
      </c>
      <c r="AD435" s="27" t="s">
        <v>7</v>
      </c>
      <c r="AE435" s="27" t="s">
        <v>8</v>
      </c>
      <c r="AH435" s="27" t="s">
        <v>7</v>
      </c>
      <c r="AI435" s="27" t="s">
        <v>8</v>
      </c>
      <c r="AJ435" s="27" t="s">
        <v>7</v>
      </c>
      <c r="AK435" s="27" t="s">
        <v>8</v>
      </c>
      <c r="BF435" s="27" t="s">
        <v>7</v>
      </c>
      <c r="BI435" s="27" t="s">
        <v>8</v>
      </c>
      <c r="BM435" s="27" t="s">
        <v>8</v>
      </c>
      <c r="BN435" s="27" t="s">
        <v>7</v>
      </c>
      <c r="BO435" s="27" t="s">
        <v>8</v>
      </c>
      <c r="BP435" s="27" t="s">
        <v>7</v>
      </c>
      <c r="BR435" s="27" t="s">
        <v>7</v>
      </c>
      <c r="BS435" s="27" t="s">
        <v>8</v>
      </c>
      <c r="BT435" s="27" t="s">
        <v>7</v>
      </c>
      <c r="BU435" s="27" t="s">
        <v>8</v>
      </c>
      <c r="IT435" s="27" t="s">
        <v>7</v>
      </c>
      <c r="IW435" s="27" t="s">
        <v>8</v>
      </c>
      <c r="IX435" s="27" t="s">
        <v>7</v>
      </c>
    </row>
    <row r="436" spans="1:258" x14ac:dyDescent="0.25">
      <c r="A436" s="7">
        <v>19.889594822097838</v>
      </c>
      <c r="B436"/>
      <c r="C436"/>
      <c r="D436"/>
      <c r="E436" t="s">
        <v>8</v>
      </c>
      <c r="R436" s="27" t="s">
        <v>7</v>
      </c>
      <c r="S436" s="27" t="s">
        <v>8</v>
      </c>
      <c r="V436" s="27" t="s">
        <v>7</v>
      </c>
      <c r="W436" s="27" t="s">
        <v>8</v>
      </c>
      <c r="X436" s="27" t="s">
        <v>7</v>
      </c>
      <c r="Y436" s="27" t="s">
        <v>8</v>
      </c>
      <c r="AB436" s="27" t="s">
        <v>7</v>
      </c>
      <c r="AC436" s="27" t="s">
        <v>8</v>
      </c>
      <c r="AD436" s="27" t="s">
        <v>7</v>
      </c>
      <c r="AE436" s="27" t="s">
        <v>8</v>
      </c>
      <c r="AH436" s="27" t="s">
        <v>7</v>
      </c>
      <c r="AI436" s="27" t="s">
        <v>8</v>
      </c>
      <c r="AJ436" s="27" t="s">
        <v>7</v>
      </c>
      <c r="AK436" s="27" t="s">
        <v>8</v>
      </c>
      <c r="BF436" s="27" t="s">
        <v>7</v>
      </c>
      <c r="BI436" s="27" t="s">
        <v>8</v>
      </c>
      <c r="BJ436" s="27" t="s">
        <v>7</v>
      </c>
      <c r="BM436" s="27" t="s">
        <v>8</v>
      </c>
      <c r="BN436" s="27" t="s">
        <v>7</v>
      </c>
      <c r="BO436" s="27" t="s">
        <v>8</v>
      </c>
      <c r="BR436" s="27" t="s">
        <v>7</v>
      </c>
      <c r="BS436" s="27" t="s">
        <v>8</v>
      </c>
      <c r="BT436" s="27" t="s">
        <v>7</v>
      </c>
      <c r="IT436" s="27" t="s">
        <v>7</v>
      </c>
      <c r="IW436" s="27" t="s">
        <v>8</v>
      </c>
      <c r="IX436" s="27" t="s">
        <v>7</v>
      </c>
    </row>
    <row r="437" spans="1:258" x14ac:dyDescent="0.25">
      <c r="A437" s="7">
        <v>19.499602766762585</v>
      </c>
      <c r="B437"/>
      <c r="C437"/>
      <c r="D437"/>
      <c r="E437" t="s">
        <v>8</v>
      </c>
      <c r="R437" s="27" t="s">
        <v>7</v>
      </c>
      <c r="S437" s="27" t="s">
        <v>8</v>
      </c>
      <c r="V437" s="27" t="s">
        <v>7</v>
      </c>
      <c r="W437" s="27" t="s">
        <v>8</v>
      </c>
      <c r="X437" s="27" t="s">
        <v>7</v>
      </c>
      <c r="Y437" s="27" t="s">
        <v>8</v>
      </c>
      <c r="AB437" s="27" t="s">
        <v>7</v>
      </c>
      <c r="AC437" s="27" t="s">
        <v>8</v>
      </c>
      <c r="AD437" s="27" t="s">
        <v>7</v>
      </c>
      <c r="AE437" s="27" t="s">
        <v>8</v>
      </c>
      <c r="AH437" s="27" t="s">
        <v>7</v>
      </c>
      <c r="AI437" s="27" t="s">
        <v>8</v>
      </c>
      <c r="AJ437" s="27" t="s">
        <v>7</v>
      </c>
      <c r="AK437" s="27" t="s">
        <v>8</v>
      </c>
      <c r="BF437" s="27" t="s">
        <v>7</v>
      </c>
      <c r="BG437" s="27" t="s">
        <v>8</v>
      </c>
      <c r="BI437" s="27" t="s">
        <v>8</v>
      </c>
      <c r="BJ437" s="27" t="s">
        <v>7</v>
      </c>
      <c r="BM437" s="27" t="s">
        <v>8</v>
      </c>
      <c r="BN437" s="27" t="s">
        <v>7</v>
      </c>
      <c r="BO437" s="27" t="s">
        <v>8</v>
      </c>
      <c r="BR437" s="27" t="s">
        <v>7</v>
      </c>
      <c r="BS437" s="27" t="s">
        <v>8</v>
      </c>
      <c r="IT437" s="27" t="s">
        <v>7</v>
      </c>
      <c r="IU437" s="27" t="s">
        <v>8</v>
      </c>
      <c r="IW437" s="27" t="s">
        <v>8</v>
      </c>
      <c r="IX437" s="27" t="s">
        <v>7</v>
      </c>
    </row>
    <row r="438" spans="1:258" x14ac:dyDescent="0.25">
      <c r="A438" s="7">
        <v>19.117257614473122</v>
      </c>
      <c r="B438"/>
      <c r="C438"/>
      <c r="D438"/>
      <c r="E438" t="s">
        <v>8</v>
      </c>
      <c r="R438" s="27" t="s">
        <v>7</v>
      </c>
      <c r="S438" s="27" t="s">
        <v>8</v>
      </c>
      <c r="V438" s="27" t="s">
        <v>7</v>
      </c>
      <c r="W438" s="27" t="s">
        <v>8</v>
      </c>
      <c r="X438" s="27" t="s">
        <v>7</v>
      </c>
      <c r="Y438" s="27" t="s">
        <v>8</v>
      </c>
      <c r="AB438" s="27" t="s">
        <v>7</v>
      </c>
      <c r="AD438" s="27" t="s">
        <v>7</v>
      </c>
      <c r="AE438" s="27" t="s">
        <v>8</v>
      </c>
      <c r="AH438" s="27" t="s">
        <v>7</v>
      </c>
      <c r="AI438" s="27" t="s">
        <v>8</v>
      </c>
      <c r="AJ438" s="27" t="s">
        <v>7</v>
      </c>
      <c r="AK438" s="27" t="s">
        <v>8</v>
      </c>
      <c r="BF438" s="27" t="s">
        <v>7</v>
      </c>
      <c r="BG438" s="27" t="s">
        <v>8</v>
      </c>
      <c r="BH438" s="27" t="s">
        <v>7</v>
      </c>
      <c r="BI438" s="27" t="s">
        <v>8</v>
      </c>
      <c r="BJ438" s="27" t="s">
        <v>7</v>
      </c>
      <c r="BM438" s="27" t="s">
        <v>8</v>
      </c>
      <c r="BN438" s="27" t="s">
        <v>7</v>
      </c>
      <c r="BO438" s="27" t="s">
        <v>8</v>
      </c>
      <c r="BR438" s="27" t="s">
        <v>7</v>
      </c>
      <c r="BS438" s="27" t="s">
        <v>8</v>
      </c>
      <c r="IT438" s="27" t="s">
        <v>7</v>
      </c>
      <c r="IU438" s="27" t="s">
        <v>8</v>
      </c>
      <c r="IV438" s="27" t="s">
        <v>7</v>
      </c>
      <c r="IW438" s="27" t="s">
        <v>8</v>
      </c>
      <c r="IX438" s="27" t="s">
        <v>7</v>
      </c>
    </row>
    <row r="439" spans="1:258" x14ac:dyDescent="0.25">
      <c r="A439" s="7">
        <v>18.74240942595404</v>
      </c>
      <c r="B439"/>
      <c r="C439"/>
      <c r="D439"/>
      <c r="E439" t="s">
        <v>8</v>
      </c>
      <c r="R439" s="27" t="s">
        <v>7</v>
      </c>
      <c r="V439" s="27" t="s">
        <v>7</v>
      </c>
      <c r="W439" s="27" t="s">
        <v>8</v>
      </c>
      <c r="X439" s="27" t="s">
        <v>7</v>
      </c>
      <c r="Y439" s="27" t="s">
        <v>8</v>
      </c>
      <c r="AD439" s="27" t="s">
        <v>7</v>
      </c>
      <c r="AH439" s="27" t="s">
        <v>7</v>
      </c>
      <c r="AJ439" s="27" t="s">
        <v>7</v>
      </c>
      <c r="AK439" s="27" t="s">
        <v>8</v>
      </c>
      <c r="BF439" s="27" t="s">
        <v>7</v>
      </c>
      <c r="BG439" s="27" t="s">
        <v>8</v>
      </c>
      <c r="BH439" s="27" t="s">
        <v>7</v>
      </c>
      <c r="BI439" s="27" t="s">
        <v>8</v>
      </c>
      <c r="BJ439" s="27" t="s">
        <v>7</v>
      </c>
      <c r="BK439" s="27" t="s">
        <v>8</v>
      </c>
      <c r="BM439" s="27" t="s">
        <v>8</v>
      </c>
      <c r="BN439" s="27" t="s">
        <v>7</v>
      </c>
      <c r="BO439" s="27" t="s">
        <v>8</v>
      </c>
      <c r="BR439" s="27" t="s">
        <v>7</v>
      </c>
      <c r="BS439" s="27" t="s">
        <v>8</v>
      </c>
      <c r="IT439" s="27" t="s">
        <v>7</v>
      </c>
      <c r="IU439" s="27" t="s">
        <v>8</v>
      </c>
      <c r="IV439" s="27" t="s">
        <v>7</v>
      </c>
      <c r="IW439" s="27" t="s">
        <v>8</v>
      </c>
      <c r="IX439" s="27" t="s">
        <v>7</v>
      </c>
    </row>
    <row r="440" spans="1:258" x14ac:dyDescent="0.25">
      <c r="A440" s="7">
        <v>18.374911201915726</v>
      </c>
      <c r="B440"/>
      <c r="C440"/>
      <c r="D440"/>
      <c r="E440" t="s">
        <v>8</v>
      </c>
      <c r="V440" s="27" t="s">
        <v>7</v>
      </c>
      <c r="X440" s="27" t="s">
        <v>7</v>
      </c>
      <c r="Y440" s="27" t="s">
        <v>8</v>
      </c>
      <c r="AJ440" s="27" t="s">
        <v>7</v>
      </c>
      <c r="AK440" s="27" t="s">
        <v>8</v>
      </c>
      <c r="BF440" s="27" t="s">
        <v>7</v>
      </c>
      <c r="BG440" s="27" t="s">
        <v>8</v>
      </c>
      <c r="BH440" s="27" t="s">
        <v>7</v>
      </c>
      <c r="BI440" s="27" t="s">
        <v>8</v>
      </c>
      <c r="BJ440" s="27" t="s">
        <v>7</v>
      </c>
      <c r="BK440" s="27" t="s">
        <v>8</v>
      </c>
      <c r="BL440" s="27" t="s">
        <v>7</v>
      </c>
      <c r="BM440" s="27" t="s">
        <v>8</v>
      </c>
      <c r="BN440" s="27" t="s">
        <v>7</v>
      </c>
      <c r="BR440" s="27" t="s">
        <v>7</v>
      </c>
      <c r="BS440" s="27" t="s">
        <v>8</v>
      </c>
      <c r="IT440" s="27" t="s">
        <v>7</v>
      </c>
      <c r="IU440" s="27" t="s">
        <v>8</v>
      </c>
      <c r="IV440" s="27" t="s">
        <v>7</v>
      </c>
      <c r="IW440" s="27" t="s">
        <v>8</v>
      </c>
    </row>
    <row r="441" spans="1:258" x14ac:dyDescent="0.25">
      <c r="A441" s="7">
        <v>18.014618825407574</v>
      </c>
      <c r="B441"/>
      <c r="C441"/>
      <c r="D441"/>
      <c r="E441" t="s">
        <v>8</v>
      </c>
      <c r="X441" s="27" t="s">
        <v>7</v>
      </c>
      <c r="Y441" s="27" t="s">
        <v>8</v>
      </c>
      <c r="AJ441" s="27" t="s">
        <v>7</v>
      </c>
      <c r="AK441" s="27" t="s">
        <v>8</v>
      </c>
      <c r="BF441" s="27" t="s">
        <v>7</v>
      </c>
      <c r="BG441" s="27" t="s">
        <v>8</v>
      </c>
      <c r="BH441" s="27" t="s">
        <v>7</v>
      </c>
      <c r="BI441" s="27" t="s">
        <v>8</v>
      </c>
      <c r="BJ441" s="27" t="s">
        <v>7</v>
      </c>
      <c r="BK441" s="27" t="s">
        <v>8</v>
      </c>
      <c r="BL441" s="27" t="s">
        <v>7</v>
      </c>
      <c r="BM441" s="27" t="s">
        <v>8</v>
      </c>
      <c r="BR441" s="27" t="s">
        <v>7</v>
      </c>
      <c r="BS441" s="27" t="s">
        <v>8</v>
      </c>
      <c r="IT441" s="27" t="s">
        <v>7</v>
      </c>
      <c r="IU441" s="27" t="s">
        <v>8</v>
      </c>
      <c r="IV441" s="27" t="s">
        <v>7</v>
      </c>
      <c r="IW441" s="27" t="s">
        <v>8</v>
      </c>
    </row>
    <row r="442" spans="1:258" x14ac:dyDescent="0.25">
      <c r="A442" s="7">
        <v>17.661391005301542</v>
      </c>
      <c r="B442"/>
      <c r="C442"/>
      <c r="D442"/>
      <c r="E442" t="s">
        <v>8</v>
      </c>
      <c r="X442" s="27" t="s">
        <v>7</v>
      </c>
      <c r="Y442" s="27" t="s">
        <v>8</v>
      </c>
      <c r="AJ442" s="27" t="s">
        <v>7</v>
      </c>
      <c r="AK442" s="27" t="s">
        <v>8</v>
      </c>
      <c r="BF442" s="27" t="s">
        <v>7</v>
      </c>
      <c r="BG442" s="27" t="s">
        <v>8</v>
      </c>
      <c r="BH442" s="27" t="s">
        <v>7</v>
      </c>
      <c r="BI442" s="27" t="s">
        <v>8</v>
      </c>
      <c r="BJ442" s="27" t="s">
        <v>7</v>
      </c>
      <c r="BK442" s="27" t="s">
        <v>8</v>
      </c>
      <c r="BL442" s="27" t="s">
        <v>7</v>
      </c>
      <c r="BM442" s="27" t="s">
        <v>8</v>
      </c>
      <c r="BR442" s="27" t="s">
        <v>7</v>
      </c>
      <c r="BS442" s="27" t="s">
        <v>8</v>
      </c>
      <c r="IT442" s="27" t="s">
        <v>7</v>
      </c>
      <c r="IU442" s="27" t="s">
        <v>8</v>
      </c>
      <c r="IV442" s="27" t="s">
        <v>7</v>
      </c>
      <c r="IW442" s="27" t="s">
        <v>8</v>
      </c>
    </row>
    <row r="443" spans="1:258" x14ac:dyDescent="0.25">
      <c r="A443" s="7">
        <v>17.315089220883866</v>
      </c>
      <c r="B443"/>
      <c r="C443"/>
      <c r="D443"/>
      <c r="E443" t="s">
        <v>8</v>
      </c>
      <c r="X443" s="27" t="s">
        <v>7</v>
      </c>
      <c r="Y443" s="27" t="s">
        <v>8</v>
      </c>
      <c r="AJ443" s="27" t="s">
        <v>7</v>
      </c>
      <c r="AK443" s="27" t="s">
        <v>8</v>
      </c>
      <c r="BF443" s="27" t="s">
        <v>7</v>
      </c>
      <c r="BG443" s="27" t="s">
        <v>8</v>
      </c>
      <c r="BH443" s="27" t="s">
        <v>7</v>
      </c>
      <c r="BI443" s="27" t="s">
        <v>8</v>
      </c>
      <c r="BJ443" s="27" t="s">
        <v>7</v>
      </c>
      <c r="BK443" s="27" t="s">
        <v>8</v>
      </c>
      <c r="BL443" s="27" t="s">
        <v>7</v>
      </c>
      <c r="BM443" s="27" t="s">
        <v>8</v>
      </c>
      <c r="BR443" s="27" t="s">
        <v>7</v>
      </c>
      <c r="IT443" s="27" t="s">
        <v>7</v>
      </c>
      <c r="IU443" s="27" t="s">
        <v>8</v>
      </c>
      <c r="IV443" s="27" t="s">
        <v>7</v>
      </c>
      <c r="IW443" s="27" t="s">
        <v>8</v>
      </c>
    </row>
    <row r="444" spans="1:258" x14ac:dyDescent="0.25">
      <c r="A444" s="7">
        <v>16.975577667533202</v>
      </c>
      <c r="B444"/>
      <c r="C444"/>
      <c r="D444"/>
      <c r="E444" t="s">
        <v>8</v>
      </c>
      <c r="X444" s="27" t="s">
        <v>7</v>
      </c>
      <c r="Y444" s="27" t="s">
        <v>8</v>
      </c>
      <c r="AJ444" s="27" t="s">
        <v>7</v>
      </c>
      <c r="AK444" s="27" t="s">
        <v>8</v>
      </c>
      <c r="BF444" s="27" t="s">
        <v>7</v>
      </c>
      <c r="BG444" s="27" t="s">
        <v>8</v>
      </c>
      <c r="BH444" s="27" t="s">
        <v>7</v>
      </c>
      <c r="BI444" s="27" t="s">
        <v>8</v>
      </c>
      <c r="BJ444" s="27" t="s">
        <v>7</v>
      </c>
      <c r="BL444" s="27" t="s">
        <v>7</v>
      </c>
      <c r="IT444" s="27" t="s">
        <v>7</v>
      </c>
      <c r="IV444" s="27" t="s">
        <v>7</v>
      </c>
      <c r="IW444" s="27" t="s">
        <v>8</v>
      </c>
    </row>
    <row r="445" spans="1:258" x14ac:dyDescent="0.25">
      <c r="A445" s="7">
        <v>16.642723203463923</v>
      </c>
      <c r="B445"/>
      <c r="C445"/>
      <c r="D445"/>
      <c r="E445" t="s">
        <v>8</v>
      </c>
      <c r="X445" s="27" t="s">
        <v>7</v>
      </c>
      <c r="Y445" s="27" t="s">
        <v>8</v>
      </c>
      <c r="AJ445" s="27" t="s">
        <v>7</v>
      </c>
      <c r="BF445" s="27" t="s">
        <v>7</v>
      </c>
      <c r="BG445" s="27" t="s">
        <v>8</v>
      </c>
      <c r="BH445" s="27" t="s">
        <v>7</v>
      </c>
      <c r="BI445" s="27" t="s">
        <v>8</v>
      </c>
      <c r="IV445" s="27" t="s">
        <v>7</v>
      </c>
    </row>
    <row r="446" spans="1:258" x14ac:dyDescent="0.25">
      <c r="A446" s="7">
        <v>16.316395297513651</v>
      </c>
      <c r="B446"/>
      <c r="C446"/>
      <c r="D446"/>
      <c r="E446" t="s">
        <v>8</v>
      </c>
      <c r="X446" s="27" t="s">
        <v>7</v>
      </c>
      <c r="Y446" s="27" t="s">
        <v>8</v>
      </c>
      <c r="BF446" s="27" t="s">
        <v>7</v>
      </c>
      <c r="BG446" s="27" t="s">
        <v>8</v>
      </c>
      <c r="BH446" s="27" t="s">
        <v>7</v>
      </c>
      <c r="BI446" s="27" t="s">
        <v>8</v>
      </c>
    </row>
    <row r="447" spans="1:258" x14ac:dyDescent="0.25">
      <c r="A447" s="7">
        <v>15.996465977954561</v>
      </c>
      <c r="B447"/>
      <c r="C447"/>
      <c r="D447"/>
      <c r="E447" t="s">
        <v>8</v>
      </c>
      <c r="X447" s="27" t="s">
        <v>7</v>
      </c>
      <c r="Y447" s="27" t="s">
        <v>8</v>
      </c>
      <c r="BF447" s="27" t="s">
        <v>7</v>
      </c>
      <c r="BG447" s="27" t="s">
        <v>8</v>
      </c>
      <c r="BH447" s="27" t="s">
        <v>7</v>
      </c>
    </row>
    <row r="448" spans="1:258" x14ac:dyDescent="0.25">
      <c r="A448" s="7">
        <v>15.682809782308393</v>
      </c>
      <c r="B448"/>
      <c r="C448"/>
      <c r="D448"/>
      <c r="E448" t="s">
        <v>8</v>
      </c>
      <c r="X448" s="27" t="s">
        <v>7</v>
      </c>
      <c r="Y448" s="27" t="s">
        <v>8</v>
      </c>
      <c r="BF448" s="27" t="s">
        <v>7</v>
      </c>
      <c r="BG448" s="27" t="s">
        <v>8</v>
      </c>
    </row>
    <row r="449" spans="1:59" x14ac:dyDescent="0.25">
      <c r="A449" s="7">
        <v>15.375303708145482</v>
      </c>
      <c r="B449"/>
      <c r="C449"/>
      <c r="D449"/>
      <c r="E449" t="s">
        <v>8</v>
      </c>
      <c r="X449" s="27" t="s">
        <v>7</v>
      </c>
      <c r="Y449" s="27" t="s">
        <v>8</v>
      </c>
      <c r="BF449" s="27" t="s">
        <v>7</v>
      </c>
      <c r="BG449" s="27" t="s">
        <v>8</v>
      </c>
    </row>
    <row r="450" spans="1:59" x14ac:dyDescent="0.25">
      <c r="A450" s="7">
        <v>15.073827164848511</v>
      </c>
      <c r="B450"/>
      <c r="C450"/>
      <c r="D450"/>
      <c r="E450" t="s">
        <v>8</v>
      </c>
      <c r="X450" s="27" t="s">
        <v>7</v>
      </c>
      <c r="Y450" s="27" t="s">
        <v>8</v>
      </c>
      <c r="BF450" s="27" t="s">
        <v>7</v>
      </c>
    </row>
    <row r="451" spans="1:59" x14ac:dyDescent="0.25">
      <c r="A451" s="7">
        <v>14.77826192632207</v>
      </c>
      <c r="B451"/>
      <c r="C451"/>
      <c r="D451"/>
      <c r="E451" t="s">
        <v>8</v>
      </c>
      <c r="X451" s="27" t="s">
        <v>7</v>
      </c>
      <c r="Y451" s="27" t="s">
        <v>8</v>
      </c>
    </row>
    <row r="452" spans="1:59" x14ac:dyDescent="0.25">
      <c r="A452" s="7">
        <v>14.488492084629481</v>
      </c>
      <c r="B452"/>
      <c r="C452"/>
      <c r="D452"/>
      <c r="E452" t="s">
        <v>8</v>
      </c>
      <c r="X452" s="27" t="s">
        <v>7</v>
      </c>
      <c r="Y452" s="27" t="s">
        <v>8</v>
      </c>
    </row>
    <row r="453" spans="1:59" x14ac:dyDescent="0.25">
      <c r="A453" s="7">
        <v>14.204404004538707</v>
      </c>
      <c r="B453"/>
      <c r="C453"/>
      <c r="D453"/>
      <c r="E453" t="s">
        <v>8</v>
      </c>
      <c r="X453" s="27" t="s">
        <v>7</v>
      </c>
      <c r="Y453" s="27" t="s">
        <v>8</v>
      </c>
    </row>
    <row r="454" spans="1:59" x14ac:dyDescent="0.25">
      <c r="A454" s="7">
        <v>13.925886278959517</v>
      </c>
      <c r="B454"/>
      <c r="C454"/>
      <c r="D454"/>
      <c r="E454" t="s">
        <v>8</v>
      </c>
      <c r="X454" s="27" t="s">
        <v>7</v>
      </c>
      <c r="Y454" s="27" t="s">
        <v>8</v>
      </c>
    </row>
    <row r="455" spans="1:59" x14ac:dyDescent="0.25">
      <c r="A455" s="7">
        <v>13.652829685254428</v>
      </c>
      <c r="B455"/>
      <c r="C455"/>
      <c r="D455"/>
      <c r="E455" t="s">
        <v>8</v>
      </c>
      <c r="X455" s="27" t="s">
        <v>7</v>
      </c>
      <c r="Y455" s="27" t="s">
        <v>8</v>
      </c>
    </row>
    <row r="456" spans="1:59" x14ac:dyDescent="0.25">
      <c r="A456" s="7">
        <v>13.385127142406303</v>
      </c>
      <c r="B456"/>
      <c r="C456"/>
      <c r="D456"/>
      <c r="E456" t="s">
        <v>8</v>
      </c>
      <c r="X456" s="27" t="s">
        <v>7</v>
      </c>
      <c r="Y456" s="27" t="s">
        <v>8</v>
      </c>
    </row>
    <row r="457" spans="1:59" x14ac:dyDescent="0.25">
      <c r="A457" s="7">
        <v>13.122673669025787</v>
      </c>
      <c r="B457"/>
      <c r="C457"/>
      <c r="D457"/>
      <c r="E457" t="s">
        <v>8</v>
      </c>
      <c r="X457" s="27" t="s">
        <v>7</v>
      </c>
      <c r="Y457" s="27" t="s">
        <v>8</v>
      </c>
    </row>
    <row r="458" spans="1:59" x14ac:dyDescent="0.25">
      <c r="A458" s="7">
        <v>12.865366342182144</v>
      </c>
      <c r="B458"/>
      <c r="C458"/>
      <c r="D458"/>
      <c r="E458" t="s">
        <v>8</v>
      </c>
      <c r="X458" s="27" t="s">
        <v>7</v>
      </c>
    </row>
    <row r="459" spans="1:59" x14ac:dyDescent="0.25">
      <c r="A459" s="7">
        <v>12.613104257041318</v>
      </c>
      <c r="B459"/>
      <c r="C459"/>
      <c r="D459"/>
      <c r="E459" t="s">
        <v>8</v>
      </c>
    </row>
    <row r="460" spans="1:59" x14ac:dyDescent="0.25">
      <c r="A460" s="7">
        <v>12.36578848729541</v>
      </c>
      <c r="B460"/>
      <c r="C460"/>
      <c r="D460"/>
      <c r="E460" t="s">
        <v>8</v>
      </c>
    </row>
    <row r="461" spans="1:59" x14ac:dyDescent="0.25">
      <c r="A461" s="7">
        <v>12.123322046368049</v>
      </c>
      <c r="B461"/>
      <c r="C461"/>
      <c r="D461"/>
      <c r="E461" t="s">
        <v>8</v>
      </c>
    </row>
    <row r="462" spans="1:59" x14ac:dyDescent="0.25">
      <c r="A462" s="7">
        <v>11.88560984938044</v>
      </c>
      <c r="B462"/>
      <c r="C462"/>
      <c r="D462"/>
      <c r="E462" t="s">
        <v>8</v>
      </c>
    </row>
    <row r="463" spans="1:59" x14ac:dyDescent="0.25">
      <c r="A463" s="7">
        <v>11.652558675863176</v>
      </c>
      <c r="B463"/>
      <c r="C463"/>
      <c r="D463"/>
      <c r="E463" t="s">
        <v>8</v>
      </c>
    </row>
    <row r="464" spans="1:59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22" operator="equal">
      <formula>$U$1</formula>
    </cfRule>
    <cfRule type="cellIs" dxfId="89" priority="923" operator="equal">
      <formula>$S$1</formula>
    </cfRule>
  </conditionalFormatting>
  <conditionalFormatting sqref="D27">
    <cfRule type="cellIs" dxfId="88" priority="920" operator="equal">
      <formula>$S$1</formula>
    </cfRule>
    <cfRule type="cellIs" dxfId="87" priority="921" operator="equal">
      <formula>$U$1</formula>
    </cfRule>
  </conditionalFormatting>
  <conditionalFormatting sqref="C164">
    <cfRule type="cellIs" dxfId="86" priority="918" operator="equal">
      <formula>$U$1</formula>
    </cfRule>
    <cfRule type="cellIs" dxfId="85" priority="919" operator="equal">
      <formula>$S$1</formula>
    </cfRule>
  </conditionalFormatting>
  <conditionalFormatting sqref="D164">
    <cfRule type="cellIs" dxfId="84" priority="916" operator="equal">
      <formula>$S$1</formula>
    </cfRule>
    <cfRule type="cellIs" dxfId="83" priority="917" operator="equal">
      <formula>$U$1</formula>
    </cfRule>
  </conditionalFormatting>
  <conditionalFormatting sqref="C55">
    <cfRule type="cellIs" dxfId="82" priority="914" operator="equal">
      <formula>$U$1</formula>
    </cfRule>
    <cfRule type="cellIs" dxfId="81" priority="915" operator="equal">
      <formula>$S$1</formula>
    </cfRule>
  </conditionalFormatting>
  <conditionalFormatting sqref="D55">
    <cfRule type="cellIs" dxfId="80" priority="912" operator="equal">
      <formula>$S$1</formula>
    </cfRule>
    <cfRule type="cellIs" dxfId="79" priority="913" operator="equal">
      <formula>$U$1</formula>
    </cfRule>
  </conditionalFormatting>
  <conditionalFormatting sqref="C89">
    <cfRule type="cellIs" dxfId="78" priority="910" operator="equal">
      <formula>$U$1</formula>
    </cfRule>
    <cfRule type="cellIs" dxfId="77" priority="911" operator="equal">
      <formula>$S$1</formula>
    </cfRule>
  </conditionalFormatting>
  <conditionalFormatting sqref="D89">
    <cfRule type="cellIs" dxfId="76" priority="908" operator="equal">
      <formula>$S$1</formula>
    </cfRule>
    <cfRule type="cellIs" dxfId="75" priority="909" operator="equal">
      <formula>$U$1</formula>
    </cfRule>
  </conditionalFormatting>
  <conditionalFormatting sqref="C136">
    <cfRule type="cellIs" dxfId="74" priority="906" operator="equal">
      <formula>$U$1</formula>
    </cfRule>
    <cfRule type="cellIs" dxfId="73" priority="907" operator="equal">
      <formula>$S$1</formula>
    </cfRule>
  </conditionalFormatting>
  <conditionalFormatting sqref="D136">
    <cfRule type="cellIs" dxfId="72" priority="904" operator="equal">
      <formula>$S$1</formula>
    </cfRule>
    <cfRule type="cellIs" dxfId="71" priority="905" operator="equal">
      <formula>$U$1</formula>
    </cfRule>
  </conditionalFormatting>
  <conditionalFormatting sqref="C1">
    <cfRule type="cellIs" dxfId="70" priority="90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7" zoomScale="90" zoomScaleNormal="90" workbookViewId="0">
      <pane xSplit="4" topLeftCell="CL1" activePane="topRight" state="frozen"/>
      <selection activeCell="A109" sqref="A109"/>
      <selection pane="topRight" activeCell="EQ178" sqref="EQ17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$A$177</v>
      </c>
      <c r="D111" s="1" t="str">
        <f>ADDRESS(C121-1,D121,1,1)</f>
        <v>$EQ$177</v>
      </c>
      <c r="E111"/>
    </row>
    <row r="112" spans="1:5" x14ac:dyDescent="0.25">
      <c r="A112" s="30">
        <v>515.50191262726139</v>
      </c>
      <c r="C112" s="1" t="str">
        <f>ADDRESS(C121,1,1,1)</f>
        <v>$A$178</v>
      </c>
      <c r="D112" s="1" t="str">
        <f>ADDRESS(C121,D121-1,1,1)</f>
        <v>$EP$178</v>
      </c>
      <c r="E112"/>
    </row>
    <row r="113" spans="1:5" x14ac:dyDescent="0.25">
      <c r="A113" s="30">
        <v>490.95420250215363</v>
      </c>
      <c r="C113" s="1" t="str">
        <f>ADDRESS(C121+1,1,1,1)</f>
        <v>$A$179</v>
      </c>
      <c r="D113" s="1" t="str">
        <f>ADDRESS(C121-1,D121+1,1,1)</f>
        <v>$ER$177</v>
      </c>
    </row>
    <row r="114" spans="1:5" x14ac:dyDescent="0.25">
      <c r="A114" s="30">
        <v>467.57543095443202</v>
      </c>
      <c r="C114" s="1" t="str">
        <f>ADDRESS(C121,D121,1,1)</f>
        <v>$EQ$178</v>
      </c>
      <c r="D114" s="1" t="str">
        <f>ADDRESS(C121+1,D121+1,1,1)</f>
        <v>$ER$179</v>
      </c>
    </row>
    <row r="115" spans="1:5" x14ac:dyDescent="0.25">
      <c r="A115" s="30">
        <v>445.30993424231622</v>
      </c>
      <c r="C115" s="1" t="str">
        <f>ADDRESS(C121+1,D121,1,1)</f>
        <v>$EQ$179</v>
      </c>
    </row>
    <row r="116" spans="1:5" x14ac:dyDescent="0.25">
      <c r="A116" s="30">
        <v>424.10469927839637</v>
      </c>
      <c r="C116" s="1">
        <f>C117-1</f>
        <v>177</v>
      </c>
    </row>
    <row r="117" spans="1:5" x14ac:dyDescent="0.25">
      <c r="A117" s="30">
        <v>403.9092374079965</v>
      </c>
      <c r="C117" s="1">
        <f>C121</f>
        <v>178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179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178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R178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20.593802448270605</v>
      </c>
      <c r="D127"/>
    </row>
    <row r="128" spans="1:5" x14ac:dyDescent="0.25">
      <c r="A128" s="30">
        <v>236.15736578315241</v>
      </c>
    </row>
    <row r="129" spans="1:97" x14ac:dyDescent="0.25">
      <c r="A129" s="30">
        <v>224.91177693633563</v>
      </c>
      <c r="C129" s="1" t="s">
        <v>11</v>
      </c>
      <c r="D129" s="1" t="s">
        <v>12</v>
      </c>
      <c r="E129"/>
    </row>
    <row r="130" spans="1:97" x14ac:dyDescent="0.25">
      <c r="A130" s="30">
        <v>214.20169232031964</v>
      </c>
      <c r="C130" s="6"/>
      <c r="D130" s="6"/>
      <c r="E130"/>
    </row>
    <row r="131" spans="1:97" x14ac:dyDescent="0.25">
      <c r="A131" s="30">
        <v>204.00161173363773</v>
      </c>
      <c r="E131"/>
    </row>
    <row r="132" spans="1:97" x14ac:dyDescent="0.25">
      <c r="A132" s="30">
        <v>194.28724927013116</v>
      </c>
      <c r="C132" s="1" t="s">
        <v>13</v>
      </c>
      <c r="E132"/>
    </row>
    <row r="133" spans="1:97" x14ac:dyDescent="0.25">
      <c r="A133" s="30">
        <v>185.03547549536299</v>
      </c>
      <c r="C133" s="1" t="str">
        <f>C122</f>
        <v>X</v>
      </c>
      <c r="E133"/>
    </row>
    <row r="134" spans="1:97" x14ac:dyDescent="0.25">
      <c r="A134" s="30">
        <v>176.22426237653616</v>
      </c>
      <c r="C134"/>
      <c r="E134"/>
    </row>
    <row r="135" spans="1:97" x14ac:dyDescent="0.25">
      <c r="A135" s="30">
        <v>167.83263083479633</v>
      </c>
      <c r="C135" s="1" t="s">
        <v>14</v>
      </c>
      <c r="E135"/>
    </row>
    <row r="136" spans="1:97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CK136" s="31" t="s">
        <v>8</v>
      </c>
    </row>
    <row r="137" spans="1:97" x14ac:dyDescent="0.25">
      <c r="A137" s="30">
        <v>152.22914361432771</v>
      </c>
      <c r="E137"/>
      <c r="CI137" s="27" t="s">
        <v>8</v>
      </c>
      <c r="CK137" s="27" t="s">
        <v>8</v>
      </c>
      <c r="CL137" s="31" t="s">
        <v>7</v>
      </c>
    </row>
    <row r="138" spans="1:97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CI138" s="27" t="s">
        <v>8</v>
      </c>
      <c r="CJ138" s="27" t="s">
        <v>7</v>
      </c>
      <c r="CK138" s="27" t="s">
        <v>8</v>
      </c>
      <c r="CL138" s="27" t="s">
        <v>7</v>
      </c>
      <c r="CM138" s="31"/>
    </row>
    <row r="139" spans="1:97" x14ac:dyDescent="0.25">
      <c r="A139" s="30">
        <v>138.07632073861922</v>
      </c>
      <c r="E139"/>
      <c r="CI139" s="27" t="s">
        <v>8</v>
      </c>
      <c r="CJ139" s="27" t="s">
        <v>7</v>
      </c>
      <c r="CK139" s="27" t="s">
        <v>8</v>
      </c>
      <c r="CL139" s="27" t="s">
        <v>7</v>
      </c>
      <c r="CN139" s="31"/>
    </row>
    <row r="140" spans="1:97" x14ac:dyDescent="0.25">
      <c r="A140" s="30">
        <v>131.50125784630401</v>
      </c>
      <c r="C140" s="1">
        <v>0</v>
      </c>
      <c r="E140"/>
      <c r="CI140" s="27" t="s">
        <v>8</v>
      </c>
      <c r="CJ140" s="27" t="s">
        <v>7</v>
      </c>
      <c r="CK140" s="27" t="s">
        <v>8</v>
      </c>
      <c r="CL140" s="27" t="s">
        <v>7</v>
      </c>
      <c r="CO140" s="31"/>
    </row>
    <row r="141" spans="1:97" x14ac:dyDescent="0.25">
      <c r="A141" s="30">
        <v>125.23929318695619</v>
      </c>
      <c r="C141" s="1">
        <v>1</v>
      </c>
      <c r="E141"/>
      <c r="CI141" s="27" t="s">
        <v>8</v>
      </c>
      <c r="CJ141" s="27" t="s">
        <v>7</v>
      </c>
      <c r="CK141" s="27" t="s">
        <v>8</v>
      </c>
      <c r="CL141" s="27" t="s">
        <v>7</v>
      </c>
      <c r="CP141" s="31"/>
    </row>
    <row r="142" spans="1:97" x14ac:dyDescent="0.25">
      <c r="A142" s="30">
        <v>119.27551732091065</v>
      </c>
      <c r="C142" s="1">
        <v>2</v>
      </c>
      <c r="E142"/>
      <c r="CI142" s="27" t="s">
        <v>8</v>
      </c>
      <c r="CJ142" s="27" t="s">
        <v>7</v>
      </c>
      <c r="CK142" s="27" t="s">
        <v>8</v>
      </c>
      <c r="CL142" s="27" t="s">
        <v>7</v>
      </c>
      <c r="CQ142" s="31"/>
    </row>
    <row r="143" spans="1:97" x14ac:dyDescent="0.25">
      <c r="A143" s="30">
        <v>113.59573078181967</v>
      </c>
      <c r="C143" s="1">
        <v>3</v>
      </c>
      <c r="E143"/>
      <c r="CI143" s="27" t="s">
        <v>8</v>
      </c>
      <c r="CJ143" s="27" t="s">
        <v>7</v>
      </c>
      <c r="CK143" s="27" t="s">
        <v>8</v>
      </c>
      <c r="CL143" s="27" t="s">
        <v>7</v>
      </c>
      <c r="CM143" s="27" t="s">
        <v>8</v>
      </c>
      <c r="CR143" s="31"/>
    </row>
    <row r="144" spans="1:97" x14ac:dyDescent="0.25">
      <c r="A144" s="30">
        <v>108.18641026839968</v>
      </c>
      <c r="C144" s="1">
        <v>4</v>
      </c>
      <c r="E144"/>
      <c r="CI144" s="27" t="s">
        <v>8</v>
      </c>
      <c r="CJ144" s="27" t="s">
        <v>7</v>
      </c>
      <c r="CK144" s="27" t="s">
        <v>8</v>
      </c>
      <c r="CL144" s="27" t="s">
        <v>7</v>
      </c>
      <c r="CM144" s="27" t="s">
        <v>8</v>
      </c>
      <c r="CN144" s="27" t="s">
        <v>7</v>
      </c>
      <c r="CS144" s="31"/>
    </row>
    <row r="145" spans="1:136" x14ac:dyDescent="0.25">
      <c r="A145" s="30">
        <v>103.03467644609493</v>
      </c>
      <c r="E145"/>
      <c r="CI145" s="27" t="s">
        <v>8</v>
      </c>
      <c r="CJ145" s="27" t="s">
        <v>7</v>
      </c>
      <c r="CL145" s="27" t="s">
        <v>7</v>
      </c>
      <c r="CM145" s="27" t="s">
        <v>8</v>
      </c>
      <c r="CN145" s="27" t="s">
        <v>7</v>
      </c>
      <c r="CT145" s="31"/>
    </row>
    <row r="146" spans="1:136" x14ac:dyDescent="0.25">
      <c r="A146" s="30">
        <v>98.128263281995174</v>
      </c>
      <c r="E146"/>
      <c r="CE146" s="27" t="s">
        <v>8</v>
      </c>
      <c r="CG146" s="27" t="s">
        <v>8</v>
      </c>
      <c r="CI146" s="27" t="s">
        <v>8</v>
      </c>
      <c r="CL146" s="27" t="s">
        <v>7</v>
      </c>
      <c r="CM146" s="27" t="s">
        <v>8</v>
      </c>
      <c r="CN146" s="27" t="s">
        <v>7</v>
      </c>
      <c r="CU146" s="31"/>
    </row>
    <row r="147" spans="1:136" x14ac:dyDescent="0.25">
      <c r="A147" s="30">
        <v>93.455488839995397</v>
      </c>
      <c r="E147"/>
      <c r="CC147" s="27" t="s">
        <v>8</v>
      </c>
      <c r="CE147" s="27" t="s">
        <v>8</v>
      </c>
      <c r="CF147" s="27" t="s">
        <v>7</v>
      </c>
      <c r="CG147" s="27" t="s">
        <v>8</v>
      </c>
      <c r="CH147" s="27" t="s">
        <v>7</v>
      </c>
      <c r="CI147" s="27" t="s">
        <v>8</v>
      </c>
      <c r="CL147" s="27" t="s">
        <v>7</v>
      </c>
      <c r="CN147" s="27" t="s">
        <v>7</v>
      </c>
      <c r="CV147" s="31"/>
    </row>
    <row r="148" spans="1:136" x14ac:dyDescent="0.25">
      <c r="A148" s="30">
        <v>89.005227466662276</v>
      </c>
      <c r="E148" t="s">
        <v>8</v>
      </c>
      <c r="BW148" s="27" t="s">
        <v>8</v>
      </c>
      <c r="CA148" s="27" t="s">
        <v>8</v>
      </c>
      <c r="CC148" s="27" t="s">
        <v>8</v>
      </c>
      <c r="CD148" s="27" t="s">
        <v>7</v>
      </c>
      <c r="CE148" s="27" t="s">
        <v>8</v>
      </c>
      <c r="CF148" s="27" t="s">
        <v>7</v>
      </c>
      <c r="CG148" s="27" t="s">
        <v>8</v>
      </c>
      <c r="CH148" s="27" t="s">
        <v>7</v>
      </c>
      <c r="CI148" s="27" t="s">
        <v>8</v>
      </c>
      <c r="CN148" s="27" t="s">
        <v>7</v>
      </c>
      <c r="CW148" s="31"/>
    </row>
    <row r="149" spans="1:136" x14ac:dyDescent="0.25">
      <c r="A149" s="30">
        <v>84.766883301583121</v>
      </c>
      <c r="E149" t="s">
        <v>8</v>
      </c>
      <c r="F149" s="27" t="s">
        <v>7</v>
      </c>
      <c r="BW149" s="27" t="s">
        <v>8</v>
      </c>
      <c r="BX149" s="27" t="s">
        <v>7</v>
      </c>
      <c r="BY149" s="27" t="s">
        <v>8</v>
      </c>
      <c r="CA149" s="27" t="s">
        <v>8</v>
      </c>
      <c r="CB149" s="27" t="s">
        <v>7</v>
      </c>
      <c r="CC149" s="27" t="s">
        <v>8</v>
      </c>
      <c r="CD149" s="27" t="s">
        <v>7</v>
      </c>
      <c r="CE149" s="27" t="s">
        <v>8</v>
      </c>
      <c r="CF149" s="27" t="s">
        <v>7</v>
      </c>
      <c r="CG149" s="27" t="s">
        <v>8</v>
      </c>
      <c r="CH149" s="27" t="s">
        <v>7</v>
      </c>
      <c r="CI149" s="27" t="s">
        <v>8</v>
      </c>
      <c r="CN149" s="27" t="s">
        <v>7</v>
      </c>
      <c r="CX149" s="31"/>
    </row>
    <row r="150" spans="1:136" x14ac:dyDescent="0.25">
      <c r="A150" s="30">
        <v>80.730365049126775</v>
      </c>
      <c r="E150" t="s">
        <v>8</v>
      </c>
      <c r="F150" s="27" t="s">
        <v>7</v>
      </c>
      <c r="BW150" s="27" t="s">
        <v>8</v>
      </c>
      <c r="BX150" s="27" t="s">
        <v>7</v>
      </c>
      <c r="BY150" s="27" t="s">
        <v>8</v>
      </c>
      <c r="BZ150" s="27" t="s">
        <v>7</v>
      </c>
      <c r="CA150" s="27" t="s">
        <v>8</v>
      </c>
      <c r="CB150" s="27" t="s">
        <v>7</v>
      </c>
      <c r="CC150" s="27" t="s">
        <v>8</v>
      </c>
      <c r="CD150" s="27" t="s">
        <v>7</v>
      </c>
      <c r="CE150" s="27" t="s">
        <v>8</v>
      </c>
      <c r="CF150" s="27" t="s">
        <v>7</v>
      </c>
      <c r="CG150" s="27" t="s">
        <v>8</v>
      </c>
      <c r="CH150" s="27" t="s">
        <v>7</v>
      </c>
      <c r="CN150" s="27" t="s">
        <v>7</v>
      </c>
      <c r="CY150" s="31"/>
    </row>
    <row r="151" spans="1:136" x14ac:dyDescent="0.25">
      <c r="A151" s="30">
        <v>76.886061951549308</v>
      </c>
      <c r="E151" t="s">
        <v>8</v>
      </c>
      <c r="F151" s="27" t="s">
        <v>7</v>
      </c>
      <c r="BW151" s="27" t="s">
        <v>8</v>
      </c>
      <c r="BX151" s="27" t="s">
        <v>7</v>
      </c>
      <c r="BY151" s="27" t="s">
        <v>8</v>
      </c>
      <c r="BZ151" s="27" t="s">
        <v>7</v>
      </c>
      <c r="CA151" s="27" t="s">
        <v>8</v>
      </c>
      <c r="CB151" s="27" t="s">
        <v>7</v>
      </c>
      <c r="CC151" s="27" t="s">
        <v>8</v>
      </c>
      <c r="CD151" s="27" t="s">
        <v>7</v>
      </c>
      <c r="CE151" s="27" t="s">
        <v>8</v>
      </c>
      <c r="CF151" s="27" t="s">
        <v>7</v>
      </c>
      <c r="CG151" s="27" t="s">
        <v>8</v>
      </c>
      <c r="CN151" s="27" t="s">
        <v>7</v>
      </c>
      <c r="CU151" s="27" t="s">
        <v>8</v>
      </c>
      <c r="CZ151" s="31"/>
      <c r="EC151" s="27" t="s">
        <v>8</v>
      </c>
    </row>
    <row r="152" spans="1:136" x14ac:dyDescent="0.25">
      <c r="A152" s="30">
        <v>73.22482090623744</v>
      </c>
      <c r="E152" t="s">
        <v>8</v>
      </c>
      <c r="F152" s="27" t="s">
        <v>7</v>
      </c>
      <c r="BW152" s="27" t="s">
        <v>8</v>
      </c>
      <c r="BX152" s="27" t="s">
        <v>7</v>
      </c>
      <c r="BY152" s="27" t="s">
        <v>8</v>
      </c>
      <c r="BZ152" s="27" t="s">
        <v>7</v>
      </c>
      <c r="CB152" s="27" t="s">
        <v>7</v>
      </c>
      <c r="CC152" s="27" t="s">
        <v>8</v>
      </c>
      <c r="CD152" s="27" t="s">
        <v>7</v>
      </c>
      <c r="CE152" s="27" t="s">
        <v>8</v>
      </c>
      <c r="CF152" s="27" t="s">
        <v>7</v>
      </c>
      <c r="CG152" s="27" t="s">
        <v>8</v>
      </c>
      <c r="CN152" s="27" t="s">
        <v>7</v>
      </c>
      <c r="CO152" s="27" t="s">
        <v>8</v>
      </c>
      <c r="CU152" s="27" t="s">
        <v>8</v>
      </c>
      <c r="CV152" s="27" t="s">
        <v>7</v>
      </c>
      <c r="CW152" s="27" t="s">
        <v>8</v>
      </c>
      <c r="DA152" s="31"/>
      <c r="EC152" s="27" t="s">
        <v>8</v>
      </c>
      <c r="ED152" s="27" t="s">
        <v>7</v>
      </c>
    </row>
    <row r="153" spans="1:136" x14ac:dyDescent="0.25">
      <c r="A153" s="30">
        <v>69.737924672607079</v>
      </c>
      <c r="C153" s="7"/>
      <c r="D153"/>
      <c r="E153" t="s">
        <v>8</v>
      </c>
      <c r="F153" s="27" t="s">
        <v>7</v>
      </c>
      <c r="BW153" s="27" t="s">
        <v>8</v>
      </c>
      <c r="BX153" s="27" t="s">
        <v>7</v>
      </c>
      <c r="BY153" s="27" t="s">
        <v>8</v>
      </c>
      <c r="CB153" s="27" t="s">
        <v>7</v>
      </c>
      <c r="CD153" s="27" t="s">
        <v>7</v>
      </c>
      <c r="CE153" s="27" t="s">
        <v>8</v>
      </c>
      <c r="CF153" s="27" t="s">
        <v>7</v>
      </c>
      <c r="CG153" s="27" t="s">
        <v>8</v>
      </c>
      <c r="CN153" s="27" t="s">
        <v>7</v>
      </c>
      <c r="CO153" s="27" t="s">
        <v>8</v>
      </c>
      <c r="CP153" s="27" t="s">
        <v>7</v>
      </c>
      <c r="CU153" s="27" t="s">
        <v>8</v>
      </c>
      <c r="CV153" s="27" t="s">
        <v>7</v>
      </c>
      <c r="CW153" s="27" t="s">
        <v>8</v>
      </c>
      <c r="CX153" s="27" t="s">
        <v>7</v>
      </c>
      <c r="DB153" s="31"/>
      <c r="EC153" s="27" t="s">
        <v>8</v>
      </c>
      <c r="ED153" s="27" t="s">
        <v>7</v>
      </c>
    </row>
    <row r="154" spans="1:136" x14ac:dyDescent="0.25">
      <c r="A154" s="30">
        <v>66.417071116768639</v>
      </c>
      <c r="E154" t="s">
        <v>8</v>
      </c>
      <c r="F154" s="27" t="s">
        <v>7</v>
      </c>
      <c r="BU154" s="27" t="s">
        <v>8</v>
      </c>
      <c r="BW154" s="27" t="s">
        <v>8</v>
      </c>
      <c r="BX154" s="27" t="s">
        <v>7</v>
      </c>
      <c r="CD154" s="27" t="s">
        <v>7</v>
      </c>
      <c r="CE154" s="27" t="s">
        <v>8</v>
      </c>
      <c r="CF154" s="27" t="s">
        <v>7</v>
      </c>
      <c r="CG154" s="27" t="s">
        <v>8</v>
      </c>
      <c r="CN154" s="27" t="s">
        <v>7</v>
      </c>
      <c r="CO154" s="27" t="s">
        <v>8</v>
      </c>
      <c r="CP154" s="27" t="s">
        <v>7</v>
      </c>
      <c r="CU154" s="27" t="s">
        <v>8</v>
      </c>
      <c r="CV154" s="27" t="s">
        <v>7</v>
      </c>
      <c r="CW154" s="27" t="s">
        <v>8</v>
      </c>
      <c r="CX154" s="27" t="s">
        <v>7</v>
      </c>
      <c r="DC154" s="31"/>
      <c r="DO154" s="27" t="s">
        <v>8</v>
      </c>
      <c r="DQ154" s="27" t="s">
        <v>8</v>
      </c>
      <c r="EA154" s="27" t="s">
        <v>8</v>
      </c>
      <c r="EC154" s="27" t="s">
        <v>8</v>
      </c>
      <c r="ED154" s="27" t="s">
        <v>7</v>
      </c>
    </row>
    <row r="155" spans="1:136" x14ac:dyDescent="0.25">
      <c r="A155" s="30">
        <v>63.254353444541557</v>
      </c>
      <c r="E155" t="s">
        <v>8</v>
      </c>
      <c r="F155" s="27" t="s">
        <v>7</v>
      </c>
      <c r="BG155" s="27" t="s">
        <v>8</v>
      </c>
      <c r="BU155" s="27" t="s">
        <v>8</v>
      </c>
      <c r="BV155" s="27" t="s">
        <v>7</v>
      </c>
      <c r="BW155" s="27" t="s">
        <v>8</v>
      </c>
      <c r="CD155" s="27" t="s">
        <v>7</v>
      </c>
      <c r="CE155" s="27" t="s">
        <v>8</v>
      </c>
      <c r="CF155" s="27" t="s">
        <v>7</v>
      </c>
      <c r="CG155" s="27" t="s">
        <v>8</v>
      </c>
      <c r="CN155" s="27" t="s">
        <v>7</v>
      </c>
      <c r="CO155" s="27" t="s">
        <v>8</v>
      </c>
      <c r="CP155" s="27" t="s">
        <v>7</v>
      </c>
      <c r="CU155" s="27" t="s">
        <v>8</v>
      </c>
      <c r="CV155" s="27" t="s">
        <v>7</v>
      </c>
      <c r="CW155" s="27" t="s">
        <v>8</v>
      </c>
      <c r="CX155" s="27" t="s">
        <v>7</v>
      </c>
      <c r="DD155" s="31"/>
      <c r="DM155" s="27" t="s">
        <v>8</v>
      </c>
      <c r="DO155" s="27" t="s">
        <v>8</v>
      </c>
      <c r="DP155" s="27" t="s">
        <v>7</v>
      </c>
      <c r="DQ155" s="27" t="s">
        <v>8</v>
      </c>
      <c r="DR155" s="27" t="s">
        <v>7</v>
      </c>
      <c r="EA155" s="27" t="s">
        <v>8</v>
      </c>
      <c r="EB155" s="27" t="s">
        <v>7</v>
      </c>
      <c r="EC155" s="27" t="s">
        <v>8</v>
      </c>
      <c r="ED155" s="27" t="s">
        <v>7</v>
      </c>
    </row>
    <row r="156" spans="1:136" x14ac:dyDescent="0.25">
      <c r="A156" s="30">
        <v>60.242241375753864</v>
      </c>
      <c r="C156"/>
      <c r="D156"/>
      <c r="E156" t="s">
        <v>8</v>
      </c>
      <c r="F156" s="27" t="s">
        <v>7</v>
      </c>
      <c r="BG156" s="27" t="s">
        <v>8</v>
      </c>
      <c r="BH156" s="27" t="s">
        <v>7</v>
      </c>
      <c r="BU156" s="27" t="s">
        <v>8</v>
      </c>
      <c r="BV156" s="27" t="s">
        <v>7</v>
      </c>
      <c r="BW156" s="27" t="s">
        <v>8</v>
      </c>
      <c r="CD156" s="27" t="s">
        <v>7</v>
      </c>
      <c r="CE156" s="27" t="s">
        <v>8</v>
      </c>
      <c r="CF156" s="27" t="s">
        <v>7</v>
      </c>
      <c r="CG156" s="27" t="s">
        <v>8</v>
      </c>
      <c r="CN156" s="27" t="s">
        <v>7</v>
      </c>
      <c r="CO156" s="27" t="s">
        <v>8</v>
      </c>
      <c r="CP156" s="27" t="s">
        <v>7</v>
      </c>
      <c r="CU156" s="27" t="s">
        <v>8</v>
      </c>
      <c r="CV156" s="27" t="s">
        <v>7</v>
      </c>
      <c r="CW156" s="27" t="s">
        <v>8</v>
      </c>
      <c r="CX156" s="27" t="s">
        <v>7</v>
      </c>
      <c r="DE156" s="31"/>
      <c r="DM156" s="27" t="s">
        <v>8</v>
      </c>
      <c r="DN156" s="27" t="s">
        <v>7</v>
      </c>
      <c r="DO156" s="27" t="s">
        <v>8</v>
      </c>
      <c r="DP156" s="27" t="s">
        <v>7</v>
      </c>
      <c r="DQ156" s="27" t="s">
        <v>8</v>
      </c>
      <c r="DR156" s="27" t="s">
        <v>7</v>
      </c>
      <c r="DY156" s="27" t="s">
        <v>8</v>
      </c>
      <c r="EA156" s="27" t="s">
        <v>8</v>
      </c>
      <c r="EB156" s="27" t="s">
        <v>7</v>
      </c>
      <c r="EC156" s="27" t="s">
        <v>8</v>
      </c>
      <c r="ED156" s="27" t="s">
        <v>7</v>
      </c>
      <c r="EE156" s="27" t="s">
        <v>8</v>
      </c>
    </row>
    <row r="157" spans="1:136" x14ac:dyDescent="0.25">
      <c r="A157" s="30">
        <v>57.373563215003678</v>
      </c>
      <c r="E157" t="s">
        <v>8</v>
      </c>
      <c r="F157" s="27" t="s">
        <v>7</v>
      </c>
      <c r="BG157" s="27" t="s">
        <v>8</v>
      </c>
      <c r="BH157" s="27" t="s">
        <v>7</v>
      </c>
      <c r="BU157" s="27" t="s">
        <v>8</v>
      </c>
      <c r="BV157" s="27" t="s">
        <v>7</v>
      </c>
      <c r="BW157" s="27" t="s">
        <v>8</v>
      </c>
      <c r="CD157" s="27" t="s">
        <v>7</v>
      </c>
      <c r="CF157" s="27" t="s">
        <v>7</v>
      </c>
      <c r="CG157" s="27" t="s">
        <v>8</v>
      </c>
      <c r="CN157" s="27" t="s">
        <v>7</v>
      </c>
      <c r="CO157" s="27" t="s">
        <v>8</v>
      </c>
      <c r="CP157" s="27" t="s">
        <v>7</v>
      </c>
      <c r="CQ157" s="27" t="s">
        <v>8</v>
      </c>
      <c r="CU157" s="27" t="s">
        <v>8</v>
      </c>
      <c r="CV157" s="27" t="s">
        <v>7</v>
      </c>
      <c r="CW157" s="27" t="s">
        <v>8</v>
      </c>
      <c r="CX157" s="27" t="s">
        <v>7</v>
      </c>
      <c r="DF157" s="31"/>
      <c r="DK157" s="27" t="s">
        <v>8</v>
      </c>
      <c r="DM157" s="27" t="s">
        <v>8</v>
      </c>
      <c r="DN157" s="27" t="s">
        <v>7</v>
      </c>
      <c r="DO157" s="27" t="s">
        <v>8</v>
      </c>
      <c r="DP157" s="27" t="s">
        <v>7</v>
      </c>
      <c r="DQ157" s="27" t="s">
        <v>8</v>
      </c>
      <c r="DR157" s="27" t="s">
        <v>7</v>
      </c>
      <c r="DY157" s="27" t="s">
        <v>8</v>
      </c>
      <c r="DZ157" s="27" t="s">
        <v>7</v>
      </c>
      <c r="EA157" s="27" t="s">
        <v>8</v>
      </c>
      <c r="EB157" s="27" t="s">
        <v>7</v>
      </c>
      <c r="ED157" s="27" t="s">
        <v>7</v>
      </c>
      <c r="EE157" s="27" t="s">
        <v>8</v>
      </c>
      <c r="EF157" s="27" t="s">
        <v>7</v>
      </c>
    </row>
    <row r="158" spans="1:136" x14ac:dyDescent="0.25">
      <c r="A158" s="30">
        <v>54.641488776193974</v>
      </c>
      <c r="E158" t="s">
        <v>8</v>
      </c>
      <c r="F158" s="27" t="s">
        <v>7</v>
      </c>
      <c r="BG158" s="27" t="s">
        <v>8</v>
      </c>
      <c r="BH158" s="27" t="s">
        <v>7</v>
      </c>
      <c r="BK158" s="27" t="s">
        <v>8</v>
      </c>
      <c r="BS158" s="27" t="s">
        <v>8</v>
      </c>
      <c r="BU158" s="27" t="s">
        <v>8</v>
      </c>
      <c r="BV158" s="27" t="s">
        <v>7</v>
      </c>
      <c r="BW158" s="27" t="s">
        <v>8</v>
      </c>
      <c r="CF158" s="27" t="s">
        <v>7</v>
      </c>
      <c r="CN158" s="27" t="s">
        <v>7</v>
      </c>
      <c r="CO158" s="27" t="s">
        <v>8</v>
      </c>
      <c r="CP158" s="27" t="s">
        <v>7</v>
      </c>
      <c r="CQ158" s="27" t="s">
        <v>8</v>
      </c>
      <c r="CR158" s="27" t="s">
        <v>7</v>
      </c>
      <c r="CS158" s="27" t="s">
        <v>8</v>
      </c>
      <c r="CU158" s="27" t="s">
        <v>8</v>
      </c>
      <c r="CV158" s="27" t="s">
        <v>7</v>
      </c>
      <c r="CW158" s="27" t="s">
        <v>8</v>
      </c>
      <c r="CX158" s="27" t="s">
        <v>7</v>
      </c>
      <c r="DG158" s="31"/>
      <c r="DK158" s="27" t="s">
        <v>8</v>
      </c>
      <c r="DL158" s="27" t="s">
        <v>7</v>
      </c>
      <c r="DM158" s="27" t="s">
        <v>8</v>
      </c>
      <c r="DN158" s="27" t="s">
        <v>7</v>
      </c>
      <c r="DO158" s="27" t="s">
        <v>8</v>
      </c>
      <c r="DP158" s="27" t="s">
        <v>7</v>
      </c>
      <c r="DQ158" s="27" t="s">
        <v>8</v>
      </c>
      <c r="DR158" s="27" t="s">
        <v>7</v>
      </c>
      <c r="DY158" s="27" t="s">
        <v>8</v>
      </c>
      <c r="DZ158" s="27" t="s">
        <v>7</v>
      </c>
      <c r="EA158" s="27" t="s">
        <v>8</v>
      </c>
      <c r="ED158" s="27" t="s">
        <v>7</v>
      </c>
      <c r="EE158" s="27" t="s">
        <v>8</v>
      </c>
      <c r="EF158" s="27" t="s">
        <v>7</v>
      </c>
    </row>
    <row r="159" spans="1:136" x14ac:dyDescent="0.25">
      <c r="A159" s="30">
        <v>52.039513120184736</v>
      </c>
      <c r="E159" t="s">
        <v>8</v>
      </c>
      <c r="F159" s="27" t="s">
        <v>7</v>
      </c>
      <c r="BG159" s="27" t="s">
        <v>8</v>
      </c>
      <c r="BH159" s="27" t="s">
        <v>7</v>
      </c>
      <c r="BK159" s="27" t="s">
        <v>8</v>
      </c>
      <c r="BL159" s="27" t="s">
        <v>7</v>
      </c>
      <c r="BS159" s="27" t="s">
        <v>8</v>
      </c>
      <c r="BT159" s="27" t="s">
        <v>7</v>
      </c>
      <c r="BU159" s="27" t="s">
        <v>8</v>
      </c>
      <c r="BV159" s="27" t="s">
        <v>7</v>
      </c>
      <c r="BW159" s="27" t="s">
        <v>8</v>
      </c>
      <c r="CN159" s="27" t="s">
        <v>7</v>
      </c>
      <c r="CO159" s="27" t="s">
        <v>8</v>
      </c>
      <c r="CP159" s="27" t="s">
        <v>7</v>
      </c>
      <c r="CQ159" s="27" t="s">
        <v>8</v>
      </c>
      <c r="CR159" s="27" t="s">
        <v>7</v>
      </c>
      <c r="CS159" s="27" t="s">
        <v>8</v>
      </c>
      <c r="CT159" s="27" t="s">
        <v>7</v>
      </c>
      <c r="CU159" s="27" t="s">
        <v>8</v>
      </c>
      <c r="CV159" s="27" t="s">
        <v>7</v>
      </c>
      <c r="CW159" s="27" t="s">
        <v>8</v>
      </c>
      <c r="CX159" s="27" t="s">
        <v>7</v>
      </c>
      <c r="CY159" s="27" t="s">
        <v>8</v>
      </c>
      <c r="DH159" s="31"/>
      <c r="DK159" s="27" t="s">
        <v>8</v>
      </c>
      <c r="DL159" s="27" t="s">
        <v>7</v>
      </c>
      <c r="DM159" s="27" t="s">
        <v>8</v>
      </c>
      <c r="DN159" s="27" t="s">
        <v>7</v>
      </c>
      <c r="DO159" s="27" t="s">
        <v>8</v>
      </c>
      <c r="DP159" s="27" t="s">
        <v>7</v>
      </c>
      <c r="DQ159" s="27" t="s">
        <v>8</v>
      </c>
      <c r="DR159" s="27" t="s">
        <v>7</v>
      </c>
      <c r="DW159" s="27" t="s">
        <v>8</v>
      </c>
      <c r="DY159" s="27" t="s">
        <v>8</v>
      </c>
      <c r="DZ159" s="27" t="s">
        <v>7</v>
      </c>
      <c r="EA159" s="27" t="s">
        <v>8</v>
      </c>
      <c r="ED159" s="27" t="s">
        <v>7</v>
      </c>
      <c r="EE159" s="27" t="s">
        <v>8</v>
      </c>
      <c r="EF159" s="27" t="s">
        <v>7</v>
      </c>
    </row>
    <row r="160" spans="1:136" x14ac:dyDescent="0.25">
      <c r="A160" s="30">
        <v>49.561441066842605</v>
      </c>
      <c r="C160"/>
      <c r="E160" t="s">
        <v>8</v>
      </c>
      <c r="F160" s="27" t="s">
        <v>7</v>
      </c>
      <c r="BG160" s="27" t="s">
        <v>8</v>
      </c>
      <c r="BH160" s="27" t="s">
        <v>7</v>
      </c>
      <c r="BI160" s="27" t="s">
        <v>8</v>
      </c>
      <c r="BK160" s="27" t="s">
        <v>8</v>
      </c>
      <c r="BL160" s="27" t="s">
        <v>7</v>
      </c>
      <c r="BS160" s="27" t="s">
        <v>8</v>
      </c>
      <c r="BT160" s="27" t="s">
        <v>7</v>
      </c>
      <c r="BU160" s="27" t="s">
        <v>8</v>
      </c>
      <c r="BV160" s="27" t="s">
        <v>7</v>
      </c>
      <c r="CN160" s="27" t="s">
        <v>7</v>
      </c>
      <c r="CO160" s="27" t="s">
        <v>8</v>
      </c>
      <c r="CP160" s="27" t="s">
        <v>7</v>
      </c>
      <c r="CR160" s="27" t="s">
        <v>7</v>
      </c>
      <c r="CS160" s="27" t="s">
        <v>8</v>
      </c>
      <c r="CT160" s="27" t="s">
        <v>7</v>
      </c>
      <c r="CU160" s="27" t="s">
        <v>8</v>
      </c>
      <c r="CV160" s="27" t="s">
        <v>7</v>
      </c>
      <c r="CX160" s="27" t="s">
        <v>7</v>
      </c>
      <c r="CY160" s="27" t="s">
        <v>8</v>
      </c>
      <c r="CZ160" s="27" t="s">
        <v>7</v>
      </c>
      <c r="DI160" s="31"/>
      <c r="DK160" s="27" t="s">
        <v>8</v>
      </c>
      <c r="DL160" s="27" t="s">
        <v>7</v>
      </c>
      <c r="DM160" s="27" t="s">
        <v>8</v>
      </c>
      <c r="DN160" s="27" t="s">
        <v>7</v>
      </c>
      <c r="DP160" s="27" t="s">
        <v>7</v>
      </c>
      <c r="DQ160" s="27" t="s">
        <v>8</v>
      </c>
      <c r="DR160" s="27" t="s">
        <v>7</v>
      </c>
      <c r="DS160" s="27" t="s">
        <v>8</v>
      </c>
      <c r="DW160" s="27" t="s">
        <v>8</v>
      </c>
      <c r="DX160" s="27" t="s">
        <v>7</v>
      </c>
      <c r="DY160" s="27" t="s">
        <v>8</v>
      </c>
      <c r="DZ160" s="27" t="s">
        <v>7</v>
      </c>
      <c r="EA160" s="27" t="s">
        <v>8</v>
      </c>
      <c r="ED160" s="27" t="s">
        <v>7</v>
      </c>
      <c r="EF160" s="27" t="s">
        <v>7</v>
      </c>
    </row>
    <row r="161" spans="1:144" x14ac:dyDescent="0.25">
      <c r="A161" s="30">
        <v>47.201372444612005</v>
      </c>
      <c r="E161" t="s">
        <v>8</v>
      </c>
      <c r="F161" s="27" t="s">
        <v>7</v>
      </c>
      <c r="G161" s="27" t="s">
        <v>8</v>
      </c>
      <c r="BG161" s="27" t="s">
        <v>8</v>
      </c>
      <c r="BH161" s="27" t="s">
        <v>7</v>
      </c>
      <c r="BI161" s="27" t="s">
        <v>8</v>
      </c>
      <c r="BJ161" s="27" t="s">
        <v>7</v>
      </c>
      <c r="BK161" s="27" t="s">
        <v>8</v>
      </c>
      <c r="BL161" s="27" t="s">
        <v>7</v>
      </c>
      <c r="BQ161" s="27" t="s">
        <v>8</v>
      </c>
      <c r="BS161" s="27" t="s">
        <v>8</v>
      </c>
      <c r="BT161" s="27" t="s">
        <v>7</v>
      </c>
      <c r="CN161" s="27" t="s">
        <v>7</v>
      </c>
      <c r="CO161" s="27" t="s">
        <v>8</v>
      </c>
      <c r="CR161" s="27" t="s">
        <v>7</v>
      </c>
      <c r="CS161" s="27" t="s">
        <v>8</v>
      </c>
      <c r="CT161" s="27" t="s">
        <v>7</v>
      </c>
      <c r="CX161" s="27" t="s">
        <v>7</v>
      </c>
      <c r="CY161" s="27" t="s">
        <v>8</v>
      </c>
      <c r="CZ161" s="27" t="s">
        <v>7</v>
      </c>
      <c r="DJ161" s="31"/>
      <c r="DK161" s="27" t="s">
        <v>8</v>
      </c>
      <c r="DL161" s="27" t="s">
        <v>7</v>
      </c>
      <c r="DP161" s="27" t="s">
        <v>7</v>
      </c>
      <c r="DQ161" s="27" t="s">
        <v>8</v>
      </c>
      <c r="DR161" s="27" t="s">
        <v>7</v>
      </c>
      <c r="DS161" s="27" t="s">
        <v>8</v>
      </c>
      <c r="DT161" s="27" t="s">
        <v>7</v>
      </c>
      <c r="DU161" s="27" t="s">
        <v>8</v>
      </c>
      <c r="DW161" s="27" t="s">
        <v>8</v>
      </c>
      <c r="DX161" s="27" t="s">
        <v>7</v>
      </c>
      <c r="DY161" s="27" t="s">
        <v>8</v>
      </c>
      <c r="DZ161" s="27" t="s">
        <v>7</v>
      </c>
      <c r="EA161" s="27" t="s">
        <v>8</v>
      </c>
      <c r="EF161" s="27" t="s">
        <v>7</v>
      </c>
    </row>
    <row r="162" spans="1:144" x14ac:dyDescent="0.25">
      <c r="A162" s="30">
        <v>44.95368804248762</v>
      </c>
      <c r="E162" t="s">
        <v>8</v>
      </c>
      <c r="F162" s="27" t="s">
        <v>7</v>
      </c>
      <c r="G162" s="27" t="s">
        <v>8</v>
      </c>
      <c r="H162" s="27" t="s">
        <v>7</v>
      </c>
      <c r="I162" s="27" t="s">
        <v>8</v>
      </c>
      <c r="M162" s="27" t="s">
        <v>8</v>
      </c>
      <c r="BG162" s="27" t="s">
        <v>8</v>
      </c>
      <c r="BH162" s="27" t="s">
        <v>7</v>
      </c>
      <c r="BI162" s="27" t="s">
        <v>8</v>
      </c>
      <c r="BJ162" s="27" t="s">
        <v>7</v>
      </c>
      <c r="BK162" s="27" t="s">
        <v>8</v>
      </c>
      <c r="BL162" s="27" t="s">
        <v>7</v>
      </c>
      <c r="BO162" s="27" t="s">
        <v>8</v>
      </c>
      <c r="BQ162" s="27" t="s">
        <v>8</v>
      </c>
      <c r="BR162" s="27" t="s">
        <v>7</v>
      </c>
      <c r="BS162" s="27" t="s">
        <v>8</v>
      </c>
      <c r="CN162" s="27" t="s">
        <v>7</v>
      </c>
      <c r="CO162" s="27" t="s">
        <v>8</v>
      </c>
      <c r="CR162" s="27" t="s">
        <v>7</v>
      </c>
      <c r="CS162" s="27" t="s">
        <v>8</v>
      </c>
      <c r="CX162" s="27" t="s">
        <v>7</v>
      </c>
      <c r="CY162" s="27" t="s">
        <v>8</v>
      </c>
      <c r="CZ162" s="27" t="s">
        <v>7</v>
      </c>
      <c r="DI162" s="33" t="s">
        <v>8</v>
      </c>
      <c r="DK162" s="31" t="s">
        <v>8</v>
      </c>
      <c r="DP162" s="27" t="s">
        <v>7</v>
      </c>
      <c r="DQ162" s="27" t="s">
        <v>8</v>
      </c>
      <c r="DR162" s="31" t="s">
        <v>7</v>
      </c>
      <c r="DS162" s="27" t="s">
        <v>8</v>
      </c>
      <c r="DT162" s="27" t="s">
        <v>7</v>
      </c>
      <c r="DU162" s="27" t="s">
        <v>8</v>
      </c>
      <c r="DV162" s="27" t="s">
        <v>7</v>
      </c>
      <c r="DW162" s="27" t="s">
        <v>8</v>
      </c>
      <c r="DX162" s="27" t="s">
        <v>7</v>
      </c>
      <c r="DY162" s="27" t="s">
        <v>8</v>
      </c>
      <c r="DZ162" s="27" t="s">
        <v>7</v>
      </c>
      <c r="EF162" s="27" t="s">
        <v>7</v>
      </c>
    </row>
    <row r="163" spans="1:144" x14ac:dyDescent="0.25">
      <c r="A163" s="30">
        <v>42.81303623094059</v>
      </c>
      <c r="E163" t="s">
        <v>8</v>
      </c>
      <c r="F163" s="27" t="s">
        <v>7</v>
      </c>
      <c r="G163" s="27" t="s">
        <v>8</v>
      </c>
      <c r="H163" s="27" t="s">
        <v>7</v>
      </c>
      <c r="I163" s="27" t="s">
        <v>8</v>
      </c>
      <c r="J163" s="27" t="s">
        <v>7</v>
      </c>
      <c r="M163" s="27" t="s">
        <v>8</v>
      </c>
      <c r="N163" s="27" t="s">
        <v>7</v>
      </c>
      <c r="BE163" s="27" t="s">
        <v>8</v>
      </c>
      <c r="BG163" s="27" t="s">
        <v>8</v>
      </c>
      <c r="BH163" s="27" t="s">
        <v>7</v>
      </c>
      <c r="BI163" s="27" t="s">
        <v>8</v>
      </c>
      <c r="BJ163" s="27" t="s">
        <v>7</v>
      </c>
      <c r="BK163" s="27" t="s">
        <v>8</v>
      </c>
      <c r="BL163" s="27" t="s">
        <v>7</v>
      </c>
      <c r="BM163" s="27" t="s">
        <v>8</v>
      </c>
      <c r="BO163" s="27" t="s">
        <v>8</v>
      </c>
      <c r="BP163" s="27" t="s">
        <v>7</v>
      </c>
      <c r="BQ163" s="27" t="s">
        <v>8</v>
      </c>
      <c r="BR163" s="27" t="s">
        <v>7</v>
      </c>
      <c r="BS163" s="27" t="s">
        <v>8</v>
      </c>
      <c r="CN163" s="27" t="s">
        <v>7</v>
      </c>
      <c r="CO163" s="27" t="s">
        <v>8</v>
      </c>
      <c r="CR163" s="27" t="s">
        <v>7</v>
      </c>
      <c r="CS163" s="27" t="s">
        <v>8</v>
      </c>
      <c r="CX163" s="27" t="s">
        <v>7</v>
      </c>
      <c r="CZ163" s="27" t="s">
        <v>7</v>
      </c>
      <c r="DC163" s="27" t="s">
        <v>8</v>
      </c>
      <c r="DE163" s="27" t="s">
        <v>8</v>
      </c>
      <c r="DG163" s="27" t="s">
        <v>8</v>
      </c>
      <c r="DI163" s="27" t="s">
        <v>8</v>
      </c>
      <c r="DJ163" s="27" t="s">
        <v>7</v>
      </c>
      <c r="DK163" s="27" t="s">
        <v>8</v>
      </c>
      <c r="DL163" s="19"/>
      <c r="DP163" s="27" t="s">
        <v>7</v>
      </c>
      <c r="DQ163" s="31" t="s">
        <v>8</v>
      </c>
      <c r="DR163" s="27" t="s">
        <v>7</v>
      </c>
      <c r="DS163" s="27" t="s">
        <v>8</v>
      </c>
      <c r="DT163" s="27" t="s">
        <v>7</v>
      </c>
      <c r="DU163" s="27" t="s">
        <v>8</v>
      </c>
      <c r="DV163" s="27" t="s">
        <v>7</v>
      </c>
      <c r="DW163" s="27" t="s">
        <v>8</v>
      </c>
      <c r="DX163" s="27" t="s">
        <v>7</v>
      </c>
      <c r="EF163" s="27" t="s">
        <v>7</v>
      </c>
    </row>
    <row r="164" spans="1:144" x14ac:dyDescent="0.25">
      <c r="A164" s="30">
        <v>40.774320219943419</v>
      </c>
      <c r="E164" t="s">
        <v>8</v>
      </c>
      <c r="F164" s="27" t="s">
        <v>7</v>
      </c>
      <c r="H164" s="27" t="s">
        <v>7</v>
      </c>
      <c r="I164" s="27" t="s">
        <v>8</v>
      </c>
      <c r="J164" s="27" t="s">
        <v>7</v>
      </c>
      <c r="M164" s="27" t="s">
        <v>8</v>
      </c>
      <c r="N164" s="27" t="s">
        <v>7</v>
      </c>
      <c r="BE164" s="27" t="s">
        <v>8</v>
      </c>
      <c r="BF164" s="27" t="s">
        <v>7</v>
      </c>
      <c r="BG164" s="27" t="s">
        <v>8</v>
      </c>
      <c r="BH164" s="27" t="s">
        <v>7</v>
      </c>
      <c r="BI164" s="27" t="s">
        <v>8</v>
      </c>
      <c r="BJ164" s="27" t="s">
        <v>7</v>
      </c>
      <c r="BL164" s="27" t="s">
        <v>7</v>
      </c>
      <c r="BM164" s="27" t="s">
        <v>8</v>
      </c>
      <c r="BN164" s="27" t="s">
        <v>7</v>
      </c>
      <c r="BO164" s="27" t="s">
        <v>8</v>
      </c>
      <c r="BP164" s="27" t="s">
        <v>7</v>
      </c>
      <c r="BQ164" s="27" t="s">
        <v>8</v>
      </c>
      <c r="BR164" s="27" t="s">
        <v>7</v>
      </c>
      <c r="CN164" s="27" t="s">
        <v>7</v>
      </c>
      <c r="CR164" s="27" t="s">
        <v>7</v>
      </c>
      <c r="CS164" s="27" t="s">
        <v>8</v>
      </c>
      <c r="CZ164" s="27" t="s">
        <v>7</v>
      </c>
      <c r="DC164" s="27" t="s">
        <v>8</v>
      </c>
      <c r="DD164" s="27" t="s">
        <v>7</v>
      </c>
      <c r="DE164" s="27" t="s">
        <v>8</v>
      </c>
      <c r="DF164" s="27" t="s">
        <v>7</v>
      </c>
      <c r="DG164" s="27" t="s">
        <v>8</v>
      </c>
      <c r="DH164" s="27" t="s">
        <v>7</v>
      </c>
      <c r="DI164" s="27" t="s">
        <v>8</v>
      </c>
      <c r="DJ164" s="27" t="s">
        <v>7</v>
      </c>
      <c r="DK164" s="27" t="s">
        <v>8</v>
      </c>
      <c r="DP164" s="31" t="s">
        <v>7</v>
      </c>
      <c r="DR164" s="27" t="s">
        <v>7</v>
      </c>
      <c r="DT164" s="27" t="s">
        <v>7</v>
      </c>
      <c r="DV164" s="27" t="s">
        <v>7</v>
      </c>
      <c r="EF164" s="27" t="s">
        <v>7</v>
      </c>
      <c r="EI164" s="27" t="s">
        <v>8</v>
      </c>
      <c r="EK164" s="27" t="s">
        <v>8</v>
      </c>
    </row>
    <row r="165" spans="1:144" x14ac:dyDescent="0.25">
      <c r="A165" s="30">
        <v>38.832685923755633</v>
      </c>
      <c r="E165" t="s">
        <v>8</v>
      </c>
      <c r="H165" s="27" t="s">
        <v>7</v>
      </c>
      <c r="I165" s="27" t="s">
        <v>8</v>
      </c>
      <c r="J165" s="27" t="s">
        <v>7</v>
      </c>
      <c r="K165" s="27" t="s">
        <v>8</v>
      </c>
      <c r="M165" s="27" t="s">
        <v>8</v>
      </c>
      <c r="N165" s="27" t="s">
        <v>7</v>
      </c>
      <c r="BE165" s="27" t="s">
        <v>8</v>
      </c>
      <c r="BF165" s="27" t="s">
        <v>7</v>
      </c>
      <c r="BG165" s="27" t="s">
        <v>8</v>
      </c>
      <c r="BH165" s="27" t="s">
        <v>7</v>
      </c>
      <c r="BI165" s="27" t="s">
        <v>8</v>
      </c>
      <c r="BL165" s="27" t="s">
        <v>7</v>
      </c>
      <c r="BM165" s="27" t="s">
        <v>8</v>
      </c>
      <c r="BN165" s="27" t="s">
        <v>7</v>
      </c>
      <c r="BO165" s="27" t="s">
        <v>8</v>
      </c>
      <c r="BP165" s="27" t="s">
        <v>7</v>
      </c>
      <c r="CR165" s="27" t="s">
        <v>7</v>
      </c>
      <c r="CS165" s="27" t="s">
        <v>8</v>
      </c>
      <c r="CZ165" s="27" t="s">
        <v>7</v>
      </c>
      <c r="DA165" s="27" t="s">
        <v>8</v>
      </c>
      <c r="DC165" s="27" t="s">
        <v>8</v>
      </c>
      <c r="DD165" s="27" t="s">
        <v>7</v>
      </c>
      <c r="DE165" s="27" t="s">
        <v>8</v>
      </c>
      <c r="DF165" s="27" t="s">
        <v>7</v>
      </c>
      <c r="DG165" s="27" t="s">
        <v>8</v>
      </c>
      <c r="DH165" s="27" t="s">
        <v>7</v>
      </c>
      <c r="DI165" s="27" t="s">
        <v>8</v>
      </c>
      <c r="DJ165" s="27" t="s">
        <v>7</v>
      </c>
      <c r="DO165" s="31"/>
      <c r="EF165" s="27" t="s">
        <v>7</v>
      </c>
      <c r="EG165" s="27" t="s">
        <v>8</v>
      </c>
      <c r="EI165" s="27" t="s">
        <v>8</v>
      </c>
      <c r="EJ165" s="27" t="s">
        <v>7</v>
      </c>
      <c r="EK165" s="27" t="s">
        <v>8</v>
      </c>
      <c r="EL165" s="27" t="s">
        <v>7</v>
      </c>
    </row>
    <row r="166" spans="1:144" x14ac:dyDescent="0.25">
      <c r="A166" s="30">
        <v>36.983510403576794</v>
      </c>
      <c r="E166" t="s">
        <v>8</v>
      </c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  <c r="N166" s="27" t="s">
        <v>7</v>
      </c>
      <c r="BC166" s="27" t="s">
        <v>8</v>
      </c>
      <c r="BE166" s="27" t="s">
        <v>8</v>
      </c>
      <c r="BF166" s="27" t="s">
        <v>7</v>
      </c>
      <c r="BG166" s="27" t="s">
        <v>8</v>
      </c>
      <c r="BH166" s="27" t="s">
        <v>7</v>
      </c>
      <c r="BL166" s="27" t="s">
        <v>7</v>
      </c>
      <c r="BM166" s="27" t="s">
        <v>8</v>
      </c>
      <c r="BN166" s="27" t="s">
        <v>7</v>
      </c>
      <c r="BO166" s="27" t="s">
        <v>8</v>
      </c>
      <c r="CR166" s="27" t="s">
        <v>7</v>
      </c>
      <c r="CS166" s="27" t="s">
        <v>8</v>
      </c>
      <c r="CZ166" s="27" t="s">
        <v>7</v>
      </c>
      <c r="DA166" s="27" t="s">
        <v>8</v>
      </c>
      <c r="DB166" s="27" t="s">
        <v>7</v>
      </c>
      <c r="DC166" s="27" t="s">
        <v>8</v>
      </c>
      <c r="DD166" s="27" t="s">
        <v>7</v>
      </c>
      <c r="DE166" s="27" t="s">
        <v>8</v>
      </c>
      <c r="DF166" s="27" t="s">
        <v>7</v>
      </c>
      <c r="DH166" s="27" t="s">
        <v>7</v>
      </c>
      <c r="DI166" s="27" t="s">
        <v>8</v>
      </c>
      <c r="DN166" s="31"/>
      <c r="EF166" s="27" t="s">
        <v>7</v>
      </c>
      <c r="EG166" s="27" t="s">
        <v>8</v>
      </c>
      <c r="EH166" s="27" t="s">
        <v>7</v>
      </c>
      <c r="EI166" s="27" t="s">
        <v>8</v>
      </c>
      <c r="EJ166" s="27" t="s">
        <v>7</v>
      </c>
      <c r="EK166" s="27" t="s">
        <v>8</v>
      </c>
      <c r="EL166" s="27" t="s">
        <v>7</v>
      </c>
    </row>
    <row r="167" spans="1:144" x14ac:dyDescent="0.25">
      <c r="A167" s="30">
        <v>35.222390860549325</v>
      </c>
      <c r="E167" t="s">
        <v>8</v>
      </c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M167" s="27" t="s">
        <v>8</v>
      </c>
      <c r="N167" s="27" t="s">
        <v>7</v>
      </c>
      <c r="AY167" s="27" t="s">
        <v>8</v>
      </c>
      <c r="BC167" s="27" t="s">
        <v>8</v>
      </c>
      <c r="BD167" s="27" t="s">
        <v>7</v>
      </c>
      <c r="BE167" s="27" t="s">
        <v>8</v>
      </c>
      <c r="BF167" s="27" t="s">
        <v>7</v>
      </c>
      <c r="BL167" s="27" t="s">
        <v>7</v>
      </c>
      <c r="BM167" s="27" t="s">
        <v>8</v>
      </c>
      <c r="BN167" s="27" t="s">
        <v>7</v>
      </c>
      <c r="BO167" s="27" t="s">
        <v>8</v>
      </c>
      <c r="CR167" s="27" t="s">
        <v>7</v>
      </c>
      <c r="CZ167" s="27" t="s">
        <v>7</v>
      </c>
      <c r="DA167" s="27" t="s">
        <v>8</v>
      </c>
      <c r="DB167" s="27" t="s">
        <v>7</v>
      </c>
      <c r="DC167" s="27" t="s">
        <v>8</v>
      </c>
      <c r="DD167" s="27" t="s">
        <v>7</v>
      </c>
      <c r="DH167" s="32" t="s">
        <v>7</v>
      </c>
      <c r="DI167" s="27" t="s">
        <v>8</v>
      </c>
      <c r="DM167" s="31"/>
      <c r="EF167" s="27" t="s">
        <v>7</v>
      </c>
      <c r="EG167" s="27" t="s">
        <v>8</v>
      </c>
      <c r="EH167" s="27" t="s">
        <v>7</v>
      </c>
      <c r="EI167" s="27" t="s">
        <v>8</v>
      </c>
      <c r="EJ167" s="27" t="s">
        <v>7</v>
      </c>
      <c r="EK167" s="27" t="s">
        <v>8</v>
      </c>
      <c r="EL167" s="27" t="s">
        <v>7</v>
      </c>
    </row>
    <row r="168" spans="1:144" x14ac:dyDescent="0.25">
      <c r="A168" s="30">
        <v>33.545134152904119</v>
      </c>
      <c r="E168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N168" s="27" t="s">
        <v>7</v>
      </c>
      <c r="O168" s="27" t="s">
        <v>8</v>
      </c>
      <c r="AI168" s="27" t="s">
        <v>8</v>
      </c>
      <c r="AY168" s="27" t="s">
        <v>8</v>
      </c>
      <c r="AZ168" s="27" t="s">
        <v>7</v>
      </c>
      <c r="BC168" s="27" t="s">
        <v>8</v>
      </c>
      <c r="BD168" s="27" t="s">
        <v>7</v>
      </c>
      <c r="BE168" s="27" t="s">
        <v>8</v>
      </c>
      <c r="BL168" s="27" t="s">
        <v>7</v>
      </c>
      <c r="BM168" s="27" t="s">
        <v>8</v>
      </c>
      <c r="BN168" s="27" t="s">
        <v>7</v>
      </c>
      <c r="BO168" s="27" t="s">
        <v>8</v>
      </c>
      <c r="CZ168" s="27" t="s">
        <v>7</v>
      </c>
      <c r="DA168" s="27" t="s">
        <v>8</v>
      </c>
      <c r="DB168" s="27" t="s">
        <v>7</v>
      </c>
      <c r="DC168" s="27" t="s">
        <v>8</v>
      </c>
      <c r="DH168" s="27" t="s">
        <v>7</v>
      </c>
      <c r="DI168" s="27" t="s">
        <v>8</v>
      </c>
      <c r="DL168" s="31"/>
      <c r="EF168" s="27" t="s">
        <v>7</v>
      </c>
      <c r="EG168" s="27" t="s">
        <v>8</v>
      </c>
      <c r="EH168" s="27" t="s">
        <v>7</v>
      </c>
      <c r="EJ168" s="27" t="s">
        <v>7</v>
      </c>
      <c r="EK168" s="27" t="s">
        <v>8</v>
      </c>
      <c r="EL168" s="27" t="s">
        <v>7</v>
      </c>
    </row>
    <row r="169" spans="1:144" x14ac:dyDescent="0.25">
      <c r="A169" s="30">
        <v>31.947746812289637</v>
      </c>
      <c r="E169" t="s">
        <v>8</v>
      </c>
      <c r="H169" s="27" t="s">
        <v>7</v>
      </c>
      <c r="I169" s="27" t="s">
        <v>8</v>
      </c>
      <c r="J169" s="27" t="s">
        <v>7</v>
      </c>
      <c r="N169" s="27" t="s">
        <v>7</v>
      </c>
      <c r="O169" s="27" t="s">
        <v>8</v>
      </c>
      <c r="P169" s="27" t="s">
        <v>7</v>
      </c>
      <c r="AG169" s="27" t="s">
        <v>8</v>
      </c>
      <c r="AI169" s="27" t="s">
        <v>8</v>
      </c>
      <c r="AJ169" s="27" t="s">
        <v>7</v>
      </c>
      <c r="AY169" s="27" t="s">
        <v>8</v>
      </c>
      <c r="AZ169" s="27" t="s">
        <v>7</v>
      </c>
      <c r="BA169" s="27" t="s">
        <v>8</v>
      </c>
      <c r="BC169" s="27" t="s">
        <v>8</v>
      </c>
      <c r="BD169" s="27" t="s">
        <v>7</v>
      </c>
      <c r="BE169" s="27" t="s">
        <v>8</v>
      </c>
      <c r="BL169" s="27" t="s">
        <v>7</v>
      </c>
      <c r="BM169" s="27" t="s">
        <v>8</v>
      </c>
      <c r="BN169" s="27" t="s">
        <v>7</v>
      </c>
      <c r="BO169" s="27" t="s">
        <v>8</v>
      </c>
      <c r="CZ169" s="27" t="s">
        <v>7</v>
      </c>
      <c r="DA169" s="27" t="s">
        <v>8</v>
      </c>
      <c r="DB169" s="27" t="s">
        <v>7</v>
      </c>
      <c r="DH169" s="27" t="s">
        <v>7</v>
      </c>
      <c r="DI169" s="27" t="s">
        <v>8</v>
      </c>
      <c r="DK169" s="31"/>
      <c r="EF169" s="27" t="s">
        <v>7</v>
      </c>
      <c r="EG169" s="27" t="s">
        <v>8</v>
      </c>
      <c r="EJ169" s="27" t="s">
        <v>7</v>
      </c>
      <c r="EK169" s="27" t="s">
        <v>8</v>
      </c>
      <c r="EL169" s="27" t="s">
        <v>7</v>
      </c>
      <c r="EM169" s="27" t="s">
        <v>8</v>
      </c>
    </row>
    <row r="170" spans="1:144" x14ac:dyDescent="0.25">
      <c r="A170" s="30">
        <v>30.426425535513939</v>
      </c>
      <c r="E170" t="s">
        <v>8</v>
      </c>
      <c r="H170" s="27" t="s">
        <v>7</v>
      </c>
      <c r="I170" s="27" t="s">
        <v>8</v>
      </c>
      <c r="N170" s="27" t="s">
        <v>7</v>
      </c>
      <c r="O170" s="27" t="s">
        <v>8</v>
      </c>
      <c r="P170" s="27" t="s">
        <v>7</v>
      </c>
      <c r="AG170" s="27" t="s">
        <v>8</v>
      </c>
      <c r="AH170" s="27" t="s">
        <v>7</v>
      </c>
      <c r="AI170" s="27" t="s">
        <v>8</v>
      </c>
      <c r="AJ170" s="27" t="s">
        <v>7</v>
      </c>
      <c r="AY170" s="27" t="s">
        <v>8</v>
      </c>
      <c r="AZ170" s="27" t="s">
        <v>7</v>
      </c>
      <c r="BA170" s="27" t="s">
        <v>8</v>
      </c>
      <c r="BB170" s="27" t="s">
        <v>7</v>
      </c>
      <c r="BC170" s="27" t="s">
        <v>8</v>
      </c>
      <c r="BD170" s="27" t="s">
        <v>7</v>
      </c>
      <c r="BE170" s="27" t="s">
        <v>8</v>
      </c>
      <c r="BL170" s="27" t="s">
        <v>7</v>
      </c>
      <c r="BM170" s="27" t="s">
        <v>8</v>
      </c>
      <c r="BN170" s="27" t="s">
        <v>7</v>
      </c>
      <c r="BO170" s="27" t="s">
        <v>8</v>
      </c>
      <c r="CZ170" s="27" t="s">
        <v>7</v>
      </c>
      <c r="DA170" s="27" t="s">
        <v>8</v>
      </c>
      <c r="DH170" s="18" t="s">
        <v>7</v>
      </c>
      <c r="DI170" s="27" t="s">
        <v>8</v>
      </c>
      <c r="DJ170" s="31"/>
      <c r="EF170" s="27" t="s">
        <v>7</v>
      </c>
      <c r="EG170" s="27" t="s">
        <v>8</v>
      </c>
      <c r="EJ170" s="27" t="s">
        <v>7</v>
      </c>
      <c r="EL170" s="27" t="s">
        <v>7</v>
      </c>
      <c r="EM170" s="27" t="s">
        <v>8</v>
      </c>
      <c r="EN170" s="27" t="s">
        <v>7</v>
      </c>
    </row>
    <row r="171" spans="1:144" x14ac:dyDescent="0.25">
      <c r="A171" s="30">
        <v>28.977548129060892</v>
      </c>
      <c r="E171" t="s">
        <v>8</v>
      </c>
      <c r="H171" s="27" t="s">
        <v>7</v>
      </c>
      <c r="I171" s="27" t="s">
        <v>8</v>
      </c>
      <c r="N171" s="27" t="s">
        <v>7</v>
      </c>
      <c r="P171" s="27" t="s">
        <v>7</v>
      </c>
      <c r="Y171" s="27" t="s">
        <v>8</v>
      </c>
      <c r="AG171" s="27" t="s">
        <v>8</v>
      </c>
      <c r="AH171" s="27" t="s">
        <v>7</v>
      </c>
      <c r="AI171" s="27" t="s">
        <v>8</v>
      </c>
      <c r="AJ171" s="27" t="s">
        <v>7</v>
      </c>
      <c r="AK171" s="27" t="s">
        <v>8</v>
      </c>
      <c r="AY171" s="27" t="s">
        <v>8</v>
      </c>
      <c r="AZ171" s="27" t="s">
        <v>7</v>
      </c>
      <c r="BA171" s="27" t="s">
        <v>8</v>
      </c>
      <c r="BB171" s="27" t="s">
        <v>7</v>
      </c>
      <c r="BC171" s="27" t="s">
        <v>8</v>
      </c>
      <c r="BD171" s="27" t="s">
        <v>7</v>
      </c>
      <c r="BL171" s="27" t="s">
        <v>7</v>
      </c>
      <c r="BM171" s="27" t="s">
        <v>8</v>
      </c>
      <c r="BN171" s="27" t="s">
        <v>7</v>
      </c>
      <c r="CZ171" s="27" t="s">
        <v>7</v>
      </c>
      <c r="DA171" s="27" t="s">
        <v>8</v>
      </c>
      <c r="DH171" s="27" t="s">
        <v>7</v>
      </c>
      <c r="DI171" s="31" t="s">
        <v>8</v>
      </c>
      <c r="EF171" s="27" t="s">
        <v>7</v>
      </c>
      <c r="EL171" s="27" t="s">
        <v>7</v>
      </c>
      <c r="EM171" s="27" t="s">
        <v>8</v>
      </c>
      <c r="EN171" s="27" t="s">
        <v>7</v>
      </c>
    </row>
    <row r="172" spans="1:144" x14ac:dyDescent="0.25">
      <c r="A172" s="30">
        <v>27.597664884819896</v>
      </c>
      <c r="E172" t="s">
        <v>8</v>
      </c>
      <c r="H172" s="27" t="s">
        <v>7</v>
      </c>
      <c r="I172" s="27" t="s">
        <v>8</v>
      </c>
      <c r="P172" s="27" t="s">
        <v>7</v>
      </c>
      <c r="Y172" s="27" t="s">
        <v>8</v>
      </c>
      <c r="Z172" s="27" t="s">
        <v>7</v>
      </c>
      <c r="AC172" s="27" t="s">
        <v>8</v>
      </c>
      <c r="AG172" s="27" t="s">
        <v>8</v>
      </c>
      <c r="AH172" s="27" t="s">
        <v>7</v>
      </c>
      <c r="AI172" s="27" t="s">
        <v>8</v>
      </c>
      <c r="AJ172" s="27" t="s">
        <v>7</v>
      </c>
      <c r="AK172" s="27" t="s">
        <v>8</v>
      </c>
      <c r="AL172" s="27" t="s">
        <v>7</v>
      </c>
      <c r="AY172" s="27" t="s">
        <v>8</v>
      </c>
      <c r="AZ172" s="27" t="s">
        <v>7</v>
      </c>
      <c r="BA172" s="27" t="s">
        <v>8</v>
      </c>
      <c r="BB172" s="27" t="s">
        <v>7</v>
      </c>
      <c r="BC172" s="27" t="s">
        <v>8</v>
      </c>
      <c r="BL172" s="27" t="s">
        <v>7</v>
      </c>
      <c r="CZ172" s="27" t="s">
        <v>7</v>
      </c>
      <c r="DH172" s="31" t="s">
        <v>7</v>
      </c>
      <c r="EL172" s="27" t="s">
        <v>7</v>
      </c>
      <c r="EN172" s="27" t="s">
        <v>7</v>
      </c>
    </row>
    <row r="173" spans="1:144" x14ac:dyDescent="0.25">
      <c r="A173" s="30">
        <v>26.283490366495137</v>
      </c>
      <c r="E173" t="s">
        <v>8</v>
      </c>
      <c r="H173" s="27" t="s">
        <v>7</v>
      </c>
      <c r="P173" s="27" t="s">
        <v>7</v>
      </c>
      <c r="Q173" s="27" t="s">
        <v>8</v>
      </c>
      <c r="S173" s="27" t="s">
        <v>8</v>
      </c>
      <c r="U173" s="27" t="s">
        <v>8</v>
      </c>
      <c r="Y173" s="27" t="s">
        <v>8</v>
      </c>
      <c r="Z173" s="27" t="s">
        <v>7</v>
      </c>
      <c r="AC173" s="27" t="s">
        <v>8</v>
      </c>
      <c r="AD173" s="27" t="s">
        <v>7</v>
      </c>
      <c r="AG173" s="27" t="s">
        <v>8</v>
      </c>
      <c r="AH173" s="27" t="s">
        <v>7</v>
      </c>
      <c r="AJ173" s="27" t="s">
        <v>7</v>
      </c>
      <c r="AK173" s="27" t="s">
        <v>8</v>
      </c>
      <c r="AL173" s="27" t="s">
        <v>7</v>
      </c>
      <c r="AM173" s="27" t="s">
        <v>8</v>
      </c>
      <c r="AW173" s="27" t="s">
        <v>8</v>
      </c>
      <c r="AY173" s="27" t="s">
        <v>8</v>
      </c>
      <c r="AZ173" s="27" t="s">
        <v>7</v>
      </c>
      <c r="BA173" s="27" t="s">
        <v>8</v>
      </c>
      <c r="BB173" s="27" t="s">
        <v>7</v>
      </c>
      <c r="EN173" s="27" t="s">
        <v>7</v>
      </c>
    </row>
    <row r="174" spans="1:144" x14ac:dyDescent="0.25">
      <c r="A174" s="30">
        <v>25.031895587138223</v>
      </c>
      <c r="E174" t="s">
        <v>8</v>
      </c>
      <c r="P174" s="27" t="s">
        <v>7</v>
      </c>
      <c r="Q174" s="27" t="s">
        <v>8</v>
      </c>
      <c r="R174" s="27" t="s">
        <v>7</v>
      </c>
      <c r="S174" s="27" t="s">
        <v>8</v>
      </c>
      <c r="T174" s="27" t="s">
        <v>7</v>
      </c>
      <c r="U174" s="27" t="s">
        <v>8</v>
      </c>
      <c r="V174" s="27" t="s">
        <v>7</v>
      </c>
      <c r="Y174" s="27" t="s">
        <v>8</v>
      </c>
      <c r="Z174" s="27" t="s">
        <v>7</v>
      </c>
      <c r="AC174" s="27" t="s">
        <v>8</v>
      </c>
      <c r="AD174" s="27" t="s">
        <v>7</v>
      </c>
      <c r="AE174" s="27" t="s">
        <v>8</v>
      </c>
      <c r="AG174" s="27" t="s">
        <v>8</v>
      </c>
      <c r="AJ174" s="27" t="s">
        <v>7</v>
      </c>
      <c r="AK174" s="27" t="s">
        <v>8</v>
      </c>
      <c r="AL174" s="27" t="s">
        <v>7</v>
      </c>
      <c r="AM174" s="27" t="s">
        <v>8</v>
      </c>
      <c r="AN174" s="27" t="s">
        <v>7</v>
      </c>
      <c r="AU174" s="27" t="s">
        <v>8</v>
      </c>
      <c r="AW174" s="27" t="s">
        <v>8</v>
      </c>
      <c r="AX174" s="27" t="s">
        <v>7</v>
      </c>
      <c r="AY174" s="27" t="s">
        <v>8</v>
      </c>
      <c r="AZ174" s="27" t="s">
        <v>7</v>
      </c>
      <c r="BA174" s="27" t="s">
        <v>8</v>
      </c>
      <c r="EN174" s="27" t="s">
        <v>7</v>
      </c>
    </row>
    <row r="175" spans="1:144" x14ac:dyDescent="0.25">
      <c r="A175" s="30">
        <v>23.839900559179259</v>
      </c>
      <c r="E175" t="s">
        <v>8</v>
      </c>
      <c r="P175" s="27" t="s">
        <v>7</v>
      </c>
      <c r="Q175" s="27" t="s">
        <v>8</v>
      </c>
      <c r="R175" s="27" t="s">
        <v>7</v>
      </c>
      <c r="S175" s="27" t="s">
        <v>8</v>
      </c>
      <c r="T175" s="27" t="s">
        <v>7</v>
      </c>
      <c r="U175" s="27" t="s">
        <v>8</v>
      </c>
      <c r="V175" s="27" t="s">
        <v>7</v>
      </c>
      <c r="W175" s="27" t="s">
        <v>8</v>
      </c>
      <c r="Y175" s="27" t="s">
        <v>8</v>
      </c>
      <c r="Z175" s="27" t="s">
        <v>7</v>
      </c>
      <c r="AC175" s="27" t="s">
        <v>8</v>
      </c>
      <c r="AD175" s="27" t="s">
        <v>7</v>
      </c>
      <c r="AE175" s="27" t="s">
        <v>8</v>
      </c>
      <c r="AF175" s="27" t="s">
        <v>7</v>
      </c>
      <c r="AG175" s="27" t="s">
        <v>8</v>
      </c>
      <c r="AJ175" s="27" t="s">
        <v>7</v>
      </c>
      <c r="AK175" s="27" t="s">
        <v>8</v>
      </c>
      <c r="AL175" s="27" t="s">
        <v>7</v>
      </c>
      <c r="AM175" s="27" t="s">
        <v>8</v>
      </c>
      <c r="AN175" s="27" t="s">
        <v>7</v>
      </c>
      <c r="AU175" s="27" t="s">
        <v>8</v>
      </c>
      <c r="AV175" s="27" t="s">
        <v>7</v>
      </c>
      <c r="AW175" s="27" t="s">
        <v>8</v>
      </c>
      <c r="AX175" s="27" t="s">
        <v>7</v>
      </c>
      <c r="AY175" s="27" t="s">
        <v>8</v>
      </c>
      <c r="AZ175" s="27" t="s">
        <v>7</v>
      </c>
      <c r="BA175" s="27" t="s">
        <v>8</v>
      </c>
      <c r="EN175" s="27" t="s">
        <v>7</v>
      </c>
    </row>
    <row r="176" spans="1:144" x14ac:dyDescent="0.25">
      <c r="A176" s="30">
        <v>22.704667199218342</v>
      </c>
      <c r="E176" t="s">
        <v>8</v>
      </c>
      <c r="P176" s="27" t="s">
        <v>7</v>
      </c>
      <c r="Q176" s="27" t="s">
        <v>8</v>
      </c>
      <c r="R176" s="27" t="s">
        <v>7</v>
      </c>
      <c r="S176" s="27" t="s">
        <v>8</v>
      </c>
      <c r="T176" s="27" t="s">
        <v>7</v>
      </c>
      <c r="V176" s="27" t="s">
        <v>7</v>
      </c>
      <c r="W176" s="27" t="s">
        <v>8</v>
      </c>
      <c r="X176" s="27" t="s">
        <v>7</v>
      </c>
      <c r="Y176" s="27" t="s">
        <v>8</v>
      </c>
      <c r="Z176" s="27" t="s">
        <v>7</v>
      </c>
      <c r="AC176" s="27" t="s">
        <v>8</v>
      </c>
      <c r="AD176" s="27" t="s">
        <v>7</v>
      </c>
      <c r="AE176" s="27" t="s">
        <v>8</v>
      </c>
      <c r="AF176" s="27" t="s">
        <v>7</v>
      </c>
      <c r="AG176" s="27" t="s">
        <v>8</v>
      </c>
      <c r="AJ176" s="27" t="s">
        <v>7</v>
      </c>
      <c r="AL176" s="27" t="s">
        <v>7</v>
      </c>
      <c r="AM176" s="27" t="s">
        <v>8</v>
      </c>
      <c r="AN176" s="27" t="s">
        <v>7</v>
      </c>
      <c r="AU176" s="27" t="s">
        <v>8</v>
      </c>
      <c r="AV176" s="27" t="s">
        <v>7</v>
      </c>
      <c r="AW176" s="27" t="s">
        <v>8</v>
      </c>
      <c r="AX176" s="27" t="s">
        <v>7</v>
      </c>
      <c r="AY176" s="27" t="s">
        <v>8</v>
      </c>
      <c r="AZ176" s="27" t="s">
        <v>7</v>
      </c>
      <c r="BA176" s="27" t="s">
        <v>8</v>
      </c>
      <c r="EN176" s="27" t="s">
        <v>7</v>
      </c>
    </row>
    <row r="177" spans="1:147" x14ac:dyDescent="0.25">
      <c r="A177" s="30">
        <v>21.623492570684135</v>
      </c>
      <c r="E177" t="s">
        <v>8</v>
      </c>
      <c r="P177" s="27" t="s">
        <v>7</v>
      </c>
      <c r="Q177" s="27" t="s">
        <v>8</v>
      </c>
      <c r="R177" s="27" t="s">
        <v>7</v>
      </c>
      <c r="S177" s="27" t="s">
        <v>8</v>
      </c>
      <c r="V177" s="27" t="s">
        <v>7</v>
      </c>
      <c r="W177" s="27" t="s">
        <v>8</v>
      </c>
      <c r="X177" s="27" t="s">
        <v>7</v>
      </c>
      <c r="Y177" s="27" t="s">
        <v>8</v>
      </c>
      <c r="Z177" s="27" t="s">
        <v>7</v>
      </c>
      <c r="AA177" s="27" t="s">
        <v>8</v>
      </c>
      <c r="AC177" s="27" t="s">
        <v>8</v>
      </c>
      <c r="AD177" s="27" t="s">
        <v>7</v>
      </c>
      <c r="AF177" s="27" t="s">
        <v>7</v>
      </c>
      <c r="AL177" s="27" t="s">
        <v>7</v>
      </c>
      <c r="AN177" s="27" t="s">
        <v>7</v>
      </c>
      <c r="AS177" s="27" t="s">
        <v>8</v>
      </c>
      <c r="AU177" s="27" t="s">
        <v>8</v>
      </c>
      <c r="AV177" s="27" t="s">
        <v>7</v>
      </c>
      <c r="AW177" s="27" t="s">
        <v>8</v>
      </c>
      <c r="AX177" s="27" t="s">
        <v>7</v>
      </c>
      <c r="AY177" s="27" t="s">
        <v>8</v>
      </c>
      <c r="AZ177" s="27" t="s">
        <v>7</v>
      </c>
      <c r="EN177" s="27" t="s">
        <v>7</v>
      </c>
    </row>
    <row r="178" spans="1:147" x14ac:dyDescent="0.25">
      <c r="A178" s="30">
        <v>20.593802448270605</v>
      </c>
      <c r="C178" s="7"/>
      <c r="D178"/>
      <c r="E178" t="s">
        <v>8</v>
      </c>
      <c r="P178" s="27" t="s">
        <v>7</v>
      </c>
      <c r="Q178" s="27" t="s">
        <v>8</v>
      </c>
      <c r="R178" s="27" t="s">
        <v>7</v>
      </c>
      <c r="S178" s="27" t="s">
        <v>8</v>
      </c>
      <c r="V178" s="27" t="s">
        <v>7</v>
      </c>
      <c r="W178" s="27" t="s">
        <v>8</v>
      </c>
      <c r="X178" s="27" t="s">
        <v>7</v>
      </c>
      <c r="Y178" s="27" t="s">
        <v>8</v>
      </c>
      <c r="Z178" s="27" t="s">
        <v>7</v>
      </c>
      <c r="AA178" s="27" t="s">
        <v>8</v>
      </c>
      <c r="AB178" s="27" t="s">
        <v>7</v>
      </c>
      <c r="AC178" s="27" t="s">
        <v>8</v>
      </c>
      <c r="AN178" s="27" t="s">
        <v>7</v>
      </c>
      <c r="AS178" s="27" t="s">
        <v>8</v>
      </c>
      <c r="AT178" s="27" t="s">
        <v>7</v>
      </c>
      <c r="AU178" s="27" t="s">
        <v>8</v>
      </c>
      <c r="AV178" s="27" t="s">
        <v>7</v>
      </c>
      <c r="AX178" s="27" t="s">
        <v>7</v>
      </c>
      <c r="AY178" s="27" t="s">
        <v>8</v>
      </c>
      <c r="EN178" s="27" t="s">
        <v>7</v>
      </c>
      <c r="EQ178" s="27" t="s">
        <v>8</v>
      </c>
    </row>
    <row r="179" spans="1:147" x14ac:dyDescent="0.25">
      <c r="A179" s="30">
        <v>19.613145188829147</v>
      </c>
      <c r="E179" t="s">
        <v>8</v>
      </c>
      <c r="P179" s="27" t="s">
        <v>7</v>
      </c>
      <c r="Q179" s="27" t="s">
        <v>8</v>
      </c>
      <c r="R179" s="27" t="s">
        <v>7</v>
      </c>
      <c r="S179" s="27" t="s">
        <v>8</v>
      </c>
      <c r="V179" s="27" t="s">
        <v>7</v>
      </c>
      <c r="X179" s="27" t="s">
        <v>7</v>
      </c>
      <c r="Y179" s="27" t="s">
        <v>8</v>
      </c>
      <c r="Z179" s="27" t="s">
        <v>7</v>
      </c>
      <c r="AA179" s="27" t="s">
        <v>8</v>
      </c>
      <c r="AB179" s="27" t="s">
        <v>7</v>
      </c>
      <c r="AC179" s="27" t="s">
        <v>8</v>
      </c>
      <c r="AN179" s="27" t="s">
        <v>7</v>
      </c>
      <c r="AO179" s="27" t="s">
        <v>8</v>
      </c>
      <c r="AQ179" s="27" t="s">
        <v>8</v>
      </c>
      <c r="AS179" s="27" t="s">
        <v>8</v>
      </c>
      <c r="AT179" s="27" t="s">
        <v>7</v>
      </c>
      <c r="AU179" s="27" t="s">
        <v>8</v>
      </c>
      <c r="AX179" s="27" t="s">
        <v>7</v>
      </c>
      <c r="AY179" s="27" t="s">
        <v>8</v>
      </c>
      <c r="EN179" s="27" t="s">
        <v>7</v>
      </c>
      <c r="EO179" s="27" t="s">
        <v>8</v>
      </c>
      <c r="EQ179" s="27" t="s">
        <v>8</v>
      </c>
    </row>
    <row r="180" spans="1:147" x14ac:dyDescent="0.25">
      <c r="A180" s="30">
        <v>18.679185894122998</v>
      </c>
      <c r="E180" t="s">
        <v>8</v>
      </c>
      <c r="P180" s="27" t="s">
        <v>7</v>
      </c>
      <c r="R180" s="27" t="s">
        <v>7</v>
      </c>
      <c r="S180" s="27" t="s">
        <v>8</v>
      </c>
      <c r="X180" s="27" t="s">
        <v>7</v>
      </c>
      <c r="Z180" s="27" t="s">
        <v>7</v>
      </c>
      <c r="AB180" s="27" t="s">
        <v>7</v>
      </c>
      <c r="AC180" s="27" t="s">
        <v>8</v>
      </c>
      <c r="AN180" s="27" t="s">
        <v>7</v>
      </c>
      <c r="AO180" s="27" t="s">
        <v>8</v>
      </c>
      <c r="AP180" s="27" t="s">
        <v>7</v>
      </c>
      <c r="AQ180" s="27" t="s">
        <v>8</v>
      </c>
      <c r="AR180" s="27" t="s">
        <v>7</v>
      </c>
      <c r="AS180" s="27" t="s">
        <v>8</v>
      </c>
      <c r="AT180" s="27" t="s">
        <v>7</v>
      </c>
      <c r="AX180" s="27" t="s">
        <v>7</v>
      </c>
      <c r="AY180" s="27" t="s">
        <v>8</v>
      </c>
      <c r="EN180" s="27" t="s">
        <v>7</v>
      </c>
      <c r="EO180" s="27" t="s">
        <v>8</v>
      </c>
      <c r="EP180" s="27" t="s">
        <v>7</v>
      </c>
      <c r="EQ180" s="27" t="s">
        <v>8</v>
      </c>
    </row>
    <row r="181" spans="1:147" x14ac:dyDescent="0.25">
      <c r="A181" s="30">
        <v>17.78970085154571</v>
      </c>
      <c r="C181"/>
      <c r="D181"/>
      <c r="E181" t="s">
        <v>8</v>
      </c>
      <c r="R181" s="27" t="s">
        <v>7</v>
      </c>
      <c r="S181" s="27" t="s">
        <v>8</v>
      </c>
      <c r="AB181" s="27" t="s">
        <v>7</v>
      </c>
      <c r="AC181" s="27" t="s">
        <v>8</v>
      </c>
      <c r="AN181" s="27" t="s">
        <v>7</v>
      </c>
      <c r="AO181" s="27" t="s">
        <v>8</v>
      </c>
      <c r="AP181" s="27" t="s">
        <v>7</v>
      </c>
      <c r="AQ181" s="27" t="s">
        <v>8</v>
      </c>
      <c r="AR181" s="27" t="s">
        <v>7</v>
      </c>
      <c r="AS181" s="27" t="s">
        <v>8</v>
      </c>
      <c r="AX181" s="27" t="s">
        <v>7</v>
      </c>
      <c r="EN181" s="27" t="s">
        <v>7</v>
      </c>
      <c r="EO181" s="27" t="s">
        <v>8</v>
      </c>
      <c r="EP181" s="27" t="s">
        <v>7</v>
      </c>
      <c r="EQ181" s="27" t="s">
        <v>8</v>
      </c>
    </row>
    <row r="182" spans="1:147" x14ac:dyDescent="0.25">
      <c r="A182" s="30">
        <v>16.942572239567344</v>
      </c>
      <c r="E182" t="s">
        <v>8</v>
      </c>
      <c r="R182" s="27" t="s">
        <v>7</v>
      </c>
      <c r="S182" s="27" t="s">
        <v>8</v>
      </c>
      <c r="AB182" s="27" t="s">
        <v>7</v>
      </c>
      <c r="AN182" s="27" t="s">
        <v>7</v>
      </c>
      <c r="AO182" s="27" t="s">
        <v>8</v>
      </c>
      <c r="AP182" s="27" t="s">
        <v>7</v>
      </c>
      <c r="AQ182" s="27" t="s">
        <v>8</v>
      </c>
      <c r="AR182" s="27" t="s">
        <v>7</v>
      </c>
      <c r="EN182" s="27" t="s">
        <v>7</v>
      </c>
      <c r="EP182" s="27" t="s">
        <v>7</v>
      </c>
    </row>
    <row r="183" spans="1:147" x14ac:dyDescent="0.25">
      <c r="A183" s="30">
        <v>16.135783085302233</v>
      </c>
      <c r="E183" t="s">
        <v>8</v>
      </c>
      <c r="R183" s="27" t="s">
        <v>7</v>
      </c>
      <c r="S183" s="27" t="s">
        <v>8</v>
      </c>
      <c r="AN183" s="27" t="s">
        <v>7</v>
      </c>
      <c r="AO183" s="27" t="s">
        <v>8</v>
      </c>
      <c r="AP183" s="27" t="s">
        <v>7</v>
      </c>
    </row>
    <row r="184" spans="1:147" x14ac:dyDescent="0.25">
      <c r="A184" s="30">
        <v>15.367412462192602</v>
      </c>
      <c r="E184" t="s">
        <v>8</v>
      </c>
      <c r="R184" s="27" t="s">
        <v>7</v>
      </c>
      <c r="S184" s="27" t="s">
        <v>8</v>
      </c>
      <c r="AN184" s="27" t="s">
        <v>7</v>
      </c>
    </row>
    <row r="185" spans="1:147" x14ac:dyDescent="0.25">
      <c r="A185" s="30">
        <v>14.635630916373906</v>
      </c>
      <c r="C185"/>
      <c r="E185" t="s">
        <v>8</v>
      </c>
      <c r="R185" s="27" t="s">
        <v>7</v>
      </c>
      <c r="S185" s="27" t="s">
        <v>8</v>
      </c>
    </row>
    <row r="186" spans="1:147" x14ac:dyDescent="0.25">
      <c r="A186" s="30">
        <v>13.938696110832291</v>
      </c>
      <c r="E186" t="s">
        <v>8</v>
      </c>
      <c r="R186" s="27" t="s">
        <v>7</v>
      </c>
      <c r="S186" s="27" t="s">
        <v>8</v>
      </c>
    </row>
    <row r="187" spans="1:14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R187" s="27" t="s">
        <v>7</v>
      </c>
    </row>
    <row r="188" spans="1:147" x14ac:dyDescent="0.25">
      <c r="A188" s="30">
        <v>12.64280826379346</v>
      </c>
      <c r="E188" t="s">
        <v>8</v>
      </c>
    </row>
    <row r="189" spans="1:147" x14ac:dyDescent="0.25">
      <c r="A189" s="30">
        <v>12.04076977504139</v>
      </c>
      <c r="E189" t="s">
        <v>8</v>
      </c>
    </row>
    <row r="190" spans="1:147" x14ac:dyDescent="0.25">
      <c r="A190" s="30">
        <v>11.467399785753704</v>
      </c>
      <c r="E190" t="s">
        <v>8</v>
      </c>
    </row>
    <row r="191" spans="1:147" x14ac:dyDescent="0.25">
      <c r="A191" s="30">
        <v>10.921333129289241</v>
      </c>
      <c r="E191" t="s">
        <v>8</v>
      </c>
    </row>
    <row r="192" spans="1:147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7" operator="equal">
      <formula>$U$1</formula>
    </cfRule>
    <cfRule type="cellIs" dxfId="67" priority="938" operator="equal">
      <formula>$S$1</formula>
    </cfRule>
  </conditionalFormatting>
  <conditionalFormatting sqref="D136">
    <cfRule type="cellIs" dxfId="66" priority="935" operator="equal">
      <formula>$S$1</formula>
    </cfRule>
    <cfRule type="cellIs" dxfId="65" priority="936" operator="equal">
      <formula>$U$1</formula>
    </cfRule>
  </conditionalFormatting>
  <conditionalFormatting sqref="C162">
    <cfRule type="cellIs" dxfId="64" priority="933" operator="equal">
      <formula>$U$1</formula>
    </cfRule>
    <cfRule type="cellIs" dxfId="63" priority="934" operator="equal">
      <formula>$S$1</formula>
    </cfRule>
  </conditionalFormatting>
  <conditionalFormatting sqref="D162">
    <cfRule type="cellIs" dxfId="62" priority="931" operator="equal">
      <formula>$S$1</formula>
    </cfRule>
    <cfRule type="cellIs" dxfId="61" priority="932" operator="equal">
      <formula>$U$1</formula>
    </cfRule>
  </conditionalFormatting>
  <conditionalFormatting sqref="C187">
    <cfRule type="cellIs" dxfId="60" priority="929" operator="equal">
      <formula>$U$1</formula>
    </cfRule>
    <cfRule type="cellIs" dxfId="59" priority="930" operator="equal">
      <formula>$S$1</formula>
    </cfRule>
  </conditionalFormatting>
  <conditionalFormatting sqref="D187">
    <cfRule type="cellIs" dxfId="58" priority="927" operator="equal">
      <formula>$S$1</formula>
    </cfRule>
    <cfRule type="cellIs" dxfId="57" priority="928" operator="equal">
      <formula>$U$1</formula>
    </cfRule>
  </conditionalFormatting>
  <conditionalFormatting sqref="C212">
    <cfRule type="cellIs" dxfId="56" priority="925" operator="equal">
      <formula>$U$1</formula>
    </cfRule>
    <cfRule type="cellIs" dxfId="55" priority="926" operator="equal">
      <formula>$S$1</formula>
    </cfRule>
  </conditionalFormatting>
  <conditionalFormatting sqref="D212">
    <cfRule type="cellIs" dxfId="54" priority="923" operator="equal">
      <formula>$S$1</formula>
    </cfRule>
    <cfRule type="cellIs" dxfId="53" priority="924" operator="equal">
      <formula>$U$1</formula>
    </cfRule>
  </conditionalFormatting>
  <conditionalFormatting sqref="C237">
    <cfRule type="cellIs" dxfId="52" priority="921" operator="equal">
      <formula>$U$1</formula>
    </cfRule>
    <cfRule type="cellIs" dxfId="51" priority="922" operator="equal">
      <formula>$S$1</formula>
    </cfRule>
  </conditionalFormatting>
  <conditionalFormatting sqref="D237">
    <cfRule type="cellIs" dxfId="50" priority="919" operator="equal">
      <formula>$S$1</formula>
    </cfRule>
    <cfRule type="cellIs" dxfId="49" priority="920" operator="equal">
      <formula>$U$1</formula>
    </cfRule>
  </conditionalFormatting>
  <conditionalFormatting sqref="C106">
    <cfRule type="cellIs" dxfId="48" priority="917" operator="equal">
      <formula>$U$1</formula>
    </cfRule>
    <cfRule type="cellIs" dxfId="47" priority="918" operator="equal">
      <formula>$S$1</formula>
    </cfRule>
  </conditionalFormatting>
  <conditionalFormatting sqref="D106">
    <cfRule type="cellIs" dxfId="46" priority="915" operator="equal">
      <formula>$S$1</formula>
    </cfRule>
    <cfRule type="cellIs" dxfId="45" priority="916" operator="equal">
      <formula>$U$1</formula>
    </cfRule>
  </conditionalFormatting>
  <conditionalFormatting sqref="C81">
    <cfRule type="cellIs" dxfId="44" priority="913" operator="equal">
      <formula>$U$1</formula>
    </cfRule>
    <cfRule type="cellIs" dxfId="43" priority="914" operator="equal">
      <formula>$S$1</formula>
    </cfRule>
  </conditionalFormatting>
  <conditionalFormatting sqref="D81">
    <cfRule type="cellIs" dxfId="42" priority="911" operator="equal">
      <formula>$S$1</formula>
    </cfRule>
    <cfRule type="cellIs" dxfId="41" priority="912" operator="equal">
      <formula>$U$1</formula>
    </cfRule>
  </conditionalFormatting>
  <conditionalFormatting sqref="C56">
    <cfRule type="cellIs" dxfId="40" priority="909" operator="equal">
      <formula>$U$1</formula>
    </cfRule>
    <cfRule type="cellIs" dxfId="39" priority="910" operator="equal">
      <formula>$S$1</formula>
    </cfRule>
  </conditionalFormatting>
  <conditionalFormatting sqref="D56">
    <cfRule type="cellIs" dxfId="38" priority="907" operator="equal">
      <formula>$S$1</formula>
    </cfRule>
    <cfRule type="cellIs" dxfId="37" priority="908" operator="equal">
      <formula>$U$1</formula>
    </cfRule>
  </conditionalFormatting>
  <conditionalFormatting sqref="C31">
    <cfRule type="cellIs" dxfId="36" priority="905" operator="equal">
      <formula>$U$1</formula>
    </cfRule>
    <cfRule type="cellIs" dxfId="35" priority="906" operator="equal">
      <formula>$S$1</formula>
    </cfRule>
  </conditionalFormatting>
  <conditionalFormatting sqref="D31">
    <cfRule type="cellIs" dxfId="34" priority="903" operator="equal">
      <formula>$S$1</formula>
    </cfRule>
    <cfRule type="cellIs" dxfId="33" priority="90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52" zoomScale="90" zoomScaleNormal="90" workbookViewId="0">
      <pane xSplit="4" topLeftCell="G1" activePane="topRight" state="frozen"/>
      <selection activeCell="A109" sqref="A109"/>
      <selection pane="topRight" activeCell="BF91" sqref="BF9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6" x14ac:dyDescent="0.25">
      <c r="A65" s="30">
        <v>207.96505671840671</v>
      </c>
      <c r="E65"/>
    </row>
    <row r="66" spans="1:56" x14ac:dyDescent="0.25">
      <c r="A66" s="30">
        <v>189.05914247127882</v>
      </c>
      <c r="E66"/>
    </row>
    <row r="67" spans="1:56" x14ac:dyDescent="0.25">
      <c r="A67" s="30">
        <v>171.87194770116255</v>
      </c>
      <c r="C67" s="1" t="s">
        <v>15</v>
      </c>
      <c r="E67"/>
    </row>
    <row r="68" spans="1:56" x14ac:dyDescent="0.25">
      <c r="A68" s="30">
        <v>156.24722518287504</v>
      </c>
      <c r="C68" s="7">
        <v>0.11167815779424731</v>
      </c>
      <c r="D68"/>
      <c r="E68"/>
      <c r="AM68" s="31" t="s">
        <v>8</v>
      </c>
    </row>
    <row r="69" spans="1:56" x14ac:dyDescent="0.25">
      <c r="A69" s="30">
        <v>142.04293198443185</v>
      </c>
      <c r="E69"/>
      <c r="AK69" s="27" t="s">
        <v>8</v>
      </c>
      <c r="AM69" s="27" t="s">
        <v>8</v>
      </c>
      <c r="AN69" s="31" t="s">
        <v>7</v>
      </c>
    </row>
    <row r="70" spans="1:56" x14ac:dyDescent="0.25">
      <c r="A70" s="30">
        <v>129.1299381676653</v>
      </c>
      <c r="C70" s="1" t="s">
        <v>11</v>
      </c>
      <c r="D70" s="1" t="s">
        <v>12</v>
      </c>
      <c r="E70"/>
      <c r="AK70" s="27" t="s">
        <v>8</v>
      </c>
      <c r="AL70" s="27" t="s">
        <v>7</v>
      </c>
      <c r="AM70" s="27" t="s">
        <v>8</v>
      </c>
      <c r="AN70" s="27" t="s">
        <v>7</v>
      </c>
      <c r="AO70" s="31"/>
    </row>
    <row r="71" spans="1:56" x14ac:dyDescent="0.25">
      <c r="A71" s="30">
        <v>117.39085287969573</v>
      </c>
      <c r="C71"/>
      <c r="D71"/>
      <c r="E71"/>
      <c r="AK71" s="27" t="s">
        <v>8</v>
      </c>
      <c r="AL71" s="27" t="s">
        <v>7</v>
      </c>
      <c r="AM71" s="27" t="s">
        <v>8</v>
      </c>
      <c r="AN71" s="27" t="s">
        <v>7</v>
      </c>
      <c r="AP71" s="31"/>
    </row>
    <row r="72" spans="1:56" x14ac:dyDescent="0.25">
      <c r="A72" s="30">
        <v>106.71895716335975</v>
      </c>
      <c r="E72"/>
      <c r="AK72" s="27" t="s">
        <v>8</v>
      </c>
      <c r="AL72" s="27" t="s">
        <v>7</v>
      </c>
      <c r="AN72" s="27" t="s">
        <v>7</v>
      </c>
      <c r="AQ72" s="31"/>
    </row>
    <row r="73" spans="1:56" x14ac:dyDescent="0.25">
      <c r="A73" s="30">
        <v>97.017233784872488</v>
      </c>
      <c r="C73" s="1" t="s">
        <v>13</v>
      </c>
      <c r="E73"/>
      <c r="AI73" s="27" t="s">
        <v>8</v>
      </c>
      <c r="AK73" s="27" t="s">
        <v>8</v>
      </c>
      <c r="AN73" s="27" t="s">
        <v>7</v>
      </c>
      <c r="AR73" s="31"/>
    </row>
    <row r="74" spans="1:56" x14ac:dyDescent="0.25">
      <c r="A74" s="30">
        <v>88.197485258974979</v>
      </c>
      <c r="C74" s="1">
        <f>C63</f>
        <v>0</v>
      </c>
      <c r="E74" t="s">
        <v>8</v>
      </c>
      <c r="AE74" s="27" t="s">
        <v>8</v>
      </c>
      <c r="AG74" s="27" t="s">
        <v>8</v>
      </c>
      <c r="AI74" s="27" t="s">
        <v>8</v>
      </c>
      <c r="AJ74" s="27" t="s">
        <v>7</v>
      </c>
      <c r="AK74" s="27" t="s">
        <v>8</v>
      </c>
      <c r="AN74" s="27" t="s">
        <v>7</v>
      </c>
      <c r="AS74" s="31"/>
    </row>
    <row r="75" spans="1:56" x14ac:dyDescent="0.25">
      <c r="A75" s="30">
        <v>80.179532053613613</v>
      </c>
      <c r="C75"/>
      <c r="D75"/>
      <c r="E75" t="s">
        <v>8</v>
      </c>
      <c r="F75" s="27" t="s">
        <v>7</v>
      </c>
      <c r="AE75" s="27" t="s">
        <v>8</v>
      </c>
      <c r="AF75" s="27" t="s">
        <v>7</v>
      </c>
      <c r="AG75" s="27" t="s">
        <v>8</v>
      </c>
      <c r="AH75" s="27" t="s">
        <v>7</v>
      </c>
      <c r="AI75" s="27" t="s">
        <v>8</v>
      </c>
      <c r="AJ75" s="27" t="s">
        <v>7</v>
      </c>
      <c r="AK75" s="27" t="s">
        <v>8</v>
      </c>
      <c r="AN75" s="27" t="s">
        <v>7</v>
      </c>
      <c r="AT75" s="31"/>
    </row>
    <row r="76" spans="1:56" x14ac:dyDescent="0.25">
      <c r="A76" s="30">
        <v>72.890483685103277</v>
      </c>
      <c r="C76" s="1" t="s">
        <v>14</v>
      </c>
      <c r="E76" t="s">
        <v>8</v>
      </c>
      <c r="F76" s="27" t="s">
        <v>7</v>
      </c>
      <c r="AE76" s="27" t="s">
        <v>8</v>
      </c>
      <c r="AF76" s="27" t="s">
        <v>7</v>
      </c>
      <c r="AG76" s="27" t="s">
        <v>8</v>
      </c>
      <c r="AH76" s="27" t="s">
        <v>7</v>
      </c>
      <c r="AI76" s="27" t="s">
        <v>8</v>
      </c>
      <c r="AJ76" s="27" t="s">
        <v>7</v>
      </c>
      <c r="AK76" s="27" t="s">
        <v>8</v>
      </c>
      <c r="AN76" s="27" t="s">
        <v>7</v>
      </c>
      <c r="AO76" s="27" t="s">
        <v>8</v>
      </c>
      <c r="AQ76" s="27" t="s">
        <v>8</v>
      </c>
      <c r="AS76" s="27" t="s">
        <v>8</v>
      </c>
      <c r="AU76" s="31"/>
      <c r="BC76" s="27" t="s">
        <v>8</v>
      </c>
    </row>
    <row r="77" spans="1:5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AC77" s="27" t="s">
        <v>8</v>
      </c>
      <c r="AE77" s="27" t="s">
        <v>8</v>
      </c>
      <c r="AF77" s="27" t="s">
        <v>7</v>
      </c>
      <c r="AH77" s="27" t="s">
        <v>7</v>
      </c>
      <c r="AI77" s="27" t="s">
        <v>8</v>
      </c>
      <c r="AJ77" s="27" t="s">
        <v>7</v>
      </c>
      <c r="AK77" s="27" t="s">
        <v>8</v>
      </c>
      <c r="AN77" s="27" t="s">
        <v>7</v>
      </c>
      <c r="AO77" s="27" t="s">
        <v>8</v>
      </c>
      <c r="AP77" s="27" t="s">
        <v>7</v>
      </c>
      <c r="AQ77" s="27" t="s">
        <v>8</v>
      </c>
      <c r="AR77" s="27" t="s">
        <v>7</v>
      </c>
      <c r="AS77" s="27" t="s">
        <v>8</v>
      </c>
      <c r="AT77" s="27" t="s">
        <v>7</v>
      </c>
      <c r="AV77" s="31"/>
      <c r="AW77" s="27" t="s">
        <v>8</v>
      </c>
      <c r="AY77" s="27" t="s">
        <v>8</v>
      </c>
      <c r="BC77" s="27" t="s">
        <v>8</v>
      </c>
      <c r="BD77" s="27" t="s">
        <v>7</v>
      </c>
    </row>
    <row r="78" spans="1:56" x14ac:dyDescent="0.25">
      <c r="A78" s="30">
        <v>60.240069161242367</v>
      </c>
      <c r="E78" t="s">
        <v>8</v>
      </c>
      <c r="F78" s="27" t="s">
        <v>7</v>
      </c>
      <c r="W78" s="27" t="s">
        <v>8</v>
      </c>
      <c r="AC78" s="27" t="s">
        <v>8</v>
      </c>
      <c r="AD78" s="27" t="s">
        <v>7</v>
      </c>
      <c r="AE78" s="27" t="s">
        <v>8</v>
      </c>
      <c r="AH78" s="27" t="s">
        <v>7</v>
      </c>
      <c r="AJ78" s="27" t="s">
        <v>7</v>
      </c>
      <c r="AK78" s="27" t="s">
        <v>8</v>
      </c>
      <c r="AN78" s="27" t="s">
        <v>7</v>
      </c>
      <c r="AO78" s="27" t="s">
        <v>8</v>
      </c>
      <c r="AP78" s="27" t="s">
        <v>7</v>
      </c>
      <c r="AQ78" s="27" t="s">
        <v>8</v>
      </c>
      <c r="AR78" s="27" t="s">
        <v>7</v>
      </c>
      <c r="AS78" s="27" t="s">
        <v>8</v>
      </c>
      <c r="AT78" s="27" t="s">
        <v>7</v>
      </c>
      <c r="AW78" s="31" t="s">
        <v>8</v>
      </c>
      <c r="AX78" s="27" t="s">
        <v>7</v>
      </c>
      <c r="AY78" s="27" t="s">
        <v>8</v>
      </c>
      <c r="AZ78" s="27" t="s">
        <v>7</v>
      </c>
      <c r="BA78" s="27" t="s">
        <v>8</v>
      </c>
      <c r="BC78" s="27" t="s">
        <v>8</v>
      </c>
      <c r="BD78" s="27" t="s">
        <v>7</v>
      </c>
    </row>
    <row r="79" spans="1:56" x14ac:dyDescent="0.25">
      <c r="A79" s="30">
        <v>54.763699237493057</v>
      </c>
      <c r="E79" t="s">
        <v>8</v>
      </c>
      <c r="F79" s="27" t="s">
        <v>7</v>
      </c>
      <c r="W79" s="27" t="s">
        <v>8</v>
      </c>
      <c r="X79" s="27" t="s">
        <v>7</v>
      </c>
      <c r="Y79" s="27" t="s">
        <v>8</v>
      </c>
      <c r="AC79" s="27" t="s">
        <v>8</v>
      </c>
      <c r="AD79" s="27" t="s">
        <v>7</v>
      </c>
      <c r="AE79" s="27" t="s">
        <v>8</v>
      </c>
      <c r="AJ79" s="27" t="s">
        <v>7</v>
      </c>
      <c r="AN79" s="27" t="s">
        <v>7</v>
      </c>
      <c r="AO79" s="27" t="s">
        <v>8</v>
      </c>
      <c r="AP79" s="27" t="s">
        <v>7</v>
      </c>
      <c r="AQ79" s="27" t="s">
        <v>8</v>
      </c>
      <c r="AR79" s="27" t="s">
        <v>7</v>
      </c>
      <c r="AS79" s="27" t="s">
        <v>8</v>
      </c>
      <c r="AT79" s="27" t="s">
        <v>7</v>
      </c>
      <c r="AW79" s="27" t="s">
        <v>8</v>
      </c>
      <c r="AX79" s="31" t="s">
        <v>7</v>
      </c>
      <c r="AY79" s="27" t="s">
        <v>8</v>
      </c>
      <c r="AZ79" s="27" t="s">
        <v>7</v>
      </c>
      <c r="BA79" s="27" t="s">
        <v>8</v>
      </c>
      <c r="BB79" s="27" t="s">
        <v>7</v>
      </c>
      <c r="BC79" s="27" t="s">
        <v>8</v>
      </c>
      <c r="BD79" s="27" t="s">
        <v>7</v>
      </c>
    </row>
    <row r="80" spans="1:56" x14ac:dyDescent="0.25">
      <c r="A80" s="30">
        <v>49.785181124993684</v>
      </c>
      <c r="E80" t="s">
        <v>8</v>
      </c>
      <c r="F80" s="27" t="s">
        <v>7</v>
      </c>
      <c r="W80" s="27" t="s">
        <v>8</v>
      </c>
      <c r="X80" s="27" t="s">
        <v>7</v>
      </c>
      <c r="Y80" s="27" t="s">
        <v>8</v>
      </c>
      <c r="Z80" s="27" t="s">
        <v>7</v>
      </c>
      <c r="AC80" s="27" t="s">
        <v>8</v>
      </c>
      <c r="AD80" s="27" t="s">
        <v>7</v>
      </c>
      <c r="AN80" s="27" t="s">
        <v>7</v>
      </c>
      <c r="AO80" s="27" t="s">
        <v>8</v>
      </c>
      <c r="AP80" s="27" t="s">
        <v>7</v>
      </c>
      <c r="AQ80" s="27" t="s">
        <v>8</v>
      </c>
      <c r="AR80" s="27" t="s">
        <v>7</v>
      </c>
      <c r="AT80" s="27" t="s">
        <v>7</v>
      </c>
      <c r="AW80" s="27" t="s">
        <v>8</v>
      </c>
      <c r="AX80" s="27" t="s">
        <v>7</v>
      </c>
      <c r="AY80" s="31" t="s">
        <v>8</v>
      </c>
      <c r="AZ80" s="27" t="s">
        <v>7</v>
      </c>
      <c r="BA80" s="27" t="s">
        <v>8</v>
      </c>
      <c r="BB80" s="27" t="s">
        <v>7</v>
      </c>
      <c r="BC80" s="27" t="s">
        <v>8</v>
      </c>
      <c r="BD80" s="27" t="s">
        <v>7</v>
      </c>
    </row>
    <row r="81" spans="1:58" x14ac:dyDescent="0.25">
      <c r="A81" s="30">
        <v>45.259255568176073</v>
      </c>
      <c r="E81" t="s">
        <v>8</v>
      </c>
      <c r="F81" s="27" t="s">
        <v>7</v>
      </c>
      <c r="I81" s="27" t="s">
        <v>8</v>
      </c>
      <c r="W81" s="27" t="s">
        <v>8</v>
      </c>
      <c r="X81" s="27" t="s">
        <v>7</v>
      </c>
      <c r="Y81" s="27" t="s">
        <v>8</v>
      </c>
      <c r="Z81" s="27" t="s">
        <v>7</v>
      </c>
      <c r="AC81" s="27" t="s">
        <v>8</v>
      </c>
      <c r="AN81" s="27" t="s">
        <v>7</v>
      </c>
      <c r="AO81" s="27" t="s">
        <v>8</v>
      </c>
      <c r="AP81" s="27" t="s">
        <v>7</v>
      </c>
      <c r="AQ81" s="27" t="s">
        <v>8</v>
      </c>
      <c r="AT81" s="27" t="s">
        <v>7</v>
      </c>
      <c r="AW81" s="27" t="s">
        <v>8</v>
      </c>
      <c r="AX81" s="27" t="s">
        <v>7</v>
      </c>
      <c r="AY81" s="27" t="s">
        <v>8</v>
      </c>
      <c r="AZ81" s="31" t="s">
        <v>7</v>
      </c>
      <c r="BA81" s="27" t="s">
        <v>8</v>
      </c>
      <c r="BB81" s="27" t="s">
        <v>7</v>
      </c>
      <c r="BD81" s="27" t="s">
        <v>7</v>
      </c>
    </row>
    <row r="82" spans="1:58" x14ac:dyDescent="0.25">
      <c r="A82" s="30">
        <v>41.144777789250973</v>
      </c>
      <c r="E82" t="s">
        <v>8</v>
      </c>
      <c r="F82" s="27" t="s">
        <v>7</v>
      </c>
      <c r="G82" s="27" t="s">
        <v>8</v>
      </c>
      <c r="I82" s="27" t="s">
        <v>8</v>
      </c>
      <c r="J82" s="27" t="s">
        <v>7</v>
      </c>
      <c r="W82" s="27" t="s">
        <v>8</v>
      </c>
      <c r="X82" s="27" t="s">
        <v>7</v>
      </c>
      <c r="Y82" s="27" t="s">
        <v>8</v>
      </c>
      <c r="Z82" s="27" t="s">
        <v>7</v>
      </c>
      <c r="AA82" s="27" t="s">
        <v>8</v>
      </c>
      <c r="AC82" s="27" t="s">
        <v>8</v>
      </c>
      <c r="AN82" s="27" t="s">
        <v>7</v>
      </c>
      <c r="AP82" s="27" t="s">
        <v>7</v>
      </c>
      <c r="AQ82" s="27" t="s">
        <v>8</v>
      </c>
      <c r="AT82" s="27" t="s">
        <v>7</v>
      </c>
      <c r="AU82" s="27" t="s">
        <v>8</v>
      </c>
      <c r="AW82" s="27" t="s">
        <v>8</v>
      </c>
      <c r="AX82" s="27" t="s">
        <v>7</v>
      </c>
      <c r="AZ82" s="27" t="s">
        <v>7</v>
      </c>
      <c r="BD82" s="27" t="s">
        <v>7</v>
      </c>
      <c r="BE82" s="27" t="s">
        <v>8</v>
      </c>
    </row>
    <row r="83" spans="1:58" x14ac:dyDescent="0.25">
      <c r="A83" s="30">
        <v>37.404343444773609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J83" s="27" t="s">
        <v>7</v>
      </c>
      <c r="W83" s="27" t="s">
        <v>8</v>
      </c>
      <c r="X83" s="27" t="s">
        <v>7</v>
      </c>
      <c r="Z83" s="27" t="s">
        <v>7</v>
      </c>
      <c r="AA83" s="27" t="s">
        <v>8</v>
      </c>
      <c r="AB83" s="27" t="s">
        <v>7</v>
      </c>
      <c r="AC83" s="27" t="s">
        <v>8</v>
      </c>
      <c r="AP83" s="27" t="s">
        <v>7</v>
      </c>
      <c r="AQ83" s="27" t="s">
        <v>8</v>
      </c>
      <c r="AT83" s="27" t="s">
        <v>7</v>
      </c>
      <c r="AU83" s="27" t="s">
        <v>8</v>
      </c>
      <c r="AV83" s="27" t="s">
        <v>7</v>
      </c>
      <c r="AW83" s="27" t="s">
        <v>8</v>
      </c>
      <c r="BD83" s="27" t="s">
        <v>7</v>
      </c>
      <c r="BE83" s="27" t="s">
        <v>8</v>
      </c>
      <c r="BF83" s="27" t="s">
        <v>7</v>
      </c>
    </row>
    <row r="84" spans="1:58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Q84" s="27" t="s">
        <v>8</v>
      </c>
      <c r="U84" s="27" t="s">
        <v>8</v>
      </c>
      <c r="W84" s="27" t="s">
        <v>8</v>
      </c>
      <c r="Z84" s="27" t="s">
        <v>7</v>
      </c>
      <c r="AA84" s="27" t="s">
        <v>8</v>
      </c>
      <c r="AB84" s="27" t="s">
        <v>7</v>
      </c>
      <c r="AC84" s="27" t="s">
        <v>8</v>
      </c>
      <c r="AP84" s="27" t="s">
        <v>7</v>
      </c>
      <c r="AT84" s="27" t="s">
        <v>7</v>
      </c>
      <c r="AU84" s="27" t="s">
        <v>8</v>
      </c>
      <c r="AV84" s="27" t="s">
        <v>7</v>
      </c>
      <c r="AW84" s="27" t="s">
        <v>8</v>
      </c>
      <c r="BD84" s="27" t="s">
        <v>7</v>
      </c>
      <c r="BE84" s="27" t="s">
        <v>8</v>
      </c>
      <c r="BF84" s="27" t="s">
        <v>7</v>
      </c>
    </row>
    <row r="85" spans="1:58" x14ac:dyDescent="0.25">
      <c r="A85" s="30">
        <v>30.912680532870748</v>
      </c>
      <c r="E85" t="s">
        <v>8</v>
      </c>
      <c r="F85" s="27" t="s">
        <v>7</v>
      </c>
      <c r="G85" s="27" t="s">
        <v>8</v>
      </c>
      <c r="H85" s="27" t="s">
        <v>7</v>
      </c>
      <c r="J85" s="27" t="s">
        <v>7</v>
      </c>
      <c r="Q85" s="27" t="s">
        <v>8</v>
      </c>
      <c r="R85" s="27" t="s">
        <v>7</v>
      </c>
      <c r="U85" s="27" t="s">
        <v>8</v>
      </c>
      <c r="V85" s="27" t="s">
        <v>7</v>
      </c>
      <c r="W85" s="27" t="s">
        <v>8</v>
      </c>
      <c r="Z85" s="27" t="s">
        <v>7</v>
      </c>
      <c r="AA85" s="27" t="s">
        <v>8</v>
      </c>
      <c r="AB85" s="27" t="s">
        <v>7</v>
      </c>
      <c r="AT85" s="27" t="s">
        <v>7</v>
      </c>
      <c r="AU85" s="27" t="s">
        <v>8</v>
      </c>
      <c r="AV85" s="18" t="s">
        <v>7</v>
      </c>
      <c r="AW85" s="27" t="s">
        <v>8</v>
      </c>
      <c r="BD85" s="27" t="s">
        <v>7</v>
      </c>
      <c r="BE85" s="27" t="s">
        <v>8</v>
      </c>
      <c r="BF85" s="27" t="s">
        <v>7</v>
      </c>
    </row>
    <row r="86" spans="1:58" x14ac:dyDescent="0.25">
      <c r="A86" s="30">
        <v>28.102436848064315</v>
      </c>
      <c r="E86" t="s">
        <v>8</v>
      </c>
      <c r="F86" s="27" t="s">
        <v>7</v>
      </c>
      <c r="J86" s="27" t="s">
        <v>7</v>
      </c>
      <c r="O86" s="27" t="s">
        <v>8</v>
      </c>
      <c r="Q86" s="27" t="s">
        <v>8</v>
      </c>
      <c r="R86" s="27" t="s">
        <v>7</v>
      </c>
      <c r="U86" s="27" t="s">
        <v>8</v>
      </c>
      <c r="V86" s="27" t="s">
        <v>7</v>
      </c>
      <c r="W86" s="27" t="s">
        <v>8</v>
      </c>
      <c r="Z86" s="27" t="s">
        <v>7</v>
      </c>
      <c r="AT86" s="27" t="s">
        <v>7</v>
      </c>
      <c r="AV86" s="27" t="s">
        <v>7</v>
      </c>
      <c r="BD86" s="27" t="s">
        <v>7</v>
      </c>
      <c r="BF86" s="27" t="s">
        <v>7</v>
      </c>
    </row>
    <row r="87" spans="1:58" x14ac:dyDescent="0.25">
      <c r="A87" s="30">
        <v>25.547669861876649</v>
      </c>
      <c r="E87" t="s">
        <v>8</v>
      </c>
      <c r="J87" s="27" t="s">
        <v>7</v>
      </c>
      <c r="K87" s="27" t="s">
        <v>8</v>
      </c>
      <c r="M87" s="27" t="s">
        <v>8</v>
      </c>
      <c r="O87" s="27" t="s">
        <v>8</v>
      </c>
      <c r="P87" s="27" t="s">
        <v>7</v>
      </c>
      <c r="Q87" s="27" t="s">
        <v>8</v>
      </c>
      <c r="R87" s="27" t="s">
        <v>7</v>
      </c>
      <c r="S87" s="27" t="s">
        <v>8</v>
      </c>
      <c r="U87" s="27" t="s">
        <v>8</v>
      </c>
      <c r="V87" s="27" t="s">
        <v>7</v>
      </c>
      <c r="W87" s="27" t="s">
        <v>8</v>
      </c>
      <c r="BF87" s="27" t="s">
        <v>7</v>
      </c>
    </row>
    <row r="88" spans="1:58" x14ac:dyDescent="0.25">
      <c r="A88" s="30">
        <v>23.225154419887861</v>
      </c>
      <c r="E88" t="s">
        <v>8</v>
      </c>
      <c r="J88" s="27" t="s">
        <v>7</v>
      </c>
      <c r="K88" s="27" t="s">
        <v>8</v>
      </c>
      <c r="L88" s="27" t="s">
        <v>7</v>
      </c>
      <c r="M88" s="27" t="s">
        <v>8</v>
      </c>
      <c r="N88" s="27" t="s">
        <v>7</v>
      </c>
      <c r="O88" s="27" t="s">
        <v>8</v>
      </c>
      <c r="P88" s="27" t="s">
        <v>7</v>
      </c>
      <c r="Q88" s="27" t="s">
        <v>8</v>
      </c>
      <c r="R88" s="27" t="s">
        <v>7</v>
      </c>
      <c r="S88" s="27" t="s">
        <v>8</v>
      </c>
      <c r="T88" s="27" t="s">
        <v>7</v>
      </c>
      <c r="U88" s="27" t="s">
        <v>8</v>
      </c>
      <c r="V88" s="27" t="s">
        <v>7</v>
      </c>
      <c r="W88" s="27" t="s">
        <v>8</v>
      </c>
      <c r="BF88" s="27" t="s">
        <v>7</v>
      </c>
    </row>
    <row r="89" spans="1:58" x14ac:dyDescent="0.25">
      <c r="A89" s="30">
        <v>21.113776745352599</v>
      </c>
      <c r="E89" t="s">
        <v>8</v>
      </c>
      <c r="J89" s="27" t="s">
        <v>7</v>
      </c>
      <c r="K89" s="27" t="s">
        <v>8</v>
      </c>
      <c r="L89" s="27" t="s">
        <v>7</v>
      </c>
      <c r="M89" s="27" t="s">
        <v>8</v>
      </c>
      <c r="N89" s="27" t="s">
        <v>7</v>
      </c>
      <c r="O89" s="27" t="s">
        <v>8</v>
      </c>
      <c r="P89" s="27" t="s">
        <v>7</v>
      </c>
      <c r="Q89" s="27" t="s">
        <v>8</v>
      </c>
      <c r="R89" s="27" t="s">
        <v>7</v>
      </c>
      <c r="S89" s="27" t="s">
        <v>8</v>
      </c>
      <c r="T89" s="27" t="s">
        <v>7</v>
      </c>
      <c r="U89" s="27" t="s">
        <v>8</v>
      </c>
      <c r="V89" s="27" t="s">
        <v>7</v>
      </c>
      <c r="BF89" s="27" t="s">
        <v>7</v>
      </c>
    </row>
    <row r="90" spans="1:58" x14ac:dyDescent="0.25">
      <c r="A90" s="30">
        <v>19.194342495775089</v>
      </c>
      <c r="E90" t="s">
        <v>8</v>
      </c>
      <c r="J90" s="27" t="s">
        <v>7</v>
      </c>
      <c r="L90" s="27" t="s">
        <v>7</v>
      </c>
      <c r="M90" s="27" t="s">
        <v>8</v>
      </c>
      <c r="N90" s="27" t="s">
        <v>7</v>
      </c>
      <c r="P90" s="27" t="s">
        <v>7</v>
      </c>
      <c r="Q90" s="27" t="s">
        <v>8</v>
      </c>
      <c r="R90" s="27" t="s">
        <v>7</v>
      </c>
      <c r="S90" s="27" t="s">
        <v>8</v>
      </c>
      <c r="T90" s="27" t="s">
        <v>7</v>
      </c>
      <c r="U90" s="27" t="s">
        <v>8</v>
      </c>
      <c r="BF90" s="27" t="s">
        <v>7</v>
      </c>
    </row>
    <row r="91" spans="1:58" x14ac:dyDescent="0.25">
      <c r="A91" s="30">
        <v>17.449402268886445</v>
      </c>
      <c r="E91" t="s">
        <v>8</v>
      </c>
      <c r="L91" s="27" t="s">
        <v>7</v>
      </c>
      <c r="M91" s="27" t="s">
        <v>8</v>
      </c>
      <c r="P91" s="27" t="s">
        <v>7</v>
      </c>
      <c r="R91" s="27" t="s">
        <v>7</v>
      </c>
      <c r="S91" s="27" t="s">
        <v>8</v>
      </c>
      <c r="T91" s="27" t="s">
        <v>7</v>
      </c>
      <c r="BF91" s="27" t="s">
        <v>7</v>
      </c>
    </row>
    <row r="92" spans="1:58" x14ac:dyDescent="0.25">
      <c r="A92" s="30">
        <v>15.863092971714948</v>
      </c>
      <c r="C92" s="1" t="s">
        <v>15</v>
      </c>
      <c r="E92" t="s">
        <v>8</v>
      </c>
      <c r="L92" s="27" t="s">
        <v>7</v>
      </c>
      <c r="M92" s="27" t="s">
        <v>8</v>
      </c>
      <c r="R92" s="27" t="s">
        <v>7</v>
      </c>
    </row>
    <row r="93" spans="1:58" x14ac:dyDescent="0.25">
      <c r="A93" s="30">
        <v>14.420993610649951</v>
      </c>
      <c r="C93" s="7">
        <v>0.11167815779424731</v>
      </c>
      <c r="D93"/>
      <c r="E93" t="s">
        <v>8</v>
      </c>
      <c r="L93" s="27" t="s">
        <v>7</v>
      </c>
      <c r="M93" s="27" t="s">
        <v>8</v>
      </c>
    </row>
    <row r="94" spans="1:58" x14ac:dyDescent="0.25">
      <c r="A94" s="30">
        <v>13.109994191499954</v>
      </c>
      <c r="E94" t="s">
        <v>8</v>
      </c>
      <c r="L94" s="27" t="s">
        <v>7</v>
      </c>
    </row>
    <row r="95" spans="1:58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8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$A$90</v>
      </c>
      <c r="D111" s="1" t="str">
        <f>ADDRESS(C121-1,D121,1,1)</f>
        <v>$BF$90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$A$91</v>
      </c>
      <c r="D112" s="1" t="str">
        <f>ADDRESS(C121,D121-1,1,1)</f>
        <v>$BE$91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$A$92</v>
      </c>
      <c r="D113" s="1" t="str">
        <f>ADDRESS(C121-1,D121+1,1,1)</f>
        <v>$BG$90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$BF$91</v>
      </c>
      <c r="D114" s="1" t="str">
        <f>ADDRESS(C121+1,D121+1,1,1)</f>
        <v>$BG$92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$BF$92</v>
      </c>
      <c r="E115" s="1" t="s">
        <v>8</v>
      </c>
    </row>
    <row r="116" spans="1:5" x14ac:dyDescent="0.25">
      <c r="A116" s="30">
        <v>1.6105100000000008</v>
      </c>
      <c r="C116" s="1">
        <f>C117-1</f>
        <v>90</v>
      </c>
      <c r="E116" s="1" t="s">
        <v>8</v>
      </c>
    </row>
    <row r="117" spans="1:5" x14ac:dyDescent="0.25">
      <c r="A117" s="30">
        <v>1.4641000000000006</v>
      </c>
      <c r="C117" s="1">
        <f>C121</f>
        <v>91</v>
      </c>
      <c r="D117" s="1">
        <f>D121</f>
        <v>58</v>
      </c>
      <c r="E117" s="1" t="s">
        <v>8</v>
      </c>
    </row>
    <row r="118" spans="1:5" x14ac:dyDescent="0.25">
      <c r="A118" s="30">
        <v>1.3310000000000004</v>
      </c>
      <c r="C118" s="1">
        <f>C117+1</f>
        <v>92</v>
      </c>
      <c r="D118" s="1">
        <f>D117+1</f>
        <v>59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91</v>
      </c>
      <c r="D121" s="19">
        <v>58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R91</v>
      </c>
      <c r="D123" s="1" t="str">
        <f>"C"&amp;D121</f>
        <v>C58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17.449402268886445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21" operator="equal">
      <formula>$U$1</formula>
    </cfRule>
    <cfRule type="cellIs" dxfId="30" priority="922" operator="equal">
      <formula>$S$1</formula>
    </cfRule>
  </conditionalFormatting>
  <conditionalFormatting sqref="D136">
    <cfRule type="cellIs" dxfId="29" priority="919" operator="equal">
      <formula>$S$1</formula>
    </cfRule>
    <cfRule type="cellIs" dxfId="28" priority="920" operator="equal">
      <formula>$U$1</formula>
    </cfRule>
  </conditionalFormatting>
  <conditionalFormatting sqref="C102">
    <cfRule type="cellIs" dxfId="27" priority="917" operator="equal">
      <formula>$U$1</formula>
    </cfRule>
    <cfRule type="cellIs" dxfId="26" priority="918" operator="equal">
      <formula>$S$1</formula>
    </cfRule>
  </conditionalFormatting>
  <conditionalFormatting sqref="D102">
    <cfRule type="cellIs" dxfId="25" priority="915" operator="equal">
      <formula>$S$1</formula>
    </cfRule>
    <cfRule type="cellIs" dxfId="24" priority="916" operator="equal">
      <formula>$U$1</formula>
    </cfRule>
  </conditionalFormatting>
  <conditionalFormatting sqref="C77">
    <cfRule type="cellIs" dxfId="23" priority="913" operator="equal">
      <formula>$U$1</formula>
    </cfRule>
    <cfRule type="cellIs" dxfId="22" priority="914" operator="equal">
      <formula>$S$1</formula>
    </cfRule>
  </conditionalFormatting>
  <conditionalFormatting sqref="D77">
    <cfRule type="cellIs" dxfId="21" priority="911" operator="equal">
      <formula>$S$1</formula>
    </cfRule>
    <cfRule type="cellIs" dxfId="20" priority="912" operator="equal">
      <formula>$U$1</formula>
    </cfRule>
  </conditionalFormatting>
  <conditionalFormatting sqref="C52">
    <cfRule type="cellIs" dxfId="19" priority="909" operator="equal">
      <formula>$U$1</formula>
    </cfRule>
    <cfRule type="cellIs" dxfId="18" priority="910" operator="equal">
      <formula>$S$1</formula>
    </cfRule>
  </conditionalFormatting>
  <conditionalFormatting sqref="D52">
    <cfRule type="cellIs" dxfId="17" priority="907" operator="equal">
      <formula>$S$1</formula>
    </cfRule>
    <cfRule type="cellIs" dxfId="16" priority="908" operator="equal">
      <formula>$U$1</formula>
    </cfRule>
  </conditionalFormatting>
  <conditionalFormatting sqref="C26">
    <cfRule type="cellIs" dxfId="15" priority="905" operator="equal">
      <formula>$U$1</formula>
    </cfRule>
    <cfRule type="cellIs" dxfId="14" priority="906" operator="equal">
      <formula>$S$1</formula>
    </cfRule>
  </conditionalFormatting>
  <conditionalFormatting sqref="D26">
    <cfRule type="cellIs" dxfId="13" priority="903" operator="equal">
      <formula>$S$1</formula>
    </cfRule>
    <cfRule type="cellIs" dxfId="12" priority="90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27.597664884819896</v>
      </c>
      <c r="F3" s="30">
        <v>28.977548129060892</v>
      </c>
      <c r="G3" s="30">
        <v>44.95368804248762</v>
      </c>
      <c r="H3" s="25">
        <f>IF(G3="","",(3*(G3-F3))+E3)</f>
        <v>75.526084625100083</v>
      </c>
      <c r="I3" s="7"/>
      <c r="J3" s="7">
        <f>(E3+G3)/2</f>
        <v>36.27567646365376</v>
      </c>
      <c r="K3" s="7">
        <f>H3/2</f>
        <v>37.763042312550041</v>
      </c>
      <c r="M3" s="26">
        <f>IF(OR(J3="",H3=""),"",H3/J3)</f>
        <v>2.0820034796807465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2022-01-28T01:22:16Z</dcterms:modified>
</cp:coreProperties>
</file>