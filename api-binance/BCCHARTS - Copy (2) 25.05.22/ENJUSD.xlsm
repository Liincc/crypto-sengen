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E559335-0079-4680-9481-C68EAE18594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C122" i="4"/>
  <c r="C133" i="4" s="1"/>
  <c r="D136" i="4" s="1"/>
  <c r="C122" i="3"/>
  <c r="C133" i="3" s="1"/>
  <c r="D136" i="3" s="1"/>
  <c r="C116" i="3"/>
  <c r="R765" i="1"/>
  <c r="D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S544" i="1" l="1"/>
  <c r="T544" i="1" s="1"/>
  <c r="R543" i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S113" i="1" l="1"/>
  <c r="T113" i="1" s="1"/>
  <c r="R112" i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<sst xmlns="http://schemas.openxmlformats.org/spreadsheetml/2006/main" count="8020" uniqueCount="34">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</sst>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1.5069999999999999</c:v>
                </c:pt>
                <c:pt idx="1">
                  <c:v>1.552</c:v>
                </c:pt>
                <c:pt idx="2">
                  <c:v>1.532</c:v>
                </c:pt>
                <c:pt idx="3">
                  <c:v>1.5029999999999999</c:v>
                </c:pt>
                <c:pt idx="4">
                  <c:v>1.613</c:v>
                </c:pt>
                <c:pt idx="5">
                  <c:v>1.508</c:v>
                </c:pt>
                <c:pt idx="6">
                  <c:v>1.732</c:v>
                </c:pt>
                <c:pt idx="7">
                  <c:v>2.109</c:v>
                </c:pt>
                <c:pt idx="8">
                  <c:v>2.2189999999999999</c:v>
                </c:pt>
                <c:pt idx="9">
                  <c:v>2.2730000000000001</c:v>
                </c:pt>
                <c:pt idx="10">
                  <c:v>2.3239999999999998</c:v>
                </c:pt>
                <c:pt idx="11">
                  <c:v>2.508</c:v>
                </c:pt>
                <c:pt idx="12">
                  <c:v>2.452</c:v>
                </c:pt>
                <c:pt idx="13">
                  <c:v>2.4079999999999999</c:v>
                </c:pt>
                <c:pt idx="14">
                  <c:v>2.379</c:v>
                </c:pt>
                <c:pt idx="15">
                  <c:v>2.52</c:v>
                </c:pt>
                <c:pt idx="16">
                  <c:v>2.3119999999999998</c:v>
                </c:pt>
                <c:pt idx="17">
                  <c:v>2.1669999999999998</c:v>
                </c:pt>
                <c:pt idx="18">
                  <c:v>2.2970000000000002</c:v>
                </c:pt>
                <c:pt idx="19">
                  <c:v>2.258</c:v>
                </c:pt>
                <c:pt idx="20">
                  <c:v>2.3530000000000002</c:v>
                </c:pt>
                <c:pt idx="21">
                  <c:v>2.5680000000000001</c:v>
                </c:pt>
                <c:pt idx="22">
                  <c:v>2.4420000000000002</c:v>
                </c:pt>
                <c:pt idx="23">
                  <c:v>2.6880000000000002</c:v>
                </c:pt>
                <c:pt idx="24">
                  <c:v>2.7919999999999998</c:v>
                </c:pt>
                <c:pt idx="25">
                  <c:v>2.8540000000000001</c:v>
                </c:pt>
                <c:pt idx="26">
                  <c:v>2.6829999999999998</c:v>
                </c:pt>
                <c:pt idx="27">
                  <c:v>2.5750000000000002</c:v>
                </c:pt>
                <c:pt idx="28">
                  <c:v>2.6440000000000001</c:v>
                </c:pt>
                <c:pt idx="29">
                  <c:v>2.6480000000000001</c:v>
                </c:pt>
                <c:pt idx="30">
                  <c:v>2.7570000000000001</c:v>
                </c:pt>
                <c:pt idx="31">
                  <c:v>3.081</c:v>
                </c:pt>
                <c:pt idx="32">
                  <c:v>3.1890000000000001</c:v>
                </c:pt>
                <c:pt idx="33">
                  <c:v>3.1280000000000001</c:v>
                </c:pt>
                <c:pt idx="34">
                  <c:v>2.7989999999999999</c:v>
                </c:pt>
                <c:pt idx="35">
                  <c:v>2.9780000000000002</c:v>
                </c:pt>
                <c:pt idx="36">
                  <c:v>2.5870000000000002</c:v>
                </c:pt>
                <c:pt idx="37">
                  <c:v>2.4359999999999999</c:v>
                </c:pt>
                <c:pt idx="38">
                  <c:v>2.3090000000000002</c:v>
                </c:pt>
                <c:pt idx="39">
                  <c:v>2.335</c:v>
                </c:pt>
                <c:pt idx="40">
                  <c:v>2.4039999999999999</c:v>
                </c:pt>
                <c:pt idx="41">
                  <c:v>2.2989999999999999</c:v>
                </c:pt>
                <c:pt idx="42">
                  <c:v>2.3740000000000001</c:v>
                </c:pt>
                <c:pt idx="43">
                  <c:v>2.4860000000000002</c:v>
                </c:pt>
                <c:pt idx="44">
                  <c:v>2.3519999999999999</c:v>
                </c:pt>
                <c:pt idx="45">
                  <c:v>2.323</c:v>
                </c:pt>
                <c:pt idx="46">
                  <c:v>2.6909999999999998</c:v>
                </c:pt>
                <c:pt idx="47">
                  <c:v>2.4369999999999998</c:v>
                </c:pt>
                <c:pt idx="48">
                  <c:v>2.427</c:v>
                </c:pt>
                <c:pt idx="49">
                  <c:v>2.5680000000000001</c:v>
                </c:pt>
                <c:pt idx="50">
                  <c:v>2.9020000000000001</c:v>
                </c:pt>
                <c:pt idx="51">
                  <c:v>2.7989999999999999</c:v>
                </c:pt>
                <c:pt idx="52">
                  <c:v>2.8860000000000001</c:v>
                </c:pt>
                <c:pt idx="53">
                  <c:v>2.7280000000000002</c:v>
                </c:pt>
                <c:pt idx="54">
                  <c:v>3.0139999999999998</c:v>
                </c:pt>
                <c:pt idx="55">
                  <c:v>3.097</c:v>
                </c:pt>
                <c:pt idx="56">
                  <c:v>3.4020000000000001</c:v>
                </c:pt>
                <c:pt idx="57">
                  <c:v>3.5289999999999999</c:v>
                </c:pt>
                <c:pt idx="58">
                  <c:v>3.5009999999999999</c:v>
                </c:pt>
                <c:pt idx="59">
                  <c:v>3.649</c:v>
                </c:pt>
                <c:pt idx="60">
                  <c:v>3.8420000000000001</c:v>
                </c:pt>
                <c:pt idx="61">
                  <c:v>3.7040000000000002</c:v>
                </c:pt>
                <c:pt idx="62">
                  <c:v>3.8530000000000002</c:v>
                </c:pt>
                <c:pt idx="63">
                  <c:v>4.2210000000000001</c:v>
                </c:pt>
                <c:pt idx="64">
                  <c:v>4.3209999999999997</c:v>
                </c:pt>
                <c:pt idx="65">
                  <c:v>3.8460000000000001</c:v>
                </c:pt>
                <c:pt idx="66">
                  <c:v>3.601</c:v>
                </c:pt>
                <c:pt idx="67">
                  <c:v>3.2949999999999999</c:v>
                </c:pt>
                <c:pt idx="68">
                  <c:v>3.6480000000000001</c:v>
                </c:pt>
                <c:pt idx="69">
                  <c:v>3.613</c:v>
                </c:pt>
                <c:pt idx="70">
                  <c:v>3.0419999999999998</c:v>
                </c:pt>
                <c:pt idx="71">
                  <c:v>3.0169999999999999</c:v>
                </c:pt>
                <c:pt idx="72">
                  <c:v>2.8460000000000001</c:v>
                </c:pt>
                <c:pt idx="73">
                  <c:v>3.0329999999999999</c:v>
                </c:pt>
                <c:pt idx="74">
                  <c:v>3.085</c:v>
                </c:pt>
                <c:pt idx="75">
                  <c:v>3.0409999999999999</c:v>
                </c:pt>
                <c:pt idx="76">
                  <c:v>3.0819999999999999</c:v>
                </c:pt>
                <c:pt idx="77">
                  <c:v>2.968</c:v>
                </c:pt>
                <c:pt idx="78">
                  <c:v>2.831</c:v>
                </c:pt>
                <c:pt idx="79">
                  <c:v>2.9769999999999999</c:v>
                </c:pt>
                <c:pt idx="80">
                  <c:v>3.17</c:v>
                </c:pt>
                <c:pt idx="81">
                  <c:v>3.3130000000000002</c:v>
                </c:pt>
                <c:pt idx="82">
                  <c:v>3.5089999999999999</c:v>
                </c:pt>
                <c:pt idx="83">
                  <c:v>2.9580000000000002</c:v>
                </c:pt>
                <c:pt idx="84">
                  <c:v>2.9990000000000001</c:v>
                </c:pt>
                <c:pt idx="85">
                  <c:v>2.8610000000000002</c:v>
                </c:pt>
                <c:pt idx="86">
                  <c:v>3.1179999999999999</c:v>
                </c:pt>
                <c:pt idx="87">
                  <c:v>2.6</c:v>
                </c:pt>
                <c:pt idx="88">
                  <c:v>2.581</c:v>
                </c:pt>
                <c:pt idx="89">
                  <c:v>3.0459999999999998</c:v>
                </c:pt>
                <c:pt idx="90">
                  <c:v>2.4609999999999999</c:v>
                </c:pt>
                <c:pt idx="91">
                  <c:v>2.3170000000000002</c:v>
                </c:pt>
                <c:pt idx="92">
                  <c:v>2.0920000000000001</c:v>
                </c:pt>
                <c:pt idx="93">
                  <c:v>2.008</c:v>
                </c:pt>
                <c:pt idx="94">
                  <c:v>1.9059999999999999</c:v>
                </c:pt>
                <c:pt idx="95">
                  <c:v>1.772</c:v>
                </c:pt>
                <c:pt idx="96">
                  <c:v>1.839</c:v>
                </c:pt>
                <c:pt idx="97">
                  <c:v>1.835</c:v>
                </c:pt>
                <c:pt idx="98">
                  <c:v>1.7989999999999999</c:v>
                </c:pt>
                <c:pt idx="99">
                  <c:v>1.85</c:v>
                </c:pt>
                <c:pt idx="100">
                  <c:v>1.6040000000000001</c:v>
                </c:pt>
                <c:pt idx="101">
                  <c:v>1.6359999999999999</c:v>
                </c:pt>
                <c:pt idx="102">
                  <c:v>1.637</c:v>
                </c:pt>
                <c:pt idx="103">
                  <c:v>1.7190000000000001</c:v>
                </c:pt>
                <c:pt idx="104">
                  <c:v>1.611</c:v>
                </c:pt>
                <c:pt idx="105">
                  <c:v>1.62</c:v>
                </c:pt>
                <c:pt idx="106">
                  <c:v>1.585</c:v>
                </c:pt>
                <c:pt idx="107">
                  <c:v>1.5349999999999999</c:v>
                </c:pt>
                <c:pt idx="108">
                  <c:v>1.5609999999999999</c:v>
                </c:pt>
                <c:pt idx="109">
                  <c:v>1.58</c:v>
                </c:pt>
                <c:pt idx="110">
                  <c:v>1.7190000000000001</c:v>
                </c:pt>
                <c:pt idx="111">
                  <c:v>1.7</c:v>
                </c:pt>
                <c:pt idx="112">
                  <c:v>1.68</c:v>
                </c:pt>
                <c:pt idx="113">
                  <c:v>1.645</c:v>
                </c:pt>
                <c:pt idx="114">
                  <c:v>1.6919999999999999</c:v>
                </c:pt>
                <c:pt idx="115">
                  <c:v>1.5720000000000001</c:v>
                </c:pt>
                <c:pt idx="116">
                  <c:v>1.5429999999999999</c:v>
                </c:pt>
                <c:pt idx="117">
                  <c:v>1.5049999999999999</c:v>
                </c:pt>
                <c:pt idx="118">
                  <c:v>1.5249999999999999</c:v>
                </c:pt>
                <c:pt idx="119">
                  <c:v>1.3080000000000001</c:v>
                </c:pt>
                <c:pt idx="120">
                  <c:v>1.2230000000000001</c:v>
                </c:pt>
                <c:pt idx="121">
                  <c:v>1.2030000000000001</c:v>
                </c:pt>
                <c:pt idx="122">
                  <c:v>1.262</c:v>
                </c:pt>
                <c:pt idx="123">
                  <c:v>1.327</c:v>
                </c:pt>
                <c:pt idx="124">
                  <c:v>1.3340000000000001</c:v>
                </c:pt>
                <c:pt idx="125">
                  <c:v>1.3440000000000001</c:v>
                </c:pt>
                <c:pt idx="126">
                  <c:v>1.478</c:v>
                </c:pt>
                <c:pt idx="127">
                  <c:v>1.413</c:v>
                </c:pt>
                <c:pt idx="128">
                  <c:v>1.226</c:v>
                </c:pt>
                <c:pt idx="129">
                  <c:v>1.4330000000000001</c:v>
                </c:pt>
                <c:pt idx="130">
                  <c:v>1.57</c:v>
                </c:pt>
                <c:pt idx="131">
                  <c:v>1.6459999999999999</c:v>
                </c:pt>
                <c:pt idx="132">
                  <c:v>1.6339999999999999</c:v>
                </c:pt>
                <c:pt idx="133">
                  <c:v>1.681</c:v>
                </c:pt>
                <c:pt idx="134">
                  <c:v>1.7669999999999999</c:v>
                </c:pt>
                <c:pt idx="135">
                  <c:v>1.681</c:v>
                </c:pt>
                <c:pt idx="136">
                  <c:v>1.629</c:v>
                </c:pt>
                <c:pt idx="137">
                  <c:v>1.712</c:v>
                </c:pt>
                <c:pt idx="138">
                  <c:v>1.679</c:v>
                </c:pt>
                <c:pt idx="139">
                  <c:v>1.6459999999999999</c:v>
                </c:pt>
                <c:pt idx="140">
                  <c:v>1.79</c:v>
                </c:pt>
                <c:pt idx="141">
                  <c:v>1.73</c:v>
                </c:pt>
                <c:pt idx="142">
                  <c:v>1.7569999999999999</c:v>
                </c:pt>
                <c:pt idx="143">
                  <c:v>2.1789999999999998</c:v>
                </c:pt>
                <c:pt idx="144">
                  <c:v>2.1909999999999998</c:v>
                </c:pt>
                <c:pt idx="145">
                  <c:v>2.097</c:v>
                </c:pt>
                <c:pt idx="146">
                  <c:v>2.0710000000000002</c:v>
                </c:pt>
                <c:pt idx="147">
                  <c:v>2.0459999999999998</c:v>
                </c:pt>
                <c:pt idx="148">
                  <c:v>2.0790000000000002</c:v>
                </c:pt>
                <c:pt idx="149">
                  <c:v>2.0190000000000001</c:v>
                </c:pt>
                <c:pt idx="150">
                  <c:v>2.085</c:v>
                </c:pt>
                <c:pt idx="151">
                  <c:v>2.1829999999999998</c:v>
                </c:pt>
                <c:pt idx="152">
                  <c:v>2.0550000000000002</c:v>
                </c:pt>
                <c:pt idx="153">
                  <c:v>2.0009999999999999</c:v>
                </c:pt>
                <c:pt idx="154">
                  <c:v>1.85</c:v>
                </c:pt>
                <c:pt idx="155">
                  <c:v>2.0720999999999998</c:v>
                </c:pt>
                <c:pt idx="156">
                  <c:v>1.8911</c:v>
                </c:pt>
                <c:pt idx="157">
                  <c:v>2.1796000000000002</c:v>
                </c:pt>
                <c:pt idx="158">
                  <c:v>1.8781000000000001</c:v>
                </c:pt>
                <c:pt idx="159">
                  <c:v>1.8373999999999999</c:v>
                </c:pt>
                <c:pt idx="160">
                  <c:v>1.6712</c:v>
                </c:pt>
                <c:pt idx="161">
                  <c:v>1.5822000000000001</c:v>
                </c:pt>
                <c:pt idx="162">
                  <c:v>1.5205</c:v>
                </c:pt>
                <c:pt idx="163">
                  <c:v>1.5359</c:v>
                </c:pt>
                <c:pt idx="164">
                  <c:v>1.6204000000000001</c:v>
                </c:pt>
                <c:pt idx="165">
                  <c:v>1.6664000000000001</c:v>
                </c:pt>
                <c:pt idx="166">
                  <c:v>1.6839999999999999</c:v>
                </c:pt>
                <c:pt idx="167">
                  <c:v>1.6763999999999999</c:v>
                </c:pt>
                <c:pt idx="168">
                  <c:v>1.5647</c:v>
                </c:pt>
                <c:pt idx="169">
                  <c:v>1.6186</c:v>
                </c:pt>
                <c:pt idx="170">
                  <c:v>1.6216999999999999</c:v>
                </c:pt>
                <c:pt idx="171">
                  <c:v>1.5316000000000001</c:v>
                </c:pt>
                <c:pt idx="172">
                  <c:v>1.4109</c:v>
                </c:pt>
                <c:pt idx="173">
                  <c:v>1.4963</c:v>
                </c:pt>
                <c:pt idx="174">
                  <c:v>1.4440999999999999</c:v>
                </c:pt>
                <c:pt idx="175">
                  <c:v>1.4077999999999999</c:v>
                </c:pt>
                <c:pt idx="176">
                  <c:v>1.4058999999999999</c:v>
                </c:pt>
                <c:pt idx="177">
                  <c:v>1.355</c:v>
                </c:pt>
                <c:pt idx="178">
                  <c:v>1.3871</c:v>
                </c:pt>
                <c:pt idx="179">
                  <c:v>1.3718999999999999</c:v>
                </c:pt>
                <c:pt idx="180">
                  <c:v>1.4413</c:v>
                </c:pt>
                <c:pt idx="181">
                  <c:v>1.4417</c:v>
                </c:pt>
                <c:pt idx="182">
                  <c:v>1.3972</c:v>
                </c:pt>
                <c:pt idx="183">
                  <c:v>1.3318000000000001</c:v>
                </c:pt>
                <c:pt idx="184">
                  <c:v>1.3482000000000001</c:v>
                </c:pt>
                <c:pt idx="185">
                  <c:v>1.2862</c:v>
                </c:pt>
                <c:pt idx="186">
                  <c:v>1.3652</c:v>
                </c:pt>
                <c:pt idx="187">
                  <c:v>1.2988</c:v>
                </c:pt>
                <c:pt idx="188">
                  <c:v>1.2432000000000001</c:v>
                </c:pt>
                <c:pt idx="189">
                  <c:v>1.1234999999999999</c:v>
                </c:pt>
                <c:pt idx="190">
                  <c:v>1.0972</c:v>
                </c:pt>
                <c:pt idx="191">
                  <c:v>0.99529999999999996</c:v>
                </c:pt>
                <c:pt idx="192">
                  <c:v>1.0748</c:v>
                </c:pt>
                <c:pt idx="193">
                  <c:v>1.1847000000000001</c:v>
                </c:pt>
                <c:pt idx="194">
                  <c:v>1.1911</c:v>
                </c:pt>
                <c:pt idx="195">
                  <c:v>1.1797</c:v>
                </c:pt>
                <c:pt idx="196">
                  <c:v>1.2505999999999999</c:v>
                </c:pt>
                <c:pt idx="197">
                  <c:v>1.3206</c:v>
                </c:pt>
                <c:pt idx="198">
                  <c:v>1.2190000000000001</c:v>
                </c:pt>
                <c:pt idx="199">
                  <c:v>1.3058000000000001</c:v>
                </c:pt>
                <c:pt idx="200">
                  <c:v>1.3798999999999999</c:v>
                </c:pt>
                <c:pt idx="201">
                  <c:v>1.2873000000000001</c:v>
                </c:pt>
                <c:pt idx="202">
                  <c:v>1.29</c:v>
                </c:pt>
                <c:pt idx="203">
                  <c:v>1.2108000000000001</c:v>
                </c:pt>
                <c:pt idx="204">
                  <c:v>1.4049</c:v>
                </c:pt>
                <c:pt idx="205">
                  <c:v>1.1754</c:v>
                </c:pt>
                <c:pt idx="206">
                  <c:v>1.105</c:v>
                </c:pt>
                <c:pt idx="207">
                  <c:v>1.1711</c:v>
                </c:pt>
                <c:pt idx="208">
                  <c:v>1.1499999999999999</c:v>
                </c:pt>
                <c:pt idx="209">
                  <c:v>1.1229</c:v>
                </c:pt>
                <c:pt idx="210">
                  <c:v>1.1399999999999999</c:v>
                </c:pt>
                <c:pt idx="211">
                  <c:v>1.1631</c:v>
                </c:pt>
                <c:pt idx="212">
                  <c:v>1.0922000000000001</c:v>
                </c:pt>
                <c:pt idx="213">
                  <c:v>1.0293000000000001</c:v>
                </c:pt>
                <c:pt idx="214">
                  <c:v>1.0044</c:v>
                </c:pt>
                <c:pt idx="215">
                  <c:v>0.95299999999999996</c:v>
                </c:pt>
                <c:pt idx="216">
                  <c:v>0.94189999999999996</c:v>
                </c:pt>
                <c:pt idx="217">
                  <c:v>1.0742</c:v>
                </c:pt>
                <c:pt idx="218">
                  <c:v>1.046</c:v>
                </c:pt>
                <c:pt idx="219">
                  <c:v>0.91810000000000003</c:v>
                </c:pt>
                <c:pt idx="220">
                  <c:v>0.93769999999999998</c:v>
                </c:pt>
                <c:pt idx="221">
                  <c:v>1.2491000000000001</c:v>
                </c:pt>
                <c:pt idx="222">
                  <c:v>1.238</c:v>
                </c:pt>
                <c:pt idx="223">
                  <c:v>1.2805</c:v>
                </c:pt>
                <c:pt idx="224">
                  <c:v>1.401</c:v>
                </c:pt>
                <c:pt idx="225">
                  <c:v>1.3984000000000001</c:v>
                </c:pt>
                <c:pt idx="226">
                  <c:v>1.4015</c:v>
                </c:pt>
                <c:pt idx="227">
                  <c:v>1.4269000000000001</c:v>
                </c:pt>
                <c:pt idx="228">
                  <c:v>1.3056000000000001</c:v>
                </c:pt>
                <c:pt idx="229">
                  <c:v>1.2370000000000001</c:v>
                </c:pt>
                <c:pt idx="230">
                  <c:v>1.3012999999999999</c:v>
                </c:pt>
                <c:pt idx="231">
                  <c:v>1.2924</c:v>
                </c:pt>
                <c:pt idx="232">
                  <c:v>1.3708</c:v>
                </c:pt>
                <c:pt idx="233">
                  <c:v>1.3308</c:v>
                </c:pt>
                <c:pt idx="234">
                  <c:v>1.3375999999999999</c:v>
                </c:pt>
                <c:pt idx="235">
                  <c:v>1.4786999999999999</c:v>
                </c:pt>
                <c:pt idx="236">
                  <c:v>1.4540999999999999</c:v>
                </c:pt>
                <c:pt idx="237">
                  <c:v>1.5</c:v>
                </c:pt>
                <c:pt idx="238">
                  <c:v>1.65</c:v>
                </c:pt>
                <c:pt idx="239">
                  <c:v>1.5793999999999999</c:v>
                </c:pt>
                <c:pt idx="240">
                  <c:v>1.5694999999999999</c:v>
                </c:pt>
                <c:pt idx="241">
                  <c:v>1.6257999999999999</c:v>
                </c:pt>
                <c:pt idx="242">
                  <c:v>1.5276000000000001</c:v>
                </c:pt>
                <c:pt idx="243">
                  <c:v>1.3524</c:v>
                </c:pt>
                <c:pt idx="244">
                  <c:v>1.4281999999999999</c:v>
                </c:pt>
                <c:pt idx="245">
                  <c:v>1.7274</c:v>
                </c:pt>
                <c:pt idx="246">
                  <c:v>1.9309000000000001</c:v>
                </c:pt>
                <c:pt idx="247">
                  <c:v>1.2377</c:v>
                </c:pt>
                <c:pt idx="248">
                  <c:v>1.2647999999999999</c:v>
                </c:pt>
                <c:pt idx="249">
                  <c:v>0.94340000000000002</c:v>
                </c:pt>
                <c:pt idx="250">
                  <c:v>1.1846000000000001</c:v>
                </c:pt>
                <c:pt idx="251">
                  <c:v>1.2778</c:v>
                </c:pt>
                <c:pt idx="252">
                  <c:v>1.4842</c:v>
                </c:pt>
                <c:pt idx="253">
                  <c:v>1.1942999999999999</c:v>
                </c:pt>
                <c:pt idx="254">
                  <c:v>1.8900999999999999</c:v>
                </c:pt>
                <c:pt idx="255">
                  <c:v>1.7986</c:v>
                </c:pt>
                <c:pt idx="256">
                  <c:v>1.9709000000000001</c:v>
                </c:pt>
                <c:pt idx="257">
                  <c:v>1.9523999999999999</c:v>
                </c:pt>
                <c:pt idx="258">
                  <c:v>2.1229</c:v>
                </c:pt>
                <c:pt idx="259">
                  <c:v>2.0556000000000001</c:v>
                </c:pt>
                <c:pt idx="260">
                  <c:v>2.0251999999999999</c:v>
                </c:pt>
                <c:pt idx="261">
                  <c:v>2.3288000000000002</c:v>
                </c:pt>
                <c:pt idx="262">
                  <c:v>2.198</c:v>
                </c:pt>
                <c:pt idx="263">
                  <c:v>2.4348999999999998</c:v>
                </c:pt>
                <c:pt idx="264">
                  <c:v>2.4664000000000001</c:v>
                </c:pt>
                <c:pt idx="265">
                  <c:v>2.4889000000000001</c:v>
                </c:pt>
                <c:pt idx="266">
                  <c:v>2.4748000000000001</c:v>
                </c:pt>
                <c:pt idx="267">
                  <c:v>2.5859999999999999</c:v>
                </c:pt>
                <c:pt idx="268">
                  <c:v>2.3220000000000001</c:v>
                </c:pt>
                <c:pt idx="269">
                  <c:v>2.6177000000000001</c:v>
                </c:pt>
                <c:pt idx="270">
                  <c:v>2.6259000000000001</c:v>
                </c:pt>
                <c:pt idx="271">
                  <c:v>2.7189999999999999</c:v>
                </c:pt>
                <c:pt idx="272">
                  <c:v>2.7652000000000001</c:v>
                </c:pt>
                <c:pt idx="273">
                  <c:v>2.6408</c:v>
                </c:pt>
                <c:pt idx="274">
                  <c:v>2.7347000000000001</c:v>
                </c:pt>
                <c:pt idx="275">
                  <c:v>2.6009000000000002</c:v>
                </c:pt>
                <c:pt idx="276">
                  <c:v>2.5400999999999998</c:v>
                </c:pt>
                <c:pt idx="277">
                  <c:v>2.0312999999999999</c:v>
                </c:pt>
                <c:pt idx="278">
                  <c:v>2.0197799999999999</c:v>
                </c:pt>
                <c:pt idx="279">
                  <c:v>2.2407499999999998</c:v>
                </c:pt>
                <c:pt idx="280">
                  <c:v>2.2112099999999999</c:v>
                </c:pt>
                <c:pt idx="281">
                  <c:v>2.4742299999999999</c:v>
                </c:pt>
                <c:pt idx="282">
                  <c:v>2.5683199999999999</c:v>
                </c:pt>
                <c:pt idx="283">
                  <c:v>2.3960900000000001</c:v>
                </c:pt>
                <c:pt idx="284">
                  <c:v>2.6925500000000002</c:v>
                </c:pt>
                <c:pt idx="285">
                  <c:v>2.9607600000000001</c:v>
                </c:pt>
                <c:pt idx="286">
                  <c:v>3.00779</c:v>
                </c:pt>
                <c:pt idx="287">
                  <c:v>3.1684299999999999</c:v>
                </c:pt>
                <c:pt idx="288">
                  <c:v>2.9065799999999999</c:v>
                </c:pt>
                <c:pt idx="289">
                  <c:v>3.0759699999999999</c:v>
                </c:pt>
                <c:pt idx="290">
                  <c:v>2.9994399999999999</c:v>
                </c:pt>
                <c:pt idx="291">
                  <c:v>3.11876</c:v>
                </c:pt>
                <c:pt idx="292">
                  <c:v>3.2194199999999999</c:v>
                </c:pt>
                <c:pt idx="293">
                  <c:v>3.42571</c:v>
                </c:pt>
                <c:pt idx="294">
                  <c:v>3.2421700000000002</c:v>
                </c:pt>
                <c:pt idx="295">
                  <c:v>2.83</c:v>
                </c:pt>
                <c:pt idx="296">
                  <c:v>2.3199399999999999</c:v>
                </c:pt>
                <c:pt idx="297">
                  <c:v>2.4664700000000002</c:v>
                </c:pt>
                <c:pt idx="298">
                  <c:v>2.4064100000000002</c:v>
                </c:pt>
                <c:pt idx="299">
                  <c:v>2.3141400000000001</c:v>
                </c:pt>
                <c:pt idx="300">
                  <c:v>2.5630700000000002</c:v>
                </c:pt>
                <c:pt idx="301">
                  <c:v>2.4893000000000001</c:v>
                </c:pt>
                <c:pt idx="302">
                  <c:v>2.5504799999999999</c:v>
                </c:pt>
                <c:pt idx="303">
                  <c:v>2.4917400000000001</c:v>
                </c:pt>
                <c:pt idx="304">
                  <c:v>2.4925000000000002</c:v>
                </c:pt>
                <c:pt idx="305">
                  <c:v>2.51112</c:v>
                </c:pt>
                <c:pt idx="306">
                  <c:v>2.3020200000000002</c:v>
                </c:pt>
                <c:pt idx="307">
                  <c:v>2.3349899999999999</c:v>
                </c:pt>
                <c:pt idx="308">
                  <c:v>2.0939100000000002</c:v>
                </c:pt>
                <c:pt idx="309">
                  <c:v>2.1478899999999999</c:v>
                </c:pt>
                <c:pt idx="310">
                  <c:v>2.0501900000000002</c:v>
                </c:pt>
                <c:pt idx="311">
                  <c:v>2.1572</c:v>
                </c:pt>
                <c:pt idx="312">
                  <c:v>2.4324400000000002</c:v>
                </c:pt>
                <c:pt idx="313">
                  <c:v>2.19916</c:v>
                </c:pt>
                <c:pt idx="314">
                  <c:v>2.4845299999999999</c:v>
                </c:pt>
                <c:pt idx="315">
                  <c:v>2.6505100000000001</c:v>
                </c:pt>
                <c:pt idx="316">
                  <c:v>2.4596</c:v>
                </c:pt>
                <c:pt idx="317">
                  <c:v>2.5494500000000002</c:v>
                </c:pt>
                <c:pt idx="318">
                  <c:v>2.67509</c:v>
                </c:pt>
                <c:pt idx="319">
                  <c:v>2.33</c:v>
                </c:pt>
                <c:pt idx="320">
                  <c:v>2.0377399999999999</c:v>
                </c:pt>
                <c:pt idx="321">
                  <c:v>2.0681400000000001</c:v>
                </c:pt>
                <c:pt idx="322">
                  <c:v>1.78966</c:v>
                </c:pt>
                <c:pt idx="323">
                  <c:v>1.64608</c:v>
                </c:pt>
                <c:pt idx="324">
                  <c:v>1.70428</c:v>
                </c:pt>
                <c:pt idx="325">
                  <c:v>1.7312700000000001</c:v>
                </c:pt>
                <c:pt idx="326">
                  <c:v>1.4105700000000001</c:v>
                </c:pt>
                <c:pt idx="327">
                  <c:v>1.1538999999999999</c:v>
                </c:pt>
                <c:pt idx="328">
                  <c:v>1.19787</c:v>
                </c:pt>
                <c:pt idx="329">
                  <c:v>1.2998700000000001</c:v>
                </c:pt>
                <c:pt idx="330">
                  <c:v>1.1753</c:v>
                </c:pt>
                <c:pt idx="331">
                  <c:v>0.78649999999999998</c:v>
                </c:pt>
                <c:pt idx="332">
                  <c:v>0.69667000000000001</c:v>
                </c:pt>
                <c:pt idx="333">
                  <c:v>0.57547999999999999</c:v>
                </c:pt>
                <c:pt idx="334">
                  <c:v>0.56879999999999997</c:v>
                </c:pt>
                <c:pt idx="335">
                  <c:v>0.57808999999999999</c:v>
                </c:pt>
                <c:pt idx="336">
                  <c:v>0.54049000000000003</c:v>
                </c:pt>
                <c:pt idx="337">
                  <c:v>0.49174000000000001</c:v>
                </c:pt>
                <c:pt idx="338">
                  <c:v>0.45246999999999998</c:v>
                </c:pt>
                <c:pt idx="339">
                  <c:v>0.54271000000000003</c:v>
                </c:pt>
                <c:pt idx="340">
                  <c:v>0.57323000000000002</c:v>
                </c:pt>
                <c:pt idx="341">
                  <c:v>0.55071999999999999</c:v>
                </c:pt>
                <c:pt idx="342">
                  <c:v>0.60199999999999998</c:v>
                </c:pt>
                <c:pt idx="343">
                  <c:v>0.58711999999999998</c:v>
                </c:pt>
                <c:pt idx="344">
                  <c:v>0.54998000000000002</c:v>
                </c:pt>
                <c:pt idx="345">
                  <c:v>0.54418</c:v>
                </c:pt>
                <c:pt idx="346">
                  <c:v>0.52371000000000001</c:v>
                </c:pt>
                <c:pt idx="347">
                  <c:v>0.55135000000000001</c:v>
                </c:pt>
                <c:pt idx="348">
                  <c:v>0.59248999999999996</c:v>
                </c:pt>
                <c:pt idx="349">
                  <c:v>0.61036000000000001</c:v>
                </c:pt>
                <c:pt idx="350">
                  <c:v>0.59987000000000001</c:v>
                </c:pt>
                <c:pt idx="351">
                  <c:v>0.42595</c:v>
                </c:pt>
                <c:pt idx="352">
                  <c:v>0.41839999999999999</c:v>
                </c:pt>
                <c:pt idx="353">
                  <c:v>0.39831</c:v>
                </c:pt>
                <c:pt idx="354">
                  <c:v>0.38024000000000002</c:v>
                </c:pt>
                <c:pt idx="355">
                  <c:v>0.39169999999999999</c:v>
                </c:pt>
                <c:pt idx="356">
                  <c:v>0.41204000000000002</c:v>
                </c:pt>
                <c:pt idx="357">
                  <c:v>0.36554999999999999</c:v>
                </c:pt>
                <c:pt idx="358">
                  <c:v>0.37383</c:v>
                </c:pt>
                <c:pt idx="359">
                  <c:v>0.36509999999999998</c:v>
                </c:pt>
                <c:pt idx="360">
                  <c:v>0.34187000000000001</c:v>
                </c:pt>
                <c:pt idx="361">
                  <c:v>0.34366000000000002</c:v>
                </c:pt>
                <c:pt idx="362">
                  <c:v>0.33501999999999998</c:v>
                </c:pt>
                <c:pt idx="363">
                  <c:v>0.35972999999999999</c:v>
                </c:pt>
                <c:pt idx="364">
                  <c:v>0.37379000000000001</c:v>
                </c:pt>
                <c:pt idx="365">
                  <c:v>0.36313000000000001</c:v>
                </c:pt>
                <c:pt idx="366">
                  <c:v>0.43935999999999997</c:v>
                </c:pt>
                <c:pt idx="367">
                  <c:v>0.47220000000000001</c:v>
                </c:pt>
                <c:pt idx="368">
                  <c:v>0.42098999999999998</c:v>
                </c:pt>
                <c:pt idx="369">
                  <c:v>0.42973</c:v>
                </c:pt>
                <c:pt idx="370">
                  <c:v>0.38157000000000002</c:v>
                </c:pt>
                <c:pt idx="371">
                  <c:v>0.32924999999999999</c:v>
                </c:pt>
                <c:pt idx="372">
                  <c:v>0.42131000000000002</c:v>
                </c:pt>
                <c:pt idx="373">
                  <c:v>0.36022999999999999</c:v>
                </c:pt>
                <c:pt idx="374">
                  <c:v>0.24692</c:v>
                </c:pt>
                <c:pt idx="375">
                  <c:v>0.23114000000000001</c:v>
                </c:pt>
                <c:pt idx="376">
                  <c:v>0.1948</c:v>
                </c:pt>
                <c:pt idx="377">
                  <c:v>0.18883</c:v>
                </c:pt>
                <c:pt idx="378">
                  <c:v>0.18307000000000001</c:v>
                </c:pt>
                <c:pt idx="379">
                  <c:v>0.17979999999999999</c:v>
                </c:pt>
                <c:pt idx="380">
                  <c:v>0.16711999999999999</c:v>
                </c:pt>
                <c:pt idx="381">
                  <c:v>0.16322999999999999</c:v>
                </c:pt>
                <c:pt idx="382">
                  <c:v>0.18526999999999999</c:v>
                </c:pt>
                <c:pt idx="383">
                  <c:v>0.20455999999999999</c:v>
                </c:pt>
                <c:pt idx="384">
                  <c:v>0.21487999999999999</c:v>
                </c:pt>
                <c:pt idx="385">
                  <c:v>0.16388</c:v>
                </c:pt>
                <c:pt idx="386">
                  <c:v>0.16005</c:v>
                </c:pt>
                <c:pt idx="387">
                  <c:v>0.14654</c:v>
                </c:pt>
                <c:pt idx="388">
                  <c:v>0.14105000000000001</c:v>
                </c:pt>
                <c:pt idx="389">
                  <c:v>0.13500000000000001</c:v>
                </c:pt>
                <c:pt idx="390">
                  <c:v>0.13156000000000001</c:v>
                </c:pt>
                <c:pt idx="391">
                  <c:v>0.13561000000000001</c:v>
                </c:pt>
                <c:pt idx="392">
                  <c:v>0.12977</c:v>
                </c:pt>
                <c:pt idx="393">
                  <c:v>0.12934000000000001</c:v>
                </c:pt>
                <c:pt idx="394">
                  <c:v>0.13286000000000001</c:v>
                </c:pt>
                <c:pt idx="395">
                  <c:v>0.13875000000000001</c:v>
                </c:pt>
                <c:pt idx="396">
                  <c:v>0.13666</c:v>
                </c:pt>
                <c:pt idx="397">
                  <c:v>0.14066000000000001</c:v>
                </c:pt>
                <c:pt idx="398">
                  <c:v>0.14066999999999999</c:v>
                </c:pt>
                <c:pt idx="399">
                  <c:v>0.14394000000000001</c:v>
                </c:pt>
                <c:pt idx="400">
                  <c:v>0.12203</c:v>
                </c:pt>
                <c:pt idx="401">
                  <c:v>0.1447</c:v>
                </c:pt>
                <c:pt idx="402">
                  <c:v>0.14510999999999999</c:v>
                </c:pt>
                <c:pt idx="403">
                  <c:v>0.15236</c:v>
                </c:pt>
                <c:pt idx="404">
                  <c:v>0.15884000000000001</c:v>
                </c:pt>
                <c:pt idx="405">
                  <c:v>0.16037000000000001</c:v>
                </c:pt>
                <c:pt idx="406">
                  <c:v>0.15265999999999999</c:v>
                </c:pt>
                <c:pt idx="407">
                  <c:v>0.15459000000000001</c:v>
                </c:pt>
                <c:pt idx="408">
                  <c:v>0.15529999999999999</c:v>
                </c:pt>
                <c:pt idx="409">
                  <c:v>0.15084</c:v>
                </c:pt>
                <c:pt idx="410">
                  <c:v>0.14377999999999999</c:v>
                </c:pt>
                <c:pt idx="411">
                  <c:v>0.14446999999999999</c:v>
                </c:pt>
                <c:pt idx="412">
                  <c:v>0.14000000000000001</c:v>
                </c:pt>
                <c:pt idx="413">
                  <c:v>0.14221</c:v>
                </c:pt>
                <c:pt idx="414">
                  <c:v>0.14069999999999999</c:v>
                </c:pt>
                <c:pt idx="415">
                  <c:v>0.14027999999999999</c:v>
                </c:pt>
                <c:pt idx="416">
                  <c:v>0.15153</c:v>
                </c:pt>
                <c:pt idx="417">
                  <c:v>0.15257000000000001</c:v>
                </c:pt>
                <c:pt idx="418">
                  <c:v>0.15251000000000001</c:v>
                </c:pt>
                <c:pt idx="419">
                  <c:v>0.14643</c:v>
                </c:pt>
                <c:pt idx="420">
                  <c:v>0.15720999999999999</c:v>
                </c:pt>
                <c:pt idx="421">
                  <c:v>0.16167999999999999</c:v>
                </c:pt>
                <c:pt idx="422">
                  <c:v>0.14641999999999999</c:v>
                </c:pt>
                <c:pt idx="423">
                  <c:v>0.14888999999999999</c:v>
                </c:pt>
                <c:pt idx="424">
                  <c:v>0.14362</c:v>
                </c:pt>
                <c:pt idx="425">
                  <c:v>0.14455000000000001</c:v>
                </c:pt>
                <c:pt idx="426">
                  <c:v>0.14158999999999999</c:v>
                </c:pt>
                <c:pt idx="427">
                  <c:v>0.14149999999999999</c:v>
                </c:pt>
                <c:pt idx="428">
                  <c:v>0.16198000000000001</c:v>
                </c:pt>
                <c:pt idx="429">
                  <c:v>0.15931000000000001</c:v>
                </c:pt>
                <c:pt idx="430">
                  <c:v>0.15501000000000001</c:v>
                </c:pt>
                <c:pt idx="431">
                  <c:v>0.1454</c:v>
                </c:pt>
                <c:pt idx="432">
                  <c:v>0.15060000000000001</c:v>
                </c:pt>
                <c:pt idx="433">
                  <c:v>0.13982</c:v>
                </c:pt>
                <c:pt idx="434">
                  <c:v>0.13658999999999999</c:v>
                </c:pt>
                <c:pt idx="435">
                  <c:v>0.13833999999999999</c:v>
                </c:pt>
                <c:pt idx="436">
                  <c:v>0.14596999999999999</c:v>
                </c:pt>
                <c:pt idx="437">
                  <c:v>0.14527999999999999</c:v>
                </c:pt>
                <c:pt idx="438">
                  <c:v>0.14405000000000001</c:v>
                </c:pt>
                <c:pt idx="439">
                  <c:v>0.14141999999999999</c:v>
                </c:pt>
                <c:pt idx="440">
                  <c:v>0.14352000000000001</c:v>
                </c:pt>
                <c:pt idx="441">
                  <c:v>0.13458000000000001</c:v>
                </c:pt>
                <c:pt idx="442">
                  <c:v>0.1381</c:v>
                </c:pt>
                <c:pt idx="443">
                  <c:v>0.13983999999999999</c:v>
                </c:pt>
                <c:pt idx="444">
                  <c:v>0.13356999999999999</c:v>
                </c:pt>
                <c:pt idx="445">
                  <c:v>0.13633999999999999</c:v>
                </c:pt>
                <c:pt idx="446">
                  <c:v>0.12778</c:v>
                </c:pt>
                <c:pt idx="447">
                  <c:v>0.13769000000000001</c:v>
                </c:pt>
                <c:pt idx="448">
                  <c:v>0.12361999999999999</c:v>
                </c:pt>
                <c:pt idx="449">
                  <c:v>0.11833</c:v>
                </c:pt>
                <c:pt idx="450">
                  <c:v>0.11901</c:v>
                </c:pt>
                <c:pt idx="451">
                  <c:v>0.12132999999999999</c:v>
                </c:pt>
                <c:pt idx="452">
                  <c:v>0.12697</c:v>
                </c:pt>
                <c:pt idx="453">
                  <c:v>0.12736</c:v>
                </c:pt>
                <c:pt idx="454">
                  <c:v>0.12612000000000001</c:v>
                </c:pt>
                <c:pt idx="455">
                  <c:v>0.13220999999999999</c:v>
                </c:pt>
                <c:pt idx="456">
                  <c:v>0.13467000000000001</c:v>
                </c:pt>
                <c:pt idx="457">
                  <c:v>0.13900999999999999</c:v>
                </c:pt>
                <c:pt idx="458">
                  <c:v>0.13821</c:v>
                </c:pt>
                <c:pt idx="459">
                  <c:v>0.14391999999999999</c:v>
                </c:pt>
                <c:pt idx="460">
                  <c:v>0.14662</c:v>
                </c:pt>
                <c:pt idx="461">
                  <c:v>0.1472</c:v>
                </c:pt>
                <c:pt idx="462">
                  <c:v>0.15112999999999999</c:v>
                </c:pt>
                <c:pt idx="463">
                  <c:v>0.14352999999999999</c:v>
                </c:pt>
                <c:pt idx="464">
                  <c:v>0.14047999999999999</c:v>
                </c:pt>
                <c:pt idx="465">
                  <c:v>0.14921999999999999</c:v>
                </c:pt>
                <c:pt idx="466">
                  <c:v>0.15078</c:v>
                </c:pt>
                <c:pt idx="467">
                  <c:v>0.14843000000000001</c:v>
                </c:pt>
                <c:pt idx="468">
                  <c:v>0.14549999999999999</c:v>
                </c:pt>
                <c:pt idx="469">
                  <c:v>0.15265000000000001</c:v>
                </c:pt>
                <c:pt idx="470">
                  <c:v>0.15381</c:v>
                </c:pt>
                <c:pt idx="471">
                  <c:v>0.16148999999999999</c:v>
                </c:pt>
                <c:pt idx="472">
                  <c:v>0.16589999999999999</c:v>
                </c:pt>
                <c:pt idx="473">
                  <c:v>0.15878999999999999</c:v>
                </c:pt>
                <c:pt idx="474">
                  <c:v>0.15976000000000001</c:v>
                </c:pt>
                <c:pt idx="475">
                  <c:v>0.15425</c:v>
                </c:pt>
                <c:pt idx="476">
                  <c:v>0.15057999999999999</c:v>
                </c:pt>
                <c:pt idx="477">
                  <c:v>0.14893999999999999</c:v>
                </c:pt>
                <c:pt idx="478">
                  <c:v>0.14373</c:v>
                </c:pt>
                <c:pt idx="479">
                  <c:v>0.15475</c:v>
                </c:pt>
                <c:pt idx="480">
                  <c:v>0.15221999999999999</c:v>
                </c:pt>
                <c:pt idx="481">
                  <c:v>0.15</c:v>
                </c:pt>
                <c:pt idx="482">
                  <c:v>0.15051</c:v>
                </c:pt>
                <c:pt idx="483">
                  <c:v>0.15373000000000001</c:v>
                </c:pt>
                <c:pt idx="484">
                  <c:v>0.16053999999999999</c:v>
                </c:pt>
                <c:pt idx="485">
                  <c:v>0.16012999999999999</c:v>
                </c:pt>
                <c:pt idx="486">
                  <c:v>0.16803000000000001</c:v>
                </c:pt>
                <c:pt idx="487">
                  <c:v>0.16988</c:v>
                </c:pt>
                <c:pt idx="488">
                  <c:v>0.16131999999999999</c:v>
                </c:pt>
                <c:pt idx="489">
                  <c:v>0.15373000000000001</c:v>
                </c:pt>
                <c:pt idx="490">
                  <c:v>0.15512999999999999</c:v>
                </c:pt>
                <c:pt idx="491">
                  <c:v>0.14358000000000001</c:v>
                </c:pt>
                <c:pt idx="492">
                  <c:v>0.15481</c:v>
                </c:pt>
                <c:pt idx="493">
                  <c:v>0.14348</c:v>
                </c:pt>
                <c:pt idx="494">
                  <c:v>0.16017999999999999</c:v>
                </c:pt>
                <c:pt idx="495">
                  <c:v>0.16897999999999999</c:v>
                </c:pt>
                <c:pt idx="496">
                  <c:v>0.16631000000000001</c:v>
                </c:pt>
                <c:pt idx="497">
                  <c:v>0.16159000000000001</c:v>
                </c:pt>
                <c:pt idx="498">
                  <c:v>0.15612999999999999</c:v>
                </c:pt>
                <c:pt idx="499">
                  <c:v>0.15889</c:v>
                </c:pt>
                <c:pt idx="500">
                  <c:v>0.16711999999999999</c:v>
                </c:pt>
                <c:pt idx="501">
                  <c:v>0.16116</c:v>
                </c:pt>
                <c:pt idx="502">
                  <c:v>0.17241000000000001</c:v>
                </c:pt>
                <c:pt idx="503">
                  <c:v>0.17235</c:v>
                </c:pt>
                <c:pt idx="504">
                  <c:v>0.1757</c:v>
                </c:pt>
                <c:pt idx="505">
                  <c:v>0.16444</c:v>
                </c:pt>
                <c:pt idx="506">
                  <c:v>0.15390000000000001</c:v>
                </c:pt>
                <c:pt idx="507">
                  <c:v>0.15015000000000001</c:v>
                </c:pt>
                <c:pt idx="508">
                  <c:v>0.15969</c:v>
                </c:pt>
                <c:pt idx="509">
                  <c:v>0.15298999999999999</c:v>
                </c:pt>
                <c:pt idx="510">
                  <c:v>0.17025999999999999</c:v>
                </c:pt>
                <c:pt idx="511">
                  <c:v>0.1711</c:v>
                </c:pt>
                <c:pt idx="512">
                  <c:v>0.20222000000000001</c:v>
                </c:pt>
                <c:pt idx="513">
                  <c:v>0.21007999999999999</c:v>
                </c:pt>
                <c:pt idx="514">
                  <c:v>0.21423</c:v>
                </c:pt>
                <c:pt idx="515">
                  <c:v>0.21843000000000001</c:v>
                </c:pt>
                <c:pt idx="516">
                  <c:v>0.2132</c:v>
                </c:pt>
                <c:pt idx="517">
                  <c:v>0.22119</c:v>
                </c:pt>
                <c:pt idx="518">
                  <c:v>0.21113000000000001</c:v>
                </c:pt>
                <c:pt idx="519">
                  <c:v>0.22716</c:v>
                </c:pt>
                <c:pt idx="520">
                  <c:v>0.22639999999999999</c:v>
                </c:pt>
                <c:pt idx="521">
                  <c:v>0.2447</c:v>
                </c:pt>
                <c:pt idx="522">
                  <c:v>0.22097</c:v>
                </c:pt>
                <c:pt idx="523">
                  <c:v>0.22542000000000001</c:v>
                </c:pt>
                <c:pt idx="524">
                  <c:v>0.20988999999999999</c:v>
                </c:pt>
                <c:pt idx="525">
                  <c:v>0.20824000000000001</c:v>
                </c:pt>
                <c:pt idx="526">
                  <c:v>0.19694999999999999</c:v>
                </c:pt>
                <c:pt idx="527">
                  <c:v>0.20799000000000001</c:v>
                </c:pt>
                <c:pt idx="528">
                  <c:v>0.20588999999999999</c:v>
                </c:pt>
                <c:pt idx="529">
                  <c:v>0.21471000000000001</c:v>
                </c:pt>
                <c:pt idx="530">
                  <c:v>0.20574999999999999</c:v>
                </c:pt>
                <c:pt idx="531">
                  <c:v>0.20863000000000001</c:v>
                </c:pt>
                <c:pt idx="532">
                  <c:v>0.21088000000000001</c:v>
                </c:pt>
                <c:pt idx="533">
                  <c:v>0.20835999999999999</c:v>
                </c:pt>
                <c:pt idx="534">
                  <c:v>0.20301</c:v>
                </c:pt>
                <c:pt idx="535">
                  <c:v>0.22517000000000001</c:v>
                </c:pt>
                <c:pt idx="536">
                  <c:v>0.22091</c:v>
                </c:pt>
                <c:pt idx="537">
                  <c:v>0.21207000000000001</c:v>
                </c:pt>
                <c:pt idx="538">
                  <c:v>0.20832999999999999</c:v>
                </c:pt>
                <c:pt idx="539">
                  <c:v>0.19320000000000001</c:v>
                </c:pt>
                <c:pt idx="540">
                  <c:v>0.18978</c:v>
                </c:pt>
                <c:pt idx="541">
                  <c:v>0.18761</c:v>
                </c:pt>
                <c:pt idx="542">
                  <c:v>0.17799999999999999</c:v>
                </c:pt>
                <c:pt idx="543">
                  <c:v>0.17523</c:v>
                </c:pt>
                <c:pt idx="544">
                  <c:v>0.17652999999999999</c:v>
                </c:pt>
                <c:pt idx="545">
                  <c:v>0.17419000000000001</c:v>
                </c:pt>
                <c:pt idx="546">
                  <c:v>0.17780000000000001</c:v>
                </c:pt>
                <c:pt idx="547">
                  <c:v>0.17634</c:v>
                </c:pt>
                <c:pt idx="548">
                  <c:v>0.17452000000000001</c:v>
                </c:pt>
                <c:pt idx="549">
                  <c:v>0.16889999999999999</c:v>
                </c:pt>
                <c:pt idx="550">
                  <c:v>0.17916000000000001</c:v>
                </c:pt>
                <c:pt idx="551">
                  <c:v>0.18781999999999999</c:v>
                </c:pt>
                <c:pt idx="552">
                  <c:v>0.18625</c:v>
                </c:pt>
                <c:pt idx="553">
                  <c:v>0.18567</c:v>
                </c:pt>
                <c:pt idx="554">
                  <c:v>0.19070999999999999</c:v>
                </c:pt>
                <c:pt idx="555">
                  <c:v>0.1938</c:v>
                </c:pt>
                <c:pt idx="556">
                  <c:v>0.19328999999999999</c:v>
                </c:pt>
                <c:pt idx="557">
                  <c:v>0.2074</c:v>
                </c:pt>
                <c:pt idx="558">
                  <c:v>0.20832000000000001</c:v>
                </c:pt>
                <c:pt idx="559">
                  <c:v>0.20133000000000001</c:v>
                </c:pt>
                <c:pt idx="560">
                  <c:v>0.19178999999999999</c:v>
                </c:pt>
                <c:pt idx="561">
                  <c:v>0.18421000000000001</c:v>
                </c:pt>
                <c:pt idx="562">
                  <c:v>0.18618000000000001</c:v>
                </c:pt>
                <c:pt idx="563">
                  <c:v>0.18038999999999999</c:v>
                </c:pt>
                <c:pt idx="564">
                  <c:v>0.1769</c:v>
                </c:pt>
                <c:pt idx="565">
                  <c:v>0.18153</c:v>
                </c:pt>
                <c:pt idx="566">
                  <c:v>0.17662</c:v>
                </c:pt>
                <c:pt idx="567">
                  <c:v>0.18497</c:v>
                </c:pt>
                <c:pt idx="568">
                  <c:v>0.18493000000000001</c:v>
                </c:pt>
                <c:pt idx="569">
                  <c:v>0.17649000000000001</c:v>
                </c:pt>
                <c:pt idx="570">
                  <c:v>0.17904</c:v>
                </c:pt>
                <c:pt idx="571">
                  <c:v>0.17280999999999999</c:v>
                </c:pt>
                <c:pt idx="572">
                  <c:v>0.18129999999999999</c:v>
                </c:pt>
                <c:pt idx="573">
                  <c:v>0.17155999999999999</c:v>
                </c:pt>
                <c:pt idx="574">
                  <c:v>0.16658999999999999</c:v>
                </c:pt>
                <c:pt idx="575">
                  <c:v>0.1724</c:v>
                </c:pt>
                <c:pt idx="576">
                  <c:v>0.16730999999999999</c:v>
                </c:pt>
                <c:pt idx="577">
                  <c:v>0.17126</c:v>
                </c:pt>
                <c:pt idx="578">
                  <c:v>0.15626000000000001</c:v>
                </c:pt>
                <c:pt idx="579">
                  <c:v>0.15287999999999999</c:v>
                </c:pt>
                <c:pt idx="580">
                  <c:v>0.15987999999999999</c:v>
                </c:pt>
                <c:pt idx="581">
                  <c:v>0.16943</c:v>
                </c:pt>
                <c:pt idx="582">
                  <c:v>0.17518</c:v>
                </c:pt>
                <c:pt idx="583">
                  <c:v>0.18156</c:v>
                </c:pt>
                <c:pt idx="584">
                  <c:v>0.17743999999999999</c:v>
                </c:pt>
                <c:pt idx="585">
                  <c:v>0.17002</c:v>
                </c:pt>
                <c:pt idx="586">
                  <c:v>0.17019999999999999</c:v>
                </c:pt>
                <c:pt idx="587">
                  <c:v>0.17215</c:v>
                </c:pt>
                <c:pt idx="588">
                  <c:v>0.17832999999999999</c:v>
                </c:pt>
                <c:pt idx="589">
                  <c:v>0.17333999999999999</c:v>
                </c:pt>
                <c:pt idx="590">
                  <c:v>0.18002000000000001</c:v>
                </c:pt>
                <c:pt idx="591">
                  <c:v>0.17799999999999999</c:v>
                </c:pt>
                <c:pt idx="592">
                  <c:v>0.18106</c:v>
                </c:pt>
                <c:pt idx="593">
                  <c:v>0.19078000000000001</c:v>
                </c:pt>
                <c:pt idx="594">
                  <c:v>0.19258</c:v>
                </c:pt>
                <c:pt idx="595">
                  <c:v>0.18554999999999999</c:v>
                </c:pt>
                <c:pt idx="596">
                  <c:v>0.20660999999999999</c:v>
                </c:pt>
                <c:pt idx="597">
                  <c:v>0.20194999999999999</c:v>
                </c:pt>
                <c:pt idx="598">
                  <c:v>0.20588999999999999</c:v>
                </c:pt>
                <c:pt idx="599">
                  <c:v>0.19703999999999999</c:v>
                </c:pt>
                <c:pt idx="600">
                  <c:v>0.20127</c:v>
                </c:pt>
                <c:pt idx="601">
                  <c:v>0.2016</c:v>
                </c:pt>
                <c:pt idx="602">
                  <c:v>0.19949</c:v>
                </c:pt>
                <c:pt idx="603">
                  <c:v>0.19882</c:v>
                </c:pt>
                <c:pt idx="604">
                  <c:v>0.19803999999999999</c:v>
                </c:pt>
                <c:pt idx="605">
                  <c:v>0.20784</c:v>
                </c:pt>
                <c:pt idx="606">
                  <c:v>0.20685000000000001</c:v>
                </c:pt>
                <c:pt idx="607">
                  <c:v>0.20269000000000001</c:v>
                </c:pt>
                <c:pt idx="608">
                  <c:v>0.20202000000000001</c:v>
                </c:pt>
                <c:pt idx="609">
                  <c:v>0.20497000000000001</c:v>
                </c:pt>
                <c:pt idx="610">
                  <c:v>0.21381</c:v>
                </c:pt>
                <c:pt idx="611">
                  <c:v>0.18640000000000001</c:v>
                </c:pt>
                <c:pt idx="612">
                  <c:v>0.18673000000000001</c:v>
                </c:pt>
                <c:pt idx="613">
                  <c:v>0.16500999999999999</c:v>
                </c:pt>
                <c:pt idx="614">
                  <c:v>0.17679</c:v>
                </c:pt>
                <c:pt idx="615">
                  <c:v>0.17229</c:v>
                </c:pt>
                <c:pt idx="616">
                  <c:v>0.17818999999999999</c:v>
                </c:pt>
                <c:pt idx="617">
                  <c:v>0.17050000000000001</c:v>
                </c:pt>
                <c:pt idx="618">
                  <c:v>0.16572999999999999</c:v>
                </c:pt>
                <c:pt idx="619">
                  <c:v>0.15862999999999999</c:v>
                </c:pt>
                <c:pt idx="620">
                  <c:v>0.16216</c:v>
                </c:pt>
                <c:pt idx="621">
                  <c:v>0.16156999999999999</c:v>
                </c:pt>
                <c:pt idx="622">
                  <c:v>0.16284000000000001</c:v>
                </c:pt>
                <c:pt idx="623">
                  <c:v>0.16216</c:v>
                </c:pt>
                <c:pt idx="624">
                  <c:v>0.1613</c:v>
                </c:pt>
                <c:pt idx="625">
                  <c:v>0.16300999999999999</c:v>
                </c:pt>
                <c:pt idx="626">
                  <c:v>0.14798</c:v>
                </c:pt>
                <c:pt idx="627">
                  <c:v>0.14216000000000001</c:v>
                </c:pt>
                <c:pt idx="628">
                  <c:v>0.14505999999999999</c:v>
                </c:pt>
                <c:pt idx="629">
                  <c:v>0.14369000000000001</c:v>
                </c:pt>
                <c:pt idx="630">
                  <c:v>0.14238999999999999</c:v>
                </c:pt>
                <c:pt idx="631">
                  <c:v>0.14136000000000001</c:v>
                </c:pt>
                <c:pt idx="632">
                  <c:v>0.14571000000000001</c:v>
                </c:pt>
                <c:pt idx="633">
                  <c:v>0.13653000000000001</c:v>
                </c:pt>
                <c:pt idx="634">
                  <c:v>0.13582</c:v>
                </c:pt>
                <c:pt idx="635">
                  <c:v>0.14384</c:v>
                </c:pt>
                <c:pt idx="636">
                  <c:v>0.14096</c:v>
                </c:pt>
                <c:pt idx="637">
                  <c:v>0.13668</c:v>
                </c:pt>
                <c:pt idx="638">
                  <c:v>0.14302999999999999</c:v>
                </c:pt>
                <c:pt idx="639">
                  <c:v>0.13897999999999999</c:v>
                </c:pt>
                <c:pt idx="640">
                  <c:v>0.13678999999999999</c:v>
                </c:pt>
                <c:pt idx="641">
                  <c:v>0.14149</c:v>
                </c:pt>
                <c:pt idx="642">
                  <c:v>0.14888999999999999</c:v>
                </c:pt>
                <c:pt idx="643">
                  <c:v>0.13048999999999999</c:v>
                </c:pt>
                <c:pt idx="644">
                  <c:v>0.12095</c:v>
                </c:pt>
                <c:pt idx="645">
                  <c:v>0.11294999999999999</c:v>
                </c:pt>
                <c:pt idx="646">
                  <c:v>0.10725999999999999</c:v>
                </c:pt>
                <c:pt idx="647">
                  <c:v>9.7629999999999995E-2</c:v>
                </c:pt>
                <c:pt idx="648">
                  <c:v>9.9299999999999999E-2</c:v>
                </c:pt>
                <c:pt idx="649">
                  <c:v>0.10438</c:v>
                </c:pt>
                <c:pt idx="650">
                  <c:v>9.4E-2</c:v>
                </c:pt>
                <c:pt idx="651">
                  <c:v>9.6210000000000004E-2</c:v>
                </c:pt>
                <c:pt idx="652">
                  <c:v>9.2270000000000005E-2</c:v>
                </c:pt>
                <c:pt idx="653">
                  <c:v>9.103E-2</c:v>
                </c:pt>
                <c:pt idx="654">
                  <c:v>8.9599999999999999E-2</c:v>
                </c:pt>
                <c:pt idx="655">
                  <c:v>8.8029999999999997E-2</c:v>
                </c:pt>
                <c:pt idx="656">
                  <c:v>8.727E-2</c:v>
                </c:pt>
                <c:pt idx="657">
                  <c:v>8.7770000000000001E-2</c:v>
                </c:pt>
                <c:pt idx="658">
                  <c:v>9.7430000000000003E-2</c:v>
                </c:pt>
                <c:pt idx="659">
                  <c:v>9.7479999999999997E-2</c:v>
                </c:pt>
                <c:pt idx="660">
                  <c:v>9.5100000000000004E-2</c:v>
                </c:pt>
                <c:pt idx="661">
                  <c:v>9.9000000000000005E-2</c:v>
                </c:pt>
                <c:pt idx="662">
                  <c:v>9.3350000000000002E-2</c:v>
                </c:pt>
                <c:pt idx="663">
                  <c:v>9.7439999999999999E-2</c:v>
                </c:pt>
                <c:pt idx="664">
                  <c:v>9.0090000000000003E-2</c:v>
                </c:pt>
                <c:pt idx="665">
                  <c:v>9.1920000000000002E-2</c:v>
                </c:pt>
                <c:pt idx="666">
                  <c:v>9.2920000000000003E-2</c:v>
                </c:pt>
                <c:pt idx="667">
                  <c:v>9.3039999999999998E-2</c:v>
                </c:pt>
                <c:pt idx="668">
                  <c:v>9.2799999999999994E-2</c:v>
                </c:pt>
                <c:pt idx="669">
                  <c:v>8.165E-2</c:v>
                </c:pt>
                <c:pt idx="670">
                  <c:v>8.5849999999999996E-2</c:v>
                </c:pt>
                <c:pt idx="671">
                  <c:v>8.2809999999999995E-2</c:v>
                </c:pt>
                <c:pt idx="672">
                  <c:v>9.2920000000000003E-2</c:v>
                </c:pt>
                <c:pt idx="673">
                  <c:v>8.1320000000000003E-2</c:v>
                </c:pt>
                <c:pt idx="674">
                  <c:v>8.2320000000000004E-2</c:v>
                </c:pt>
                <c:pt idx="675">
                  <c:v>7.4499999999999997E-2</c:v>
                </c:pt>
                <c:pt idx="676">
                  <c:v>7.0000000000000007E-2</c:v>
                </c:pt>
                <c:pt idx="677">
                  <c:v>7.671E-2</c:v>
                </c:pt>
                <c:pt idx="678">
                  <c:v>7.4880000000000002E-2</c:v>
                </c:pt>
                <c:pt idx="679">
                  <c:v>7.392E-2</c:v>
                </c:pt>
                <c:pt idx="680">
                  <c:v>5.1950000000000003E-2</c:v>
                </c:pt>
                <c:pt idx="681">
                  <c:v>5.1069999999999997E-2</c:v>
                </c:pt>
                <c:pt idx="682">
                  <c:v>4.598E-2</c:v>
                </c:pt>
                <c:pt idx="683">
                  <c:v>5.0470000000000001E-2</c:v>
                </c:pt>
                <c:pt idx="684">
                  <c:v>4.9489999999999999E-2</c:v>
                </c:pt>
                <c:pt idx="685">
                  <c:v>4.9340000000000002E-2</c:v>
                </c:pt>
                <c:pt idx="686">
                  <c:v>4.2619999999999998E-2</c:v>
                </c:pt>
                <c:pt idx="687">
                  <c:v>8.3000000000000004E-2</c:v>
                </c:pt>
                <c:pt idx="688">
                  <c:v>8.7970000000000007E-2</c:v>
                </c:pt>
                <c:pt idx="689">
                  <c:v>8.745E-2</c:v>
                </c:pt>
                <c:pt idx="690">
                  <c:v>8.6809999999999998E-2</c:v>
                </c:pt>
                <c:pt idx="691">
                  <c:v>0.10512000000000001</c:v>
                </c:pt>
                <c:pt idx="692">
                  <c:v>0.11242000000000001</c:v>
                </c:pt>
                <c:pt idx="693">
                  <c:v>0.11015999999999999</c:v>
                </c:pt>
                <c:pt idx="694">
                  <c:v>0.10496</c:v>
                </c:pt>
                <c:pt idx="695">
                  <c:v>0.10725999999999999</c:v>
                </c:pt>
                <c:pt idx="696">
                  <c:v>0.10868999999999999</c:v>
                </c:pt>
                <c:pt idx="697">
                  <c:v>0.10094</c:v>
                </c:pt>
                <c:pt idx="698">
                  <c:v>9.5930000000000001E-2</c:v>
                </c:pt>
                <c:pt idx="699">
                  <c:v>0.10033</c:v>
                </c:pt>
                <c:pt idx="700">
                  <c:v>0.10124</c:v>
                </c:pt>
                <c:pt idx="701">
                  <c:v>9.6930000000000002E-2</c:v>
                </c:pt>
                <c:pt idx="702">
                  <c:v>0.10971</c:v>
                </c:pt>
                <c:pt idx="703">
                  <c:v>0.12218999999999999</c:v>
                </c:pt>
                <c:pt idx="704">
                  <c:v>0.13120000000000001</c:v>
                </c:pt>
                <c:pt idx="705">
                  <c:v>0.12428</c:v>
                </c:pt>
                <c:pt idx="706">
                  <c:v>0.1278</c:v>
                </c:pt>
                <c:pt idx="707">
                  <c:v>0.1321</c:v>
                </c:pt>
                <c:pt idx="708">
                  <c:v>0.13558000000000001</c:v>
                </c:pt>
                <c:pt idx="709">
                  <c:v>0.13991999999999999</c:v>
                </c:pt>
                <c:pt idx="710">
                  <c:v>0.13694000000000001</c:v>
                </c:pt>
                <c:pt idx="711">
                  <c:v>0.12425</c:v>
                </c:pt>
                <c:pt idx="712">
                  <c:v>0.13284000000000001</c:v>
                </c:pt>
                <c:pt idx="713">
                  <c:v>0.14399999999999999</c:v>
                </c:pt>
                <c:pt idx="714">
                  <c:v>0.13586000000000001</c:v>
                </c:pt>
                <c:pt idx="715">
                  <c:v>0.14127000000000001</c:v>
                </c:pt>
                <c:pt idx="716">
                  <c:v>0.13850999999999999</c:v>
                </c:pt>
                <c:pt idx="717">
                  <c:v>0.14051</c:v>
                </c:pt>
                <c:pt idx="718">
                  <c:v>0.13361999999999999</c:v>
                </c:pt>
                <c:pt idx="719">
                  <c:v>0.1283</c:v>
                </c:pt>
                <c:pt idx="720">
                  <c:v>0.13106000000000001</c:v>
                </c:pt>
                <c:pt idx="721">
                  <c:v>0.13725999999999999</c:v>
                </c:pt>
                <c:pt idx="722">
                  <c:v>0.13421</c:v>
                </c:pt>
                <c:pt idx="723">
                  <c:v>0.1469</c:v>
                </c:pt>
                <c:pt idx="724">
                  <c:v>0.11619</c:v>
                </c:pt>
                <c:pt idx="725">
                  <c:v>0.1123</c:v>
                </c:pt>
                <c:pt idx="726">
                  <c:v>0.10476000000000001</c:v>
                </c:pt>
                <c:pt idx="727">
                  <c:v>9.5310000000000006E-2</c:v>
                </c:pt>
                <c:pt idx="728">
                  <c:v>0.10059999999999999</c:v>
                </c:pt>
                <c:pt idx="729">
                  <c:v>8.9779999999999999E-2</c:v>
                </c:pt>
                <c:pt idx="730">
                  <c:v>8.8109999999999994E-2</c:v>
                </c:pt>
                <c:pt idx="731">
                  <c:v>9.0260000000000007E-2</c:v>
                </c:pt>
                <c:pt idx="732">
                  <c:v>8.7410000000000002E-2</c:v>
                </c:pt>
                <c:pt idx="733">
                  <c:v>8.8200000000000001E-2</c:v>
                </c:pt>
                <c:pt idx="734">
                  <c:v>8.5150000000000003E-2</c:v>
                </c:pt>
                <c:pt idx="735">
                  <c:v>8.6559999999999998E-2</c:v>
                </c:pt>
                <c:pt idx="736">
                  <c:v>7.8149999999999997E-2</c:v>
                </c:pt>
                <c:pt idx="737">
                  <c:v>7.6609999999999998E-2</c:v>
                </c:pt>
                <c:pt idx="738">
                  <c:v>7.5800000000000006E-2</c:v>
                </c:pt>
                <c:pt idx="739">
                  <c:v>7.3609999999999995E-2</c:v>
                </c:pt>
                <c:pt idx="740">
                  <c:v>7.7210000000000001E-2</c:v>
                </c:pt>
                <c:pt idx="741">
                  <c:v>8.0390000000000003E-2</c:v>
                </c:pt>
                <c:pt idx="742">
                  <c:v>8.1309999999999993E-2</c:v>
                </c:pt>
                <c:pt idx="743">
                  <c:v>7.5999999999999998E-2</c:v>
                </c:pt>
                <c:pt idx="744">
                  <c:v>7.2529999999999997E-2</c:v>
                </c:pt>
                <c:pt idx="745">
                  <c:v>7.1739999999999998E-2</c:v>
                </c:pt>
                <c:pt idx="746">
                  <c:v>7.2139999999999996E-2</c:v>
                </c:pt>
                <c:pt idx="747">
                  <c:v>7.2099999999999997E-2</c:v>
                </c:pt>
                <c:pt idx="748">
                  <c:v>7.2999999999999995E-2</c:v>
                </c:pt>
                <c:pt idx="749">
                  <c:v>7.1929999999999994E-2</c:v>
                </c:pt>
                <c:pt idx="750">
                  <c:v>7.5399999999999995E-2</c:v>
                </c:pt>
                <c:pt idx="751">
                  <c:v>7.2999999999999995E-2</c:v>
                </c:pt>
                <c:pt idx="752">
                  <c:v>7.578E-2</c:v>
                </c:pt>
                <c:pt idx="753">
                  <c:v>7.6369999999999993E-2</c:v>
                </c:pt>
                <c:pt idx="754">
                  <c:v>7.7200000000000005E-2</c:v>
                </c:pt>
                <c:pt idx="755">
                  <c:v>7.8E-2</c:v>
                </c:pt>
                <c:pt idx="756">
                  <c:v>7.3709999999999998E-2</c:v>
                </c:pt>
                <c:pt idx="757">
                  <c:v>7.9630000000000006E-2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2-4404-B4D8-ADEC5CC834B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11.892434327543032</c:v>
                </c:pt>
                <c:pt idx="1">
                  <c:v>11.90906438901556</c:v>
                </c:pt>
                <c:pt idx="2">
                  <c:v>12.042328490735558</c:v>
                </c:pt>
                <c:pt idx="3">
                  <c:v>11.966955043402226</c:v>
                </c:pt>
                <c:pt idx="4">
                  <c:v>11.908131068981172</c:v>
                </c:pt>
                <c:pt idx="5">
                  <c:v>11.876150310378158</c:v>
                </c:pt>
                <c:pt idx="6">
                  <c:v>11.941925062325902</c:v>
                </c:pt>
                <c:pt idx="7">
                  <c:v>12.1517190239715</c:v>
                </c:pt>
                <c:pt idx="8">
                  <c:v>12.233878922612426</c:v>
                </c:pt>
                <c:pt idx="9">
                  <c:v>12.311757928420645</c:v>
                </c:pt>
                <c:pt idx="10">
                  <c:v>12.308966838420647</c:v>
                </c:pt>
                <c:pt idx="11">
                  <c:v>12.37253109051367</c:v>
                </c:pt>
                <c:pt idx="12">
                  <c:v>12.342056710891029</c:v>
                </c:pt>
                <c:pt idx="13">
                  <c:v>12.34599861484755</c:v>
                </c:pt>
                <c:pt idx="14">
                  <c:v>12.338419881336186</c:v>
                </c:pt>
                <c:pt idx="15">
                  <c:v>12.484575615678068</c:v>
                </c:pt>
                <c:pt idx="16">
                  <c:v>12.486589454692352</c:v>
                </c:pt>
                <c:pt idx="17">
                  <c:v>12.405505235277456</c:v>
                </c:pt>
                <c:pt idx="18">
                  <c:v>12.456179663232513</c:v>
                </c:pt>
                <c:pt idx="19">
                  <c:v>12.464262583438394</c:v>
                </c:pt>
                <c:pt idx="20">
                  <c:v>12.507693867000658</c:v>
                </c:pt>
                <c:pt idx="21">
                  <c:v>12.623779319434226</c:v>
                </c:pt>
                <c:pt idx="22">
                  <c:v>12.575522183218398</c:v>
                </c:pt>
                <c:pt idx="23">
                  <c:v>12.629587810369749</c:v>
                </c:pt>
                <c:pt idx="24">
                  <c:v>12.72600846964526</c:v>
                </c:pt>
                <c:pt idx="25">
                  <c:v>12.781062096769224</c:v>
                </c:pt>
                <c:pt idx="26">
                  <c:v>12.706118005563344</c:v>
                </c:pt>
                <c:pt idx="27">
                  <c:v>12.6588312784062</c:v>
                </c:pt>
                <c:pt idx="28">
                  <c:v>12.733545175646201</c:v>
                </c:pt>
                <c:pt idx="29">
                  <c:v>12.740938463123356</c:v>
                </c:pt>
                <c:pt idx="30">
                  <c:v>12.831823484941541</c:v>
                </c:pt>
                <c:pt idx="31">
                  <c:v>12.978689584598376</c:v>
                </c:pt>
                <c:pt idx="32">
                  <c:v>13.099238527051984</c:v>
                </c:pt>
                <c:pt idx="33">
                  <c:v>13.073872077220127</c:v>
                </c:pt>
                <c:pt idx="34">
                  <c:v>12.970034978212269</c:v>
                </c:pt>
                <c:pt idx="35">
                  <c:v>13.043132724342138</c:v>
                </c:pt>
                <c:pt idx="36">
                  <c:v>12.864722458298861</c:v>
                </c:pt>
                <c:pt idx="37">
                  <c:v>12.851801885824282</c:v>
                </c:pt>
                <c:pt idx="38">
                  <c:v>12.761341018519934</c:v>
                </c:pt>
                <c:pt idx="39">
                  <c:v>12.716107889691362</c:v>
                </c:pt>
                <c:pt idx="40">
                  <c:v>12.796607060866362</c:v>
                </c:pt>
                <c:pt idx="41">
                  <c:v>12.738874679991362</c:v>
                </c:pt>
                <c:pt idx="42">
                  <c:v>12.778165093655328</c:v>
                </c:pt>
                <c:pt idx="43">
                  <c:v>12.886353227869964</c:v>
                </c:pt>
                <c:pt idx="44">
                  <c:v>12.763833583104905</c:v>
                </c:pt>
                <c:pt idx="45">
                  <c:v>12.673345683974469</c:v>
                </c:pt>
                <c:pt idx="46">
                  <c:v>12.784576733265887</c:v>
                </c:pt>
                <c:pt idx="47">
                  <c:v>12.721937625471629</c:v>
                </c:pt>
                <c:pt idx="48">
                  <c:v>12.715713249096627</c:v>
                </c:pt>
                <c:pt idx="49">
                  <c:v>12.841235165322679</c:v>
                </c:pt>
                <c:pt idx="50">
                  <c:v>13.003449120243316</c:v>
                </c:pt>
                <c:pt idx="51">
                  <c:v>12.887624645936384</c:v>
                </c:pt>
                <c:pt idx="52">
                  <c:v>12.993265440421679</c:v>
                </c:pt>
                <c:pt idx="53">
                  <c:v>12.801913490716643</c:v>
                </c:pt>
                <c:pt idx="54">
                  <c:v>12.947792833972905</c:v>
                </c:pt>
                <c:pt idx="55">
                  <c:v>12.573480009529661</c:v>
                </c:pt>
                <c:pt idx="56">
                  <c:v>12.637347110165502</c:v>
                </c:pt>
                <c:pt idx="57">
                  <c:v>12.640077661430562</c:v>
                </c:pt>
                <c:pt idx="58">
                  <c:v>12.71888495733965</c:v>
                </c:pt>
                <c:pt idx="59">
                  <c:v>12.886338253450763</c:v>
                </c:pt>
                <c:pt idx="60">
                  <c:v>13.129262849733657</c:v>
                </c:pt>
                <c:pt idx="61">
                  <c:v>12.731231320462889</c:v>
                </c:pt>
                <c:pt idx="62">
                  <c:v>12.824680126729556</c:v>
                </c:pt>
                <c:pt idx="63">
                  <c:v>12.988041375847541</c:v>
                </c:pt>
                <c:pt idx="64">
                  <c:v>13.275189023782575</c:v>
                </c:pt>
                <c:pt idx="65">
                  <c:v>13.011246796566677</c:v>
                </c:pt>
                <c:pt idx="66">
                  <c:v>12.949784457498527</c:v>
                </c:pt>
                <c:pt idx="67">
                  <c:v>12.616042610477605</c:v>
                </c:pt>
                <c:pt idx="68">
                  <c:v>12.89266485094852</c:v>
                </c:pt>
                <c:pt idx="69">
                  <c:v>12.977784359337475</c:v>
                </c:pt>
                <c:pt idx="70">
                  <c:v>12.458151398341577</c:v>
                </c:pt>
                <c:pt idx="71">
                  <c:v>12.365440126575864</c:v>
                </c:pt>
                <c:pt idx="72">
                  <c:v>12.229350412843468</c:v>
                </c:pt>
                <c:pt idx="73">
                  <c:v>12.139824476653184</c:v>
                </c:pt>
                <c:pt idx="74">
                  <c:v>12.295361795925913</c:v>
                </c:pt>
                <c:pt idx="75">
                  <c:v>12.168075154180945</c:v>
                </c:pt>
                <c:pt idx="76">
                  <c:v>12.40002914087386</c:v>
                </c:pt>
                <c:pt idx="77">
                  <c:v>12.259622293386258</c:v>
                </c:pt>
                <c:pt idx="78">
                  <c:v>12.208957746563513</c:v>
                </c:pt>
                <c:pt idx="79">
                  <c:v>12.269650935769349</c:v>
                </c:pt>
                <c:pt idx="80">
                  <c:v>12.509875242860259</c:v>
                </c:pt>
                <c:pt idx="81">
                  <c:v>12.643623689983334</c:v>
                </c:pt>
                <c:pt idx="82">
                  <c:v>12.959532396549625</c:v>
                </c:pt>
                <c:pt idx="83">
                  <c:v>12.176698007162669</c:v>
                </c:pt>
                <c:pt idx="84">
                  <c:v>12.409408418922958</c:v>
                </c:pt>
                <c:pt idx="85">
                  <c:v>12.614039300568027</c:v>
                </c:pt>
                <c:pt idx="86">
                  <c:v>12.797890507245578</c:v>
                </c:pt>
                <c:pt idx="87">
                  <c:v>12.335823505599002</c:v>
                </c:pt>
                <c:pt idx="88">
                  <c:v>12.387576812543449</c:v>
                </c:pt>
                <c:pt idx="89">
                  <c:v>13.084138276239655</c:v>
                </c:pt>
                <c:pt idx="90">
                  <c:v>12.467108019840641</c:v>
                </c:pt>
                <c:pt idx="91">
                  <c:v>12.454636893090992</c:v>
                </c:pt>
                <c:pt idx="92">
                  <c:v>12.185266352762076</c:v>
                </c:pt>
                <c:pt idx="93">
                  <c:v>12.063529169257295</c:v>
                </c:pt>
                <c:pt idx="94">
                  <c:v>12.102691668203654</c:v>
                </c:pt>
                <c:pt idx="95">
                  <c:v>12.014623213449052</c:v>
                </c:pt>
                <c:pt idx="96">
                  <c:v>12.061640296306198</c:v>
                </c:pt>
                <c:pt idx="97">
                  <c:v>12.043719439937776</c:v>
                </c:pt>
                <c:pt idx="98">
                  <c:v>12.054146834785106</c:v>
                </c:pt>
                <c:pt idx="99">
                  <c:v>12.052352399459524</c:v>
                </c:pt>
                <c:pt idx="100">
                  <c:v>11.920867982193336</c:v>
                </c:pt>
                <c:pt idx="101">
                  <c:v>11.921628163092214</c:v>
                </c:pt>
                <c:pt idx="102">
                  <c:v>11.886324155677579</c:v>
                </c:pt>
                <c:pt idx="103">
                  <c:v>11.884062800218754</c:v>
                </c:pt>
                <c:pt idx="104">
                  <c:v>11.805087905774309</c:v>
                </c:pt>
                <c:pt idx="105">
                  <c:v>11.729455683149309</c:v>
                </c:pt>
                <c:pt idx="106">
                  <c:v>11.705655003831128</c:v>
                </c:pt>
                <c:pt idx="107">
                  <c:v>11.64791907343897</c:v>
                </c:pt>
                <c:pt idx="108">
                  <c:v>11.600387903881451</c:v>
                </c:pt>
                <c:pt idx="109">
                  <c:v>11.616866704648574</c:v>
                </c:pt>
                <c:pt idx="110">
                  <c:v>11.685831223261907</c:v>
                </c:pt>
                <c:pt idx="111">
                  <c:v>11.621794287754659</c:v>
                </c:pt>
                <c:pt idx="112">
                  <c:v>11.573333538108825</c:v>
                </c:pt>
                <c:pt idx="113">
                  <c:v>11.474475731108825</c:v>
                </c:pt>
                <c:pt idx="114">
                  <c:v>11.477092680505137</c:v>
                </c:pt>
                <c:pt idx="115">
                  <c:v>11.36280321383847</c:v>
                </c:pt>
                <c:pt idx="116">
                  <c:v>11.478085822793272</c:v>
                </c:pt>
                <c:pt idx="117">
                  <c:v>11.411809579928102</c:v>
                </c:pt>
                <c:pt idx="118">
                  <c:v>11.482548258238447</c:v>
                </c:pt>
                <c:pt idx="119">
                  <c:v>11.368684428862448</c:v>
                </c:pt>
                <c:pt idx="120">
                  <c:v>11.33172916921245</c:v>
                </c:pt>
                <c:pt idx="121">
                  <c:v>11.345456841879114</c:v>
                </c:pt>
                <c:pt idx="122">
                  <c:v>11.408249993697298</c:v>
                </c:pt>
                <c:pt idx="123">
                  <c:v>11.486585932510858</c:v>
                </c:pt>
                <c:pt idx="124">
                  <c:v>11.494777197890604</c:v>
                </c:pt>
                <c:pt idx="125">
                  <c:v>11.486958761107996</c:v>
                </c:pt>
                <c:pt idx="126">
                  <c:v>11.512511028145969</c:v>
                </c:pt>
                <c:pt idx="127">
                  <c:v>11.444564780112039</c:v>
                </c:pt>
                <c:pt idx="128">
                  <c:v>11.356224680430625</c:v>
                </c:pt>
                <c:pt idx="129">
                  <c:v>11.456039588801517</c:v>
                </c:pt>
                <c:pt idx="130">
                  <c:v>11.523040705892202</c:v>
                </c:pt>
                <c:pt idx="131">
                  <c:v>11.5563697890922</c:v>
                </c:pt>
                <c:pt idx="132">
                  <c:v>11.562528291299097</c:v>
                </c:pt>
                <c:pt idx="133">
                  <c:v>11.586430346462365</c:v>
                </c:pt>
                <c:pt idx="134">
                  <c:v>11.618160366477071</c:v>
                </c:pt>
                <c:pt idx="135">
                  <c:v>11.543617498619925</c:v>
                </c:pt>
                <c:pt idx="136">
                  <c:v>11.487300245969324</c:v>
                </c:pt>
                <c:pt idx="137">
                  <c:v>11.472414277950456</c:v>
                </c:pt>
                <c:pt idx="138">
                  <c:v>11.451659181434326</c:v>
                </c:pt>
                <c:pt idx="139">
                  <c:v>11.460377189195794</c:v>
                </c:pt>
                <c:pt idx="140">
                  <c:v>11.55121518950614</c:v>
                </c:pt>
                <c:pt idx="141">
                  <c:v>11.507079308950583</c:v>
                </c:pt>
                <c:pt idx="142">
                  <c:v>11.383098166950584</c:v>
                </c:pt>
                <c:pt idx="143">
                  <c:v>11.47708263011064</c:v>
                </c:pt>
                <c:pt idx="144">
                  <c:v>11.482834069924305</c:v>
                </c:pt>
                <c:pt idx="145">
                  <c:v>11.349776199493649</c:v>
                </c:pt>
                <c:pt idx="146">
                  <c:v>11.311872532350794</c:v>
                </c:pt>
                <c:pt idx="147">
                  <c:v>11.246797345669377</c:v>
                </c:pt>
                <c:pt idx="148">
                  <c:v>11.344064444180017</c:v>
                </c:pt>
                <c:pt idx="149">
                  <c:v>11.192463902028937</c:v>
                </c:pt>
                <c:pt idx="150">
                  <c:v>11.326753335617173</c:v>
                </c:pt>
                <c:pt idx="151">
                  <c:v>11.708173987258082</c:v>
                </c:pt>
                <c:pt idx="152">
                  <c:v>11.446907834849309</c:v>
                </c:pt>
                <c:pt idx="153">
                  <c:v>11.310032848793249</c:v>
                </c:pt>
                <c:pt idx="154">
                  <c:v>11.140228774972872</c:v>
                </c:pt>
                <c:pt idx="155">
                  <c:v>11.351493008782175</c:v>
                </c:pt>
                <c:pt idx="156">
                  <c:v>10.937285312077965</c:v>
                </c:pt>
                <c:pt idx="157">
                  <c:v>11.286923550808011</c:v>
                </c:pt>
                <c:pt idx="158">
                  <c:v>10.772061536817883</c:v>
                </c:pt>
                <c:pt idx="159">
                  <c:v>10.802779701642219</c:v>
                </c:pt>
                <c:pt idx="160">
                  <c:v>10.703030581360323</c:v>
                </c:pt>
                <c:pt idx="161">
                  <c:v>10.543180857960323</c:v>
                </c:pt>
                <c:pt idx="162">
                  <c:v>10.399248150509694</c:v>
                </c:pt>
                <c:pt idx="163">
                  <c:v>10.360557755230152</c:v>
                </c:pt>
                <c:pt idx="164">
                  <c:v>10.532293416126631</c:v>
                </c:pt>
                <c:pt idx="165">
                  <c:v>10.699836268249985</c:v>
                </c:pt>
                <c:pt idx="166">
                  <c:v>10.620171497042834</c:v>
                </c:pt>
                <c:pt idx="167">
                  <c:v>10.576381105526096</c:v>
                </c:pt>
                <c:pt idx="168">
                  <c:v>10.446279612471836</c:v>
                </c:pt>
                <c:pt idx="169">
                  <c:v>10.465744228720782</c:v>
                </c:pt>
                <c:pt idx="170">
                  <c:v>10.576284361024779</c:v>
                </c:pt>
                <c:pt idx="171">
                  <c:v>10.381604403232066</c:v>
                </c:pt>
                <c:pt idx="172">
                  <c:v>10.262774233883512</c:v>
                </c:pt>
                <c:pt idx="173">
                  <c:v>10.39014495885584</c:v>
                </c:pt>
                <c:pt idx="174">
                  <c:v>10.336062060429764</c:v>
                </c:pt>
                <c:pt idx="175">
                  <c:v>10.228639940111446</c:v>
                </c:pt>
                <c:pt idx="176">
                  <c:v>10.091839163667297</c:v>
                </c:pt>
                <c:pt idx="177">
                  <c:v>9.9075073405041056</c:v>
                </c:pt>
                <c:pt idx="178">
                  <c:v>9.8924689657918687</c:v>
                </c:pt>
                <c:pt idx="179">
                  <c:v>9.8651585583988393</c:v>
                </c:pt>
                <c:pt idx="180">
                  <c:v>10.042278931386926</c:v>
                </c:pt>
                <c:pt idx="181">
                  <c:v>9.9506610529222819</c:v>
                </c:pt>
                <c:pt idx="182">
                  <c:v>9.6660724318597495</c:v>
                </c:pt>
                <c:pt idx="183">
                  <c:v>9.732097693719437</c:v>
                </c:pt>
                <c:pt idx="184">
                  <c:v>9.757240918390103</c:v>
                </c:pt>
                <c:pt idx="185">
                  <c:v>9.5232919281240651</c:v>
                </c:pt>
                <c:pt idx="186">
                  <c:v>9.8944872513393172</c:v>
                </c:pt>
                <c:pt idx="187">
                  <c:v>9.4928753008658671</c:v>
                </c:pt>
                <c:pt idx="188">
                  <c:v>9.5445519271006098</c:v>
                </c:pt>
                <c:pt idx="189">
                  <c:v>9.1684348442464874</c:v>
                </c:pt>
                <c:pt idx="190">
                  <c:v>9.0562828892434588</c:v>
                </c:pt>
                <c:pt idx="191">
                  <c:v>8.8811207855520902</c:v>
                </c:pt>
                <c:pt idx="192">
                  <c:v>8.9173737043860601</c:v>
                </c:pt>
                <c:pt idx="193">
                  <c:v>9.0389991613728711</c:v>
                </c:pt>
                <c:pt idx="194">
                  <c:v>9.0817897018320988</c:v>
                </c:pt>
                <c:pt idx="195">
                  <c:v>9.0731973914068451</c:v>
                </c:pt>
                <c:pt idx="196">
                  <c:v>9.3739729326435235</c:v>
                </c:pt>
                <c:pt idx="197">
                  <c:v>9.8260979405749627</c:v>
                </c:pt>
                <c:pt idx="198">
                  <c:v>9.5363529806988669</c:v>
                </c:pt>
                <c:pt idx="199">
                  <c:v>9.6544364701592844</c:v>
                </c:pt>
                <c:pt idx="200">
                  <c:v>9.71068768753846</c:v>
                </c:pt>
                <c:pt idx="201">
                  <c:v>9.4964727538727889</c:v>
                </c:pt>
                <c:pt idx="202">
                  <c:v>9.6578578228828533</c:v>
                </c:pt>
                <c:pt idx="203">
                  <c:v>9.3833348913856227</c:v>
                </c:pt>
                <c:pt idx="204">
                  <c:v>9.9162432739007986</c:v>
                </c:pt>
                <c:pt idx="205">
                  <c:v>9.4014902313614641</c:v>
                </c:pt>
                <c:pt idx="206">
                  <c:v>9.3701564036012979</c:v>
                </c:pt>
                <c:pt idx="207">
                  <c:v>9.4196769335510009</c:v>
                </c:pt>
                <c:pt idx="208">
                  <c:v>9.4095639233353392</c:v>
                </c:pt>
                <c:pt idx="209">
                  <c:v>9.3746221383378945</c:v>
                </c:pt>
                <c:pt idx="210">
                  <c:v>9.3362472325078745</c:v>
                </c:pt>
                <c:pt idx="211">
                  <c:v>9.447861156756991</c:v>
                </c:pt>
                <c:pt idx="212">
                  <c:v>9.1486866286434125</c:v>
                </c:pt>
                <c:pt idx="213">
                  <c:v>9.1046555366812498</c:v>
                </c:pt>
                <c:pt idx="214">
                  <c:v>9.0013693988947932</c:v>
                </c:pt>
                <c:pt idx="215">
                  <c:v>8.8868069024600338</c:v>
                </c:pt>
                <c:pt idx="216">
                  <c:v>8.8437471507505379</c:v>
                </c:pt>
                <c:pt idx="217">
                  <c:v>9.0350020584422239</c:v>
                </c:pt>
                <c:pt idx="218">
                  <c:v>8.8480429124950675</c:v>
                </c:pt>
                <c:pt idx="219">
                  <c:v>8.6546041304052324</c:v>
                </c:pt>
                <c:pt idx="220">
                  <c:v>8.5317640975338964</c:v>
                </c:pt>
                <c:pt idx="221">
                  <c:v>8.9042887649253348</c:v>
                </c:pt>
                <c:pt idx="222">
                  <c:v>8.7975944442586673</c:v>
                </c:pt>
                <c:pt idx="223">
                  <c:v>8.8847998447783958</c:v>
                </c:pt>
                <c:pt idx="224">
                  <c:v>8.9506503779867348</c:v>
                </c:pt>
                <c:pt idx="225">
                  <c:v>9.0658189806056058</c:v>
                </c:pt>
                <c:pt idx="226">
                  <c:v>9.2957216057507939</c:v>
                </c:pt>
                <c:pt idx="227">
                  <c:v>9.4101524172481632</c:v>
                </c:pt>
                <c:pt idx="228">
                  <c:v>9.2867998716655897</c:v>
                </c:pt>
                <c:pt idx="229">
                  <c:v>9.2099345995664397</c:v>
                </c:pt>
                <c:pt idx="230">
                  <c:v>9.241474216262068</c:v>
                </c:pt>
                <c:pt idx="231">
                  <c:v>9.6476793432588206</c:v>
                </c:pt>
                <c:pt idx="232">
                  <c:v>9.700453474953493</c:v>
                </c:pt>
                <c:pt idx="233">
                  <c:v>9.4857382702617237</c:v>
                </c:pt>
                <c:pt idx="234">
                  <c:v>9.3136579651035802</c:v>
                </c:pt>
                <c:pt idx="235">
                  <c:v>9.4535577949978826</c:v>
                </c:pt>
                <c:pt idx="236">
                  <c:v>9.4569735165432451</c:v>
                </c:pt>
                <c:pt idx="237">
                  <c:v>9.553047736072001</c:v>
                </c:pt>
                <c:pt idx="238">
                  <c:v>9.6957195244671404</c:v>
                </c:pt>
                <c:pt idx="239">
                  <c:v>9.5770825498123955</c:v>
                </c:pt>
                <c:pt idx="240">
                  <c:v>9.5977716512237059</c:v>
                </c:pt>
                <c:pt idx="241">
                  <c:v>9.8447818214025684</c:v>
                </c:pt>
                <c:pt idx="242">
                  <c:v>9.4008176007660964</c:v>
                </c:pt>
                <c:pt idx="243">
                  <c:v>9.256156693027954</c:v>
                </c:pt>
                <c:pt idx="244">
                  <c:v>9.2651286539702227</c:v>
                </c:pt>
                <c:pt idx="245">
                  <c:v>9.6487937747261618</c:v>
                </c:pt>
                <c:pt idx="246">
                  <c:v>10.206086751387186</c:v>
                </c:pt>
                <c:pt idx="247">
                  <c:v>9.2896655896551934</c:v>
                </c:pt>
                <c:pt idx="248">
                  <c:v>9.1537346284542203</c:v>
                </c:pt>
                <c:pt idx="249">
                  <c:v>8.7379480068636752</c:v>
                </c:pt>
                <c:pt idx="250">
                  <c:v>8.820341194794743</c:v>
                </c:pt>
                <c:pt idx="251">
                  <c:v>8.8781699197573651</c:v>
                </c:pt>
                <c:pt idx="252">
                  <c:v>8.9578264230405651</c:v>
                </c:pt>
                <c:pt idx="253">
                  <c:v>8.6258070426089883</c:v>
                </c:pt>
                <c:pt idx="254">
                  <c:v>8.8885249957488028</c:v>
                </c:pt>
                <c:pt idx="255">
                  <c:v>8.8990034513737939</c:v>
                </c:pt>
                <c:pt idx="256">
                  <c:v>9.0206828910786214</c:v>
                </c:pt>
                <c:pt idx="257">
                  <c:v>9.0345279472171516</c:v>
                </c:pt>
                <c:pt idx="258">
                  <c:v>9.1827127663759391</c:v>
                </c:pt>
                <c:pt idx="259">
                  <c:v>9.1495736737060369</c:v>
                </c:pt>
                <c:pt idx="260">
                  <c:v>9.0908550599814557</c:v>
                </c:pt>
                <c:pt idx="261">
                  <c:v>9.4701737218393358</c:v>
                </c:pt>
                <c:pt idx="262">
                  <c:v>9.2979663203809135</c:v>
                </c:pt>
                <c:pt idx="263">
                  <c:v>9.3610453519636856</c:v>
                </c:pt>
                <c:pt idx="264">
                  <c:v>9.2931970769190748</c:v>
                </c:pt>
                <c:pt idx="265">
                  <c:v>9.3905190516544756</c:v>
                </c:pt>
                <c:pt idx="266">
                  <c:v>9.5589627571093239</c:v>
                </c:pt>
                <c:pt idx="267">
                  <c:v>9.6074934326677255</c:v>
                </c:pt>
                <c:pt idx="268">
                  <c:v>9.3949815863214177</c:v>
                </c:pt>
                <c:pt idx="269">
                  <c:v>9.6503978771024297</c:v>
                </c:pt>
                <c:pt idx="270">
                  <c:v>9.7978273100016509</c:v>
                </c:pt>
                <c:pt idx="271">
                  <c:v>9.8818910333343357</c:v>
                </c:pt>
                <c:pt idx="272">
                  <c:v>9.935957539967081</c:v>
                </c:pt>
                <c:pt idx="273">
                  <c:v>9.7186641013046504</c:v>
                </c:pt>
                <c:pt idx="274">
                  <c:v>9.8461974884621846</c:v>
                </c:pt>
                <c:pt idx="275">
                  <c:v>9.4500425811486544</c:v>
                </c:pt>
                <c:pt idx="276">
                  <c:v>9.3111928938947717</c:v>
                </c:pt>
                <c:pt idx="277">
                  <c:v>8.8860426425318195</c:v>
                </c:pt>
                <c:pt idx="278">
                  <c:v>8.9451728811656128</c:v>
                </c:pt>
                <c:pt idx="279">
                  <c:v>9.1128690605038489</c:v>
                </c:pt>
                <c:pt idx="280">
                  <c:v>8.6426425365298076</c:v>
                </c:pt>
                <c:pt idx="281">
                  <c:v>8.9436416494194475</c:v>
                </c:pt>
                <c:pt idx="282">
                  <c:v>9.2802269725793494</c:v>
                </c:pt>
                <c:pt idx="283">
                  <c:v>9.0088706291690404</c:v>
                </c:pt>
                <c:pt idx="284">
                  <c:v>9.243206290783883</c:v>
                </c:pt>
                <c:pt idx="285">
                  <c:v>9.1307684127596609</c:v>
                </c:pt>
                <c:pt idx="286">
                  <c:v>9.3501951273873729</c:v>
                </c:pt>
                <c:pt idx="287">
                  <c:v>9.3647836936504465</c:v>
                </c:pt>
                <c:pt idx="288">
                  <c:v>9.1623265231034487</c:v>
                </c:pt>
                <c:pt idx="289">
                  <c:v>9.2309668534503437</c:v>
                </c:pt>
                <c:pt idx="290">
                  <c:v>9.2720234174172038</c:v>
                </c:pt>
                <c:pt idx="291">
                  <c:v>9.379632268131207</c:v>
                </c:pt>
                <c:pt idx="292">
                  <c:v>9.477589508649789</c:v>
                </c:pt>
                <c:pt idx="293">
                  <c:v>10.10175282968514</c:v>
                </c:pt>
                <c:pt idx="294">
                  <c:v>10.724562734949433</c:v>
                </c:pt>
                <c:pt idx="295">
                  <c:v>9.6563515184734889</c:v>
                </c:pt>
                <c:pt idx="296">
                  <c:v>8.2793421439534907</c:v>
                </c:pt>
                <c:pt idx="297">
                  <c:v>8.6224264923140854</c:v>
                </c:pt>
                <c:pt idx="298">
                  <c:v>8.5693597571529132</c:v>
                </c:pt>
                <c:pt idx="299">
                  <c:v>8.4084027442441922</c:v>
                </c:pt>
                <c:pt idx="300">
                  <c:v>8.5219800718490841</c:v>
                </c:pt>
                <c:pt idx="301">
                  <c:v>8.2540330488853879</c:v>
                </c:pt>
                <c:pt idx="302">
                  <c:v>8.4190859315937789</c:v>
                </c:pt>
                <c:pt idx="303">
                  <c:v>8.1488579357604696</c:v>
                </c:pt>
                <c:pt idx="304">
                  <c:v>7.9056103392553956</c:v>
                </c:pt>
                <c:pt idx="305">
                  <c:v>7.8138633507097417</c:v>
                </c:pt>
                <c:pt idx="306">
                  <c:v>7.5689008637843216</c:v>
                </c:pt>
                <c:pt idx="307">
                  <c:v>7.530879549965988</c:v>
                </c:pt>
                <c:pt idx="308">
                  <c:v>6.9838077389956368</c:v>
                </c:pt>
                <c:pt idx="309">
                  <c:v>7.2252525735519235</c:v>
                </c:pt>
                <c:pt idx="310">
                  <c:v>7.7921527028825555</c:v>
                </c:pt>
                <c:pt idx="311">
                  <c:v>7.9605908765116036</c:v>
                </c:pt>
                <c:pt idx="312">
                  <c:v>8.2030319162473777</c:v>
                </c:pt>
                <c:pt idx="313">
                  <c:v>7.7687680811185071</c:v>
                </c:pt>
                <c:pt idx="314">
                  <c:v>8.3082097301885511</c:v>
                </c:pt>
                <c:pt idx="315">
                  <c:v>8.6914547632128158</c:v>
                </c:pt>
                <c:pt idx="316">
                  <c:v>8.4840822632790367</c:v>
                </c:pt>
                <c:pt idx="317">
                  <c:v>8.5521941454256449</c:v>
                </c:pt>
                <c:pt idx="318">
                  <c:v>8.9854958857720586</c:v>
                </c:pt>
                <c:pt idx="319">
                  <c:v>9.1747584267108948</c:v>
                </c:pt>
                <c:pt idx="320">
                  <c:v>9.1079714114857211</c:v>
                </c:pt>
                <c:pt idx="321">
                  <c:v>9.2362171471016552</c:v>
                </c:pt>
                <c:pt idx="322">
                  <c:v>8.6426801672017586</c:v>
                </c:pt>
                <c:pt idx="323">
                  <c:v>8.548540244388839</c:v>
                </c:pt>
                <c:pt idx="324">
                  <c:v>8.5516007348390435</c:v>
                </c:pt>
                <c:pt idx="325">
                  <c:v>9.6379355585874666</c:v>
                </c:pt>
                <c:pt idx="326">
                  <c:v>8.4816825806988625</c:v>
                </c:pt>
                <c:pt idx="327">
                  <c:v>7.0492010180032505</c:v>
                </c:pt>
                <c:pt idx="328">
                  <c:v>7.2508598506945878</c:v>
                </c:pt>
                <c:pt idx="329">
                  <c:v>8.2018425349200221</c:v>
                </c:pt>
                <c:pt idx="330">
                  <c:v>8.2108037069945627</c:v>
                </c:pt>
                <c:pt idx="331">
                  <c:v>6.4257694089752304</c:v>
                </c:pt>
                <c:pt idx="332">
                  <c:v>5.989361646508585</c:v>
                </c:pt>
                <c:pt idx="333">
                  <c:v>5.3679693267033528</c:v>
                </c:pt>
                <c:pt idx="334">
                  <c:v>5.0421386785292608</c:v>
                </c:pt>
                <c:pt idx="335">
                  <c:v>5.3879148195657569</c:v>
                </c:pt>
                <c:pt idx="336">
                  <c:v>5.2959331242810972</c:v>
                </c:pt>
                <c:pt idx="337">
                  <c:v>5.9641271248004903</c:v>
                </c:pt>
                <c:pt idx="338">
                  <c:v>5.7911791205880334</c:v>
                </c:pt>
                <c:pt idx="339">
                  <c:v>5.7497206252950681</c:v>
                </c:pt>
                <c:pt idx="340">
                  <c:v>5.9104811954126832</c:v>
                </c:pt>
                <c:pt idx="341">
                  <c:v>5.8237768871429125</c:v>
                </c:pt>
                <c:pt idx="342">
                  <c:v>5.8963806407999364</c:v>
                </c:pt>
                <c:pt idx="343">
                  <c:v>5.7265844016499781</c:v>
                </c:pt>
                <c:pt idx="344">
                  <c:v>5.4752473822235412</c:v>
                </c:pt>
                <c:pt idx="345">
                  <c:v>5.3732229862275407</c:v>
                </c:pt>
                <c:pt idx="346">
                  <c:v>5.4344122662520133</c:v>
                </c:pt>
                <c:pt idx="347">
                  <c:v>5.3276521263910102</c:v>
                </c:pt>
                <c:pt idx="348">
                  <c:v>5.4791602648970024</c:v>
                </c:pt>
                <c:pt idx="349">
                  <c:v>5.4098633521040034</c:v>
                </c:pt>
                <c:pt idx="350">
                  <c:v>5.3953270361205989</c:v>
                </c:pt>
                <c:pt idx="351">
                  <c:v>4.2562143841784552</c:v>
                </c:pt>
                <c:pt idx="352">
                  <c:v>4.1116182765436005</c:v>
                </c:pt>
                <c:pt idx="353">
                  <c:v>3.9940333535463779</c:v>
                </c:pt>
                <c:pt idx="354">
                  <c:v>3.838223666161257</c:v>
                </c:pt>
                <c:pt idx="355">
                  <c:v>3.8726529901704625</c:v>
                </c:pt>
                <c:pt idx="356">
                  <c:v>3.751450449737129</c:v>
                </c:pt>
                <c:pt idx="357">
                  <c:v>3.1980086123246374</c:v>
                </c:pt>
                <c:pt idx="358">
                  <c:v>3.040740634101764</c:v>
                </c:pt>
                <c:pt idx="359">
                  <c:v>2.8917677495884897</c:v>
                </c:pt>
                <c:pt idx="360">
                  <c:v>2.8068137981897698</c:v>
                </c:pt>
                <c:pt idx="361">
                  <c:v>2.6977586602195029</c:v>
                </c:pt>
                <c:pt idx="362">
                  <c:v>2.8554390840172963</c:v>
                </c:pt>
                <c:pt idx="363">
                  <c:v>3.0481791947239056</c:v>
                </c:pt>
                <c:pt idx="364">
                  <c:v>3.0378686567417854</c:v>
                </c:pt>
                <c:pt idx="365">
                  <c:v>2.8984610563652828</c:v>
                </c:pt>
                <c:pt idx="366">
                  <c:v>3.3473189367908889</c:v>
                </c:pt>
                <c:pt idx="367">
                  <c:v>3.2751079256162359</c:v>
                </c:pt>
                <c:pt idx="368">
                  <c:v>2.7346170945888351</c:v>
                </c:pt>
                <c:pt idx="369">
                  <c:v>2.5191129019816518</c:v>
                </c:pt>
                <c:pt idx="370">
                  <c:v>2.0230873654007788</c:v>
                </c:pt>
                <c:pt idx="371">
                  <c:v>1.411696411753155</c:v>
                </c:pt>
                <c:pt idx="372">
                  <c:v>2.6857184749155367</c:v>
                </c:pt>
                <c:pt idx="373">
                  <c:v>1.9091423714907623</c:v>
                </c:pt>
                <c:pt idx="374">
                  <c:v>1.1469129207381656</c:v>
                </c:pt>
                <c:pt idx="375">
                  <c:v>1.2847263582882742</c:v>
                </c:pt>
                <c:pt idx="376">
                  <c:v>1.8106313594093817</c:v>
                </c:pt>
                <c:pt idx="377">
                  <c:v>1.9143129423354091</c:v>
                </c:pt>
                <c:pt idx="378">
                  <c:v>1.7502380212770645</c:v>
                </c:pt>
                <c:pt idx="379">
                  <c:v>1.6946300092861395</c:v>
                </c:pt>
                <c:pt idx="380">
                  <c:v>1.5051194146604714</c:v>
                </c:pt>
                <c:pt idx="381">
                  <c:v>1.5525347961858402</c:v>
                </c:pt>
                <c:pt idx="382">
                  <c:v>1.5486879893090859</c:v>
                </c:pt>
                <c:pt idx="383">
                  <c:v>1.6703553927871191</c:v>
                </c:pt>
                <c:pt idx="384">
                  <c:v>1.5809065450923681</c:v>
                </c:pt>
                <c:pt idx="385">
                  <c:v>1.7688205398744956</c:v>
                </c:pt>
                <c:pt idx="386">
                  <c:v>1.9205960715539241</c:v>
                </c:pt>
                <c:pt idx="387">
                  <c:v>1.6567112618579947</c:v>
                </c:pt>
                <c:pt idx="388">
                  <c:v>1.4680540309847552</c:v>
                </c:pt>
                <c:pt idx="389">
                  <c:v>1.3545228509723326</c:v>
                </c:pt>
                <c:pt idx="390">
                  <c:v>1.2419608304404173</c:v>
                </c:pt>
                <c:pt idx="391">
                  <c:v>1.2359051960036356</c:v>
                </c:pt>
                <c:pt idx="392">
                  <c:v>1.1854131772040244</c:v>
                </c:pt>
                <c:pt idx="393">
                  <c:v>1.0888782534313675</c:v>
                </c:pt>
                <c:pt idx="394">
                  <c:v>1.2220207646120758</c:v>
                </c:pt>
                <c:pt idx="395">
                  <c:v>1.289063486634219</c:v>
                </c:pt>
                <c:pt idx="396">
                  <c:v>1.3203280449618049</c:v>
                </c:pt>
                <c:pt idx="397">
                  <c:v>1.4031392748993503</c:v>
                </c:pt>
                <c:pt idx="398">
                  <c:v>1.3299321237331376</c:v>
                </c:pt>
                <c:pt idx="399">
                  <c:v>1.3617286806148898</c:v>
                </c:pt>
                <c:pt idx="400">
                  <c:v>1.1901939516294764</c:v>
                </c:pt>
                <c:pt idx="401">
                  <c:v>1.3038708122165048</c:v>
                </c:pt>
                <c:pt idx="402">
                  <c:v>1.2315900161685602</c:v>
                </c:pt>
                <c:pt idx="403">
                  <c:v>1.2447520081582915</c:v>
                </c:pt>
                <c:pt idx="404">
                  <c:v>1.2911600283902736</c:v>
                </c:pt>
                <c:pt idx="405">
                  <c:v>1.3802498455884511</c:v>
                </c:pt>
                <c:pt idx="406">
                  <c:v>1.316067282132384</c:v>
                </c:pt>
                <c:pt idx="407">
                  <c:v>1.4281856801031936</c:v>
                </c:pt>
                <c:pt idx="408">
                  <c:v>1.3794656733265431</c:v>
                </c:pt>
                <c:pt idx="409">
                  <c:v>1.3195191399797035</c:v>
                </c:pt>
                <c:pt idx="410">
                  <c:v>1.2383615136203152</c:v>
                </c:pt>
                <c:pt idx="411">
                  <c:v>1.2301193685850214</c:v>
                </c:pt>
                <c:pt idx="412">
                  <c:v>1.190942796461633</c:v>
                </c:pt>
                <c:pt idx="413">
                  <c:v>1.1682919847173456</c:v>
                </c:pt>
                <c:pt idx="414">
                  <c:v>1.1141425903726916</c:v>
                </c:pt>
                <c:pt idx="415">
                  <c:v>1.0590199671939975</c:v>
                </c:pt>
                <c:pt idx="416">
                  <c:v>1.2243697693819244</c:v>
                </c:pt>
                <c:pt idx="417">
                  <c:v>1.2362498746786772</c:v>
                </c:pt>
                <c:pt idx="418">
                  <c:v>1.1666982350836608</c:v>
                </c:pt>
                <c:pt idx="419">
                  <c:v>1.0953546536016621</c:v>
                </c:pt>
                <c:pt idx="420">
                  <c:v>1.3297245645173179</c:v>
                </c:pt>
                <c:pt idx="421">
                  <c:v>1.3611827271918746</c:v>
                </c:pt>
                <c:pt idx="422">
                  <c:v>1.2198319898031409</c:v>
                </c:pt>
                <c:pt idx="423">
                  <c:v>1.1811788560822372</c:v>
                </c:pt>
                <c:pt idx="424">
                  <c:v>1.0393626181095543</c:v>
                </c:pt>
                <c:pt idx="425">
                  <c:v>1.0238663604671852</c:v>
                </c:pt>
                <c:pt idx="426">
                  <c:v>1.0462078421786696</c:v>
                </c:pt>
                <c:pt idx="427">
                  <c:v>0.98886108202792466</c:v>
                </c:pt>
                <c:pt idx="428">
                  <c:v>1.1992865331195124</c:v>
                </c:pt>
                <c:pt idx="429">
                  <c:v>1.2759048483896596</c:v>
                </c:pt>
                <c:pt idx="430">
                  <c:v>1.2487369871327239</c:v>
                </c:pt>
                <c:pt idx="431">
                  <c:v>1.131932804033394</c:v>
                </c:pt>
                <c:pt idx="432">
                  <c:v>1.1239087331588218</c:v>
                </c:pt>
                <c:pt idx="433">
                  <c:v>1.0096825098057984</c:v>
                </c:pt>
                <c:pt idx="434">
                  <c:v>0.95877446465999805</c:v>
                </c:pt>
                <c:pt idx="435">
                  <c:v>0.96636263614571261</c:v>
                </c:pt>
                <c:pt idx="436">
                  <c:v>0.99102584520420045</c:v>
                </c:pt>
                <c:pt idx="437">
                  <c:v>0.96449096003326074</c:v>
                </c:pt>
                <c:pt idx="438">
                  <c:v>0.96666608291138911</c:v>
                </c:pt>
                <c:pt idx="439">
                  <c:v>0.97850280828729852</c:v>
                </c:pt>
                <c:pt idx="440">
                  <c:v>0.95794618063512471</c:v>
                </c:pt>
                <c:pt idx="441">
                  <c:v>0.89590607666489674</c:v>
                </c:pt>
                <c:pt idx="442">
                  <c:v>0.92046554467270925</c:v>
                </c:pt>
                <c:pt idx="443">
                  <c:v>0.97731346381194995</c:v>
                </c:pt>
                <c:pt idx="444">
                  <c:v>0.93967315034004006</c:v>
                </c:pt>
                <c:pt idx="445">
                  <c:v>0.93471282295686264</c:v>
                </c:pt>
                <c:pt idx="446">
                  <c:v>0.90789954192630118</c:v>
                </c:pt>
                <c:pt idx="447">
                  <c:v>0.97078316774222873</c:v>
                </c:pt>
                <c:pt idx="448">
                  <c:v>0.87937030070271283</c:v>
                </c:pt>
                <c:pt idx="449">
                  <c:v>0.87001059876226106</c:v>
                </c:pt>
                <c:pt idx="450">
                  <c:v>0.84318380352226108</c:v>
                </c:pt>
                <c:pt idx="451">
                  <c:v>0.82759001437804547</c:v>
                </c:pt>
                <c:pt idx="452">
                  <c:v>0.85831859148803424</c:v>
                </c:pt>
                <c:pt idx="453">
                  <c:v>0.84679932811354874</c:v>
                </c:pt>
                <c:pt idx="454">
                  <c:v>0.86026214567718529</c:v>
                </c:pt>
                <c:pt idx="455">
                  <c:v>0.89872053896851445</c:v>
                </c:pt>
                <c:pt idx="456">
                  <c:v>0.91554649302506985</c:v>
                </c:pt>
                <c:pt idx="457">
                  <c:v>0.93093192610906972</c:v>
                </c:pt>
                <c:pt idx="458">
                  <c:v>0.92620824196163387</c:v>
                </c:pt>
                <c:pt idx="459">
                  <c:v>0.9348404583993194</c:v>
                </c:pt>
                <c:pt idx="460">
                  <c:v>0.9480696117326527</c:v>
                </c:pt>
                <c:pt idx="461">
                  <c:v>0.9554572074275679</c:v>
                </c:pt>
                <c:pt idx="462">
                  <c:v>0.9798668435885437</c:v>
                </c:pt>
                <c:pt idx="463">
                  <c:v>0.95644214629868862</c:v>
                </c:pt>
                <c:pt idx="464">
                  <c:v>0.97057920424650546</c:v>
                </c:pt>
                <c:pt idx="465">
                  <c:v>0.9969240209995619</c:v>
                </c:pt>
                <c:pt idx="466">
                  <c:v>0.99099401683706212</c:v>
                </c:pt>
                <c:pt idx="467">
                  <c:v>0.97003221917826932</c:v>
                </c:pt>
                <c:pt idx="468">
                  <c:v>0.96445000112041812</c:v>
                </c:pt>
                <c:pt idx="469">
                  <c:v>1.0103775278273146</c:v>
                </c:pt>
                <c:pt idx="470">
                  <c:v>1.0094380025449616</c:v>
                </c:pt>
                <c:pt idx="471">
                  <c:v>1.0401335278600083</c:v>
                </c:pt>
                <c:pt idx="472">
                  <c:v>1.0451741860372725</c:v>
                </c:pt>
                <c:pt idx="473">
                  <c:v>1.0258958020372728</c:v>
                </c:pt>
                <c:pt idx="474">
                  <c:v>1.0697310499998713</c:v>
                </c:pt>
                <c:pt idx="475">
                  <c:v>1.0748132541907731</c:v>
                </c:pt>
                <c:pt idx="476">
                  <c:v>1.0317926809317433</c:v>
                </c:pt>
                <c:pt idx="477">
                  <c:v>0.97453566433895522</c:v>
                </c:pt>
                <c:pt idx="478">
                  <c:v>0.9113742446309262</c:v>
                </c:pt>
                <c:pt idx="479">
                  <c:v>0.96090784152250142</c:v>
                </c:pt>
                <c:pt idx="480">
                  <c:v>0.9133945783558346</c:v>
                </c:pt>
                <c:pt idx="481">
                  <c:v>0.88241833215118348</c:v>
                </c:pt>
                <c:pt idx="482">
                  <c:v>0.89271397098037097</c:v>
                </c:pt>
                <c:pt idx="483">
                  <c:v>0.86693528644515949</c:v>
                </c:pt>
                <c:pt idx="484">
                  <c:v>0.92670904972279444</c:v>
                </c:pt>
                <c:pt idx="485">
                  <c:v>0.9133614131280926</c:v>
                </c:pt>
                <c:pt idx="486">
                  <c:v>1.1371017784365465</c:v>
                </c:pt>
                <c:pt idx="487">
                  <c:v>1.1869516565007663</c:v>
                </c:pt>
                <c:pt idx="488">
                  <c:v>1.1637110026739506</c:v>
                </c:pt>
                <c:pt idx="489">
                  <c:v>1.1388011670540912</c:v>
                </c:pt>
                <c:pt idx="490">
                  <c:v>1.1304579066670453</c:v>
                </c:pt>
                <c:pt idx="491">
                  <c:v>1.0996013424761071</c:v>
                </c:pt>
                <c:pt idx="492">
                  <c:v>1.1534487153131565</c:v>
                </c:pt>
                <c:pt idx="493">
                  <c:v>1.1130516470175045</c:v>
                </c:pt>
                <c:pt idx="494">
                  <c:v>1.1609195980429619</c:v>
                </c:pt>
                <c:pt idx="495">
                  <c:v>1.1726277340723055</c:v>
                </c:pt>
                <c:pt idx="496">
                  <c:v>1.1638447805723056</c:v>
                </c:pt>
                <c:pt idx="497">
                  <c:v>1.1466044455790168</c:v>
                </c:pt>
                <c:pt idx="498">
                  <c:v>1.1327499127937817</c:v>
                </c:pt>
                <c:pt idx="499">
                  <c:v>1.1310390189264494</c:v>
                </c:pt>
                <c:pt idx="500">
                  <c:v>1.1632885791436243</c:v>
                </c:pt>
                <c:pt idx="501">
                  <c:v>1.1374713663600253</c:v>
                </c:pt>
                <c:pt idx="502">
                  <c:v>1.1578242001451293</c:v>
                </c:pt>
                <c:pt idx="503">
                  <c:v>1.1328893829002311</c:v>
                </c:pt>
                <c:pt idx="504">
                  <c:v>1.1313308059988227</c:v>
                </c:pt>
                <c:pt idx="505">
                  <c:v>1.0906755947858358</c:v>
                </c:pt>
                <c:pt idx="506">
                  <c:v>1.057223153619169</c:v>
                </c:pt>
                <c:pt idx="507">
                  <c:v>1.0176068804282714</c:v>
                </c:pt>
                <c:pt idx="508">
                  <c:v>1.0129511294333302</c:v>
                </c:pt>
                <c:pt idx="509">
                  <c:v>0.97115404254089166</c:v>
                </c:pt>
                <c:pt idx="510">
                  <c:v>1.0059613493404194</c:v>
                </c:pt>
                <c:pt idx="511">
                  <c:v>0.99972200244618481</c:v>
                </c:pt>
                <c:pt idx="512">
                  <c:v>1.0455435255377101</c:v>
                </c:pt>
                <c:pt idx="513">
                  <c:v>1.1249388829117557</c:v>
                </c:pt>
                <c:pt idx="514">
                  <c:v>1.1485905231493796</c:v>
                </c:pt>
                <c:pt idx="515">
                  <c:v>1.2117514792611621</c:v>
                </c:pt>
                <c:pt idx="516">
                  <c:v>1.2377447023765049</c:v>
                </c:pt>
                <c:pt idx="517">
                  <c:v>1.2844762904024789</c:v>
                </c:pt>
                <c:pt idx="518">
                  <c:v>1.2440955029643943</c:v>
                </c:pt>
                <c:pt idx="519">
                  <c:v>1.2754361641660463</c:v>
                </c:pt>
                <c:pt idx="520">
                  <c:v>1.2993381364056236</c:v>
                </c:pt>
                <c:pt idx="521">
                  <c:v>1.3326853320407588</c:v>
                </c:pt>
                <c:pt idx="522">
                  <c:v>1.2485525649018892</c:v>
                </c:pt>
                <c:pt idx="523">
                  <c:v>1.2328207205951223</c:v>
                </c:pt>
                <c:pt idx="524">
                  <c:v>1.0922253223001224</c:v>
                </c:pt>
                <c:pt idx="525">
                  <c:v>1.3363173350338962</c:v>
                </c:pt>
                <c:pt idx="526">
                  <c:v>1.2766533404733551</c:v>
                </c:pt>
                <c:pt idx="527">
                  <c:v>1.3219753090628612</c:v>
                </c:pt>
                <c:pt idx="528">
                  <c:v>1.2961328207704637</c:v>
                </c:pt>
                <c:pt idx="529">
                  <c:v>1.3267906321403269</c:v>
                </c:pt>
                <c:pt idx="530">
                  <c:v>1.2418721012960443</c:v>
                </c:pt>
                <c:pt idx="531">
                  <c:v>1.2780912616767417</c:v>
                </c:pt>
                <c:pt idx="532">
                  <c:v>1.3363068481998182</c:v>
                </c:pt>
                <c:pt idx="533">
                  <c:v>1.3333679609356672</c:v>
                </c:pt>
                <c:pt idx="534">
                  <c:v>1.244652552874334</c:v>
                </c:pt>
                <c:pt idx="535">
                  <c:v>1.3367178146657814</c:v>
                </c:pt>
                <c:pt idx="536">
                  <c:v>1.1086739960685952</c:v>
                </c:pt>
                <c:pt idx="537">
                  <c:v>1.1574822886618157</c:v>
                </c:pt>
                <c:pt idx="538">
                  <c:v>1.1872297638538498</c:v>
                </c:pt>
                <c:pt idx="539">
                  <c:v>0.99395417144871612</c:v>
                </c:pt>
                <c:pt idx="540">
                  <c:v>0.93683964048541302</c:v>
                </c:pt>
                <c:pt idx="541">
                  <c:v>0.97376509966987901</c:v>
                </c:pt>
                <c:pt idx="542">
                  <c:v>0.92053906537426688</c:v>
                </c:pt>
                <c:pt idx="543">
                  <c:v>0.91313615716655194</c:v>
                </c:pt>
                <c:pt idx="544">
                  <c:v>0.86844062324777549</c:v>
                </c:pt>
                <c:pt idx="545">
                  <c:v>0.85708598967781424</c:v>
                </c:pt>
                <c:pt idx="546">
                  <c:v>0.90141927763340923</c:v>
                </c:pt>
                <c:pt idx="547">
                  <c:v>0.88777601891576208</c:v>
                </c:pt>
                <c:pt idx="548">
                  <c:v>0.93164176958370093</c:v>
                </c:pt>
                <c:pt idx="549">
                  <c:v>0.88399113513208805</c:v>
                </c:pt>
                <c:pt idx="550">
                  <c:v>0.90958171594126069</c:v>
                </c:pt>
                <c:pt idx="551">
                  <c:v>0.96358448296841337</c:v>
                </c:pt>
                <c:pt idx="552">
                  <c:v>0.99098284483618226</c:v>
                </c:pt>
                <c:pt idx="553">
                  <c:v>0.99127742642258998</c:v>
                </c:pt>
                <c:pt idx="554">
                  <c:v>1.0437158931494419</c:v>
                </c:pt>
                <c:pt idx="555">
                  <c:v>1.1028666772574285</c:v>
                </c:pt>
                <c:pt idx="556">
                  <c:v>1.0677123892504601</c:v>
                </c:pt>
                <c:pt idx="557">
                  <c:v>1.1397968570494295</c:v>
                </c:pt>
                <c:pt idx="558">
                  <c:v>1.0929366060507575</c:v>
                </c:pt>
                <c:pt idx="559">
                  <c:v>1.07240095046006</c:v>
                </c:pt>
                <c:pt idx="560">
                  <c:v>1.1361490893808084</c:v>
                </c:pt>
                <c:pt idx="561">
                  <c:v>1.0176177911849396</c:v>
                </c:pt>
                <c:pt idx="562">
                  <c:v>1.1119591983347368</c:v>
                </c:pt>
                <c:pt idx="563">
                  <c:v>1.1618910124425752</c:v>
                </c:pt>
                <c:pt idx="564">
                  <c:v>1.2091140188811516</c:v>
                </c:pt>
                <c:pt idx="565">
                  <c:v>1.2093284653608263</c:v>
                </c:pt>
                <c:pt idx="566">
                  <c:v>1.160824801967629</c:v>
                </c:pt>
                <c:pt idx="567">
                  <c:v>1.157045341478715</c:v>
                </c:pt>
                <c:pt idx="568">
                  <c:v>1.172260618385137</c:v>
                </c:pt>
                <c:pt idx="569">
                  <c:v>1.0895122915700106</c:v>
                </c:pt>
                <c:pt idx="570">
                  <c:v>1.0837138522772864</c:v>
                </c:pt>
                <c:pt idx="571">
                  <c:v>1.0345620939881295</c:v>
                </c:pt>
                <c:pt idx="572">
                  <c:v>1.093389057731972</c:v>
                </c:pt>
                <c:pt idx="573">
                  <c:v>1.0491671899339656</c:v>
                </c:pt>
                <c:pt idx="574">
                  <c:v>1.0326631226162923</c:v>
                </c:pt>
                <c:pt idx="575">
                  <c:v>1.0428755554593507</c:v>
                </c:pt>
                <c:pt idx="576">
                  <c:v>0.99314350216483693</c:v>
                </c:pt>
                <c:pt idx="577">
                  <c:v>1.0864302120172964</c:v>
                </c:pt>
                <c:pt idx="578">
                  <c:v>1.0100044668373889</c:v>
                </c:pt>
                <c:pt idx="579">
                  <c:v>0.99421919084689614</c:v>
                </c:pt>
                <c:pt idx="580">
                  <c:v>0.9966638991656589</c:v>
                </c:pt>
                <c:pt idx="581">
                  <c:v>1.0457247835070365</c:v>
                </c:pt>
                <c:pt idx="582">
                  <c:v>1.054842866869</c:v>
                </c:pt>
                <c:pt idx="583">
                  <c:v>1.0947274716093898</c:v>
                </c:pt>
                <c:pt idx="584">
                  <c:v>1.1168315344304425</c:v>
                </c:pt>
                <c:pt idx="585">
                  <c:v>1.0578867155486129</c:v>
                </c:pt>
                <c:pt idx="586">
                  <c:v>1.0779555100628988</c:v>
                </c:pt>
                <c:pt idx="587">
                  <c:v>1.0813345297838293</c:v>
                </c:pt>
                <c:pt idx="588">
                  <c:v>1.1165391044728716</c:v>
                </c:pt>
                <c:pt idx="589">
                  <c:v>1.1188123472587956</c:v>
                </c:pt>
                <c:pt idx="590">
                  <c:v>1.1230881112300646</c:v>
                </c:pt>
                <c:pt idx="591">
                  <c:v>1.0980935453114866</c:v>
                </c:pt>
                <c:pt idx="592">
                  <c:v>1.0012164162368462</c:v>
                </c:pt>
                <c:pt idx="593">
                  <c:v>1.0291744728390564</c:v>
                </c:pt>
                <c:pt idx="594">
                  <c:v>1.0639144786213692</c:v>
                </c:pt>
                <c:pt idx="595">
                  <c:v>1.0360548324423076</c:v>
                </c:pt>
                <c:pt idx="596">
                  <c:v>1.1880870508092141</c:v>
                </c:pt>
                <c:pt idx="597">
                  <c:v>1.1076912552961709</c:v>
                </c:pt>
                <c:pt idx="598">
                  <c:v>1.1912974999628378</c:v>
                </c:pt>
                <c:pt idx="599">
                  <c:v>1.0954953089242665</c:v>
                </c:pt>
                <c:pt idx="600">
                  <c:v>1.090302324898996</c:v>
                </c:pt>
                <c:pt idx="601">
                  <c:v>1.105154087311508</c:v>
                </c:pt>
                <c:pt idx="602">
                  <c:v>1.066570932111508</c:v>
                </c:pt>
                <c:pt idx="603">
                  <c:v>1.0646242460151627</c:v>
                </c:pt>
                <c:pt idx="604">
                  <c:v>0.99279085326707095</c:v>
                </c:pt>
                <c:pt idx="605">
                  <c:v>1.0323340795089757</c:v>
                </c:pt>
                <c:pt idx="606">
                  <c:v>1.0998625299358049</c:v>
                </c:pt>
                <c:pt idx="607">
                  <c:v>1.1116229668448958</c:v>
                </c:pt>
                <c:pt idx="608">
                  <c:v>1.1513302228133748</c:v>
                </c:pt>
                <c:pt idx="609">
                  <c:v>1.2225653336398483</c:v>
                </c:pt>
                <c:pt idx="610">
                  <c:v>1.4573812193916538</c:v>
                </c:pt>
                <c:pt idx="611">
                  <c:v>1.3509027637050133</c:v>
                </c:pt>
                <c:pt idx="612">
                  <c:v>1.5289241470681316</c:v>
                </c:pt>
                <c:pt idx="613">
                  <c:v>1.415363278444004</c:v>
                </c:pt>
                <c:pt idx="614">
                  <c:v>1.5457967532451093</c:v>
                </c:pt>
                <c:pt idx="615">
                  <c:v>1.4973766120006644</c:v>
                </c:pt>
                <c:pt idx="616">
                  <c:v>1.4965119560836273</c:v>
                </c:pt>
                <c:pt idx="617">
                  <c:v>1.4156400020576536</c:v>
                </c:pt>
                <c:pt idx="618">
                  <c:v>1.318553479902979</c:v>
                </c:pt>
                <c:pt idx="619">
                  <c:v>1.2662468329565506</c:v>
                </c:pt>
                <c:pt idx="620">
                  <c:v>1.2820260046840479</c:v>
                </c:pt>
                <c:pt idx="621">
                  <c:v>1.2792458060404837</c:v>
                </c:pt>
                <c:pt idx="622">
                  <c:v>1.3568520145124248</c:v>
                </c:pt>
                <c:pt idx="623">
                  <c:v>1.3327769114205517</c:v>
                </c:pt>
                <c:pt idx="624">
                  <c:v>1.2923813243935249</c:v>
                </c:pt>
                <c:pt idx="625">
                  <c:v>1.4313015728548328</c:v>
                </c:pt>
                <c:pt idx="626">
                  <c:v>1.2644527597646182</c:v>
                </c:pt>
                <c:pt idx="627">
                  <c:v>1.1602609031531648</c:v>
                </c:pt>
                <c:pt idx="628">
                  <c:v>1.0668482629224805</c:v>
                </c:pt>
                <c:pt idx="629">
                  <c:v>1.0925383708195187</c:v>
                </c:pt>
                <c:pt idx="630">
                  <c:v>1.0939410803016238</c:v>
                </c:pt>
                <c:pt idx="631">
                  <c:v>1.1051522393802655</c:v>
                </c:pt>
                <c:pt idx="632">
                  <c:v>1.2384022197306821</c:v>
                </c:pt>
                <c:pt idx="633">
                  <c:v>1.120027926661215</c:v>
                </c:pt>
                <c:pt idx="634">
                  <c:v>1.0490721007928636</c:v>
                </c:pt>
                <c:pt idx="635">
                  <c:v>1.0756934070774791</c:v>
                </c:pt>
                <c:pt idx="636">
                  <c:v>1.0242754741925446</c:v>
                </c:pt>
                <c:pt idx="637">
                  <c:v>0.9947508333622197</c:v>
                </c:pt>
                <c:pt idx="638">
                  <c:v>0.99613177438311706</c:v>
                </c:pt>
                <c:pt idx="639">
                  <c:v>0.98522718332460657</c:v>
                </c:pt>
                <c:pt idx="640">
                  <c:v>0.94850558468053892</c:v>
                </c:pt>
                <c:pt idx="641">
                  <c:v>1.0266716029936704</c:v>
                </c:pt>
                <c:pt idx="642">
                  <c:v>1.1896466874889084</c:v>
                </c:pt>
                <c:pt idx="643">
                  <c:v>1.0488689229131811</c:v>
                </c:pt>
                <c:pt idx="644">
                  <c:v>0.9898163117599974</c:v>
                </c:pt>
                <c:pt idx="645">
                  <c:v>0.94066661427655351</c:v>
                </c:pt>
                <c:pt idx="646">
                  <c:v>0.90140802152741284</c:v>
                </c:pt>
                <c:pt idx="647">
                  <c:v>0.84630929867043547</c:v>
                </c:pt>
                <c:pt idx="648">
                  <c:v>0.93964429360003343</c:v>
                </c:pt>
                <c:pt idx="649">
                  <c:v>1.0115650298105598</c:v>
                </c:pt>
                <c:pt idx="650">
                  <c:v>0.94771302111573219</c:v>
                </c:pt>
                <c:pt idx="651">
                  <c:v>0.97351806555500864</c:v>
                </c:pt>
                <c:pt idx="652">
                  <c:v>0.90597487789878917</c:v>
                </c:pt>
                <c:pt idx="653">
                  <c:v>0.95846891914446386</c:v>
                </c:pt>
                <c:pt idx="654">
                  <c:v>0.95223699093113057</c:v>
                </c:pt>
                <c:pt idx="655">
                  <c:v>0.91978698022568495</c:v>
                </c:pt>
                <c:pt idx="656">
                  <c:v>0.92599640822305684</c:v>
                </c:pt>
                <c:pt idx="657">
                  <c:v>0.94264028238046405</c:v>
                </c:pt>
                <c:pt idx="658">
                  <c:v>0.9617059396025367</c:v>
                </c:pt>
                <c:pt idx="659">
                  <c:v>0.91878413283216631</c:v>
                </c:pt>
                <c:pt idx="660">
                  <c:v>0.89213321639477661</c:v>
                </c:pt>
                <c:pt idx="661">
                  <c:v>0.94043988431323144</c:v>
                </c:pt>
                <c:pt idx="662">
                  <c:v>0.89731264156358281</c:v>
                </c:pt>
                <c:pt idx="663">
                  <c:v>0.94567228526090086</c:v>
                </c:pt>
                <c:pt idx="664">
                  <c:v>0.89451845798017937</c:v>
                </c:pt>
                <c:pt idx="665">
                  <c:v>0.88648001925532161</c:v>
                </c:pt>
                <c:pt idx="666">
                  <c:v>0.9095614988686187</c:v>
                </c:pt>
                <c:pt idx="667">
                  <c:v>0.83737015790511515</c:v>
                </c:pt>
                <c:pt idx="668">
                  <c:v>0.85405041163238793</c:v>
                </c:pt>
                <c:pt idx="669">
                  <c:v>0.7887179121070641</c:v>
                </c:pt>
                <c:pt idx="670">
                  <c:v>0.89522123382466168</c:v>
                </c:pt>
                <c:pt idx="671">
                  <c:v>0.8528440926691061</c:v>
                </c:pt>
                <c:pt idx="672">
                  <c:v>0.94188867773194285</c:v>
                </c:pt>
                <c:pt idx="673">
                  <c:v>0.74635408364509126</c:v>
                </c:pt>
                <c:pt idx="674">
                  <c:v>0.68960771476225735</c:v>
                </c:pt>
                <c:pt idx="675">
                  <c:v>0.63208520665414925</c:v>
                </c:pt>
                <c:pt idx="676">
                  <c:v>0.53510626336480416</c:v>
                </c:pt>
                <c:pt idx="677">
                  <c:v>0.61890442752863384</c:v>
                </c:pt>
                <c:pt idx="678">
                  <c:v>0.59856400860825165</c:v>
                </c:pt>
                <c:pt idx="679">
                  <c:v>0.66156314410875094</c:v>
                </c:pt>
                <c:pt idx="680">
                  <c:v>0.18300493551798172</c:v>
                </c:pt>
                <c:pt idx="681">
                  <c:v>0.12805308601289692</c:v>
                </c:pt>
                <c:pt idx="682">
                  <c:v>8.7199745399993728E-2</c:v>
                </c:pt>
                <c:pt idx="683">
                  <c:v>9.675229225165613E-2</c:v>
                </c:pt>
                <c:pt idx="684">
                  <c:v>0.16022748304341808</c:v>
                </c:pt>
                <c:pt idx="685">
                  <c:v>0.15607519270056097</c:v>
                </c:pt>
                <c:pt idx="686">
                  <c:v>7.7424953523436257E-2</c:v>
                </c:pt>
                <c:pt idx="687">
                  <c:v>0.2608995894865006</c:v>
                </c:pt>
                <c:pt idx="688">
                  <c:v>0.27737939830727587</c:v>
                </c:pt>
                <c:pt idx="689">
                  <c:v>0.29154994014944913</c:v>
                </c:pt>
                <c:pt idx="690">
                  <c:v>0.25647109517064365</c:v>
                </c:pt>
                <c:pt idx="691">
                  <c:v>0.32200113676110087</c:v>
                </c:pt>
                <c:pt idx="692">
                  <c:v>0.35599125630040607</c:v>
                </c:pt>
                <c:pt idx="693">
                  <c:v>0.31817596988621838</c:v>
                </c:pt>
                <c:pt idx="694">
                  <c:v>0.31376610428086726</c:v>
                </c:pt>
                <c:pt idx="695">
                  <c:v>0.337195431243347</c:v>
                </c:pt>
                <c:pt idx="696">
                  <c:v>0.35908927323583767</c:v>
                </c:pt>
                <c:pt idx="697">
                  <c:v>0.32639132738413273</c:v>
                </c:pt>
                <c:pt idx="698">
                  <c:v>0.33579769206063037</c:v>
                </c:pt>
                <c:pt idx="699">
                  <c:v>0.36662143241546907</c:v>
                </c:pt>
                <c:pt idx="700">
                  <c:v>0.37827006899970983</c:v>
                </c:pt>
                <c:pt idx="701">
                  <c:v>0.33799127240595989</c:v>
                </c:pt>
                <c:pt idx="702">
                  <c:v>0.38587931474586884</c:v>
                </c:pt>
                <c:pt idx="703">
                  <c:v>0.47337989272661635</c:v>
                </c:pt>
                <c:pt idx="704">
                  <c:v>0.48661762817709203</c:v>
                </c:pt>
                <c:pt idx="705">
                  <c:v>0.45505405857791426</c:v>
                </c:pt>
                <c:pt idx="706">
                  <c:v>0.46308050860273181</c:v>
                </c:pt>
                <c:pt idx="707">
                  <c:v>0.50973784664129229</c:v>
                </c:pt>
                <c:pt idx="708">
                  <c:v>0.5303455303330602</c:v>
                </c:pt>
                <c:pt idx="709">
                  <c:v>0.76701758895146199</c:v>
                </c:pt>
                <c:pt idx="710">
                  <c:v>0.70126840973917204</c:v>
                </c:pt>
                <c:pt idx="711">
                  <c:v>0.66512806685305681</c:v>
                </c:pt>
                <c:pt idx="712">
                  <c:v>0.65490080155640273</c:v>
                </c:pt>
                <c:pt idx="713">
                  <c:v>0.7564788312476487</c:v>
                </c:pt>
                <c:pt idx="714">
                  <c:v>0.69598394663612484</c:v>
                </c:pt>
                <c:pt idx="715">
                  <c:v>0.71985548874983718</c:v>
                </c:pt>
                <c:pt idx="716">
                  <c:v>0.7734944999557738</c:v>
                </c:pt>
                <c:pt idx="717">
                  <c:v>0.74520082872398574</c:v>
                </c:pt>
                <c:pt idx="718">
                  <c:v>0.66249454351387405</c:v>
                </c:pt>
                <c:pt idx="719">
                  <c:v>0.62278820731413576</c:v>
                </c:pt>
                <c:pt idx="720">
                  <c:v>0.63649267430360956</c:v>
                </c:pt>
                <c:pt idx="721">
                  <c:v>0.67511095374698304</c:v>
                </c:pt>
                <c:pt idx="722">
                  <c:v>0.60403426270289995</c:v>
                </c:pt>
                <c:pt idx="723">
                  <c:v>0.669860114318935</c:v>
                </c:pt>
                <c:pt idx="724">
                  <c:v>0.33546507083630928</c:v>
                </c:pt>
                <c:pt idx="725">
                  <c:v>0.27118798322003029</c:v>
                </c:pt>
                <c:pt idx="726">
                  <c:v>0.20417123429747139</c:v>
                </c:pt>
                <c:pt idx="727">
                  <c:v>0.17394151213238732</c:v>
                </c:pt>
                <c:pt idx="728">
                  <c:v>0.21782294645104552</c:v>
                </c:pt>
                <c:pt idx="729">
                  <c:v>0.13199883261975737</c:v>
                </c:pt>
                <c:pt idx="730">
                  <c:v>0.13199883261975737</c:v>
                </c:pt>
                <c:pt idx="731">
                  <c:v>0.14480046081023365</c:v>
                </c:pt>
                <c:pt idx="732">
                  <c:v>0.10199990732698</c:v>
                </c:pt>
                <c:pt idx="733">
                  <c:v>0.13212497005016327</c:v>
                </c:pt>
                <c:pt idx="734">
                  <c:v>8.5288370178808193E-2</c:v>
                </c:pt>
                <c:pt idx="735">
                  <c:v>0.14397127790539571</c:v>
                </c:pt>
                <c:pt idx="736">
                  <c:v>6.2606864379663008E-2</c:v>
                </c:pt>
                <c:pt idx="737">
                  <c:v>4.0742260603439329E-2</c:v>
                </c:pt>
                <c:pt idx="738">
                  <c:v>2.8085553391050035E-2</c:v>
                </c:pt>
                <c:pt idx="739">
                  <c:v>2.2383235973467613E-2</c:v>
                </c:pt>
                <c:pt idx="740">
                  <c:v>6.6051173473467728E-2</c:v>
                </c:pt>
                <c:pt idx="741">
                  <c:v>9.6226554684540333E-2</c:v>
                </c:pt>
                <c:pt idx="742">
                  <c:v>4.7087391429479659E-2</c:v>
                </c:pt>
                <c:pt idx="743">
                  <c:v>-8.1292134449939709E-4</c:v>
                </c:pt>
                <c:pt idx="744">
                  <c:v>-2.4393933144772853E-2</c:v>
                </c:pt>
                <c:pt idx="745">
                  <c:v>-8.2032348439772806E-2</c:v>
                </c:pt>
                <c:pt idx="746">
                  <c:v>-7.680292277310613E-2</c:v>
                </c:pt>
                <c:pt idx="747">
                  <c:v>-7.0369787712130302E-2</c:v>
                </c:pt>
                <c:pt idx="748">
                  <c:v>-2.9208331893948555E-2</c:v>
                </c:pt>
                <c:pt idx="749">
                  <c:v>-6.037220862864226E-2</c:v>
                </c:pt>
                <c:pt idx="750">
                  <c:v>-3.4290898561074708E-2</c:v>
                </c:pt>
                <c:pt idx="751">
                  <c:v>-8.3810935577074516E-2</c:v>
                </c:pt>
                <c:pt idx="752">
                  <c:v>-6.4706764094315652E-2</c:v>
                </c:pt>
                <c:pt idx="753">
                  <c:v>-6.3782100883789342E-2</c:v>
                </c:pt>
                <c:pt idx="754">
                  <c:v>-3.7245498785023798E-2</c:v>
                </c:pt>
                <c:pt idx="755">
                  <c:v>-1.8716197729468323E-2</c:v>
                </c:pt>
                <c:pt idx="756">
                  <c:v>-4.3570999249131291E-2</c:v>
                </c:pt>
                <c:pt idx="757">
                  <c:v>-1.2240227594810228E-2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2-4404-B4D8-ADEC5CC83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605903"/>
        <c:axId val="795606319"/>
      </c:lineChart>
      <c:dateAx>
        <c:axId val="795605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06319"/>
        <c:crosses val="autoZero"/>
        <c:auto val="1"/>
        <c:lblOffset val="100"/>
        <c:baseTimeUnit val="days"/>
      </c:dateAx>
      <c:valAx>
        <c:axId val="79560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05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E0CAF6-CF02-403D-A334-C0326E617FC6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CE805-580D-496F-B9B0-8BDEA5E741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4.8449999999999998</v>
      </c>
      <c r="D2" s="4">
        <f>MIN(D3:D1912)</f>
        <v>3.2230000000000002E-2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1.5529999999999999</v>
      </c>
      <c r="C5">
        <v>1.5960000000000001</v>
      </c>
      <c r="D5">
        <v>1.5049999999999999</v>
      </c>
      <c r="E5">
        <v>1.5069999999999999</v>
      </c>
      <c r="F5">
        <v>1739466.2</v>
      </c>
      <c r="G5">
        <v>1.5069999999999999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-0.95604395604395609</v>
      </c>
      <c r="Q5">
        <f t="shared" ref="Q5" si="1">F5*P5</f>
        <v>-1663006.1472527473</v>
      </c>
      <c r="R5">
        <f t="shared" ref="R5" si="2">R6+Q5</f>
        <v>1189243432.7543032</v>
      </c>
      <c r="S5">
        <f t="shared" ref="S5" si="3">R5/100000</f>
        <v>11892.434327543033</v>
      </c>
      <c r="T5">
        <f t="shared" ref="T5" si="4">S5/1000</f>
        <v>11.892434327543032</v>
      </c>
    </row>
    <row r="6" spans="1:20" x14ac:dyDescent="0.25">
      <c r="A6" s="5">
        <v>44587</v>
      </c>
      <c r="B6">
        <v>1.532</v>
      </c>
      <c r="C6">
        <v>1.75</v>
      </c>
      <c r="D6">
        <v>1.5</v>
      </c>
      <c r="E6">
        <v>1.552</v>
      </c>
      <c r="F6">
        <v>22819195.5</v>
      </c>
      <c r="G6">
        <v>1.552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-0.58399999999999963</v>
      </c>
      <c r="Q6">
        <f t="shared" ref="Q6" si="6">F6*P6</f>
        <v>-13326410.171999991</v>
      </c>
      <c r="R6">
        <f t="shared" ref="R6" si="7">R7+Q6</f>
        <v>1190906438.901556</v>
      </c>
      <c r="S6">
        <f t="shared" ref="S6" si="8">R6/100000</f>
        <v>11909.064389015561</v>
      </c>
      <c r="T6">
        <f t="shared" ref="T6" si="9">S6/1000</f>
        <v>11.90906438901556</v>
      </c>
    </row>
    <row r="7" spans="1:20" x14ac:dyDescent="0.25">
      <c r="A7" s="5">
        <v>44586</v>
      </c>
      <c r="B7">
        <v>1.5029999999999999</v>
      </c>
      <c r="C7">
        <v>1.546</v>
      </c>
      <c r="D7">
        <v>1.429</v>
      </c>
      <c r="E7">
        <v>1.532</v>
      </c>
      <c r="F7">
        <v>9908644.1999999993</v>
      </c>
      <c r="G7">
        <v>1.532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0.76068376068376042</v>
      </c>
      <c r="Q7">
        <f t="shared" ref="Q7" si="11">F7*P7</f>
        <v>7537344.7333333306</v>
      </c>
      <c r="R7">
        <f t="shared" ref="R7" si="12">R8+Q7</f>
        <v>1204232849.0735559</v>
      </c>
      <c r="S7">
        <f t="shared" ref="S7" si="13">R7/100000</f>
        <v>12042.328490735559</v>
      </c>
      <c r="T7">
        <f t="shared" ref="T7" si="14">S7/1000</f>
        <v>12.042328490735558</v>
      </c>
    </row>
    <row r="8" spans="1:20" x14ac:dyDescent="0.25">
      <c r="A8" s="5">
        <v>44585</v>
      </c>
      <c r="B8">
        <v>1.609</v>
      </c>
      <c r="C8">
        <v>1.611</v>
      </c>
      <c r="D8">
        <v>1.3260000000000001</v>
      </c>
      <c r="E8">
        <v>1.5029999999999999</v>
      </c>
      <c r="F8">
        <v>24296859</v>
      </c>
      <c r="G8">
        <v>1.5029999999999999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0.24210526315789385</v>
      </c>
      <c r="Q8">
        <f t="shared" ref="Q8" si="16">F8*P8</f>
        <v>5882397.4421052421</v>
      </c>
      <c r="R8">
        <f t="shared" ref="R8" si="17">R9+Q8</f>
        <v>1196695504.3402226</v>
      </c>
      <c r="S8">
        <f t="shared" ref="S8" si="18">R8/100000</f>
        <v>11966.955043402226</v>
      </c>
      <c r="T8">
        <f t="shared" ref="T8" si="19">S8/1000</f>
        <v>11.966955043402226</v>
      </c>
    </row>
    <row r="9" spans="1:20" x14ac:dyDescent="0.25">
      <c r="A9" s="5">
        <v>44584</v>
      </c>
      <c r="B9">
        <v>1.506</v>
      </c>
      <c r="C9">
        <v>1.6919999999999999</v>
      </c>
      <c r="D9">
        <v>1.4930000000000001</v>
      </c>
      <c r="E9">
        <v>1.613</v>
      </c>
      <c r="F9">
        <v>15522368.199999999</v>
      </c>
      <c r="G9">
        <v>1.613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0.20603015075376863</v>
      </c>
      <c r="Q9">
        <f t="shared" ref="Q9" si="21">F9*P9</f>
        <v>3198075.8603015039</v>
      </c>
      <c r="R9">
        <f t="shared" ref="R9" si="22">R10+Q9</f>
        <v>1190813106.8981173</v>
      </c>
      <c r="S9">
        <f t="shared" ref="S9" si="23">R9/100000</f>
        <v>11908.131068981173</v>
      </c>
      <c r="T9">
        <f t="shared" ref="T9" si="24">S9/1000</f>
        <v>11.908131068981172</v>
      </c>
    </row>
    <row r="10" spans="1:20" x14ac:dyDescent="0.25">
      <c r="A10" s="5">
        <v>44583</v>
      </c>
      <c r="B10">
        <v>1.7330000000000001</v>
      </c>
      <c r="C10">
        <v>1.766</v>
      </c>
      <c r="D10">
        <v>1.345</v>
      </c>
      <c r="E10">
        <v>1.508</v>
      </c>
      <c r="F10">
        <v>29148600.600000001</v>
      </c>
      <c r="G10">
        <v>1.508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-0.22565320665083127</v>
      </c>
      <c r="Q10">
        <f t="shared" ref="Q10" si="26">F10*P10</f>
        <v>-6577475.1947743446</v>
      </c>
      <c r="R10">
        <f t="shared" ref="R10" si="27">R11+Q10</f>
        <v>1187615031.0378158</v>
      </c>
      <c r="S10">
        <f t="shared" ref="S10" si="28">R10/100000</f>
        <v>11876.150310378158</v>
      </c>
      <c r="T10">
        <f t="shared" ref="T10" si="29">S10/1000</f>
        <v>11.876150310378158</v>
      </c>
    </row>
    <row r="11" spans="1:20" x14ac:dyDescent="0.25">
      <c r="A11" s="5">
        <v>44582</v>
      </c>
      <c r="B11">
        <v>2.1059999999999999</v>
      </c>
      <c r="C11">
        <v>2.1230000000000002</v>
      </c>
      <c r="D11">
        <v>1.68</v>
      </c>
      <c r="E11">
        <v>1.732</v>
      </c>
      <c r="F11">
        <v>27415553.100000001</v>
      </c>
      <c r="G11">
        <v>1.732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-0.76523702031602703</v>
      </c>
      <c r="Q11">
        <f t="shared" ref="Q11" si="31">F11*P11</f>
        <v>-20979396.164559819</v>
      </c>
      <c r="R11">
        <f t="shared" ref="R11" si="32">R12+Q11</f>
        <v>1194192506.2325902</v>
      </c>
      <c r="S11">
        <f t="shared" ref="S11" si="33">R11/100000</f>
        <v>11941.925062325901</v>
      </c>
      <c r="T11">
        <f t="shared" ref="T11" si="34">S11/1000</f>
        <v>11.941925062325902</v>
      </c>
    </row>
    <row r="12" spans="1:20" x14ac:dyDescent="0.25">
      <c r="A12" s="5">
        <v>44581</v>
      </c>
      <c r="B12">
        <v>2.218</v>
      </c>
      <c r="C12">
        <v>2.355</v>
      </c>
      <c r="D12">
        <v>2.0960000000000001</v>
      </c>
      <c r="E12">
        <v>2.109</v>
      </c>
      <c r="F12">
        <v>9132795.5999999996</v>
      </c>
      <c r="G12">
        <v>2.109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-0.89961389961390037</v>
      </c>
      <c r="Q12">
        <f t="shared" ref="Q12" si="36">F12*P12</f>
        <v>-8215989.8640926704</v>
      </c>
      <c r="R12">
        <f t="shared" ref="R12" si="37">R13+Q12</f>
        <v>1215171902.39715</v>
      </c>
      <c r="S12">
        <f t="shared" ref="S12" si="38">R12/100000</f>
        <v>12151.7190239715</v>
      </c>
      <c r="T12">
        <f t="shared" ref="T12" si="39">S12/1000</f>
        <v>12.1517190239715</v>
      </c>
    </row>
    <row r="13" spans="1:20" x14ac:dyDescent="0.25">
      <c r="A13" s="5">
        <v>44580</v>
      </c>
      <c r="B13">
        <v>2.2759999999999998</v>
      </c>
      <c r="C13">
        <v>2.35</v>
      </c>
      <c r="D13">
        <v>2.2040000000000002</v>
      </c>
      <c r="E13">
        <v>2.2189999999999999</v>
      </c>
      <c r="F13">
        <v>9802012.8000000007</v>
      </c>
      <c r="G13">
        <v>2.2189999999999999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-0.79452054794520977</v>
      </c>
      <c r="Q13">
        <f t="shared" ref="Q13" si="41">F13*P13</f>
        <v>-7787900.5808219602</v>
      </c>
      <c r="R13">
        <f t="shared" ref="R13" si="42">R14+Q13</f>
        <v>1223387892.2612426</v>
      </c>
      <c r="S13">
        <f t="shared" ref="S13" si="43">R13/100000</f>
        <v>12233.878922612426</v>
      </c>
      <c r="T13">
        <f t="shared" ref="T13" si="44">S13/1000</f>
        <v>12.233878922612426</v>
      </c>
    </row>
    <row r="14" spans="1:20" x14ac:dyDescent="0.25">
      <c r="A14" s="5">
        <v>44579</v>
      </c>
      <c r="B14">
        <v>2.3239999999999998</v>
      </c>
      <c r="C14">
        <v>2.351</v>
      </c>
      <c r="D14">
        <v>2.1890000000000001</v>
      </c>
      <c r="E14">
        <v>2.2730000000000001</v>
      </c>
      <c r="F14">
        <v>7535943</v>
      </c>
      <c r="G14">
        <v>2.2730000000000001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3.7037037037038457E-2</v>
      </c>
      <c r="Q14">
        <f t="shared" ref="Q14" si="46">F14*P14</f>
        <v>279109.00000001071</v>
      </c>
      <c r="R14">
        <f t="shared" ref="R14" si="47">R15+Q14</f>
        <v>1231175792.8420646</v>
      </c>
      <c r="S14">
        <f t="shared" ref="S14" si="48">R14/100000</f>
        <v>12311.757928420646</v>
      </c>
      <c r="T14">
        <f t="shared" ref="T14" si="49">S14/1000</f>
        <v>12.311757928420645</v>
      </c>
    </row>
    <row r="15" spans="1:20" x14ac:dyDescent="0.25">
      <c r="A15" s="5">
        <v>44578</v>
      </c>
      <c r="B15">
        <v>2.508</v>
      </c>
      <c r="C15">
        <v>2.5409999999999999</v>
      </c>
      <c r="D15">
        <v>2.2829999999999999</v>
      </c>
      <c r="E15">
        <v>2.3239999999999998</v>
      </c>
      <c r="F15">
        <v>9317941.5</v>
      </c>
      <c r="G15">
        <v>2.3239999999999998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-0.68217054263565946</v>
      </c>
      <c r="Q15">
        <f t="shared" ref="Q15" si="51">F15*P15</f>
        <v>-6356425.2093023304</v>
      </c>
      <c r="R15">
        <f t="shared" ref="R15" si="52">R16+Q15</f>
        <v>1230896683.8420646</v>
      </c>
      <c r="S15">
        <f t="shared" ref="S15" si="53">R15/100000</f>
        <v>12308.966838420647</v>
      </c>
      <c r="T15">
        <f t="shared" ref="T15" si="54">S15/1000</f>
        <v>12.308966838420647</v>
      </c>
    </row>
    <row r="16" spans="1:20" x14ac:dyDescent="0.25">
      <c r="A16" s="5">
        <v>44577</v>
      </c>
      <c r="B16">
        <v>2.4500000000000002</v>
      </c>
      <c r="C16">
        <v>2.5419999999999998</v>
      </c>
      <c r="D16">
        <v>2.4359999999999999</v>
      </c>
      <c r="E16">
        <v>2.508</v>
      </c>
      <c r="F16">
        <v>8500748</v>
      </c>
      <c r="G16">
        <v>2.508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0.35849056603773871</v>
      </c>
      <c r="Q16">
        <f t="shared" ref="Q16" si="56">F16*P16</f>
        <v>3047437.9622641751</v>
      </c>
      <c r="R16">
        <f t="shared" ref="R16" si="57">R17+Q16</f>
        <v>1237253109.051367</v>
      </c>
      <c r="S16">
        <f t="shared" ref="S16" si="58">R16/100000</f>
        <v>12372.53109051367</v>
      </c>
      <c r="T16">
        <f t="shared" ref="T16" si="59">S16/1000</f>
        <v>12.37253109051367</v>
      </c>
    </row>
    <row r="17" spans="1:20" x14ac:dyDescent="0.25">
      <c r="A17" s="5">
        <v>44576</v>
      </c>
      <c r="B17">
        <v>2.4089999999999998</v>
      </c>
      <c r="C17">
        <v>2.548</v>
      </c>
      <c r="D17">
        <v>2.3639999999999999</v>
      </c>
      <c r="E17">
        <v>2.452</v>
      </c>
      <c r="F17">
        <v>9066379.0999999996</v>
      </c>
      <c r="G17">
        <v>2.452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-4.3478260869565216E-2</v>
      </c>
      <c r="Q17">
        <f t="shared" ref="Q17" si="61">F17*P17</f>
        <v>-394190.3956521739</v>
      </c>
      <c r="R17">
        <f t="shared" ref="R17" si="62">R18+Q17</f>
        <v>1234205671.089103</v>
      </c>
      <c r="S17">
        <f t="shared" ref="S17" si="63">R17/100000</f>
        <v>12342.056710891029</v>
      </c>
      <c r="T17">
        <f t="shared" ref="T17" si="64">S17/1000</f>
        <v>12.342056710891029</v>
      </c>
    </row>
    <row r="18" spans="1:20" x14ac:dyDescent="0.25">
      <c r="A18" s="5">
        <v>44575</v>
      </c>
      <c r="B18">
        <v>2.3780000000000001</v>
      </c>
      <c r="C18">
        <v>2.4889999999999999</v>
      </c>
      <c r="D18">
        <v>2.3130000000000002</v>
      </c>
      <c r="E18">
        <v>2.4079999999999999</v>
      </c>
      <c r="F18">
        <v>9527550.6999999993</v>
      </c>
      <c r="G18">
        <v>2.4079999999999999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7.9545454545453489E-2</v>
      </c>
      <c r="Q18">
        <f t="shared" ref="Q18" si="66">F18*P18</f>
        <v>757873.35113635357</v>
      </c>
      <c r="R18">
        <f t="shared" ref="R18" si="67">R19+Q18</f>
        <v>1234599861.484755</v>
      </c>
      <c r="S18">
        <f t="shared" ref="S18" si="68">R18/100000</f>
        <v>12345.998614847551</v>
      </c>
      <c r="T18">
        <f t="shared" ref="T18" si="69">S18/1000</f>
        <v>12.34599861484755</v>
      </c>
    </row>
    <row r="19" spans="1:20" x14ac:dyDescent="0.25">
      <c r="A19" s="5">
        <v>44574</v>
      </c>
      <c r="B19">
        <v>2.52</v>
      </c>
      <c r="C19">
        <v>2.597</v>
      </c>
      <c r="D19">
        <v>2.363</v>
      </c>
      <c r="E19">
        <v>2.379</v>
      </c>
      <c r="F19">
        <v>16930911.800000001</v>
      </c>
      <c r="G19">
        <v>2.379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-0.86324786324786307</v>
      </c>
      <c r="Q19">
        <f t="shared" ref="Q19" si="71">F19*P19</f>
        <v>-14615573.434188033</v>
      </c>
      <c r="R19">
        <f t="shared" ref="R19" si="72">R20+Q19</f>
        <v>1233841988.1336186</v>
      </c>
      <c r="S19">
        <f t="shared" ref="S19" si="73">R19/100000</f>
        <v>12338.419881336185</v>
      </c>
      <c r="T19">
        <f t="shared" ref="T19" si="74">S19/1000</f>
        <v>12.338419881336186</v>
      </c>
    </row>
    <row r="20" spans="1:20" x14ac:dyDescent="0.25">
      <c r="A20" s="5">
        <v>44573</v>
      </c>
      <c r="B20">
        <v>2.3149999999999999</v>
      </c>
      <c r="C20">
        <v>2.7330000000000001</v>
      </c>
      <c r="D20">
        <v>2.3130000000000002</v>
      </c>
      <c r="E20">
        <v>2.52</v>
      </c>
      <c r="F20">
        <v>14096873.1</v>
      </c>
      <c r="G20">
        <v>2.52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-1.428571428571483E-2</v>
      </c>
      <c r="Q20">
        <f t="shared" ref="Q20" si="76">F20*P20</f>
        <v>-201383.90142857909</v>
      </c>
      <c r="R20">
        <f t="shared" ref="R20" si="77">R21+Q20</f>
        <v>1248457561.5678067</v>
      </c>
      <c r="S20">
        <f t="shared" ref="S20" si="78">R20/100000</f>
        <v>12484.575615678068</v>
      </c>
      <c r="T20">
        <f t="shared" ref="T20" si="79">S20/1000</f>
        <v>12.484575615678068</v>
      </c>
    </row>
    <row r="21" spans="1:20" x14ac:dyDescent="0.25">
      <c r="A21" s="5">
        <v>44572</v>
      </c>
      <c r="B21">
        <v>2.1659999999999999</v>
      </c>
      <c r="C21">
        <v>2.331</v>
      </c>
      <c r="D21">
        <v>2.1429999999999998</v>
      </c>
      <c r="E21">
        <v>2.3119999999999998</v>
      </c>
      <c r="F21">
        <v>10162555.5</v>
      </c>
      <c r="G21">
        <v>2.3119999999999998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0.79787234042553068</v>
      </c>
      <c r="Q21">
        <f t="shared" ref="Q21" si="81">F21*P21</f>
        <v>8108421.9414893491</v>
      </c>
      <c r="R21">
        <f t="shared" ref="R21" si="82">R22+Q21</f>
        <v>1248658945.4692352</v>
      </c>
      <c r="S21">
        <f t="shared" ref="S21" si="83">R21/100000</f>
        <v>12486.589454692352</v>
      </c>
      <c r="T21">
        <f t="shared" ref="T21" si="84">S21/1000</f>
        <v>12.486589454692352</v>
      </c>
    </row>
    <row r="22" spans="1:20" x14ac:dyDescent="0.25">
      <c r="A22" s="5">
        <v>44571</v>
      </c>
      <c r="B22">
        <v>2.298</v>
      </c>
      <c r="C22">
        <v>2.347</v>
      </c>
      <c r="D22">
        <v>2.08</v>
      </c>
      <c r="E22">
        <v>2.1669999999999998</v>
      </c>
      <c r="F22">
        <v>14548464.800000001</v>
      </c>
      <c r="G22">
        <v>2.1669999999999998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-0.34831460674157472</v>
      </c>
      <c r="Q22">
        <f t="shared" ref="Q22" si="86">F22*P22</f>
        <v>-5067442.7955056429</v>
      </c>
      <c r="R22">
        <f t="shared" ref="R22" si="87">R23+Q22</f>
        <v>1240550523.5277457</v>
      </c>
      <c r="S22">
        <f t="shared" ref="S22" si="88">R22/100000</f>
        <v>12405.505235277456</v>
      </c>
      <c r="T22">
        <f t="shared" ref="T22" si="89">S22/1000</f>
        <v>12.405505235277456</v>
      </c>
    </row>
    <row r="23" spans="1:20" x14ac:dyDescent="0.25">
      <c r="A23" s="5">
        <v>44570</v>
      </c>
      <c r="B23">
        <v>2.2570000000000001</v>
      </c>
      <c r="C23">
        <v>2.371</v>
      </c>
      <c r="D23">
        <v>2.2349999999999999</v>
      </c>
      <c r="E23">
        <v>2.2970000000000002</v>
      </c>
      <c r="F23">
        <v>9160642.9000000004</v>
      </c>
      <c r="G23">
        <v>2.2970000000000002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-8.8235294117643789E-2</v>
      </c>
      <c r="Q23">
        <f t="shared" ref="Q23" si="91">F23*P23</f>
        <v>-808292.02058820543</v>
      </c>
      <c r="R23">
        <f t="shared" ref="R23" si="92">R24+Q23</f>
        <v>1245617966.3232512</v>
      </c>
      <c r="S23">
        <f t="shared" ref="S23" si="93">R23/100000</f>
        <v>12456.179663232513</v>
      </c>
      <c r="T23">
        <f t="shared" ref="T23" si="94">S23/1000</f>
        <v>12.456179663232513</v>
      </c>
    </row>
    <row r="24" spans="1:20" x14ac:dyDescent="0.25">
      <c r="A24" s="5">
        <v>44569</v>
      </c>
      <c r="B24">
        <v>2.3540000000000001</v>
      </c>
      <c r="C24">
        <v>2.4369999999999998</v>
      </c>
      <c r="D24">
        <v>2.1720000000000002</v>
      </c>
      <c r="E24">
        <v>2.258</v>
      </c>
      <c r="F24">
        <v>12375580.800000001</v>
      </c>
      <c r="G24">
        <v>2.258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-0.3509433962264154</v>
      </c>
      <c r="Q24">
        <f t="shared" ref="Q24" si="96">F24*P24</f>
        <v>-4343128.3562264191</v>
      </c>
      <c r="R24">
        <f t="shared" ref="R24" si="97">R25+Q24</f>
        <v>1246426258.3438394</v>
      </c>
      <c r="S24">
        <f t="shared" ref="S24" si="98">R24/100000</f>
        <v>12464.262583438394</v>
      </c>
      <c r="T24">
        <f t="shared" ref="T24" si="99">S24/1000</f>
        <v>12.464262583438394</v>
      </c>
    </row>
    <row r="25" spans="1:20" x14ac:dyDescent="0.25">
      <c r="A25" s="5">
        <v>44568</v>
      </c>
      <c r="B25">
        <v>2.5670000000000002</v>
      </c>
      <c r="C25">
        <v>2.589</v>
      </c>
      <c r="D25">
        <v>2.3029999999999999</v>
      </c>
      <c r="E25">
        <v>2.3530000000000002</v>
      </c>
      <c r="F25">
        <v>17849698.600000001</v>
      </c>
      <c r="G25">
        <v>2.3530000000000002</v>
      </c>
      <c r="L25" t="s">
        <v>7</v>
      </c>
      <c r="M25" t="s">
        <v>8</v>
      </c>
      <c r="N25" t="s">
        <v>7</v>
      </c>
      <c r="P25">
        <f t="shared" ref="P25" si="100">IF(C25=D25,0,((E25-D25)-(C25-E25))/(C25-D25))</f>
        <v>-0.65034965034964853</v>
      </c>
      <c r="Q25">
        <f t="shared" ref="Q25" si="101">F25*P25</f>
        <v>-11608545.243356612</v>
      </c>
      <c r="R25">
        <f t="shared" ref="R25" si="102">R26+Q25</f>
        <v>1250769386.7000659</v>
      </c>
      <c r="S25">
        <f t="shared" ref="S25" si="103">R25/100000</f>
        <v>12507.693867000658</v>
      </c>
      <c r="T25">
        <f t="shared" ref="T25" si="104">S25/1000</f>
        <v>12.507693867000658</v>
      </c>
    </row>
    <row r="26" spans="1:20" x14ac:dyDescent="0.25">
      <c r="A26" s="5">
        <v>44567</v>
      </c>
      <c r="B26">
        <v>2.4449999999999998</v>
      </c>
      <c r="C26">
        <v>2.7330000000000001</v>
      </c>
      <c r="D26">
        <v>2.3159999999999998</v>
      </c>
      <c r="E26">
        <v>2.5680000000000001</v>
      </c>
      <c r="F26">
        <v>23130144.600000001</v>
      </c>
      <c r="G26">
        <v>2.5680000000000001</v>
      </c>
      <c r="L26" t="s">
        <v>8</v>
      </c>
      <c r="M26" t="s">
        <v>8</v>
      </c>
      <c r="N26" t="s">
        <v>7</v>
      </c>
      <c r="P26">
        <f t="shared" ref="P26" si="105">IF(C26=D26,0,((E26-D26)-(C26-E26))/(C26-D26))</f>
        <v>0.20863309352518017</v>
      </c>
      <c r="Q26">
        <f t="shared" ref="Q26" si="106">F26*P26</f>
        <v>4825713.6215827409</v>
      </c>
      <c r="R26">
        <f t="shared" ref="R26" si="107">R27+Q26</f>
        <v>1262377931.9434226</v>
      </c>
      <c r="S26">
        <f t="shared" ref="S26" si="108">R26/100000</f>
        <v>12623.779319434225</v>
      </c>
      <c r="T26">
        <f t="shared" ref="T26" si="109">S26/1000</f>
        <v>12.623779319434226</v>
      </c>
    </row>
    <row r="27" spans="1:20" x14ac:dyDescent="0.25">
      <c r="A27" s="5">
        <v>44566</v>
      </c>
      <c r="B27">
        <v>2.6869999999999998</v>
      </c>
      <c r="C27">
        <v>2.7930000000000001</v>
      </c>
      <c r="D27">
        <v>2.238</v>
      </c>
      <c r="E27">
        <v>2.4420000000000002</v>
      </c>
      <c r="F27">
        <v>20412532.699999999</v>
      </c>
      <c r="G27">
        <v>2.4420000000000002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-0.26486486486486444</v>
      </c>
      <c r="Q27">
        <f t="shared" ref="Q27" si="111">F27*P27</f>
        <v>-5406562.7151351264</v>
      </c>
      <c r="R27">
        <f t="shared" ref="R27" si="112">R28+Q27</f>
        <v>1257552218.3218398</v>
      </c>
      <c r="S27">
        <f t="shared" ref="S27" si="113">R27/100000</f>
        <v>12575.522183218398</v>
      </c>
      <c r="T27">
        <f t="shared" ref="T27" si="114">S27/1000</f>
        <v>12.575522183218398</v>
      </c>
    </row>
    <row r="28" spans="1:20" x14ac:dyDescent="0.25">
      <c r="A28" s="5">
        <v>44565</v>
      </c>
      <c r="B28">
        <v>2.7930000000000001</v>
      </c>
      <c r="C28">
        <v>2.859</v>
      </c>
      <c r="D28">
        <v>2.6629999999999998</v>
      </c>
      <c r="E28">
        <v>2.6880000000000002</v>
      </c>
      <c r="F28">
        <v>12944143.300000001</v>
      </c>
      <c r="G28">
        <v>2.6880000000000002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-0.74489795918367008</v>
      </c>
      <c r="Q28">
        <f t="shared" ref="Q28" si="116">F28*P28</f>
        <v>-9642065.9275509771</v>
      </c>
      <c r="R28">
        <f t="shared" ref="R28" si="117">R29+Q28</f>
        <v>1262958781.0369749</v>
      </c>
      <c r="S28">
        <f t="shared" ref="S28" si="118">R28/100000</f>
        <v>12629.587810369749</v>
      </c>
      <c r="T28">
        <f t="shared" ref="T28" si="119">S28/1000</f>
        <v>12.629587810369749</v>
      </c>
    </row>
    <row r="29" spans="1:20" x14ac:dyDescent="0.25">
      <c r="A29" s="5">
        <v>44564</v>
      </c>
      <c r="B29">
        <v>2.855</v>
      </c>
      <c r="C29">
        <v>2.9510000000000001</v>
      </c>
      <c r="D29">
        <v>2.7090000000000001</v>
      </c>
      <c r="E29">
        <v>2.7919999999999998</v>
      </c>
      <c r="F29">
        <v>17530233.899999999</v>
      </c>
      <c r="G29">
        <v>2.7919999999999998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-0.31404958677686162</v>
      </c>
      <c r="Q29">
        <f t="shared" ref="Q29" si="121">F29*P29</f>
        <v>-5505362.7123967307</v>
      </c>
      <c r="R29">
        <f t="shared" ref="R29" si="122">R30+Q29</f>
        <v>1272600846.9645259</v>
      </c>
      <c r="S29">
        <f t="shared" ref="S29" si="123">R29/100000</f>
        <v>12726.00846964526</v>
      </c>
      <c r="T29">
        <f t="shared" ref="T29" si="124">S29/1000</f>
        <v>12.72600846964526</v>
      </c>
    </row>
    <row r="30" spans="1:20" x14ac:dyDescent="0.25">
      <c r="A30" s="5">
        <v>44563</v>
      </c>
      <c r="B30">
        <v>2.6819999999999999</v>
      </c>
      <c r="C30">
        <v>2.9329999999999998</v>
      </c>
      <c r="D30">
        <v>2.661</v>
      </c>
      <c r="E30">
        <v>2.8540000000000001</v>
      </c>
      <c r="F30">
        <v>17881397.199999999</v>
      </c>
      <c r="G30">
        <v>2.8540000000000001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0.41911764705882504</v>
      </c>
      <c r="Q30">
        <f t="shared" ref="Q30" si="126">F30*P30</f>
        <v>7494409.1205882616</v>
      </c>
      <c r="R30">
        <f t="shared" ref="R30" si="127">R31+Q30</f>
        <v>1278106209.6769226</v>
      </c>
      <c r="S30">
        <f t="shared" ref="S30" si="128">R30/100000</f>
        <v>12781.062096769225</v>
      </c>
      <c r="T30">
        <f t="shared" ref="T30" si="129">S30/1000</f>
        <v>12.781062096769224</v>
      </c>
    </row>
    <row r="31" spans="1:20" x14ac:dyDescent="0.25">
      <c r="A31" s="5">
        <v>44562</v>
      </c>
      <c r="B31">
        <v>2.5760000000000001</v>
      </c>
      <c r="C31">
        <v>2.702</v>
      </c>
      <c r="D31">
        <v>2.5619999999999998</v>
      </c>
      <c r="E31">
        <v>2.6829999999999998</v>
      </c>
      <c r="F31">
        <v>6490335.0999999996</v>
      </c>
      <c r="G31">
        <v>2.6829999999999998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0.72857142857142698</v>
      </c>
      <c r="Q31">
        <f t="shared" ref="Q31" si="131">F31*P31</f>
        <v>4728672.7157142749</v>
      </c>
      <c r="R31">
        <f t="shared" ref="R31" si="132">R32+Q31</f>
        <v>1270611800.5563343</v>
      </c>
      <c r="S31">
        <f t="shared" ref="S31" si="133">R31/100000</f>
        <v>12706.118005563343</v>
      </c>
      <c r="T31">
        <f t="shared" ref="T31" si="134">S31/1000</f>
        <v>12.706118005563344</v>
      </c>
    </row>
    <row r="32" spans="1:20" x14ac:dyDescent="0.25">
      <c r="A32" s="5">
        <v>44561</v>
      </c>
      <c r="B32">
        <v>2.6429999999999998</v>
      </c>
      <c r="C32">
        <v>2.7429999999999999</v>
      </c>
      <c r="D32">
        <v>2.5179999999999998</v>
      </c>
      <c r="E32">
        <v>2.5750000000000002</v>
      </c>
      <c r="F32">
        <v>15144708.9</v>
      </c>
      <c r="G32">
        <v>2.5750000000000002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-0.49333333333333013</v>
      </c>
      <c r="Q32">
        <f t="shared" ref="Q32" si="136">F32*P32</f>
        <v>-7471389.723999952</v>
      </c>
      <c r="R32">
        <f t="shared" ref="R32" si="137">R33+Q32</f>
        <v>1265883127.84062</v>
      </c>
      <c r="S32">
        <f t="shared" ref="S32" si="138">R32/100000</f>
        <v>12658.8312784062</v>
      </c>
      <c r="T32">
        <f t="shared" ref="T32" si="139">S32/1000</f>
        <v>12.6588312784062</v>
      </c>
    </row>
    <row r="33" spans="1:20" x14ac:dyDescent="0.25">
      <c r="A33" s="5">
        <v>44560</v>
      </c>
      <c r="B33">
        <v>2.6459999999999999</v>
      </c>
      <c r="C33">
        <v>2.7490000000000001</v>
      </c>
      <c r="D33">
        <v>2.552</v>
      </c>
      <c r="E33">
        <v>2.6440000000000001</v>
      </c>
      <c r="F33">
        <v>11203674.1</v>
      </c>
      <c r="G33">
        <v>2.6440000000000001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-6.5989847715735517E-2</v>
      </c>
      <c r="Q33">
        <f t="shared" ref="Q33" si="141">F33*P33</f>
        <v>-739328.7477157301</v>
      </c>
      <c r="R33">
        <f t="shared" ref="R33" si="142">R34+Q33</f>
        <v>1273354517.56462</v>
      </c>
      <c r="S33">
        <f t="shared" ref="S33" si="143">R33/100000</f>
        <v>12733.545175646201</v>
      </c>
      <c r="T33">
        <f t="shared" ref="T33" si="144">S33/1000</f>
        <v>12.733545175646201</v>
      </c>
    </row>
    <row r="34" spans="1:20" x14ac:dyDescent="0.25">
      <c r="A34" s="5">
        <v>44559</v>
      </c>
      <c r="B34">
        <v>2.7570000000000001</v>
      </c>
      <c r="C34">
        <v>2.8639999999999999</v>
      </c>
      <c r="D34">
        <v>2.6</v>
      </c>
      <c r="E34">
        <v>2.6480000000000001</v>
      </c>
      <c r="F34">
        <v>14281932</v>
      </c>
      <c r="G34">
        <v>2.6480000000000001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-0.6363636363636358</v>
      </c>
      <c r="Q34">
        <f t="shared" ref="Q34" si="146">F34*P34</f>
        <v>-9088502.1818181742</v>
      </c>
      <c r="R34">
        <f t="shared" ref="R34" si="147">R35+Q34</f>
        <v>1274093846.3123357</v>
      </c>
      <c r="S34">
        <f t="shared" ref="S34" si="148">R34/100000</f>
        <v>12740.938463123357</v>
      </c>
      <c r="T34">
        <f t="shared" ref="T34" si="149">S34/1000</f>
        <v>12.740938463123356</v>
      </c>
    </row>
    <row r="35" spans="1:20" x14ac:dyDescent="0.25">
      <c r="A35" s="5">
        <v>44558</v>
      </c>
      <c r="B35">
        <v>3.081</v>
      </c>
      <c r="C35">
        <v>3.0830000000000002</v>
      </c>
      <c r="D35">
        <v>2.71</v>
      </c>
      <c r="E35">
        <v>2.7570000000000001</v>
      </c>
      <c r="F35">
        <v>19634786.800000001</v>
      </c>
      <c r="G35">
        <v>2.7570000000000001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-0.74798927613940946</v>
      </c>
      <c r="Q35">
        <f t="shared" ref="Q35" si="151">F35*P35</f>
        <v>-14686609.965683632</v>
      </c>
      <c r="R35">
        <f t="shared" ref="R35" si="152">R36+Q35</f>
        <v>1283182348.494154</v>
      </c>
      <c r="S35">
        <f t="shared" ref="S35" si="153">R35/100000</f>
        <v>12831.82348494154</v>
      </c>
      <c r="T35">
        <f t="shared" ref="T35" si="154">S35/1000</f>
        <v>12.831823484941541</v>
      </c>
    </row>
    <row r="36" spans="1:20" x14ac:dyDescent="0.25">
      <c r="A36" s="5">
        <v>44557</v>
      </c>
      <c r="B36">
        <v>3.1909999999999998</v>
      </c>
      <c r="C36">
        <v>3.2519999999999998</v>
      </c>
      <c r="D36">
        <v>3.0579999999999998</v>
      </c>
      <c r="E36">
        <v>3.081</v>
      </c>
      <c r="F36">
        <v>15801685.699999999</v>
      </c>
      <c r="G36">
        <v>3.081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-0.76288659793814295</v>
      </c>
      <c r="Q36">
        <f t="shared" ref="Q36" si="156">F36*P36</f>
        <v>-12054894.245360803</v>
      </c>
      <c r="R36">
        <f t="shared" ref="R36" si="157">R37+Q36</f>
        <v>1297868958.4598377</v>
      </c>
      <c r="S36">
        <f t="shared" ref="S36" si="158">R36/100000</f>
        <v>12978.689584598376</v>
      </c>
      <c r="T36">
        <f t="shared" ref="T36" si="159">S36/1000</f>
        <v>12.978689584598376</v>
      </c>
    </row>
    <row r="37" spans="1:20" x14ac:dyDescent="0.25">
      <c r="A37" s="5">
        <v>44556</v>
      </c>
      <c r="B37">
        <v>3.1280000000000001</v>
      </c>
      <c r="C37">
        <v>3.339</v>
      </c>
      <c r="D37">
        <v>3</v>
      </c>
      <c r="E37">
        <v>3.1890000000000001</v>
      </c>
      <c r="F37">
        <v>22049298.699999999</v>
      </c>
      <c r="G37">
        <v>3.1890000000000001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0.11504424778761106</v>
      </c>
      <c r="Q37">
        <f t="shared" ref="Q37" si="161">F37*P37</f>
        <v>2536644.9831858505</v>
      </c>
      <c r="R37">
        <f t="shared" ref="R37" si="162">R38+Q37</f>
        <v>1309923852.7051985</v>
      </c>
      <c r="S37">
        <f t="shared" ref="S37" si="163">R37/100000</f>
        <v>13099.238527051984</v>
      </c>
      <c r="T37">
        <f t="shared" ref="T37" si="164">S37/1000</f>
        <v>13.099238527051984</v>
      </c>
    </row>
    <row r="38" spans="1:20" x14ac:dyDescent="0.25">
      <c r="A38" s="5">
        <v>44555</v>
      </c>
      <c r="B38">
        <v>2.7989999999999999</v>
      </c>
      <c r="C38">
        <v>3.28</v>
      </c>
      <c r="D38">
        <v>2.7709999999999999</v>
      </c>
      <c r="E38">
        <v>3.1280000000000001</v>
      </c>
      <c r="F38">
        <v>25781991.899999999</v>
      </c>
      <c r="G38">
        <v>3.1280000000000001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0.40275049115913664</v>
      </c>
      <c r="Q38">
        <f t="shared" ref="Q38" si="166">F38*P38</f>
        <v>10383709.900785882</v>
      </c>
      <c r="R38">
        <f t="shared" ref="R38" si="167">R39+Q38</f>
        <v>1307387207.7220128</v>
      </c>
      <c r="S38">
        <f t="shared" ref="S38" si="168">R38/100000</f>
        <v>13073.872077220127</v>
      </c>
      <c r="T38">
        <f t="shared" ref="T38" si="169">S38/1000</f>
        <v>13.073872077220127</v>
      </c>
    </row>
    <row r="39" spans="1:20" x14ac:dyDescent="0.25">
      <c r="A39" s="5">
        <v>44554</v>
      </c>
      <c r="B39">
        <v>2.9780000000000002</v>
      </c>
      <c r="C39">
        <v>2.9790000000000001</v>
      </c>
      <c r="D39">
        <v>2.7480000000000002</v>
      </c>
      <c r="E39">
        <v>2.7989999999999999</v>
      </c>
      <c r="F39">
        <v>13089596.4</v>
      </c>
      <c r="G39">
        <v>2.7989999999999999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-0.55844155844156074</v>
      </c>
      <c r="Q39">
        <f t="shared" ref="Q39" si="171">F39*P39</f>
        <v>-7309774.6129870433</v>
      </c>
      <c r="R39">
        <f t="shared" ref="R39" si="172">R40+Q39</f>
        <v>1297003497.8212268</v>
      </c>
      <c r="S39">
        <f t="shared" ref="S39" si="173">R39/100000</f>
        <v>12970.034978212268</v>
      </c>
      <c r="T39">
        <f t="shared" ref="T39" si="174">S39/1000</f>
        <v>12.970034978212269</v>
      </c>
    </row>
    <row r="40" spans="1:20" x14ac:dyDescent="0.25">
      <c r="A40" s="5">
        <v>44553</v>
      </c>
      <c r="B40">
        <v>2.5880000000000001</v>
      </c>
      <c r="C40">
        <v>2.9790000000000001</v>
      </c>
      <c r="D40">
        <v>2.54</v>
      </c>
      <c r="E40">
        <v>2.9780000000000002</v>
      </c>
      <c r="F40">
        <v>17922678.899999999</v>
      </c>
      <c r="G40">
        <v>2.9780000000000002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0.995444191343964</v>
      </c>
      <c r="Q40">
        <f t="shared" ref="Q40" si="176">F40*P40</f>
        <v>17841026.604328025</v>
      </c>
      <c r="R40">
        <f t="shared" ref="R40" si="177">R41+Q40</f>
        <v>1304313272.4342139</v>
      </c>
      <c r="S40">
        <f t="shared" ref="S40" si="178">R40/100000</f>
        <v>13043.132724342138</v>
      </c>
      <c r="T40">
        <f t="shared" ref="T40" si="179">S40/1000</f>
        <v>13.043132724342138</v>
      </c>
    </row>
    <row r="41" spans="1:20" x14ac:dyDescent="0.25">
      <c r="A41" s="5">
        <v>44552</v>
      </c>
      <c r="B41">
        <v>2.4350000000000001</v>
      </c>
      <c r="C41">
        <v>2.7240000000000002</v>
      </c>
      <c r="D41">
        <v>2.4289999999999998</v>
      </c>
      <c r="E41">
        <v>2.5870000000000002</v>
      </c>
      <c r="F41">
        <v>18150328</v>
      </c>
      <c r="G41">
        <v>2.5870000000000002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7.11864406779672E-2</v>
      </c>
      <c r="Q41">
        <f t="shared" ref="Q41" si="181">F41*P41</f>
        <v>1292057.247457647</v>
      </c>
      <c r="R41">
        <f t="shared" ref="R41" si="182">R42+Q41</f>
        <v>1286472245.829886</v>
      </c>
      <c r="S41">
        <f t="shared" ref="S41" si="183">R41/100000</f>
        <v>12864.72245829886</v>
      </c>
      <c r="T41">
        <f t="shared" ref="T41" si="184">S41/1000</f>
        <v>12.864722458298861</v>
      </c>
    </row>
    <row r="42" spans="1:20" x14ac:dyDescent="0.25">
      <c r="A42" s="5">
        <v>44551</v>
      </c>
      <c r="B42">
        <v>2.3109999999999999</v>
      </c>
      <c r="C42">
        <v>2.4689999999999999</v>
      </c>
      <c r="D42">
        <v>2.262</v>
      </c>
      <c r="E42">
        <v>2.4359999999999999</v>
      </c>
      <c r="F42">
        <v>13280425.199999999</v>
      </c>
      <c r="G42">
        <v>2.4359999999999999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0.68115942028985565</v>
      </c>
      <c r="Q42">
        <f t="shared" ref="Q42" si="186">F42*P42</f>
        <v>9046086.7304347903</v>
      </c>
      <c r="R42">
        <f t="shared" ref="R42" si="187">R43+Q42</f>
        <v>1285180188.5824282</v>
      </c>
      <c r="S42">
        <f t="shared" ref="S42" si="188">R42/100000</f>
        <v>12851.801885824281</v>
      </c>
      <c r="T42">
        <f t="shared" ref="T42" si="189">S42/1000</f>
        <v>12.851801885824282</v>
      </c>
    </row>
    <row r="43" spans="1:20" x14ac:dyDescent="0.25">
      <c r="A43" s="5">
        <v>44550</v>
      </c>
      <c r="B43">
        <v>2.3340000000000001</v>
      </c>
      <c r="C43">
        <v>2.371</v>
      </c>
      <c r="D43">
        <v>2.161</v>
      </c>
      <c r="E43">
        <v>2.3090000000000002</v>
      </c>
      <c r="F43">
        <v>11045298.9</v>
      </c>
      <c r="G43">
        <v>2.3090000000000002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0.40952380952381101</v>
      </c>
      <c r="Q43">
        <f t="shared" ref="Q43" si="191">F43*P43</f>
        <v>4523312.8828571597</v>
      </c>
      <c r="R43">
        <f t="shared" ref="R43" si="192">R44+Q43</f>
        <v>1276134101.8519933</v>
      </c>
      <c r="S43">
        <f t="shared" ref="S43" si="193">R43/100000</f>
        <v>12761.341018519934</v>
      </c>
      <c r="T43">
        <f t="shared" ref="T43" si="194">S43/1000</f>
        <v>12.761341018519934</v>
      </c>
    </row>
    <row r="44" spans="1:20" x14ac:dyDescent="0.25">
      <c r="A44" s="5">
        <v>44549</v>
      </c>
      <c r="B44">
        <v>2.4049999999999998</v>
      </c>
      <c r="C44">
        <v>2.4889999999999999</v>
      </c>
      <c r="D44">
        <v>2.3290000000000002</v>
      </c>
      <c r="E44">
        <v>2.335</v>
      </c>
      <c r="F44">
        <v>8702613.0999999996</v>
      </c>
      <c r="G44">
        <v>2.335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-0.9250000000000026</v>
      </c>
      <c r="Q44">
        <f t="shared" ref="Q44" si="196">F44*P44</f>
        <v>-8049917.1175000221</v>
      </c>
      <c r="R44">
        <f t="shared" ref="R44" si="197">R45+Q44</f>
        <v>1271610788.9691362</v>
      </c>
      <c r="S44">
        <f t="shared" ref="S44" si="198">R44/100000</f>
        <v>12716.107889691362</v>
      </c>
      <c r="T44">
        <f t="shared" ref="T44" si="199">S44/1000</f>
        <v>12.716107889691362</v>
      </c>
    </row>
    <row r="45" spans="1:20" x14ac:dyDescent="0.25">
      <c r="A45" s="5">
        <v>44548</v>
      </c>
      <c r="B45">
        <v>2.2970000000000002</v>
      </c>
      <c r="C45">
        <v>2.448</v>
      </c>
      <c r="D45">
        <v>2.2559999999999998</v>
      </c>
      <c r="E45">
        <v>2.4039999999999999</v>
      </c>
      <c r="F45">
        <v>10658285.699999999</v>
      </c>
      <c r="G45">
        <v>2.4039999999999999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0.54166666666666663</v>
      </c>
      <c r="Q45">
        <f t="shared" ref="Q45" si="201">F45*P45</f>
        <v>5773238.0874999994</v>
      </c>
      <c r="R45">
        <f t="shared" ref="R45" si="202">R46+Q45</f>
        <v>1279660706.0866363</v>
      </c>
      <c r="S45">
        <f t="shared" ref="S45" si="203">R45/100000</f>
        <v>12796.607060866363</v>
      </c>
      <c r="T45">
        <f t="shared" ref="T45" si="204">S45/1000</f>
        <v>12.796607060866362</v>
      </c>
    </row>
    <row r="46" spans="1:20" x14ac:dyDescent="0.25">
      <c r="A46" s="5">
        <v>44547</v>
      </c>
      <c r="B46">
        <v>2.375</v>
      </c>
      <c r="C46">
        <v>2.46</v>
      </c>
      <c r="D46">
        <v>2.2130000000000001</v>
      </c>
      <c r="E46">
        <v>2.2989999999999999</v>
      </c>
      <c r="F46">
        <v>12939642.9</v>
      </c>
      <c r="G46">
        <v>2.2989999999999999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-0.30364372469635714</v>
      </c>
      <c r="Q46">
        <f t="shared" ref="Q46" si="206">F46*P46</f>
        <v>-3929041.3663967727</v>
      </c>
      <c r="R46">
        <f t="shared" ref="R46" si="207">R47+Q46</f>
        <v>1273887467.9991362</v>
      </c>
      <c r="S46">
        <f t="shared" ref="S46" si="208">R46/100000</f>
        <v>12738.874679991362</v>
      </c>
      <c r="T46">
        <f t="shared" ref="T46" si="209">S46/1000</f>
        <v>12.738874679991362</v>
      </c>
    </row>
    <row r="47" spans="1:20" x14ac:dyDescent="0.25">
      <c r="A47" s="5">
        <v>44546</v>
      </c>
      <c r="B47">
        <v>2.4870000000000001</v>
      </c>
      <c r="C47">
        <v>2.5680000000000001</v>
      </c>
      <c r="D47">
        <v>2.363</v>
      </c>
      <c r="E47">
        <v>2.3740000000000001</v>
      </c>
      <c r="F47">
        <v>12119435.800000001</v>
      </c>
      <c r="G47">
        <v>2.3740000000000001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-0.8926829268292672</v>
      </c>
      <c r="Q47">
        <f t="shared" ref="Q47" si="211">F47*P47</f>
        <v>-10818813.421463402</v>
      </c>
      <c r="R47">
        <f t="shared" ref="R47" si="212">R48+Q47</f>
        <v>1277816509.3655329</v>
      </c>
      <c r="S47">
        <f t="shared" ref="S47" si="213">R47/100000</f>
        <v>12778.165093655329</v>
      </c>
      <c r="T47">
        <f t="shared" ref="T47" si="214">S47/1000</f>
        <v>12.778165093655328</v>
      </c>
    </row>
    <row r="48" spans="1:20" x14ac:dyDescent="0.25">
      <c r="A48" s="5">
        <v>44545</v>
      </c>
      <c r="B48">
        <v>2.351</v>
      </c>
      <c r="C48">
        <v>2.5209999999999999</v>
      </c>
      <c r="D48">
        <v>2.1890000000000001</v>
      </c>
      <c r="E48">
        <v>2.4860000000000002</v>
      </c>
      <c r="F48">
        <v>15525390.1</v>
      </c>
      <c r="G48">
        <v>2.4860000000000002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0.7891566265060258</v>
      </c>
      <c r="Q48">
        <f t="shared" ref="Q48" si="216">F48*P48</f>
        <v>12251964.476506051</v>
      </c>
      <c r="R48">
        <f t="shared" ref="R48" si="217">R49+Q48</f>
        <v>1288635322.7869964</v>
      </c>
      <c r="S48">
        <f t="shared" ref="S48" si="218">R48/100000</f>
        <v>12886.353227869964</v>
      </c>
      <c r="T48">
        <f t="shared" ref="T48" si="219">S48/1000</f>
        <v>12.886353227869964</v>
      </c>
    </row>
    <row r="49" spans="1:20" x14ac:dyDescent="0.25">
      <c r="A49" s="5">
        <v>44544</v>
      </c>
      <c r="B49">
        <v>2.323</v>
      </c>
      <c r="C49">
        <v>2.3730000000000002</v>
      </c>
      <c r="D49">
        <v>2.2349999999999999</v>
      </c>
      <c r="E49">
        <v>2.3519999999999999</v>
      </c>
      <c r="F49">
        <v>13007635.5</v>
      </c>
      <c r="G49">
        <v>2.3519999999999999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0.69565217391303913</v>
      </c>
      <c r="Q49">
        <f t="shared" ref="Q49" si="221">F49*P49</f>
        <v>9048789.9130434208</v>
      </c>
      <c r="R49">
        <f t="shared" ref="R49" si="222">R50+Q49</f>
        <v>1276383358.3104904</v>
      </c>
      <c r="S49">
        <f t="shared" ref="S49" si="223">R49/100000</f>
        <v>12763.833583104904</v>
      </c>
      <c r="T49">
        <f t="shared" ref="T49" si="224">S49/1000</f>
        <v>12.763833583104905</v>
      </c>
    </row>
    <row r="50" spans="1:20" x14ac:dyDescent="0.25">
      <c r="A50" s="5">
        <v>44543</v>
      </c>
      <c r="B50">
        <v>2.69</v>
      </c>
      <c r="C50">
        <v>2.7559999999999998</v>
      </c>
      <c r="D50">
        <v>2.2549999999999999</v>
      </c>
      <c r="E50">
        <v>2.323</v>
      </c>
      <c r="F50">
        <v>15267604.300000001</v>
      </c>
      <c r="G50">
        <v>2.323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-0.7285429141716564</v>
      </c>
      <c r="Q50">
        <f t="shared" ref="Q50" si="226">F50*P50</f>
        <v>-11123104.929141713</v>
      </c>
      <c r="R50">
        <f t="shared" ref="R50" si="227">R51+Q50</f>
        <v>1267334568.3974469</v>
      </c>
      <c r="S50">
        <f t="shared" ref="S50" si="228">R50/100000</f>
        <v>12673.345683974469</v>
      </c>
      <c r="T50">
        <f t="shared" ref="T50" si="229">S50/1000</f>
        <v>12.673345683974469</v>
      </c>
    </row>
    <row r="51" spans="1:20" x14ac:dyDescent="0.25">
      <c r="A51" s="5">
        <v>44542</v>
      </c>
      <c r="B51">
        <v>2.5510000000000002</v>
      </c>
      <c r="C51">
        <v>2.7389999999999999</v>
      </c>
      <c r="D51">
        <v>2.5299999999999998</v>
      </c>
      <c r="E51">
        <v>2.6909999999999998</v>
      </c>
      <c r="F51">
        <v>11585463.300000001</v>
      </c>
      <c r="G51">
        <v>2.6909999999999998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0.54066985645932986</v>
      </c>
      <c r="Q51">
        <f t="shared" ref="Q51" si="231">F51*P51</f>
        <v>6263910.7794258343</v>
      </c>
      <c r="R51">
        <f t="shared" ref="R51" si="232">R52+Q51</f>
        <v>1278457673.3265886</v>
      </c>
      <c r="S51">
        <f t="shared" ref="S51" si="233">R51/100000</f>
        <v>12784.576733265887</v>
      </c>
      <c r="T51">
        <f t="shared" ref="T51" si="234">S51/1000</f>
        <v>12.784576733265887</v>
      </c>
    </row>
    <row r="52" spans="1:20" x14ac:dyDescent="0.25">
      <c r="A52" s="5">
        <v>44541</v>
      </c>
      <c r="B52">
        <v>2.4260000000000002</v>
      </c>
      <c r="C52">
        <v>2.4580000000000002</v>
      </c>
      <c r="D52">
        <v>2.3620000000000001</v>
      </c>
      <c r="E52">
        <v>2.4369999999999998</v>
      </c>
      <c r="F52">
        <v>1106555.8</v>
      </c>
      <c r="G52">
        <v>2.4369999999999998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0.56249999999999312</v>
      </c>
      <c r="Q52">
        <f t="shared" ref="Q52" si="236">F52*P52</f>
        <v>622437.63749999239</v>
      </c>
      <c r="R52">
        <f t="shared" ref="R52" si="237">R53+Q52</f>
        <v>1272193762.5471628</v>
      </c>
      <c r="S52">
        <f t="shared" ref="S52" si="238">R52/100000</f>
        <v>12721.937625471628</v>
      </c>
      <c r="T52">
        <f t="shared" ref="T52" si="239">S52/1000</f>
        <v>12.721937625471629</v>
      </c>
    </row>
    <row r="53" spans="1:20" x14ac:dyDescent="0.25">
      <c r="A53" s="5">
        <v>44540</v>
      </c>
      <c r="B53">
        <v>2.5670000000000002</v>
      </c>
      <c r="C53">
        <v>2.6739999999999999</v>
      </c>
      <c r="D53">
        <v>2.4129999999999998</v>
      </c>
      <c r="E53">
        <v>2.427</v>
      </c>
      <c r="F53">
        <v>14060609.5</v>
      </c>
      <c r="G53">
        <v>2.427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-0.89272030651340817</v>
      </c>
      <c r="Q53">
        <f t="shared" ref="Q53" si="241">F53*P53</f>
        <v>-12552191.622605339</v>
      </c>
      <c r="R53">
        <f t="shared" ref="R53" si="242">R54+Q53</f>
        <v>1271571324.9096627</v>
      </c>
      <c r="S53">
        <f t="shared" ref="S53" si="243">R53/100000</f>
        <v>12715.713249096627</v>
      </c>
      <c r="T53">
        <f t="shared" ref="T53" si="244">S53/1000</f>
        <v>12.715713249096627</v>
      </c>
    </row>
    <row r="54" spans="1:20" x14ac:dyDescent="0.25">
      <c r="A54" s="5">
        <v>44539</v>
      </c>
      <c r="B54">
        <v>2.9020000000000001</v>
      </c>
      <c r="C54">
        <v>2.9220000000000002</v>
      </c>
      <c r="D54">
        <v>2.544</v>
      </c>
      <c r="E54">
        <v>2.5680000000000001</v>
      </c>
      <c r="F54">
        <v>18580871.199999999</v>
      </c>
      <c r="G54">
        <v>2.5680000000000001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-0.87301587301587291</v>
      </c>
      <c r="Q54">
        <f t="shared" ref="Q54" si="246">F54*P54</f>
        <v>-16221395.492063489</v>
      </c>
      <c r="R54">
        <f t="shared" ref="R54" si="247">R55+Q54</f>
        <v>1284123516.532268</v>
      </c>
      <c r="S54">
        <f t="shared" ref="S54" si="248">R54/100000</f>
        <v>12841.23516532268</v>
      </c>
      <c r="T54">
        <f t="shared" ref="T54" si="249">S54/1000</f>
        <v>12.841235165322679</v>
      </c>
    </row>
    <row r="55" spans="1:20" x14ac:dyDescent="0.25">
      <c r="A55" s="5">
        <v>44538</v>
      </c>
      <c r="B55">
        <v>2.7989999999999999</v>
      </c>
      <c r="C55">
        <v>2.9289999999999998</v>
      </c>
      <c r="D55">
        <v>2.6259999999999999</v>
      </c>
      <c r="E55">
        <v>2.9020000000000001</v>
      </c>
      <c r="F55">
        <v>14094303.5</v>
      </c>
      <c r="G55">
        <v>2.9020000000000001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0.82178217821782373</v>
      </c>
      <c r="Q55">
        <f t="shared" ref="Q55" si="251">F55*P55</f>
        <v>11582447.430693097</v>
      </c>
      <c r="R55">
        <f t="shared" ref="R55" si="252">R56+Q55</f>
        <v>1300344912.0243316</v>
      </c>
      <c r="S55">
        <f t="shared" ref="S55" si="253">R55/100000</f>
        <v>13003.449120243316</v>
      </c>
      <c r="T55">
        <f t="shared" ref="T55" si="254">S55/1000</f>
        <v>13.003449120243316</v>
      </c>
    </row>
    <row r="56" spans="1:20" x14ac:dyDescent="0.25">
      <c r="A56" s="5">
        <v>44537</v>
      </c>
      <c r="B56">
        <v>2.8860000000000001</v>
      </c>
      <c r="C56">
        <v>3.01</v>
      </c>
      <c r="D56">
        <v>2.738</v>
      </c>
      <c r="E56">
        <v>2.7989999999999999</v>
      </c>
      <c r="F56">
        <v>19156197.399999999</v>
      </c>
      <c r="G56">
        <v>2.7989999999999999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-0.55147058823529416</v>
      </c>
      <c r="Q56">
        <f t="shared" ref="Q56" si="256">F56*P56</f>
        <v>-10564079.448529411</v>
      </c>
      <c r="R56">
        <f t="shared" ref="R56" si="257">R57+Q56</f>
        <v>1288762464.5936384</v>
      </c>
      <c r="S56">
        <f t="shared" ref="S56" si="258">R56/100000</f>
        <v>12887.624645936385</v>
      </c>
      <c r="T56">
        <f t="shared" ref="T56" si="259">S56/1000</f>
        <v>12.887624645936384</v>
      </c>
    </row>
    <row r="57" spans="1:20" x14ac:dyDescent="0.25">
      <c r="A57" s="5">
        <v>44536</v>
      </c>
      <c r="B57">
        <v>2.73</v>
      </c>
      <c r="C57">
        <v>2.9220000000000002</v>
      </c>
      <c r="D57">
        <v>2.3660000000000001</v>
      </c>
      <c r="E57">
        <v>2.8860000000000001</v>
      </c>
      <c r="F57">
        <v>21981752.899999999</v>
      </c>
      <c r="G57">
        <v>2.8860000000000001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0.87050359712230208</v>
      </c>
      <c r="Q57">
        <f t="shared" ref="Q57" si="261">F57*P57</f>
        <v>19135194.970503595</v>
      </c>
      <c r="R57">
        <f t="shared" ref="R57" si="262">R58+Q57</f>
        <v>1299326544.0421679</v>
      </c>
      <c r="S57">
        <f t="shared" ref="S57" si="263">R57/100000</f>
        <v>12993.265440421679</v>
      </c>
      <c r="T57">
        <f t="shared" ref="T57" si="264">S57/1000</f>
        <v>12.993265440421679</v>
      </c>
    </row>
    <row r="58" spans="1:20" x14ac:dyDescent="0.25">
      <c r="A58" s="5">
        <v>44535</v>
      </c>
      <c r="B58">
        <v>3.0139999999999998</v>
      </c>
      <c r="C58">
        <v>3.14</v>
      </c>
      <c r="D58">
        <v>2.621</v>
      </c>
      <c r="E58">
        <v>2.7280000000000002</v>
      </c>
      <c r="F58">
        <v>24823403</v>
      </c>
      <c r="G58">
        <v>2.7280000000000002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-0.58766859344893962</v>
      </c>
      <c r="Q58">
        <f t="shared" ref="Q58" si="266">F58*P58</f>
        <v>-14587934.325626189</v>
      </c>
      <c r="R58">
        <f t="shared" ref="R58" si="267">R59+Q58</f>
        <v>1280191349.0716643</v>
      </c>
      <c r="S58">
        <f t="shared" ref="S58" si="268">R58/100000</f>
        <v>12801.913490716643</v>
      </c>
      <c r="T58">
        <f t="shared" ref="T58" si="269">S58/1000</f>
        <v>12.801913490716643</v>
      </c>
    </row>
    <row r="59" spans="1:20" x14ac:dyDescent="0.25">
      <c r="A59" s="5">
        <v>44534</v>
      </c>
      <c r="B59">
        <v>3.0979999999999999</v>
      </c>
      <c r="C59">
        <v>3.11</v>
      </c>
      <c r="D59">
        <v>2</v>
      </c>
      <c r="E59">
        <v>3.0139999999999998</v>
      </c>
      <c r="F59">
        <v>45260047.399999999</v>
      </c>
      <c r="G59">
        <v>3.0139999999999998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0.82702702702702691</v>
      </c>
      <c r="Q59">
        <f t="shared" ref="Q59" si="271">F59*P59</f>
        <v>37431282.444324315</v>
      </c>
      <c r="R59">
        <f t="shared" ref="R59" si="272">R60+Q59</f>
        <v>1294779283.3972905</v>
      </c>
      <c r="S59">
        <f t="shared" ref="S59" si="273">R59/100000</f>
        <v>12947.792833972904</v>
      </c>
      <c r="T59">
        <f t="shared" ref="T59" si="274">S59/1000</f>
        <v>12.947792833972905</v>
      </c>
    </row>
    <row r="60" spans="1:20" x14ac:dyDescent="0.25">
      <c r="A60" s="5">
        <v>44533</v>
      </c>
      <c r="B60">
        <v>3.4020000000000001</v>
      </c>
      <c r="C60">
        <v>3.4390000000000001</v>
      </c>
      <c r="D60">
        <v>2.92</v>
      </c>
      <c r="E60">
        <v>3.097</v>
      </c>
      <c r="F60">
        <v>20089106.199999999</v>
      </c>
      <c r="G60">
        <v>3.097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-0.31791907514450868</v>
      </c>
      <c r="Q60">
        <f t="shared" ref="Q60" si="276">F60*P60</f>
        <v>-6386710.0635838145</v>
      </c>
      <c r="R60">
        <f t="shared" ref="R60" si="277">R61+Q60</f>
        <v>1257348000.9529662</v>
      </c>
      <c r="S60">
        <f t="shared" ref="S60" si="278">R60/100000</f>
        <v>12573.480009529661</v>
      </c>
      <c r="T60">
        <f t="shared" ref="T60" si="279">S60/1000</f>
        <v>12.573480009529661</v>
      </c>
    </row>
    <row r="61" spans="1:20" x14ac:dyDescent="0.25">
      <c r="A61" s="5">
        <v>44532</v>
      </c>
      <c r="B61">
        <v>3.5289999999999999</v>
      </c>
      <c r="C61">
        <v>3.5289999999999999</v>
      </c>
      <c r="D61">
        <v>3.28</v>
      </c>
      <c r="E61">
        <v>3.4020000000000001</v>
      </c>
      <c r="F61">
        <v>13598145.300000001</v>
      </c>
      <c r="G61">
        <v>3.4020000000000001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-2.0080321285138342E-2</v>
      </c>
      <c r="Q61">
        <f t="shared" ref="Q61" si="281">F61*P61</f>
        <v>-273055.12650599389</v>
      </c>
      <c r="R61">
        <f t="shared" ref="R61" si="282">R62+Q61</f>
        <v>1263734711.0165501</v>
      </c>
      <c r="S61">
        <f t="shared" ref="S61" si="283">R61/100000</f>
        <v>12637.347110165501</v>
      </c>
      <c r="T61">
        <f t="shared" ref="T61" si="284">S61/1000</f>
        <v>12.637347110165502</v>
      </c>
    </row>
    <row r="62" spans="1:20" x14ac:dyDescent="0.25">
      <c r="A62" s="5">
        <v>44531</v>
      </c>
      <c r="B62">
        <v>3.504</v>
      </c>
      <c r="C62">
        <v>3.6890000000000001</v>
      </c>
      <c r="D62">
        <v>3.4689999999999999</v>
      </c>
      <c r="E62">
        <v>3.5289999999999999</v>
      </c>
      <c r="F62">
        <v>17337605.100000001</v>
      </c>
      <c r="G62">
        <v>3.5289999999999999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-0.45454545454545453</v>
      </c>
      <c r="Q62">
        <f t="shared" ref="Q62" si="286">F62*P62</f>
        <v>-7880729.5909090918</v>
      </c>
      <c r="R62">
        <f t="shared" ref="R62" si="287">R63+Q62</f>
        <v>1264007766.1430562</v>
      </c>
      <c r="S62">
        <f t="shared" ref="S62" si="288">R62/100000</f>
        <v>12640.077661430561</v>
      </c>
      <c r="T62">
        <f t="shared" ref="T62" si="289">S62/1000</f>
        <v>12.640077661430562</v>
      </c>
    </row>
    <row r="63" spans="1:20" x14ac:dyDescent="0.25">
      <c r="A63" s="5">
        <v>44530</v>
      </c>
      <c r="B63">
        <v>3.649</v>
      </c>
      <c r="C63">
        <v>3.7930000000000001</v>
      </c>
      <c r="D63">
        <v>3.4689999999999999</v>
      </c>
      <c r="E63">
        <v>3.5009999999999999</v>
      </c>
      <c r="F63">
        <v>20867256.899999999</v>
      </c>
      <c r="G63">
        <v>3.5009999999999999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-0.80246913580246915</v>
      </c>
      <c r="Q63">
        <f t="shared" ref="Q63" si="291">F63*P63</f>
        <v>-16745329.61111111</v>
      </c>
      <c r="R63">
        <f t="shared" ref="R63" si="292">R64+Q63</f>
        <v>1271888495.7339652</v>
      </c>
      <c r="S63">
        <f t="shared" ref="S63" si="293">R63/100000</f>
        <v>12718.884957339651</v>
      </c>
      <c r="T63">
        <f t="shared" ref="T63" si="294">S63/1000</f>
        <v>12.71888495733965</v>
      </c>
    </row>
    <row r="64" spans="1:20" x14ac:dyDescent="0.25">
      <c r="A64" s="5">
        <v>44529</v>
      </c>
      <c r="B64">
        <v>3.8439999999999999</v>
      </c>
      <c r="C64">
        <v>3.9359999999999999</v>
      </c>
      <c r="D64">
        <v>3.6320000000000001</v>
      </c>
      <c r="E64">
        <v>3.649</v>
      </c>
      <c r="F64">
        <v>27351510.100000001</v>
      </c>
      <c r="G64">
        <v>3.649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-0.8881578947368427</v>
      </c>
      <c r="Q64">
        <f t="shared" ref="Q64" si="296">F64*P64</f>
        <v>-24292459.628289491</v>
      </c>
      <c r="R64">
        <f t="shared" ref="R64" si="297">R65+Q64</f>
        <v>1288633825.3450763</v>
      </c>
      <c r="S64">
        <f t="shared" ref="S64" si="298">R64/100000</f>
        <v>12886.338253450764</v>
      </c>
      <c r="T64">
        <f t="shared" ref="T64" si="299">S64/1000</f>
        <v>12.886338253450763</v>
      </c>
    </row>
    <row r="65" spans="1:20" x14ac:dyDescent="0.25">
      <c r="A65" s="5">
        <v>44528</v>
      </c>
      <c r="B65">
        <v>3.7040000000000002</v>
      </c>
      <c r="C65">
        <v>3.85</v>
      </c>
      <c r="D65">
        <v>3.2</v>
      </c>
      <c r="E65">
        <v>3.8420000000000001</v>
      </c>
      <c r="F65">
        <v>40807648.899999999</v>
      </c>
      <c r="G65">
        <v>3.8420000000000001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0.97538461538461541</v>
      </c>
      <c r="Q65">
        <f t="shared" ref="Q65" si="301">F65*P65</f>
        <v>39803152.927076921</v>
      </c>
      <c r="R65">
        <f t="shared" ref="R65" si="302">R66+Q65</f>
        <v>1312926284.9733658</v>
      </c>
      <c r="S65">
        <f t="shared" ref="S65" si="303">R65/100000</f>
        <v>13129.262849733657</v>
      </c>
      <c r="T65">
        <f t="shared" ref="T65" si="304">S65/1000</f>
        <v>13.129262849733657</v>
      </c>
    </row>
    <row r="66" spans="1:20" x14ac:dyDescent="0.25">
      <c r="A66" s="5">
        <v>44527</v>
      </c>
      <c r="B66">
        <v>3.8530000000000002</v>
      </c>
      <c r="C66">
        <v>3.9670000000000001</v>
      </c>
      <c r="D66">
        <v>3.5920000000000001</v>
      </c>
      <c r="E66">
        <v>3.7040000000000002</v>
      </c>
      <c r="F66">
        <v>23207485</v>
      </c>
      <c r="G66">
        <v>3.7040000000000002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-0.40266666666666612</v>
      </c>
      <c r="Q66">
        <f t="shared" ref="Q66" si="306">F66*P66</f>
        <v>-9344880.6266666539</v>
      </c>
      <c r="R66">
        <f t="shared" ref="R66" si="307">R67+Q66</f>
        <v>1273123132.046289</v>
      </c>
      <c r="S66">
        <f t="shared" ref="S66" si="308">R66/100000</f>
        <v>12731.23132046289</v>
      </c>
      <c r="T66">
        <f t="shared" ref="T66" si="309">S66/1000</f>
        <v>12.731231320462889</v>
      </c>
    </row>
    <row r="67" spans="1:20" x14ac:dyDescent="0.25">
      <c r="A67" s="5">
        <v>44526</v>
      </c>
      <c r="B67">
        <v>4.2210000000000001</v>
      </c>
      <c r="C67">
        <v>4.4370000000000003</v>
      </c>
      <c r="D67">
        <v>3.5640000000000001</v>
      </c>
      <c r="E67">
        <v>3.8530000000000002</v>
      </c>
      <c r="F67">
        <v>48343854.399999999</v>
      </c>
      <c r="G67">
        <v>3.8530000000000002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-0.33791523482245117</v>
      </c>
      <c r="Q67">
        <f t="shared" ref="Q67" si="311">F67*P67</f>
        <v>-16336124.91179839</v>
      </c>
      <c r="R67">
        <f t="shared" ref="R67" si="312">R68+Q67</f>
        <v>1282468012.6729555</v>
      </c>
      <c r="S67">
        <f t="shared" ref="S67" si="313">R67/100000</f>
        <v>12824.680126729556</v>
      </c>
      <c r="T67">
        <f t="shared" ref="T67" si="314">S67/1000</f>
        <v>12.824680126729556</v>
      </c>
    </row>
    <row r="68" spans="1:20" x14ac:dyDescent="0.25">
      <c r="A68" s="5">
        <v>44525</v>
      </c>
      <c r="B68">
        <v>4.484</v>
      </c>
      <c r="C68">
        <v>4.8449999999999998</v>
      </c>
      <c r="D68">
        <v>3.9830000000000001</v>
      </c>
      <c r="E68">
        <v>4.2210000000000001</v>
      </c>
      <c r="F68">
        <v>64124682</v>
      </c>
      <c r="G68">
        <v>4.2210000000000001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-0.4477958236658931</v>
      </c>
      <c r="Q68">
        <f t="shared" ref="Q68" si="316">F68*P68</f>
        <v>-28714764.793503471</v>
      </c>
      <c r="R68">
        <f t="shared" ref="R68" si="317">R69+Q68</f>
        <v>1298804137.584754</v>
      </c>
      <c r="S68">
        <f t="shared" ref="S68" si="318">R68/100000</f>
        <v>12988.041375847541</v>
      </c>
      <c r="T68">
        <f t="shared" ref="T68" si="319">S68/1000</f>
        <v>12.988041375847541</v>
      </c>
    </row>
    <row r="69" spans="1:20" x14ac:dyDescent="0.25">
      <c r="A69" s="5">
        <v>44524</v>
      </c>
      <c r="B69">
        <v>3.8460000000000001</v>
      </c>
      <c r="C69">
        <v>4.3330000000000002</v>
      </c>
      <c r="D69">
        <v>3.7480000000000002</v>
      </c>
      <c r="E69">
        <v>4.3209999999999997</v>
      </c>
      <c r="F69">
        <v>27523387.329999998</v>
      </c>
      <c r="G69">
        <v>4.3209999999999997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0.95897435897435745</v>
      </c>
      <c r="Q69">
        <f t="shared" ref="Q69" si="321">F69*P69</f>
        <v>26394222.721589699</v>
      </c>
      <c r="R69">
        <f t="shared" ref="R69" si="322">R70+Q69</f>
        <v>1327518902.3782575</v>
      </c>
      <c r="S69">
        <f t="shared" ref="S69" si="323">R69/100000</f>
        <v>13275.189023782576</v>
      </c>
      <c r="T69">
        <f t="shared" ref="T69" si="324">S69/1000</f>
        <v>13.275189023782575</v>
      </c>
    </row>
    <row r="70" spans="1:20" x14ac:dyDescent="0.25">
      <c r="A70" s="5">
        <v>44523</v>
      </c>
      <c r="B70">
        <v>3.601</v>
      </c>
      <c r="C70">
        <v>4.1619999999999999</v>
      </c>
      <c r="D70">
        <v>3.4649999999999999</v>
      </c>
      <c r="E70">
        <v>3.8460000000000001</v>
      </c>
      <c r="F70">
        <v>65906538.969999999</v>
      </c>
      <c r="G70">
        <v>3.8460000000000001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9.3256814921090933E-2</v>
      </c>
      <c r="Q70">
        <f t="shared" ref="Q70" si="326">F70*P70</f>
        <v>6146233.906814957</v>
      </c>
      <c r="R70">
        <f t="shared" ref="R70" si="327">R71+Q70</f>
        <v>1301124679.6566677</v>
      </c>
      <c r="S70">
        <f t="shared" ref="S70" si="328">R70/100000</f>
        <v>13011.246796566676</v>
      </c>
      <c r="T70">
        <f t="shared" ref="T70" si="329">S70/1000</f>
        <v>13.011246796566677</v>
      </c>
    </row>
    <row r="71" spans="1:20" x14ac:dyDescent="0.25">
      <c r="A71" s="5">
        <v>44522</v>
      </c>
      <c r="B71">
        <v>3.2949999999999999</v>
      </c>
      <c r="C71">
        <v>3.6219999999999999</v>
      </c>
      <c r="D71">
        <v>3.1440000000000001</v>
      </c>
      <c r="E71">
        <v>3.601</v>
      </c>
      <c r="F71">
        <v>36589129.100000001</v>
      </c>
      <c r="G71">
        <v>3.601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0.9121338912133895</v>
      </c>
      <c r="Q71">
        <f t="shared" ref="Q71" si="331">F71*P71</f>
        <v>33374184.702092066</v>
      </c>
      <c r="R71">
        <f t="shared" ref="R71" si="332">R72+Q71</f>
        <v>1294978445.7498527</v>
      </c>
      <c r="S71">
        <f t="shared" ref="S71" si="333">R71/100000</f>
        <v>12949.784457498527</v>
      </c>
      <c r="T71">
        <f t="shared" ref="T71" si="334">S71/1000</f>
        <v>12.949784457498527</v>
      </c>
    </row>
    <row r="72" spans="1:20" x14ac:dyDescent="0.25">
      <c r="A72" s="5">
        <v>44521</v>
      </c>
      <c r="B72">
        <v>3.645</v>
      </c>
      <c r="C72">
        <v>3.6480000000000001</v>
      </c>
      <c r="D72">
        <v>3.2869999999999999</v>
      </c>
      <c r="E72">
        <v>3.2949999999999999</v>
      </c>
      <c r="F72">
        <v>28945109.800000001</v>
      </c>
      <c r="G72">
        <v>3.2949999999999999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-0.95567867036011078</v>
      </c>
      <c r="Q72">
        <f t="shared" ref="Q72" si="336">F72*P72</f>
        <v>-27662224.047091413</v>
      </c>
      <c r="R72">
        <f t="shared" ref="R72" si="337">R73+Q72</f>
        <v>1261604261.0477605</v>
      </c>
      <c r="S72">
        <f t="shared" ref="S72" si="338">R72/100000</f>
        <v>12616.042610477605</v>
      </c>
      <c r="T72">
        <f t="shared" ref="T72" si="339">S72/1000</f>
        <v>12.616042610477605</v>
      </c>
    </row>
    <row r="73" spans="1:20" x14ac:dyDescent="0.25">
      <c r="A73" s="5">
        <v>44520</v>
      </c>
      <c r="B73">
        <v>3.6160000000000001</v>
      </c>
      <c r="C73">
        <v>3.9279999999999999</v>
      </c>
      <c r="D73">
        <v>3.4390000000000001</v>
      </c>
      <c r="E73">
        <v>3.6480000000000001</v>
      </c>
      <c r="F73">
        <v>58624562.82</v>
      </c>
      <c r="G73">
        <v>3.6480000000000001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-0.14519427402862933</v>
      </c>
      <c r="Q73">
        <f t="shared" ref="Q73" si="341">F73*P73</f>
        <v>-8511950.8388956748</v>
      </c>
      <c r="R73">
        <f t="shared" ref="R73" si="342">R74+Q73</f>
        <v>1289266485.094852</v>
      </c>
      <c r="S73">
        <f t="shared" ref="S73" si="343">R73/100000</f>
        <v>12892.66485094852</v>
      </c>
      <c r="T73">
        <f t="shared" ref="T73" si="344">S73/1000</f>
        <v>12.89266485094852</v>
      </c>
    </row>
    <row r="74" spans="1:20" x14ac:dyDescent="0.25">
      <c r="A74" s="5">
        <v>44519</v>
      </c>
      <c r="B74">
        <v>3.0379999999999998</v>
      </c>
      <c r="C74">
        <v>3.762</v>
      </c>
      <c r="D74">
        <v>2.9820000000000002</v>
      </c>
      <c r="E74">
        <v>3.613</v>
      </c>
      <c r="F74">
        <v>84089981.239999995</v>
      </c>
      <c r="G74">
        <v>3.613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0.61794871794871775</v>
      </c>
      <c r="Q74">
        <f t="shared" ref="Q74" si="346">F74*P74</f>
        <v>51963296.09958972</v>
      </c>
      <c r="R74">
        <f t="shared" ref="R74" si="347">R75+Q74</f>
        <v>1297778435.9337475</v>
      </c>
      <c r="S74">
        <f t="shared" ref="S74" si="348">R74/100000</f>
        <v>12977.784359337475</v>
      </c>
      <c r="T74">
        <f t="shared" ref="T74" si="349">S74/1000</f>
        <v>12.977784359337475</v>
      </c>
    </row>
    <row r="75" spans="1:20" x14ac:dyDescent="0.25">
      <c r="A75" s="5">
        <v>44518</v>
      </c>
      <c r="B75">
        <v>3.0169999999999999</v>
      </c>
      <c r="C75">
        <v>3.2629999999999999</v>
      </c>
      <c r="D75">
        <v>2.738</v>
      </c>
      <c r="E75">
        <v>3.0419999999999998</v>
      </c>
      <c r="F75">
        <v>58642671.899999999</v>
      </c>
      <c r="G75">
        <v>3.0419999999999998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0.15809523809523762</v>
      </c>
      <c r="Q75">
        <f t="shared" ref="Q75" si="351">F75*P75</f>
        <v>9271127.1765714008</v>
      </c>
      <c r="R75">
        <f t="shared" ref="R75" si="352">R76+Q75</f>
        <v>1245815139.8341577</v>
      </c>
      <c r="S75">
        <f t="shared" ref="S75" si="353">R75/100000</f>
        <v>12458.151398341577</v>
      </c>
      <c r="T75">
        <f t="shared" ref="T75" si="354">S75/1000</f>
        <v>12.458151398341577</v>
      </c>
    </row>
    <row r="76" spans="1:20" x14ac:dyDescent="0.25">
      <c r="A76" s="5">
        <v>44517</v>
      </c>
      <c r="B76">
        <v>2.8490000000000002</v>
      </c>
      <c r="C76">
        <v>3.089</v>
      </c>
      <c r="D76">
        <v>2.8050000000000002</v>
      </c>
      <c r="E76">
        <v>3.0169999999999999</v>
      </c>
      <c r="F76">
        <v>27606770.5</v>
      </c>
      <c r="G76">
        <v>3.0169999999999999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0.49295774647887247</v>
      </c>
      <c r="Q76">
        <f t="shared" ref="Q76" si="356">F76*P76</f>
        <v>13608971.373239415</v>
      </c>
      <c r="R76">
        <f t="shared" ref="R76" si="357">R77+Q76</f>
        <v>1236544012.6575863</v>
      </c>
      <c r="S76">
        <f t="shared" ref="S76" si="358">R76/100000</f>
        <v>12365.440126575864</v>
      </c>
      <c r="T76">
        <f t="shared" ref="T76" si="359">S76/1000</f>
        <v>12.365440126575864</v>
      </c>
    </row>
    <row r="77" spans="1:20" x14ac:dyDescent="0.25">
      <c r="A77" s="5">
        <v>44516</v>
      </c>
      <c r="B77">
        <v>3.0329999999999999</v>
      </c>
      <c r="C77">
        <v>3.0339999999999998</v>
      </c>
      <c r="D77">
        <v>2.54</v>
      </c>
      <c r="E77">
        <v>2.8460000000000001</v>
      </c>
      <c r="F77">
        <v>37479502.100000001</v>
      </c>
      <c r="G77">
        <v>2.8460000000000001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0.23886639676113439</v>
      </c>
      <c r="Q77">
        <f t="shared" ref="Q77" si="361">F77*P77</f>
        <v>8952593.619028369</v>
      </c>
      <c r="R77">
        <f t="shared" ref="R77" si="362">R78+Q77</f>
        <v>1222935041.2843468</v>
      </c>
      <c r="S77">
        <f t="shared" ref="S77" si="363">R77/100000</f>
        <v>12229.350412843469</v>
      </c>
      <c r="T77">
        <f t="shared" ref="T77" si="364">S77/1000</f>
        <v>12.229350412843468</v>
      </c>
    </row>
    <row r="78" spans="1:20" x14ac:dyDescent="0.25">
      <c r="A78" s="5">
        <v>44515</v>
      </c>
      <c r="B78">
        <v>3.085</v>
      </c>
      <c r="C78">
        <v>3.242</v>
      </c>
      <c r="D78">
        <v>3</v>
      </c>
      <c r="E78">
        <v>3.0329999999999999</v>
      </c>
      <c r="F78">
        <v>21386381.399999999</v>
      </c>
      <c r="G78">
        <v>3.0329999999999999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-0.72727272727272796</v>
      </c>
      <c r="Q78">
        <f t="shared" ref="Q78" si="366">F78*P78</f>
        <v>-15553731.927272741</v>
      </c>
      <c r="R78">
        <f t="shared" ref="R78" si="367">R79+Q78</f>
        <v>1213982447.6653185</v>
      </c>
      <c r="S78">
        <f t="shared" ref="S78" si="368">R78/100000</f>
        <v>12139.824476653184</v>
      </c>
      <c r="T78">
        <f t="shared" ref="T78" si="369">S78/1000</f>
        <v>12.139824476653184</v>
      </c>
    </row>
    <row r="79" spans="1:20" x14ac:dyDescent="0.25">
      <c r="A79" s="5">
        <v>44514</v>
      </c>
      <c r="B79">
        <v>3.0409999999999999</v>
      </c>
      <c r="C79">
        <v>3.0880000000000001</v>
      </c>
      <c r="D79">
        <v>2.9390000000000001</v>
      </c>
      <c r="E79">
        <v>3.085</v>
      </c>
      <c r="F79">
        <v>13262734</v>
      </c>
      <c r="G79">
        <v>3.085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0.95973154362415958</v>
      </c>
      <c r="Q79">
        <f t="shared" ref="Q79" si="371">F79*P79</f>
        <v>12728664.174496625</v>
      </c>
      <c r="R79">
        <f t="shared" ref="R79" si="372">R80+Q79</f>
        <v>1229536179.5925913</v>
      </c>
      <c r="S79">
        <f t="shared" ref="S79" si="373">R79/100000</f>
        <v>12295.361795925914</v>
      </c>
      <c r="T79">
        <f t="shared" ref="T79" si="374">S79/1000</f>
        <v>12.295361795925913</v>
      </c>
    </row>
    <row r="80" spans="1:20" x14ac:dyDescent="0.25">
      <c r="A80" s="5">
        <v>44513</v>
      </c>
      <c r="B80">
        <v>3.0830000000000002</v>
      </c>
      <c r="C80">
        <v>3.274</v>
      </c>
      <c r="D80">
        <v>3.02</v>
      </c>
      <c r="E80">
        <v>3.0409999999999999</v>
      </c>
      <c r="F80">
        <v>27790713.5</v>
      </c>
      <c r="G80">
        <v>3.0409999999999999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-0.83464566929133932</v>
      </c>
      <c r="Q80">
        <f t="shared" ref="Q80" si="376">F80*P80</f>
        <v>-23195398.669291358</v>
      </c>
      <c r="R80">
        <f t="shared" ref="R80" si="377">R81+Q80</f>
        <v>1216807515.4180946</v>
      </c>
      <c r="S80">
        <f t="shared" ref="S80" si="378">R80/100000</f>
        <v>12168.075154180946</v>
      </c>
      <c r="T80">
        <f t="shared" ref="T80" si="379">S80/1000</f>
        <v>12.168075154180945</v>
      </c>
    </row>
    <row r="81" spans="1:20" x14ac:dyDescent="0.25">
      <c r="A81" s="5">
        <v>44512</v>
      </c>
      <c r="B81">
        <v>2.9660000000000002</v>
      </c>
      <c r="C81">
        <v>3.15</v>
      </c>
      <c r="D81">
        <v>2.9079999999999999</v>
      </c>
      <c r="E81">
        <v>3.0819999999999999</v>
      </c>
      <c r="F81">
        <v>32055148.199999999</v>
      </c>
      <c r="G81">
        <v>3.0819999999999999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0.43801652892561932</v>
      </c>
      <c r="Q81">
        <f t="shared" ref="Q81" si="381">F81*P81</f>
        <v>14040684.748760315</v>
      </c>
      <c r="R81">
        <f t="shared" ref="R81" si="382">R82+Q81</f>
        <v>1240002914.0873859</v>
      </c>
      <c r="S81">
        <f t="shared" ref="S81" si="383">R81/100000</f>
        <v>12400.029140873859</v>
      </c>
      <c r="T81">
        <f t="shared" ref="T81" si="384">S81/1000</f>
        <v>12.40002914087386</v>
      </c>
    </row>
    <row r="82" spans="1:20" x14ac:dyDescent="0.25">
      <c r="A82" s="5">
        <v>44511</v>
      </c>
      <c r="B82">
        <v>2.83</v>
      </c>
      <c r="C82">
        <v>3.08</v>
      </c>
      <c r="D82">
        <v>2.7810000000000001</v>
      </c>
      <c r="E82">
        <v>2.968</v>
      </c>
      <c r="F82">
        <v>20198266</v>
      </c>
      <c r="G82">
        <v>2.968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0.25083612040133696</v>
      </c>
      <c r="Q82">
        <f t="shared" ref="Q82" si="386">F82*P82</f>
        <v>5066454.6822742308</v>
      </c>
      <c r="R82">
        <f t="shared" ref="R82" si="387">R83+Q82</f>
        <v>1225962229.3386257</v>
      </c>
      <c r="S82">
        <f t="shared" ref="S82" si="388">R82/100000</f>
        <v>12259.622293386257</v>
      </c>
      <c r="T82">
        <f t="shared" ref="T82" si="389">S82/1000</f>
        <v>12.259622293386258</v>
      </c>
    </row>
    <row r="83" spans="1:20" x14ac:dyDescent="0.25">
      <c r="A83" s="5">
        <v>44510</v>
      </c>
      <c r="B83">
        <v>2.9769999999999999</v>
      </c>
      <c r="C83">
        <v>3.194</v>
      </c>
      <c r="D83">
        <v>2.577</v>
      </c>
      <c r="E83">
        <v>2.831</v>
      </c>
      <c r="F83">
        <v>34355686</v>
      </c>
      <c r="G83">
        <v>2.831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-0.17666126418152348</v>
      </c>
      <c r="Q83">
        <f t="shared" ref="Q83" si="391">F83*P83</f>
        <v>-6069318.9205834679</v>
      </c>
      <c r="R83">
        <f t="shared" ref="R83" si="392">R84+Q83</f>
        <v>1220895774.6563513</v>
      </c>
      <c r="S83">
        <f t="shared" ref="S83" si="393">R83/100000</f>
        <v>12208.957746563514</v>
      </c>
      <c r="T83">
        <f t="shared" ref="T83" si="394">S83/1000</f>
        <v>12.208957746563513</v>
      </c>
    </row>
    <row r="84" spans="1:20" x14ac:dyDescent="0.25">
      <c r="A84" s="5">
        <v>44509</v>
      </c>
      <c r="B84">
        <v>3.17</v>
      </c>
      <c r="C84">
        <v>3.28</v>
      </c>
      <c r="D84">
        <v>2.95</v>
      </c>
      <c r="E84">
        <v>2.9769999999999999</v>
      </c>
      <c r="F84">
        <v>28722471.5</v>
      </c>
      <c r="G84">
        <v>2.9769999999999999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-0.83636363636363809</v>
      </c>
      <c r="Q84">
        <f t="shared" ref="Q84" si="396">F84*P84</f>
        <v>-24022430.709090959</v>
      </c>
      <c r="R84">
        <f t="shared" ref="R84" si="397">R85+Q84</f>
        <v>1226965093.5769348</v>
      </c>
      <c r="S84">
        <f t="shared" ref="S84" si="398">R84/100000</f>
        <v>12269.650935769349</v>
      </c>
      <c r="T84">
        <f t="shared" ref="T84" si="399">S84/1000</f>
        <v>12.269650935769349</v>
      </c>
    </row>
    <row r="85" spans="1:20" x14ac:dyDescent="0.25">
      <c r="A85" s="5">
        <v>44508</v>
      </c>
      <c r="B85">
        <v>3.3130000000000002</v>
      </c>
      <c r="C85">
        <v>3.3170000000000002</v>
      </c>
      <c r="D85">
        <v>3.1219999999999999</v>
      </c>
      <c r="E85">
        <v>3.17</v>
      </c>
      <c r="F85">
        <v>26344391.100000001</v>
      </c>
      <c r="G85">
        <v>3.17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-0.507692307692308</v>
      </c>
      <c r="Q85">
        <f t="shared" ref="Q85" si="401">F85*P85</f>
        <v>-13374844.712307701</v>
      </c>
      <c r="R85">
        <f t="shared" ref="R85" si="402">R86+Q85</f>
        <v>1250987524.2860258</v>
      </c>
      <c r="S85">
        <f t="shared" ref="S85" si="403">R85/100000</f>
        <v>12509.875242860258</v>
      </c>
      <c r="T85">
        <f t="shared" ref="T85" si="404">S85/1000</f>
        <v>12.509875242860259</v>
      </c>
    </row>
    <row r="86" spans="1:20" x14ac:dyDescent="0.25">
      <c r="A86" s="5">
        <v>44507</v>
      </c>
      <c r="B86">
        <v>3.512</v>
      </c>
      <c r="C86">
        <v>3.629</v>
      </c>
      <c r="D86">
        <v>3.2730000000000001</v>
      </c>
      <c r="E86">
        <v>3.3130000000000002</v>
      </c>
      <c r="F86">
        <v>40747644.759999998</v>
      </c>
      <c r="G86">
        <v>3.3130000000000002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-0.77528089887640417</v>
      </c>
      <c r="Q86">
        <f t="shared" ref="Q86" si="406">F86*P86</f>
        <v>-31590870.656629197</v>
      </c>
      <c r="R86">
        <f t="shared" ref="R86" si="407">R87+Q86</f>
        <v>1264362368.9983335</v>
      </c>
      <c r="S86">
        <f t="shared" ref="S86" si="408">R86/100000</f>
        <v>12643.623689983335</v>
      </c>
      <c r="T86">
        <f t="shared" ref="T86" si="409">S86/1000</f>
        <v>12.643623689983334</v>
      </c>
    </row>
    <row r="87" spans="1:20" x14ac:dyDescent="0.25">
      <c r="A87" s="5">
        <v>44506</v>
      </c>
      <c r="B87">
        <v>2.9569999999999999</v>
      </c>
      <c r="C87">
        <v>3.56</v>
      </c>
      <c r="D87">
        <v>2.9390000000000001</v>
      </c>
      <c r="E87">
        <v>3.5089999999999999</v>
      </c>
      <c r="F87">
        <v>93668623.469999999</v>
      </c>
      <c r="G87">
        <v>3.5089999999999999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0.83574879227053089</v>
      </c>
      <c r="Q87">
        <f t="shared" ref="Q87" si="411">F87*P87</f>
        <v>78283438.93869561</v>
      </c>
      <c r="R87">
        <f t="shared" ref="R87" si="412">R88+Q87</f>
        <v>1295953239.6549625</v>
      </c>
      <c r="S87">
        <f t="shared" ref="S87" si="413">R87/100000</f>
        <v>12959.532396549625</v>
      </c>
      <c r="T87">
        <f t="shared" ref="T87" si="414">S87/1000</f>
        <v>12.959532396549625</v>
      </c>
    </row>
    <row r="88" spans="1:20" x14ac:dyDescent="0.25">
      <c r="A88" s="5">
        <v>44505</v>
      </c>
      <c r="B88">
        <v>2.996</v>
      </c>
      <c r="C88">
        <v>3.27</v>
      </c>
      <c r="D88">
        <v>2.8570000000000002</v>
      </c>
      <c r="E88">
        <v>2.9580000000000002</v>
      </c>
      <c r="F88">
        <v>45549478.700000003</v>
      </c>
      <c r="G88">
        <v>2.9580000000000002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-0.5108958837772396</v>
      </c>
      <c r="Q88">
        <f t="shared" ref="Q88" si="416">F88*P88</f>
        <v>-23271041.176029053</v>
      </c>
      <c r="R88">
        <f t="shared" ref="R88" si="417">R89+Q88</f>
        <v>1217669800.7162669</v>
      </c>
      <c r="S88">
        <f t="shared" ref="S88" si="418">R88/100000</f>
        <v>12176.698007162669</v>
      </c>
      <c r="T88">
        <f t="shared" ref="T88" si="419">S88/1000</f>
        <v>12.176698007162669</v>
      </c>
    </row>
    <row r="89" spans="1:20" x14ac:dyDescent="0.25">
      <c r="A89" s="5">
        <v>44504</v>
      </c>
      <c r="B89">
        <v>2.863</v>
      </c>
      <c r="C89">
        <v>3.44</v>
      </c>
      <c r="D89">
        <v>2.73</v>
      </c>
      <c r="E89">
        <v>2.9990000000000001</v>
      </c>
      <c r="F89">
        <v>84469724.400000006</v>
      </c>
      <c r="G89">
        <v>2.9990000000000001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-0.24225352112676016</v>
      </c>
      <c r="Q89">
        <f t="shared" ref="Q89" si="421">F89*P89</f>
        <v>-20463088.164507009</v>
      </c>
      <c r="R89">
        <f t="shared" ref="R89" si="422">R90+Q89</f>
        <v>1240940841.8922958</v>
      </c>
      <c r="S89">
        <f t="shared" ref="S89" si="423">R89/100000</f>
        <v>12409.408418922958</v>
      </c>
      <c r="T89">
        <f t="shared" ref="T89" si="424">S89/1000</f>
        <v>12.409408418922958</v>
      </c>
    </row>
    <row r="90" spans="1:20" x14ac:dyDescent="0.25">
      <c r="A90" s="5">
        <v>44503</v>
      </c>
      <c r="B90">
        <v>3.1190000000000002</v>
      </c>
      <c r="C90">
        <v>3.214</v>
      </c>
      <c r="D90">
        <v>2.7240000000000002</v>
      </c>
      <c r="E90">
        <v>2.8610000000000002</v>
      </c>
      <c r="F90">
        <v>41706986.700000003</v>
      </c>
      <c r="G90">
        <v>2.8610000000000002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-0.44081632653061192</v>
      </c>
      <c r="Q90">
        <f t="shared" ref="Q90" si="426">F90*P90</f>
        <v>-18385120.66775509</v>
      </c>
      <c r="R90">
        <f t="shared" ref="R90" si="427">R91+Q90</f>
        <v>1261403930.0568027</v>
      </c>
      <c r="S90">
        <f t="shared" ref="S90" si="428">R90/100000</f>
        <v>12614.039300568027</v>
      </c>
      <c r="T90">
        <f t="shared" ref="T90" si="429">S90/1000</f>
        <v>12.614039300568027</v>
      </c>
    </row>
    <row r="91" spans="1:20" x14ac:dyDescent="0.25">
      <c r="A91" s="5">
        <v>44502</v>
      </c>
      <c r="B91">
        <v>2.601</v>
      </c>
      <c r="C91">
        <v>3.3</v>
      </c>
      <c r="D91">
        <v>2.57</v>
      </c>
      <c r="E91">
        <v>3.1179999999999999</v>
      </c>
      <c r="F91">
        <v>92160904.700000003</v>
      </c>
      <c r="G91">
        <v>3.1179999999999999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0.50136986301369879</v>
      </c>
      <c r="Q91">
        <f t="shared" ref="Q91" si="431">F91*P91</f>
        <v>46206700.164657548</v>
      </c>
      <c r="R91">
        <f t="shared" ref="R91" si="432">R92+Q91</f>
        <v>1279789050.7245579</v>
      </c>
      <c r="S91">
        <f t="shared" ref="S91" si="433">R91/100000</f>
        <v>12797.890507245578</v>
      </c>
      <c r="T91">
        <f t="shared" ref="T91" si="434">S91/1000</f>
        <v>12.797890507245578</v>
      </c>
    </row>
    <row r="92" spans="1:20" x14ac:dyDescent="0.25">
      <c r="A92" s="5">
        <v>44501</v>
      </c>
      <c r="B92">
        <v>2.581</v>
      </c>
      <c r="C92">
        <v>2.8780000000000001</v>
      </c>
      <c r="D92">
        <v>2.3740000000000001</v>
      </c>
      <c r="E92">
        <v>2.6</v>
      </c>
      <c r="F92">
        <v>50160897.5</v>
      </c>
      <c r="G92">
        <v>2.6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-0.10317460317460327</v>
      </c>
      <c r="Q92">
        <f t="shared" ref="Q92" si="436">F92*P92</f>
        <v>-5175330.6944444487</v>
      </c>
      <c r="R92">
        <f t="shared" ref="R92" si="437">R93+Q92</f>
        <v>1233582350.5599003</v>
      </c>
      <c r="S92">
        <f t="shared" ref="S92" si="438">R92/100000</f>
        <v>12335.823505599003</v>
      </c>
      <c r="T92">
        <f t="shared" ref="T92" si="439">S92/1000</f>
        <v>12.335823505599002</v>
      </c>
    </row>
    <row r="93" spans="1:20" x14ac:dyDescent="0.25">
      <c r="A93" s="5">
        <v>44500</v>
      </c>
      <c r="B93">
        <v>3.0459999999999998</v>
      </c>
      <c r="C93">
        <v>3.5</v>
      </c>
      <c r="D93">
        <v>2.419</v>
      </c>
      <c r="E93">
        <v>2.581</v>
      </c>
      <c r="F93">
        <v>99469345.079999998</v>
      </c>
      <c r="G93">
        <v>2.581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-0.70027752081406114</v>
      </c>
      <c r="Q93">
        <f t="shared" ref="Q93" si="441">F93*P93</f>
        <v>-69656146.369620726</v>
      </c>
      <c r="R93">
        <f t="shared" ref="R93" si="442">R94+Q93</f>
        <v>1238757681.2543447</v>
      </c>
      <c r="S93">
        <f t="shared" ref="S93" si="443">R93/100000</f>
        <v>12387.576812543448</v>
      </c>
      <c r="T93">
        <f t="shared" ref="T93" si="444">S93/1000</f>
        <v>12.387576812543449</v>
      </c>
    </row>
    <row r="94" spans="1:20" x14ac:dyDescent="0.25">
      <c r="A94" s="5">
        <v>44499</v>
      </c>
      <c r="B94">
        <v>2.4609999999999999</v>
      </c>
      <c r="C94">
        <v>3.3</v>
      </c>
      <c r="D94">
        <v>2.2850000000000001</v>
      </c>
      <c r="E94">
        <v>3.0459999999999998</v>
      </c>
      <c r="F94">
        <v>123527753.5</v>
      </c>
      <c r="G94">
        <v>3.0459999999999998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0.49950738916256143</v>
      </c>
      <c r="Q94">
        <f t="shared" ref="Q94" si="446">F94*P94</f>
        <v>61703025.639901459</v>
      </c>
      <c r="R94">
        <f t="shared" ref="R94" si="447">R95+Q94</f>
        <v>1308413827.6239655</v>
      </c>
      <c r="S94">
        <f t="shared" ref="S94" si="448">R94/100000</f>
        <v>13084.138276239655</v>
      </c>
      <c r="T94">
        <f t="shared" ref="T94" si="449">S94/1000</f>
        <v>13.084138276239655</v>
      </c>
    </row>
    <row r="95" spans="1:20" x14ac:dyDescent="0.25">
      <c r="A95" s="5">
        <v>44498</v>
      </c>
      <c r="B95">
        <v>2.319</v>
      </c>
      <c r="C95">
        <v>2.6</v>
      </c>
      <c r="D95">
        <v>2.3140000000000001</v>
      </c>
      <c r="E95">
        <v>2.4609999999999999</v>
      </c>
      <c r="F95">
        <v>44584278.130000003</v>
      </c>
      <c r="G95">
        <v>2.4609999999999999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2.7972027972026442E-2</v>
      </c>
      <c r="Q95">
        <f t="shared" ref="Q95" si="451">F95*P95</f>
        <v>1247112.6749649667</v>
      </c>
      <c r="R95">
        <f t="shared" ref="R95" si="452">R96+Q95</f>
        <v>1246710801.9840641</v>
      </c>
      <c r="S95">
        <f t="shared" ref="S95" si="453">R95/100000</f>
        <v>12467.108019840642</v>
      </c>
      <c r="T95">
        <f t="shared" ref="T95" si="454">S95/1000</f>
        <v>12.467108019840641</v>
      </c>
    </row>
    <row r="96" spans="1:20" x14ac:dyDescent="0.25">
      <c r="A96" s="5">
        <v>44497</v>
      </c>
      <c r="B96">
        <v>2.093</v>
      </c>
      <c r="C96">
        <v>2.3959999999999999</v>
      </c>
      <c r="D96">
        <v>2.0640000000000001</v>
      </c>
      <c r="E96">
        <v>2.3170000000000002</v>
      </c>
      <c r="F96">
        <v>51397137.579999998</v>
      </c>
      <c r="G96">
        <v>2.3170000000000002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0.52409638554217008</v>
      </c>
      <c r="Q96">
        <f t="shared" ref="Q96" si="456">F96*P96</f>
        <v>26937054.032891639</v>
      </c>
      <c r="R96">
        <f t="shared" ref="R96" si="457">R97+Q96</f>
        <v>1245463689.3090992</v>
      </c>
      <c r="S96">
        <f t="shared" ref="S96" si="458">R96/100000</f>
        <v>12454.636893090992</v>
      </c>
      <c r="T96">
        <f t="shared" ref="T96" si="459">S96/1000</f>
        <v>12.454636893090992</v>
      </c>
    </row>
    <row r="97" spans="1:20" x14ac:dyDescent="0.25">
      <c r="A97" s="5">
        <v>44496</v>
      </c>
      <c r="B97">
        <v>2.0099999999999998</v>
      </c>
      <c r="C97">
        <v>2.31</v>
      </c>
      <c r="D97">
        <v>1.7869999999999999</v>
      </c>
      <c r="E97">
        <v>2.0920000000000001</v>
      </c>
      <c r="F97">
        <v>73182237.900000006</v>
      </c>
      <c r="G97">
        <v>2.0920000000000001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0.16634799235181677</v>
      </c>
      <c r="Q97">
        <f t="shared" ref="Q97" si="461">F97*P97</f>
        <v>12173718.350478036</v>
      </c>
      <c r="R97">
        <f t="shared" ref="R97" si="462">R98+Q97</f>
        <v>1218526635.2762074</v>
      </c>
      <c r="S97">
        <f t="shared" ref="S97" si="463">R97/100000</f>
        <v>12185.266352762075</v>
      </c>
      <c r="T97">
        <f t="shared" ref="T97" si="464">S97/1000</f>
        <v>12.185266352762076</v>
      </c>
    </row>
    <row r="98" spans="1:20" x14ac:dyDescent="0.25">
      <c r="A98" s="5">
        <v>44495</v>
      </c>
      <c r="B98">
        <v>1.9059999999999999</v>
      </c>
      <c r="C98">
        <v>2.1539999999999999</v>
      </c>
      <c r="D98">
        <v>1.893</v>
      </c>
      <c r="E98">
        <v>2.008</v>
      </c>
      <c r="F98">
        <v>32972297.5</v>
      </c>
      <c r="G98">
        <v>2.008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-0.11877394636015298</v>
      </c>
      <c r="Q98">
        <f t="shared" ref="Q98" si="466">F98*P98</f>
        <v>-3916249.8946360061</v>
      </c>
      <c r="R98">
        <f t="shared" ref="R98" si="467">R99+Q98</f>
        <v>1206352916.9257295</v>
      </c>
      <c r="S98">
        <f t="shared" ref="S98" si="468">R98/100000</f>
        <v>12063.529169257296</v>
      </c>
      <c r="T98">
        <f t="shared" ref="T98" si="469">S98/1000</f>
        <v>12.063529169257295</v>
      </c>
    </row>
    <row r="99" spans="1:20" x14ac:dyDescent="0.25">
      <c r="A99" s="5">
        <v>44494</v>
      </c>
      <c r="B99">
        <v>1.7709999999999999</v>
      </c>
      <c r="C99">
        <v>1.925</v>
      </c>
      <c r="D99">
        <v>1.762</v>
      </c>
      <c r="E99">
        <v>1.9059999999999999</v>
      </c>
      <c r="F99">
        <v>11484126.5</v>
      </c>
      <c r="G99">
        <v>1.9059999999999999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0.76687116564417024</v>
      </c>
      <c r="Q99">
        <f t="shared" ref="Q99" si="471">F99*P99</f>
        <v>8806845.4754601046</v>
      </c>
      <c r="R99">
        <f t="shared" ref="R99" si="472">R100+Q99</f>
        <v>1210269166.8203654</v>
      </c>
      <c r="S99">
        <f t="shared" ref="S99" si="473">R99/100000</f>
        <v>12102.691668203654</v>
      </c>
      <c r="T99">
        <f t="shared" ref="T99" si="474">S99/1000</f>
        <v>12.102691668203654</v>
      </c>
    </row>
    <row r="100" spans="1:20" x14ac:dyDescent="0.25">
      <c r="A100" s="5">
        <v>44493</v>
      </c>
      <c r="B100">
        <v>1.839</v>
      </c>
      <c r="C100">
        <v>1.8959999999999999</v>
      </c>
      <c r="D100">
        <v>1.728</v>
      </c>
      <c r="E100">
        <v>1.772</v>
      </c>
      <c r="F100">
        <v>9873587.4000000004</v>
      </c>
      <c r="G100">
        <v>1.772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-0.4761904761904755</v>
      </c>
      <c r="Q100">
        <f t="shared" ref="Q100" si="476">F100*P100</f>
        <v>-4701708.2857142789</v>
      </c>
      <c r="R100">
        <f t="shared" ref="R100" si="477">R101+Q100</f>
        <v>1201462321.3449054</v>
      </c>
      <c r="S100">
        <f t="shared" ref="S100" si="478">R100/100000</f>
        <v>12014.623213449053</v>
      </c>
      <c r="T100">
        <f t="shared" ref="T100" si="479">S100/1000</f>
        <v>12.014623213449052</v>
      </c>
    </row>
    <row r="101" spans="1:20" x14ac:dyDescent="0.25">
      <c r="A101" s="5">
        <v>44492</v>
      </c>
      <c r="B101">
        <v>1.835</v>
      </c>
      <c r="C101">
        <v>1.873</v>
      </c>
      <c r="D101">
        <v>1.778</v>
      </c>
      <c r="E101">
        <v>1.839</v>
      </c>
      <c r="F101">
        <v>6305486.5</v>
      </c>
      <c r="G101">
        <v>1.839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0.28421052631578864</v>
      </c>
      <c r="Q101">
        <f t="shared" ref="Q101" si="481">F101*P101</f>
        <v>1792085.6368420999</v>
      </c>
      <c r="R101">
        <f t="shared" ref="R101" si="482">R102+Q101</f>
        <v>1206164029.6306198</v>
      </c>
      <c r="S101">
        <f t="shared" ref="S101" si="483">R101/100000</f>
        <v>12061.640296306197</v>
      </c>
      <c r="T101">
        <f t="shared" ref="T101" si="484">S101/1000</f>
        <v>12.061640296306198</v>
      </c>
    </row>
    <row r="102" spans="1:20" x14ac:dyDescent="0.25">
      <c r="A102" s="5">
        <v>44491</v>
      </c>
      <c r="B102">
        <v>1.8</v>
      </c>
      <c r="C102">
        <v>1.905</v>
      </c>
      <c r="D102">
        <v>1.774</v>
      </c>
      <c r="E102">
        <v>1.835</v>
      </c>
      <c r="F102">
        <v>15177652.5</v>
      </c>
      <c r="G102">
        <v>1.835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-6.8702290076336783E-2</v>
      </c>
      <c r="Q102">
        <f t="shared" ref="Q102" si="486">F102*P102</f>
        <v>-1042739.4847328381</v>
      </c>
      <c r="R102">
        <f t="shared" ref="R102" si="487">R103+Q102</f>
        <v>1204371943.9937778</v>
      </c>
      <c r="S102">
        <f t="shared" ref="S102" si="488">R102/100000</f>
        <v>12043.719439937777</v>
      </c>
      <c r="T102">
        <f t="shared" ref="T102" si="489">S102/1000</f>
        <v>12.043719439937776</v>
      </c>
    </row>
    <row r="103" spans="1:20" x14ac:dyDescent="0.25">
      <c r="A103" s="5">
        <v>44490</v>
      </c>
      <c r="B103">
        <v>1.8480000000000001</v>
      </c>
      <c r="C103">
        <v>1.863</v>
      </c>
      <c r="D103">
        <v>1.734</v>
      </c>
      <c r="E103">
        <v>1.7989999999999999</v>
      </c>
      <c r="F103">
        <v>23148215.699999999</v>
      </c>
      <c r="G103">
        <v>1.7989999999999999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7.7519379844952704E-3</v>
      </c>
      <c r="Q103">
        <f t="shared" ref="Q103" si="491">F103*P103</f>
        <v>179443.53255811977</v>
      </c>
      <c r="R103">
        <f t="shared" ref="R103" si="492">R104+Q103</f>
        <v>1205414683.4785106</v>
      </c>
      <c r="S103">
        <f t="shared" ref="S103" si="493">R103/100000</f>
        <v>12054.146834785106</v>
      </c>
      <c r="T103">
        <f t="shared" ref="T103" si="494">S103/1000</f>
        <v>12.054146834785106</v>
      </c>
    </row>
    <row r="104" spans="1:20" x14ac:dyDescent="0.25">
      <c r="A104" s="5">
        <v>44489</v>
      </c>
      <c r="B104">
        <v>1.605</v>
      </c>
      <c r="C104">
        <v>1.9930000000000001</v>
      </c>
      <c r="D104">
        <v>1.5760000000000001</v>
      </c>
      <c r="E104">
        <v>1.85</v>
      </c>
      <c r="F104">
        <v>41854200</v>
      </c>
      <c r="G104">
        <v>1.85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0.31414868105515587</v>
      </c>
      <c r="Q104">
        <f t="shared" ref="Q104" si="496">F104*P104</f>
        <v>13148441.726618705</v>
      </c>
      <c r="R104">
        <f t="shared" ref="R104" si="497">R105+Q104</f>
        <v>1205235239.9459524</v>
      </c>
      <c r="S104">
        <f t="shared" ref="S104" si="498">R104/100000</f>
        <v>12052.352399459523</v>
      </c>
      <c r="T104">
        <f t="shared" ref="T104" si="499">S104/1000</f>
        <v>12.052352399459524</v>
      </c>
    </row>
    <row r="105" spans="1:20" x14ac:dyDescent="0.25">
      <c r="A105" s="5">
        <v>44488</v>
      </c>
      <c r="B105">
        <v>1.6339999999999999</v>
      </c>
      <c r="C105">
        <v>1.649</v>
      </c>
      <c r="D105">
        <v>1.56</v>
      </c>
      <c r="E105">
        <v>1.6040000000000001</v>
      </c>
      <c r="F105">
        <v>6765610</v>
      </c>
      <c r="G105">
        <v>1.6040000000000001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-1.1235955056178542E-2</v>
      </c>
      <c r="Q105">
        <f t="shared" ref="Q105" si="501">F105*P105</f>
        <v>-76018.089887632101</v>
      </c>
      <c r="R105">
        <f t="shared" ref="R105" si="502">R106+Q105</f>
        <v>1192086798.2193336</v>
      </c>
      <c r="S105">
        <f t="shared" ref="S105" si="503">R105/100000</f>
        <v>11920.867982193337</v>
      </c>
      <c r="T105">
        <f t="shared" ref="T105" si="504">S105/1000</f>
        <v>11.920867982193336</v>
      </c>
    </row>
    <row r="106" spans="1:20" x14ac:dyDescent="0.25">
      <c r="A106" s="5">
        <v>44487</v>
      </c>
      <c r="B106">
        <v>1.637</v>
      </c>
      <c r="C106">
        <v>1.651</v>
      </c>
      <c r="D106">
        <v>1.569</v>
      </c>
      <c r="E106">
        <v>1.6359999999999999</v>
      </c>
      <c r="F106">
        <v>5567170.4000000004</v>
      </c>
      <c r="G106">
        <v>1.6359999999999999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0.63414634146341198</v>
      </c>
      <c r="Q106">
        <f t="shared" ref="Q106" si="506">F106*P106</f>
        <v>3530400.7414634</v>
      </c>
      <c r="R106">
        <f t="shared" ref="R106" si="507">R107+Q106</f>
        <v>1192162816.3092213</v>
      </c>
      <c r="S106">
        <f t="shared" ref="S106" si="508">R106/100000</f>
        <v>11921.628163092213</v>
      </c>
      <c r="T106">
        <f t="shared" ref="T106" si="509">S106/1000</f>
        <v>11.921628163092214</v>
      </c>
    </row>
    <row r="107" spans="1:20" x14ac:dyDescent="0.25">
      <c r="A107" s="5">
        <v>44486</v>
      </c>
      <c r="B107">
        <v>1.72</v>
      </c>
      <c r="C107">
        <v>1.72</v>
      </c>
      <c r="D107">
        <v>1.55</v>
      </c>
      <c r="E107">
        <v>1.637</v>
      </c>
      <c r="F107">
        <v>9610760.6999999993</v>
      </c>
      <c r="G107">
        <v>1.637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2.3529411764705913E-2</v>
      </c>
      <c r="Q107">
        <f t="shared" ref="Q107" si="511">F107*P107</f>
        <v>226135.54588235321</v>
      </c>
      <c r="R107">
        <f t="shared" ref="R107" si="512">R108+Q107</f>
        <v>1188632415.5677578</v>
      </c>
      <c r="S107">
        <f t="shared" ref="S107" si="513">R107/100000</f>
        <v>11886.324155677579</v>
      </c>
      <c r="T107">
        <f t="shared" ref="T107" si="514">S107/1000</f>
        <v>11.886324155677579</v>
      </c>
    </row>
    <row r="108" spans="1:20" x14ac:dyDescent="0.25">
      <c r="A108" s="5">
        <v>44485</v>
      </c>
      <c r="B108">
        <v>1.6120000000000001</v>
      </c>
      <c r="C108">
        <v>1.7649999999999999</v>
      </c>
      <c r="D108">
        <v>1.603</v>
      </c>
      <c r="E108">
        <v>1.7190000000000001</v>
      </c>
      <c r="F108">
        <v>18277047</v>
      </c>
      <c r="G108">
        <v>1.7190000000000001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0.43209876543210074</v>
      </c>
      <c r="Q108">
        <f t="shared" ref="Q108" si="516">F108*P108</f>
        <v>7897489.4444444804</v>
      </c>
      <c r="R108">
        <f t="shared" ref="R108" si="517">R109+Q108</f>
        <v>1188406280.0218754</v>
      </c>
      <c r="S108">
        <f t="shared" ref="S108" si="518">R108/100000</f>
        <v>11884.062800218753</v>
      </c>
      <c r="T108">
        <f t="shared" ref="T108" si="519">S108/1000</f>
        <v>11.884062800218754</v>
      </c>
    </row>
    <row r="109" spans="1:20" x14ac:dyDescent="0.25">
      <c r="A109" s="5">
        <v>44484</v>
      </c>
      <c r="B109">
        <v>1.619</v>
      </c>
      <c r="C109">
        <v>1.63</v>
      </c>
      <c r="D109">
        <v>1.518</v>
      </c>
      <c r="E109">
        <v>1.611</v>
      </c>
      <c r="F109">
        <v>11447039.1</v>
      </c>
      <c r="G109">
        <v>1.611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0.66071428571428703</v>
      </c>
      <c r="Q109">
        <f t="shared" ref="Q109" si="521">F109*P109</f>
        <v>7563222.2625000151</v>
      </c>
      <c r="R109">
        <f t="shared" ref="R109" si="522">R110+Q109</f>
        <v>1180508790.577431</v>
      </c>
      <c r="S109">
        <f t="shared" ref="S109" si="523">R109/100000</f>
        <v>11805.08790577431</v>
      </c>
      <c r="T109">
        <f t="shared" ref="T109" si="524">S109/1000</f>
        <v>11.805087905774309</v>
      </c>
    </row>
    <row r="110" spans="1:20" x14ac:dyDescent="0.25">
      <c r="A110" s="5">
        <v>44483</v>
      </c>
      <c r="B110">
        <v>1.5860000000000001</v>
      </c>
      <c r="C110">
        <v>1.649</v>
      </c>
      <c r="D110">
        <v>1.5609999999999999</v>
      </c>
      <c r="E110">
        <v>1.62</v>
      </c>
      <c r="F110">
        <v>6981532.5999999996</v>
      </c>
      <c r="G110">
        <v>1.62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0.34090909090909344</v>
      </c>
      <c r="Q110">
        <f t="shared" ref="Q110" si="526">F110*P110</f>
        <v>2380067.9318181993</v>
      </c>
      <c r="R110">
        <f t="shared" ref="R110" si="527">R111+Q110</f>
        <v>1172945568.3149309</v>
      </c>
      <c r="S110">
        <f t="shared" ref="S110" si="528">R110/100000</f>
        <v>11729.45568314931</v>
      </c>
      <c r="T110">
        <f t="shared" ref="T110" si="529">S110/1000</f>
        <v>11.729455683149309</v>
      </c>
    </row>
    <row r="111" spans="1:20" x14ac:dyDescent="0.25">
      <c r="A111" s="5">
        <v>44482</v>
      </c>
      <c r="B111">
        <v>1.5349999999999999</v>
      </c>
      <c r="C111">
        <v>1.59</v>
      </c>
      <c r="D111">
        <v>1.488</v>
      </c>
      <c r="E111">
        <v>1.585</v>
      </c>
      <c r="F111">
        <v>6401157.5</v>
      </c>
      <c r="G111">
        <v>1.585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0.90196078431372328</v>
      </c>
      <c r="Q111">
        <f t="shared" ref="Q111" si="531">F111*P111</f>
        <v>5773593.0392156718</v>
      </c>
      <c r="R111">
        <f t="shared" ref="R111" si="532">R112+Q111</f>
        <v>1170565500.3831127</v>
      </c>
      <c r="S111">
        <f t="shared" ref="S111" si="533">R111/100000</f>
        <v>11705.655003831127</v>
      </c>
      <c r="T111">
        <f t="shared" ref="T111" si="534">S111/1000</f>
        <v>11.705655003831128</v>
      </c>
    </row>
    <row r="112" spans="1:20" x14ac:dyDescent="0.25">
      <c r="A112" s="5">
        <v>44481</v>
      </c>
      <c r="B112">
        <v>1.56</v>
      </c>
      <c r="C112">
        <v>1.56</v>
      </c>
      <c r="D112">
        <v>1.4470000000000001</v>
      </c>
      <c r="E112">
        <v>1.5349999999999999</v>
      </c>
      <c r="F112">
        <v>8525432</v>
      </c>
      <c r="G112">
        <v>1.5349999999999999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0.55752212389380296</v>
      </c>
      <c r="Q112">
        <f t="shared" ref="Q112" si="536">F112*P112</f>
        <v>4753116.9557521921</v>
      </c>
      <c r="R112">
        <f t="shared" ref="R112" si="537">R113+Q112</f>
        <v>1164791907.3438971</v>
      </c>
      <c r="S112">
        <f t="shared" ref="S112" si="538">R112/100000</f>
        <v>11647.91907343897</v>
      </c>
      <c r="T112">
        <f t="shared" ref="T112" si="539">S112/1000</f>
        <v>11.64791907343897</v>
      </c>
    </row>
    <row r="113" spans="1:20" x14ac:dyDescent="0.25">
      <c r="A113" s="5">
        <v>44480</v>
      </c>
      <c r="B113">
        <v>1.58</v>
      </c>
      <c r="C113">
        <v>1.6519999999999999</v>
      </c>
      <c r="D113">
        <v>1.506</v>
      </c>
      <c r="E113">
        <v>1.5609999999999999</v>
      </c>
      <c r="F113">
        <v>6683069.2000000002</v>
      </c>
      <c r="G113">
        <v>1.5609999999999999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-0.2465753424657538</v>
      </c>
      <c r="Q113">
        <f t="shared" ref="Q113" si="541">F113*P113</f>
        <v>-1647880.0767123313</v>
      </c>
      <c r="R113">
        <f t="shared" ref="R113" si="542">R114+Q113</f>
        <v>1160038790.388145</v>
      </c>
      <c r="S113">
        <f t="shared" ref="S113" si="543">R113/100000</f>
        <v>11600.38790388145</v>
      </c>
      <c r="T113">
        <f t="shared" ref="T113" si="544">S113/1000</f>
        <v>11.600387903881451</v>
      </c>
    </row>
    <row r="114" spans="1:20" x14ac:dyDescent="0.25">
      <c r="A114" s="5">
        <v>44479</v>
      </c>
      <c r="B114">
        <v>1.72</v>
      </c>
      <c r="C114">
        <v>1.722</v>
      </c>
      <c r="D114">
        <v>1.5720000000000001</v>
      </c>
      <c r="E114">
        <v>1.58</v>
      </c>
      <c r="F114">
        <v>7719908.7999999998</v>
      </c>
      <c r="G114">
        <v>1.58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-0.8933333333333332</v>
      </c>
      <c r="Q114">
        <f t="shared" ref="Q114" si="546">F114*P114</f>
        <v>-6896451.861333332</v>
      </c>
      <c r="R114">
        <f t="shared" ref="R114" si="547">R115+Q114</f>
        <v>1161686670.4648573</v>
      </c>
      <c r="S114">
        <f t="shared" ref="S114" si="548">R114/100000</f>
        <v>11616.866704648573</v>
      </c>
      <c r="T114">
        <f t="shared" ref="T114" si="549">S114/1000</f>
        <v>11.616866704648574</v>
      </c>
    </row>
    <row r="115" spans="1:20" x14ac:dyDescent="0.25">
      <c r="A115" s="5">
        <v>44478</v>
      </c>
      <c r="B115">
        <v>1.6990000000000001</v>
      </c>
      <c r="C115">
        <v>1.7210000000000001</v>
      </c>
      <c r="D115">
        <v>1.6519999999999999</v>
      </c>
      <c r="E115">
        <v>1.7190000000000001</v>
      </c>
      <c r="F115">
        <v>6797767</v>
      </c>
      <c r="G115">
        <v>1.7190000000000001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0.94202898550724645</v>
      </c>
      <c r="Q115">
        <f t="shared" ref="Q115" si="551">F115*P115</f>
        <v>6403693.5507246386</v>
      </c>
      <c r="R115">
        <f t="shared" ref="R115" si="552">R116+Q115</f>
        <v>1168583122.3261907</v>
      </c>
      <c r="S115">
        <f t="shared" ref="S115" si="553">R115/100000</f>
        <v>11685.831223261906</v>
      </c>
      <c r="T115">
        <f t="shared" ref="T115" si="554">S115/1000</f>
        <v>11.685831223261907</v>
      </c>
    </row>
    <row r="116" spans="1:20" x14ac:dyDescent="0.25">
      <c r="A116" s="5">
        <v>44477</v>
      </c>
      <c r="B116">
        <v>1.679</v>
      </c>
      <c r="C116">
        <v>1.7290000000000001</v>
      </c>
      <c r="D116">
        <v>1.633</v>
      </c>
      <c r="E116">
        <v>1.7</v>
      </c>
      <c r="F116">
        <v>12242715.699999999</v>
      </c>
      <c r="G116">
        <v>1.7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0.39583333333333104</v>
      </c>
      <c r="Q116">
        <f t="shared" ref="Q116" si="556">F116*P116</f>
        <v>4846074.9645833047</v>
      </c>
      <c r="R116">
        <f t="shared" ref="R116" si="557">R117+Q116</f>
        <v>1162179428.775466</v>
      </c>
      <c r="S116">
        <f t="shared" ref="S116" si="558">R116/100000</f>
        <v>11621.794287754659</v>
      </c>
      <c r="T116">
        <f t="shared" ref="T116" si="559">S116/1000</f>
        <v>11.621794287754659</v>
      </c>
    </row>
    <row r="117" spans="1:20" x14ac:dyDescent="0.25">
      <c r="A117" s="5">
        <v>44476</v>
      </c>
      <c r="B117">
        <v>1.647</v>
      </c>
      <c r="C117">
        <v>1.68</v>
      </c>
      <c r="D117">
        <v>1.589</v>
      </c>
      <c r="E117">
        <v>1.68</v>
      </c>
      <c r="F117">
        <v>9885780.6999999993</v>
      </c>
      <c r="G117">
        <v>1.68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1</v>
      </c>
      <c r="Q117">
        <f t="shared" ref="Q117" si="561">F117*P117</f>
        <v>9885780.6999999993</v>
      </c>
      <c r="R117">
        <f t="shared" ref="R117" si="562">R118+Q117</f>
        <v>1157333353.8108826</v>
      </c>
      <c r="S117">
        <f t="shared" ref="S117" si="563">R117/100000</f>
        <v>11573.333538108825</v>
      </c>
      <c r="T117">
        <f t="shared" ref="T117" si="564">S117/1000</f>
        <v>11.573333538108825</v>
      </c>
    </row>
    <row r="118" spans="1:20" x14ac:dyDescent="0.25">
      <c r="A118" s="5">
        <v>44475</v>
      </c>
      <c r="B118">
        <v>1.6930000000000001</v>
      </c>
      <c r="C118">
        <v>1.7549999999999999</v>
      </c>
      <c r="D118">
        <v>1.538</v>
      </c>
      <c r="E118">
        <v>1.645</v>
      </c>
      <c r="F118">
        <v>18929267.300000001</v>
      </c>
      <c r="G118">
        <v>1.645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-1.3824884792626238E-2</v>
      </c>
      <c r="Q118">
        <f t="shared" ref="Q118" si="566">F118*P118</f>
        <v>-261694.93963132714</v>
      </c>
      <c r="R118">
        <f t="shared" ref="R118" si="567">R119+Q118</f>
        <v>1147447573.1108825</v>
      </c>
      <c r="S118">
        <f t="shared" ref="S118" si="568">R118/100000</f>
        <v>11474.475731108825</v>
      </c>
      <c r="T118">
        <f t="shared" ref="T118" si="569">S118/1000</f>
        <v>11.474475731108825</v>
      </c>
    </row>
    <row r="119" spans="1:20" x14ac:dyDescent="0.25">
      <c r="A119" s="5">
        <v>44474</v>
      </c>
      <c r="B119">
        <v>1.569</v>
      </c>
      <c r="C119">
        <v>1.7230000000000001</v>
      </c>
      <c r="D119">
        <v>1.5489999999999999</v>
      </c>
      <c r="E119">
        <v>1.6919999999999999</v>
      </c>
      <c r="F119">
        <v>17755685</v>
      </c>
      <c r="G119">
        <v>1.6919999999999999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0.643678160919539</v>
      </c>
      <c r="Q119">
        <f t="shared" ref="Q119" si="571">F119*P119</f>
        <v>11428946.666666646</v>
      </c>
      <c r="R119">
        <f t="shared" ref="R119" si="572">R120+Q119</f>
        <v>1147709268.0505137</v>
      </c>
      <c r="S119">
        <f t="shared" ref="S119" si="573">R119/100000</f>
        <v>11477.092680505137</v>
      </c>
      <c r="T119">
        <f t="shared" ref="T119" si="574">S119/1000</f>
        <v>11.477092680505137</v>
      </c>
    </row>
    <row r="120" spans="1:20" x14ac:dyDescent="0.25">
      <c r="A120" s="5">
        <v>44473</v>
      </c>
      <c r="B120">
        <v>1.552</v>
      </c>
      <c r="C120">
        <v>1.7</v>
      </c>
      <c r="D120">
        <v>1.5229999999999999</v>
      </c>
      <c r="E120">
        <v>1.5720000000000001</v>
      </c>
      <c r="F120">
        <v>25829141.5</v>
      </c>
      <c r="G120">
        <v>1.5720000000000001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-0.44632768361581759</v>
      </c>
      <c r="Q120">
        <f t="shared" ref="Q120" si="576">F120*P120</f>
        <v>-11528260.895480184</v>
      </c>
      <c r="R120">
        <f t="shared" ref="R120" si="577">R121+Q120</f>
        <v>1136280321.383847</v>
      </c>
      <c r="S120">
        <f t="shared" ref="S120" si="578">R120/100000</f>
        <v>11362.80321383847</v>
      </c>
      <c r="T120">
        <f t="shared" ref="T120" si="579">S120/1000</f>
        <v>11.36280321383847</v>
      </c>
    </row>
    <row r="121" spans="1:20" x14ac:dyDescent="0.25">
      <c r="A121" s="5">
        <v>44472</v>
      </c>
      <c r="B121">
        <v>1.5049999999999999</v>
      </c>
      <c r="C121">
        <v>1.5549999999999999</v>
      </c>
      <c r="D121">
        <v>1.466</v>
      </c>
      <c r="E121">
        <v>1.5429999999999999</v>
      </c>
      <c r="F121">
        <v>9074747.0999999996</v>
      </c>
      <c r="G121">
        <v>1.5429999999999999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0.73033707865168507</v>
      </c>
      <c r="Q121">
        <f t="shared" ref="Q121" si="581">F121*P121</f>
        <v>6627624.2865168508</v>
      </c>
      <c r="R121">
        <f t="shared" ref="R121" si="582">R122+Q121</f>
        <v>1147808582.2793272</v>
      </c>
      <c r="S121">
        <f t="shared" ref="S121" si="583">R121/100000</f>
        <v>11478.085822793271</v>
      </c>
      <c r="T121">
        <f t="shared" ref="T121" si="584">S121/1000</f>
        <v>11.478085822793272</v>
      </c>
    </row>
    <row r="122" spans="1:20" x14ac:dyDescent="0.25">
      <c r="A122" s="5">
        <v>44471</v>
      </c>
      <c r="B122">
        <v>1.5249999999999999</v>
      </c>
      <c r="C122">
        <v>1.5740000000000001</v>
      </c>
      <c r="D122">
        <v>1.4870000000000001</v>
      </c>
      <c r="E122">
        <v>1.5049999999999999</v>
      </c>
      <c r="F122">
        <v>12067186.300000001</v>
      </c>
      <c r="G122">
        <v>1.5049999999999999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-0.58620689655172875</v>
      </c>
      <c r="Q122">
        <f t="shared" ref="Q122" si="586">F122*P122</f>
        <v>-7073867.8310345393</v>
      </c>
      <c r="R122">
        <f t="shared" ref="R122" si="587">R123+Q122</f>
        <v>1141180957.9928102</v>
      </c>
      <c r="S122">
        <f t="shared" ref="S122" si="588">R122/100000</f>
        <v>11411.809579928102</v>
      </c>
      <c r="T122">
        <f t="shared" ref="T122" si="589">S122/1000</f>
        <v>11.411809579928102</v>
      </c>
    </row>
    <row r="123" spans="1:20" x14ac:dyDescent="0.25">
      <c r="A123" s="5">
        <v>44470</v>
      </c>
      <c r="B123">
        <v>1.3089999999999999</v>
      </c>
      <c r="C123">
        <v>1.54</v>
      </c>
      <c r="D123">
        <v>1.29</v>
      </c>
      <c r="E123">
        <v>1.5249999999999999</v>
      </c>
      <c r="F123">
        <v>12939071.52</v>
      </c>
      <c r="G123">
        <v>1.5249999999999999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0.87999999999999901</v>
      </c>
      <c r="Q123">
        <f t="shared" ref="Q123" si="591">F123*P123</f>
        <v>11386382.937599987</v>
      </c>
      <c r="R123">
        <f t="shared" ref="R123" si="592">R124+Q123</f>
        <v>1148254825.8238447</v>
      </c>
      <c r="S123">
        <f t="shared" ref="S123" si="593">R123/100000</f>
        <v>11482.548258238447</v>
      </c>
      <c r="T123">
        <f t="shared" ref="T123" si="594">S123/1000</f>
        <v>11.482548258238447</v>
      </c>
    </row>
    <row r="124" spans="1:20" x14ac:dyDescent="0.25">
      <c r="A124" s="5">
        <v>44469</v>
      </c>
      <c r="B124">
        <v>1.2230000000000001</v>
      </c>
      <c r="C124">
        <v>1.337</v>
      </c>
      <c r="D124">
        <v>1.2170000000000001</v>
      </c>
      <c r="E124">
        <v>1.3080000000000001</v>
      </c>
      <c r="F124">
        <v>7152630.9000000004</v>
      </c>
      <c r="G124">
        <v>1.3080000000000001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0.51666666666666761</v>
      </c>
      <c r="Q124">
        <f t="shared" ref="Q124" si="596">F124*P124</f>
        <v>3695525.9650000068</v>
      </c>
      <c r="R124">
        <f t="shared" ref="R124" si="597">R125+Q124</f>
        <v>1136868442.8862448</v>
      </c>
      <c r="S124">
        <f t="shared" ref="S124" si="598">R124/100000</f>
        <v>11368.684428862447</v>
      </c>
      <c r="T124">
        <f t="shared" ref="T124" si="599">S124/1000</f>
        <v>11.368684428862448</v>
      </c>
    </row>
    <row r="125" spans="1:20" x14ac:dyDescent="0.25">
      <c r="A125" s="5">
        <v>44468</v>
      </c>
      <c r="B125">
        <v>1.2030000000000001</v>
      </c>
      <c r="C125">
        <v>1.2749999999999999</v>
      </c>
      <c r="D125">
        <v>1.194</v>
      </c>
      <c r="E125">
        <v>1.2230000000000001</v>
      </c>
      <c r="F125">
        <v>4834528.2</v>
      </c>
      <c r="G125">
        <v>1.2230000000000001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-0.28395061728394688</v>
      </c>
      <c r="Q125">
        <f t="shared" ref="Q125" si="601">F125*P125</f>
        <v>-1372767.2666666487</v>
      </c>
      <c r="R125">
        <f t="shared" ref="R125" si="602">R126+Q125</f>
        <v>1133172916.9212449</v>
      </c>
      <c r="S125">
        <f t="shared" ref="S125" si="603">R125/100000</f>
        <v>11331.729169212449</v>
      </c>
      <c r="T125">
        <f t="shared" ref="T125" si="604">S125/1000</f>
        <v>11.33172916921245</v>
      </c>
    </row>
    <row r="126" spans="1:20" x14ac:dyDescent="0.25">
      <c r="A126" s="5">
        <v>44467</v>
      </c>
      <c r="B126">
        <v>1.262</v>
      </c>
      <c r="C126">
        <v>1.2849999999999999</v>
      </c>
      <c r="D126">
        <v>1.1970000000000001</v>
      </c>
      <c r="E126">
        <v>1.2030000000000001</v>
      </c>
      <c r="F126">
        <v>7270786</v>
      </c>
      <c r="G126">
        <v>1.2030000000000001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-0.86363636363636331</v>
      </c>
      <c r="Q126">
        <f t="shared" ref="Q126" si="606">F126*P126</f>
        <v>-6279315.1818181798</v>
      </c>
      <c r="R126">
        <f t="shared" ref="R126" si="607">R127+Q126</f>
        <v>1134545684.1879115</v>
      </c>
      <c r="S126">
        <f t="shared" ref="S126" si="608">R126/100000</f>
        <v>11345.456841879115</v>
      </c>
      <c r="T126">
        <f t="shared" ref="T126" si="609">S126/1000</f>
        <v>11.345456841879114</v>
      </c>
    </row>
    <row r="127" spans="1:20" x14ac:dyDescent="0.25">
      <c r="A127" s="5">
        <v>44466</v>
      </c>
      <c r="B127">
        <v>1.327</v>
      </c>
      <c r="C127">
        <v>1.3759999999999999</v>
      </c>
      <c r="D127">
        <v>1.258</v>
      </c>
      <c r="E127">
        <v>1.262</v>
      </c>
      <c r="F127">
        <v>8403309.8000000007</v>
      </c>
      <c r="G127">
        <v>1.262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-0.93220338983050832</v>
      </c>
      <c r="Q127">
        <f t="shared" ref="Q127" si="611">F127*P127</f>
        <v>-7833593.881355932</v>
      </c>
      <c r="R127">
        <f t="shared" ref="R127" si="612">R128+Q127</f>
        <v>1140824999.3697298</v>
      </c>
      <c r="S127">
        <f t="shared" ref="S127" si="613">R127/100000</f>
        <v>11408.249993697298</v>
      </c>
      <c r="T127">
        <f t="shared" ref="T127" si="614">S127/1000</f>
        <v>11.408249993697298</v>
      </c>
    </row>
    <row r="128" spans="1:20" x14ac:dyDescent="0.25">
      <c r="A128" s="5">
        <v>44465</v>
      </c>
      <c r="B128">
        <v>1.3340000000000001</v>
      </c>
      <c r="C128">
        <v>1.411</v>
      </c>
      <c r="D128">
        <v>1.2529999999999999</v>
      </c>
      <c r="E128">
        <v>1.327</v>
      </c>
      <c r="F128">
        <v>12942199.300000001</v>
      </c>
      <c r="G128">
        <v>1.327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-6.3291139240506333E-2</v>
      </c>
      <c r="Q128">
        <f t="shared" ref="Q128" si="616">F128*P128</f>
        <v>-819126.53797468368</v>
      </c>
      <c r="R128">
        <f t="shared" ref="R128" si="617">R129+Q128</f>
        <v>1148658593.2510858</v>
      </c>
      <c r="S128">
        <f t="shared" ref="S128" si="618">R128/100000</f>
        <v>11486.585932510858</v>
      </c>
      <c r="T128">
        <f t="shared" ref="T128" si="619">S128/1000</f>
        <v>11.486585932510858</v>
      </c>
    </row>
    <row r="129" spans="1:20" x14ac:dyDescent="0.25">
      <c r="A129" s="5">
        <v>44464</v>
      </c>
      <c r="B129">
        <v>1.343</v>
      </c>
      <c r="C129">
        <v>1.3759999999999999</v>
      </c>
      <c r="D129">
        <v>1.284</v>
      </c>
      <c r="E129">
        <v>1.3340000000000001</v>
      </c>
      <c r="F129">
        <v>8991202.3000000007</v>
      </c>
      <c r="G129">
        <v>1.3340000000000001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8.6956521739133055E-2</v>
      </c>
      <c r="Q129">
        <f t="shared" ref="Q129" si="621">F129*P129</f>
        <v>781843.67826089321</v>
      </c>
      <c r="R129">
        <f t="shared" ref="R129" si="622">R130+Q129</f>
        <v>1149477719.7890604</v>
      </c>
      <c r="S129">
        <f t="shared" ref="S129" si="623">R129/100000</f>
        <v>11494.777197890604</v>
      </c>
      <c r="T129">
        <f t="shared" ref="T129" si="624">S129/1000</f>
        <v>11.494777197890604</v>
      </c>
    </row>
    <row r="130" spans="1:20" x14ac:dyDescent="0.25">
      <c r="A130" s="5">
        <v>44463</v>
      </c>
      <c r="B130">
        <v>1.4770000000000001</v>
      </c>
      <c r="C130">
        <v>1.488</v>
      </c>
      <c r="D130">
        <v>1.2509999999999999</v>
      </c>
      <c r="E130">
        <v>1.3440000000000001</v>
      </c>
      <c r="F130">
        <v>11874288.800000001</v>
      </c>
      <c r="G130">
        <v>1.3440000000000001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-0.21518987341772022</v>
      </c>
      <c r="Q130">
        <f t="shared" ref="Q130" si="626">F130*P130</f>
        <v>-2555226.7037974531</v>
      </c>
      <c r="R130">
        <f t="shared" ref="R130" si="627">R131+Q130</f>
        <v>1148695876.1107996</v>
      </c>
      <c r="S130">
        <f t="shared" ref="S130" si="628">R130/100000</f>
        <v>11486.958761107995</v>
      </c>
      <c r="T130">
        <f t="shared" ref="T130" si="629">S130/1000</f>
        <v>11.486958761107996</v>
      </c>
    </row>
    <row r="131" spans="1:20" x14ac:dyDescent="0.25">
      <c r="A131" s="5">
        <v>44462</v>
      </c>
      <c r="B131">
        <v>1.413</v>
      </c>
      <c r="C131">
        <v>1.4870000000000001</v>
      </c>
      <c r="D131">
        <v>1.375</v>
      </c>
      <c r="E131">
        <v>1.478</v>
      </c>
      <c r="F131">
        <v>8095723.1699999999</v>
      </c>
      <c r="G131">
        <v>1.478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0.8392857142857123</v>
      </c>
      <c r="Q131">
        <f t="shared" ref="Q131" si="631">F131*P131</f>
        <v>6794624.8033928415</v>
      </c>
      <c r="R131">
        <f t="shared" ref="R131" si="632">R132+Q131</f>
        <v>1151251102.8145969</v>
      </c>
      <c r="S131">
        <f t="shared" ref="S131" si="633">R131/100000</f>
        <v>11512.511028145969</v>
      </c>
      <c r="T131">
        <f t="shared" ref="T131" si="634">S131/1000</f>
        <v>11.512511028145969</v>
      </c>
    </row>
    <row r="132" spans="1:20" x14ac:dyDescent="0.25">
      <c r="A132" s="5">
        <v>44461</v>
      </c>
      <c r="B132">
        <v>1.226</v>
      </c>
      <c r="C132">
        <v>1.4219999999999999</v>
      </c>
      <c r="D132">
        <v>1.196</v>
      </c>
      <c r="E132">
        <v>1.413</v>
      </c>
      <c r="F132">
        <v>9598491.5999999996</v>
      </c>
      <c r="G132">
        <v>1.413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0.92035398230088583</v>
      </c>
      <c r="Q132">
        <f t="shared" ref="Q132" si="636">F132*P132</f>
        <v>8834009.9681416005</v>
      </c>
      <c r="R132">
        <f t="shared" ref="R132" si="637">R133+Q132</f>
        <v>1144456478.011204</v>
      </c>
      <c r="S132">
        <f t="shared" ref="S132" si="638">R132/100000</f>
        <v>11444.564780112039</v>
      </c>
      <c r="T132">
        <f t="shared" ref="T132" si="639">S132/1000</f>
        <v>11.444564780112039</v>
      </c>
    </row>
    <row r="133" spans="1:20" x14ac:dyDescent="0.25">
      <c r="A133" s="5">
        <v>44460</v>
      </c>
      <c r="B133">
        <v>1.339</v>
      </c>
      <c r="C133">
        <v>1.399</v>
      </c>
      <c r="D133">
        <v>1.1859999999999999</v>
      </c>
      <c r="E133">
        <v>1.226</v>
      </c>
      <c r="F133">
        <v>15985395.1</v>
      </c>
      <c r="G133">
        <v>1.226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-0.6244131455399059</v>
      </c>
      <c r="Q133">
        <f t="shared" ref="Q133" si="641">F133*P133</f>
        <v>-9981490.8370891977</v>
      </c>
      <c r="R133">
        <f t="shared" ref="R133" si="642">R134+Q133</f>
        <v>1135622468.0430624</v>
      </c>
      <c r="S133">
        <f t="shared" ref="S133" si="643">R133/100000</f>
        <v>11356.224680430625</v>
      </c>
      <c r="T133">
        <f t="shared" ref="T133" si="644">S133/1000</f>
        <v>11.356224680430625</v>
      </c>
    </row>
    <row r="134" spans="1:20" x14ac:dyDescent="0.25">
      <c r="A134" s="5">
        <v>44459</v>
      </c>
      <c r="B134">
        <v>1.571</v>
      </c>
      <c r="C134">
        <v>1.575</v>
      </c>
      <c r="D134">
        <v>1.4139999999999999</v>
      </c>
      <c r="E134">
        <v>1.4330000000000001</v>
      </c>
      <c r="F134">
        <v>8770064.9199999999</v>
      </c>
      <c r="G134">
        <v>1.4330000000000001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-0.76397515527950155</v>
      </c>
      <c r="Q134">
        <f t="shared" ref="Q134" si="646">F134*P134</f>
        <v>-6700111.7090683095</v>
      </c>
      <c r="R134">
        <f t="shared" ref="R134" si="647">R135+Q134</f>
        <v>1145603958.8801517</v>
      </c>
      <c r="S134">
        <f t="shared" ref="S134" si="648">R134/100000</f>
        <v>11456.039588801517</v>
      </c>
      <c r="T134">
        <f t="shared" ref="T134" si="649">S134/1000</f>
        <v>11.456039588801517</v>
      </c>
    </row>
    <row r="135" spans="1:20" x14ac:dyDescent="0.25">
      <c r="A135" s="5">
        <v>44458</v>
      </c>
      <c r="B135">
        <v>1.6459999999999999</v>
      </c>
      <c r="C135">
        <v>1.65</v>
      </c>
      <c r="D135">
        <v>1.55</v>
      </c>
      <c r="E135">
        <v>1.57</v>
      </c>
      <c r="F135">
        <v>5554847.2000000002</v>
      </c>
      <c r="G135">
        <v>1.57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-0.59999999999999909</v>
      </c>
      <c r="Q135">
        <f t="shared" ref="Q135" si="651">F135*P135</f>
        <v>-3332908.3199999952</v>
      </c>
      <c r="R135">
        <f t="shared" ref="R135" si="652">R136+Q135</f>
        <v>1152304070.58922</v>
      </c>
      <c r="S135">
        <f t="shared" ref="S135" si="653">R135/100000</f>
        <v>11523.040705892201</v>
      </c>
      <c r="T135">
        <f t="shared" ref="T135" si="654">S135/1000</f>
        <v>11.523040705892202</v>
      </c>
    </row>
    <row r="136" spans="1:20" x14ac:dyDescent="0.25">
      <c r="A136" s="5">
        <v>44457</v>
      </c>
      <c r="B136">
        <v>1.6339999999999999</v>
      </c>
      <c r="C136">
        <v>1.694</v>
      </c>
      <c r="D136">
        <v>1.607</v>
      </c>
      <c r="E136">
        <v>1.6459999999999999</v>
      </c>
      <c r="F136">
        <v>5953218.7999999998</v>
      </c>
      <c r="G136">
        <v>1.6459999999999999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-0.10344827586207038</v>
      </c>
      <c r="Q136">
        <f t="shared" ref="Q136" si="656">F136*P136</f>
        <v>-615850.22068966355</v>
      </c>
      <c r="R136">
        <f t="shared" ref="R136" si="657">R137+Q136</f>
        <v>1155636978.90922</v>
      </c>
      <c r="S136">
        <f t="shared" ref="S136" si="658">R136/100000</f>
        <v>11556.369789092199</v>
      </c>
      <c r="T136">
        <f t="shared" ref="T136" si="659">S136/1000</f>
        <v>11.5563697890922</v>
      </c>
    </row>
    <row r="137" spans="1:20" x14ac:dyDescent="0.25">
      <c r="A137" s="5">
        <v>44456</v>
      </c>
      <c r="B137">
        <v>1.68</v>
      </c>
      <c r="C137">
        <v>1.7</v>
      </c>
      <c r="D137">
        <v>1.6020000000000001</v>
      </c>
      <c r="E137">
        <v>1.6339999999999999</v>
      </c>
      <c r="F137">
        <v>6889415.9000000004</v>
      </c>
      <c r="G137">
        <v>1.6339999999999999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-0.34693877551020713</v>
      </c>
      <c r="Q137">
        <f t="shared" ref="Q137" si="661">F137*P137</f>
        <v>-2390205.5163265518</v>
      </c>
      <c r="R137">
        <f t="shared" ref="R137" si="662">R138+Q137</f>
        <v>1156252829.1299098</v>
      </c>
      <c r="S137">
        <f t="shared" ref="S137" si="663">R137/100000</f>
        <v>11562.528291299097</v>
      </c>
      <c r="T137">
        <f t="shared" ref="T137" si="664">S137/1000</f>
        <v>11.562528291299097</v>
      </c>
    </row>
    <row r="138" spans="1:20" x14ac:dyDescent="0.25">
      <c r="A138" s="5">
        <v>44455</v>
      </c>
      <c r="B138">
        <v>1.7669999999999999</v>
      </c>
      <c r="C138">
        <v>1.776</v>
      </c>
      <c r="D138">
        <v>1.64</v>
      </c>
      <c r="E138">
        <v>1.681</v>
      </c>
      <c r="F138">
        <v>7991264.2999999998</v>
      </c>
      <c r="G138">
        <v>1.681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-0.39705882352941013</v>
      </c>
      <c r="Q138">
        <f t="shared" ref="Q138" si="666">F138*P138</f>
        <v>-3173002.0014705751</v>
      </c>
      <c r="R138">
        <f t="shared" ref="R138" si="667">R139+Q138</f>
        <v>1158643034.6462364</v>
      </c>
      <c r="S138">
        <f t="shared" ref="S138" si="668">R138/100000</f>
        <v>11586.430346462364</v>
      </c>
      <c r="T138">
        <f t="shared" ref="T138" si="669">S138/1000</f>
        <v>11.586430346462365</v>
      </c>
    </row>
    <row r="139" spans="1:20" x14ac:dyDescent="0.25">
      <c r="A139" s="5">
        <v>44454</v>
      </c>
      <c r="B139">
        <v>1.6819999999999999</v>
      </c>
      <c r="C139">
        <v>1.7729999999999999</v>
      </c>
      <c r="D139">
        <v>1.661</v>
      </c>
      <c r="E139">
        <v>1.7669999999999999</v>
      </c>
      <c r="F139">
        <v>8348801.2000000002</v>
      </c>
      <c r="G139">
        <v>1.7669999999999999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0.89285714285714268</v>
      </c>
      <c r="Q139">
        <f t="shared" ref="Q139" si="671">F139*P139</f>
        <v>7454286.7857142845</v>
      </c>
      <c r="R139">
        <f t="shared" ref="R139" si="672">R140+Q139</f>
        <v>1161816036.647707</v>
      </c>
      <c r="S139">
        <f t="shared" ref="S139" si="673">R139/100000</f>
        <v>11618.16036647707</v>
      </c>
      <c r="T139">
        <f t="shared" ref="T139" si="674">S139/1000</f>
        <v>11.618160366477071</v>
      </c>
    </row>
    <row r="140" spans="1:20" x14ac:dyDescent="0.25">
      <c r="A140" s="5">
        <v>44453</v>
      </c>
      <c r="B140">
        <v>1.6259999999999999</v>
      </c>
      <c r="C140">
        <v>1.6839999999999999</v>
      </c>
      <c r="D140">
        <v>1.601</v>
      </c>
      <c r="E140">
        <v>1.681</v>
      </c>
      <c r="F140">
        <v>6070561</v>
      </c>
      <c r="G140">
        <v>1.681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0.92771084337349652</v>
      </c>
      <c r="Q140">
        <f t="shared" ref="Q140" si="676">F140*P140</f>
        <v>5631725.2650602562</v>
      </c>
      <c r="R140">
        <f t="shared" ref="R140" si="677">R141+Q140</f>
        <v>1154361749.8619926</v>
      </c>
      <c r="S140">
        <f t="shared" ref="S140" si="678">R140/100000</f>
        <v>11543.617498619926</v>
      </c>
      <c r="T140">
        <f t="shared" ref="T140" si="679">S140/1000</f>
        <v>11.543617498619925</v>
      </c>
    </row>
    <row r="141" spans="1:20" x14ac:dyDescent="0.25">
      <c r="A141" s="5">
        <v>44452</v>
      </c>
      <c r="B141">
        <v>1.71</v>
      </c>
      <c r="C141">
        <v>1.72</v>
      </c>
      <c r="D141">
        <v>1.508</v>
      </c>
      <c r="E141">
        <v>1.629</v>
      </c>
      <c r="F141">
        <v>10519417.4</v>
      </c>
      <c r="G141">
        <v>1.629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0.14150943396226429</v>
      </c>
      <c r="Q141">
        <f t="shared" ref="Q141" si="681">F141*P141</f>
        <v>1488596.8018867939</v>
      </c>
      <c r="R141">
        <f t="shared" ref="R141" si="682">R142+Q141</f>
        <v>1148730024.5969324</v>
      </c>
      <c r="S141">
        <f t="shared" ref="S141" si="683">R141/100000</f>
        <v>11487.300245969323</v>
      </c>
      <c r="T141">
        <f t="shared" ref="T141" si="684">S141/1000</f>
        <v>11.487300245969324</v>
      </c>
    </row>
    <row r="142" spans="1:20" x14ac:dyDescent="0.25">
      <c r="A142" s="5">
        <v>44451</v>
      </c>
      <c r="B142">
        <v>1.68</v>
      </c>
      <c r="C142">
        <v>1.758</v>
      </c>
      <c r="D142">
        <v>1.6339999999999999</v>
      </c>
      <c r="E142">
        <v>1.712</v>
      </c>
      <c r="F142">
        <v>8042599.9000000004</v>
      </c>
      <c r="G142">
        <v>1.712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0.25806451612903225</v>
      </c>
      <c r="Q142">
        <f t="shared" ref="Q142" si="686">F142*P142</f>
        <v>2075509.6516129032</v>
      </c>
      <c r="R142">
        <f t="shared" ref="R142" si="687">R143+Q142</f>
        <v>1147241427.7950456</v>
      </c>
      <c r="S142">
        <f t="shared" ref="S142" si="688">R142/100000</f>
        <v>11472.414277950456</v>
      </c>
      <c r="T142">
        <f t="shared" ref="T142" si="689">S142/1000</f>
        <v>11.472414277950456</v>
      </c>
    </row>
    <row r="143" spans="1:20" x14ac:dyDescent="0.25">
      <c r="A143" s="5">
        <v>44450</v>
      </c>
      <c r="B143">
        <v>1.645</v>
      </c>
      <c r="C143">
        <v>1.74</v>
      </c>
      <c r="D143">
        <v>1.631</v>
      </c>
      <c r="E143">
        <v>1.679</v>
      </c>
      <c r="F143">
        <v>7309714.2000000002</v>
      </c>
      <c r="G143">
        <v>1.679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-0.11926605504587066</v>
      </c>
      <c r="Q143">
        <f t="shared" ref="Q143" si="691">F143*P143</f>
        <v>-871800.77614678245</v>
      </c>
      <c r="R143">
        <f t="shared" ref="R143" si="692">R144+Q143</f>
        <v>1145165918.1434326</v>
      </c>
      <c r="S143">
        <f t="shared" ref="S143" si="693">R143/100000</f>
        <v>11451.659181434326</v>
      </c>
      <c r="T143">
        <f t="shared" ref="T143" si="694">S143/1000</f>
        <v>11.451659181434326</v>
      </c>
    </row>
    <row r="144" spans="1:20" x14ac:dyDescent="0.25">
      <c r="A144" s="5">
        <v>44449</v>
      </c>
      <c r="B144">
        <v>1.788</v>
      </c>
      <c r="C144">
        <v>1.8660000000000001</v>
      </c>
      <c r="D144">
        <v>1.605</v>
      </c>
      <c r="E144">
        <v>1.6459999999999999</v>
      </c>
      <c r="F144">
        <v>13245093.9</v>
      </c>
      <c r="G144">
        <v>1.6459999999999999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-0.68582375478927271</v>
      </c>
      <c r="Q144">
        <f t="shared" ref="Q144" si="696">F144*P144</f>
        <v>-9083800.031034492</v>
      </c>
      <c r="R144">
        <f t="shared" ref="R144" si="697">R145+Q144</f>
        <v>1146037718.9195795</v>
      </c>
      <c r="S144">
        <f t="shared" ref="S144" si="698">R144/100000</f>
        <v>11460.377189195795</v>
      </c>
      <c r="T144">
        <f t="shared" ref="T144" si="699">S144/1000</f>
        <v>11.460377189195794</v>
      </c>
    </row>
    <row r="145" spans="1:20" x14ac:dyDescent="0.25">
      <c r="A145" s="5">
        <v>44448</v>
      </c>
      <c r="B145">
        <v>1.73</v>
      </c>
      <c r="C145">
        <v>1.8460000000000001</v>
      </c>
      <c r="D145">
        <v>1.6839999999999999</v>
      </c>
      <c r="E145">
        <v>1.79</v>
      </c>
      <c r="F145">
        <v>14300025.300000001</v>
      </c>
      <c r="G145">
        <v>1.79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0.30864197530864196</v>
      </c>
      <c r="Q145">
        <f t="shared" ref="Q145" si="701">F145*P145</f>
        <v>4413588.055555556</v>
      </c>
      <c r="R145">
        <f t="shared" ref="R145" si="702">R146+Q145</f>
        <v>1155121518.950614</v>
      </c>
      <c r="S145">
        <f t="shared" ref="S145" si="703">R145/100000</f>
        <v>11551.21518950614</v>
      </c>
      <c r="T145">
        <f t="shared" ref="T145" si="704">S145/1000</f>
        <v>11.55121518950614</v>
      </c>
    </row>
    <row r="146" spans="1:20" x14ac:dyDescent="0.25">
      <c r="A146" s="5">
        <v>44447</v>
      </c>
      <c r="B146">
        <v>1.758</v>
      </c>
      <c r="C146">
        <v>1.798</v>
      </c>
      <c r="D146">
        <v>1.526</v>
      </c>
      <c r="E146">
        <v>1.73</v>
      </c>
      <c r="F146">
        <v>24796228.399999999</v>
      </c>
      <c r="G146">
        <v>1.73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0.49999999999999961</v>
      </c>
      <c r="Q146">
        <f t="shared" ref="Q146" si="706">F146*P146</f>
        <v>12398114.19999999</v>
      </c>
      <c r="R146">
        <f t="shared" ref="R146" si="707">R147+Q146</f>
        <v>1150707930.8950584</v>
      </c>
      <c r="S146">
        <f t="shared" ref="S146" si="708">R146/100000</f>
        <v>11507.079308950584</v>
      </c>
      <c r="T146">
        <f t="shared" ref="T146" si="709">S146/1000</f>
        <v>11.507079308950583</v>
      </c>
    </row>
    <row r="147" spans="1:20" x14ac:dyDescent="0.25">
      <c r="A147" s="5">
        <v>44446</v>
      </c>
      <c r="B147">
        <v>2.1789999999999998</v>
      </c>
      <c r="C147">
        <v>2.1859999999999999</v>
      </c>
      <c r="D147">
        <v>1.47</v>
      </c>
      <c r="E147">
        <v>1.7569999999999999</v>
      </c>
      <c r="F147">
        <v>47389349.030000001</v>
      </c>
      <c r="G147">
        <v>1.7569999999999999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-0.19832402234636889</v>
      </c>
      <c r="Q147">
        <f t="shared" ref="Q147" si="711">F147*P147</f>
        <v>-9398446.316005595</v>
      </c>
      <c r="R147">
        <f t="shared" ref="R147" si="712">R148+Q147</f>
        <v>1138309816.6950583</v>
      </c>
      <c r="S147">
        <f t="shared" ref="S147" si="713">R147/100000</f>
        <v>11383.098166950584</v>
      </c>
      <c r="T147">
        <f t="shared" ref="T147" si="714">S147/1000</f>
        <v>11.383098166950584</v>
      </c>
    </row>
    <row r="148" spans="1:20" x14ac:dyDescent="0.25">
      <c r="A148" s="5">
        <v>44445</v>
      </c>
      <c r="B148">
        <v>2.1909999999999998</v>
      </c>
      <c r="C148">
        <v>2.262</v>
      </c>
      <c r="D148">
        <v>2.101</v>
      </c>
      <c r="E148">
        <v>2.1789999999999998</v>
      </c>
      <c r="F148">
        <v>18519636.199999999</v>
      </c>
      <c r="G148">
        <v>2.1789999999999998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-3.1055900621120104E-2</v>
      </c>
      <c r="Q148">
        <f t="shared" ref="Q148" si="716">F148*P148</f>
        <v>-575143.9813664984</v>
      </c>
      <c r="R148">
        <f t="shared" ref="R148" si="717">R149+Q148</f>
        <v>1147708263.0110641</v>
      </c>
      <c r="S148">
        <f t="shared" ref="S148" si="718">R148/100000</f>
        <v>11477.082630110641</v>
      </c>
      <c r="T148">
        <f t="shared" ref="T148" si="719">S148/1000</f>
        <v>11.47708263011064</v>
      </c>
    </row>
    <row r="149" spans="1:20" x14ac:dyDescent="0.25">
      <c r="A149" s="5">
        <v>44444</v>
      </c>
      <c r="B149">
        <v>2.0960000000000001</v>
      </c>
      <c r="C149">
        <v>2.2000000000000002</v>
      </c>
      <c r="D149">
        <v>2.0630000000000002</v>
      </c>
      <c r="E149">
        <v>2.1909999999999998</v>
      </c>
      <c r="F149">
        <v>15318427.1</v>
      </c>
      <c r="G149">
        <v>2.1909999999999998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0.86861313868612644</v>
      </c>
      <c r="Q149">
        <f t="shared" ref="Q149" si="721">F149*P149</f>
        <v>13305787.043065617</v>
      </c>
      <c r="R149">
        <f t="shared" ref="R149" si="722">R150+Q149</f>
        <v>1148283406.9924304</v>
      </c>
      <c r="S149">
        <f t="shared" ref="S149" si="723">R149/100000</f>
        <v>11482.834069924305</v>
      </c>
      <c r="T149">
        <f t="shared" ref="T149" si="724">S149/1000</f>
        <v>11.482834069924305</v>
      </c>
    </row>
    <row r="150" spans="1:20" x14ac:dyDescent="0.25">
      <c r="A150" s="5">
        <v>44443</v>
      </c>
      <c r="B150">
        <v>2.0720000000000001</v>
      </c>
      <c r="C150">
        <v>2.1360000000000001</v>
      </c>
      <c r="D150">
        <v>2.0310000000000001</v>
      </c>
      <c r="E150">
        <v>2.097</v>
      </c>
      <c r="F150">
        <v>14740315</v>
      </c>
      <c r="G150">
        <v>2.097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0.25714285714285423</v>
      </c>
      <c r="Q150">
        <f t="shared" ref="Q150" si="726">F150*P150</f>
        <v>3790366.7142856712</v>
      </c>
      <c r="R150">
        <f t="shared" ref="R150" si="727">R151+Q150</f>
        <v>1134977619.9493649</v>
      </c>
      <c r="S150">
        <f t="shared" ref="S150" si="728">R150/100000</f>
        <v>11349.776199493648</v>
      </c>
      <c r="T150">
        <f t="shared" ref="T150" si="729">S150/1000</f>
        <v>11.349776199493649</v>
      </c>
    </row>
    <row r="151" spans="1:20" x14ac:dyDescent="0.25">
      <c r="A151" s="5">
        <v>44442</v>
      </c>
      <c r="B151">
        <v>2.0470000000000002</v>
      </c>
      <c r="C151">
        <v>2.1</v>
      </c>
      <c r="D151">
        <v>1.9870000000000001</v>
      </c>
      <c r="E151">
        <v>2.0710000000000002</v>
      </c>
      <c r="F151">
        <v>13369992.9</v>
      </c>
      <c r="G151">
        <v>2.0710000000000002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0.48672566371681564</v>
      </c>
      <c r="Q151">
        <f t="shared" ref="Q151" si="731">F151*P151</f>
        <v>6507518.6681416128</v>
      </c>
      <c r="R151">
        <f t="shared" ref="R151" si="732">R152+Q151</f>
        <v>1131187253.2350793</v>
      </c>
      <c r="S151">
        <f t="shared" ref="S151" si="733">R151/100000</f>
        <v>11311.872532350793</v>
      </c>
      <c r="T151">
        <f t="shared" ref="T151" si="734">S151/1000</f>
        <v>11.311872532350794</v>
      </c>
    </row>
    <row r="152" spans="1:20" x14ac:dyDescent="0.25">
      <c r="A152" s="5">
        <v>44441</v>
      </c>
      <c r="B152">
        <v>2.0790000000000002</v>
      </c>
      <c r="C152">
        <v>2.1230000000000002</v>
      </c>
      <c r="D152">
        <v>2.0289999999999999</v>
      </c>
      <c r="E152">
        <v>2.0459999999999998</v>
      </c>
      <c r="F152">
        <v>15238512.1</v>
      </c>
      <c r="G152">
        <v>2.0459999999999998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-0.63829787234042878</v>
      </c>
      <c r="Q152">
        <f t="shared" ref="Q152" si="736">F152*P152</f>
        <v>-9726709.8510638792</v>
      </c>
      <c r="R152">
        <f t="shared" ref="R152" si="737">R153+Q152</f>
        <v>1124679734.5669377</v>
      </c>
      <c r="S152">
        <f t="shared" ref="S152" si="738">R152/100000</f>
        <v>11246.797345669376</v>
      </c>
      <c r="T152">
        <f t="shared" ref="T152" si="739">S152/1000</f>
        <v>11.246797345669377</v>
      </c>
    </row>
    <row r="153" spans="1:20" x14ac:dyDescent="0.25">
      <c r="A153" s="5">
        <v>44440</v>
      </c>
      <c r="B153">
        <v>2.0190000000000001</v>
      </c>
      <c r="C153">
        <v>2.09</v>
      </c>
      <c r="D153">
        <v>1.9510000000000001</v>
      </c>
      <c r="E153">
        <v>2.0790000000000002</v>
      </c>
      <c r="F153">
        <v>18010662.699999999</v>
      </c>
      <c r="G153">
        <v>2.0790000000000002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0.8417266187050404</v>
      </c>
      <c r="Q153">
        <f t="shared" ref="Q153" si="741">F153*P153</f>
        <v>15160054.215107992</v>
      </c>
      <c r="R153">
        <f t="shared" ref="R153" si="742">R154+Q153</f>
        <v>1134406444.4180017</v>
      </c>
      <c r="S153">
        <f t="shared" ref="S153" si="743">R153/100000</f>
        <v>11344.064444180016</v>
      </c>
      <c r="T153">
        <f t="shared" ref="T153" si="744">S153/1000</f>
        <v>11.344064444180017</v>
      </c>
    </row>
    <row r="154" spans="1:20" x14ac:dyDescent="0.25">
      <c r="A154" s="5">
        <v>44439</v>
      </c>
      <c r="B154">
        <v>2.0840000000000001</v>
      </c>
      <c r="C154">
        <v>2.149</v>
      </c>
      <c r="D154">
        <v>1.9790000000000001</v>
      </c>
      <c r="E154">
        <v>2.0190000000000001</v>
      </c>
      <c r="F154">
        <v>25365781.899999999</v>
      </c>
      <c r="G154">
        <v>2.0190000000000001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-0.52941176470588169</v>
      </c>
      <c r="Q154">
        <f t="shared" ref="Q154" si="746">F154*P154</f>
        <v>-13428943.358823512</v>
      </c>
      <c r="R154">
        <f t="shared" ref="R154" si="747">R155+Q154</f>
        <v>1119246390.2028937</v>
      </c>
      <c r="S154">
        <f t="shared" ref="S154" si="748">R154/100000</f>
        <v>11192.463902028938</v>
      </c>
      <c r="T154">
        <f t="shared" ref="T154" si="749">S154/1000</f>
        <v>11.192463902028937</v>
      </c>
    </row>
    <row r="155" spans="1:20" x14ac:dyDescent="0.25">
      <c r="A155" s="5">
        <v>44438</v>
      </c>
      <c r="B155">
        <v>2.1819999999999999</v>
      </c>
      <c r="C155">
        <v>2.3180000000000001</v>
      </c>
      <c r="D155">
        <v>2.0539999999999998</v>
      </c>
      <c r="E155">
        <v>2.085</v>
      </c>
      <c r="F155">
        <v>49849035.659999996</v>
      </c>
      <c r="G155">
        <v>2.085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-0.76515151515151436</v>
      </c>
      <c r="Q155">
        <f t="shared" ref="Q155" si="751">F155*P155</f>
        <v>-38142065.164090864</v>
      </c>
      <c r="R155">
        <f t="shared" ref="R155" si="752">R156+Q155</f>
        <v>1132675333.5617173</v>
      </c>
      <c r="S155">
        <f t="shared" ref="S155" si="753">R155/100000</f>
        <v>11326.753335617173</v>
      </c>
      <c r="T155">
        <f t="shared" ref="T155" si="754">S155/1000</f>
        <v>11.326753335617173</v>
      </c>
    </row>
    <row r="156" spans="1:20" x14ac:dyDescent="0.25">
      <c r="A156" s="5">
        <v>44437</v>
      </c>
      <c r="B156">
        <v>2.0550000000000002</v>
      </c>
      <c r="C156">
        <v>2.2229999999999999</v>
      </c>
      <c r="D156">
        <v>1.9379999999999999</v>
      </c>
      <c r="E156">
        <v>2.1829999999999998</v>
      </c>
      <c r="F156">
        <v>36322367.530000001</v>
      </c>
      <c r="G156">
        <v>2.1829999999999998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0.71929824561403477</v>
      </c>
      <c r="Q156">
        <f t="shared" ref="Q156" si="756">F156*P156</f>
        <v>26126615.240877181</v>
      </c>
      <c r="R156">
        <f t="shared" ref="R156" si="757">R157+Q156</f>
        <v>1170817398.7258081</v>
      </c>
      <c r="S156">
        <f t="shared" ref="S156" si="758">R156/100000</f>
        <v>11708.173987258082</v>
      </c>
      <c r="T156">
        <f t="shared" ref="T156" si="759">S156/1000</f>
        <v>11.708173987258082</v>
      </c>
    </row>
    <row r="157" spans="1:20" x14ac:dyDescent="0.25">
      <c r="A157" s="5">
        <v>44436</v>
      </c>
      <c r="B157">
        <v>2.0030000000000001</v>
      </c>
      <c r="C157">
        <v>2.0779999999999998</v>
      </c>
      <c r="D157">
        <v>1.946</v>
      </c>
      <c r="E157">
        <v>2.0550000000000002</v>
      </c>
      <c r="F157">
        <v>21008718.789999999</v>
      </c>
      <c r="G157">
        <v>2.0550000000000002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0.65151515151515593</v>
      </c>
      <c r="Q157">
        <f t="shared" ref="Q157" si="761">F157*P157</f>
        <v>13687498.605606154</v>
      </c>
      <c r="R157">
        <f t="shared" ref="R157" si="762">R158+Q157</f>
        <v>1144690783.484931</v>
      </c>
      <c r="S157">
        <f t="shared" ref="S157" si="763">R157/100000</f>
        <v>11446.907834849309</v>
      </c>
      <c r="T157">
        <f t="shared" ref="T157" si="764">S157/1000</f>
        <v>11.446907834849309</v>
      </c>
    </row>
    <row r="158" spans="1:20" x14ac:dyDescent="0.25">
      <c r="A158" s="5">
        <v>44435</v>
      </c>
      <c r="B158">
        <v>1.85</v>
      </c>
      <c r="C158">
        <v>2.0428999999999999</v>
      </c>
      <c r="D158">
        <v>1.7989999999999999</v>
      </c>
      <c r="E158">
        <v>2.0009999999999999</v>
      </c>
      <c r="F158">
        <v>25868340.789999999</v>
      </c>
      <c r="G158">
        <v>2.0009999999999999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0.65641656416564131</v>
      </c>
      <c r="Q158">
        <f t="shared" ref="Q158" si="766">F158*P158</f>
        <v>16980407.38203771</v>
      </c>
      <c r="R158">
        <f t="shared" ref="R158" si="767">R159+Q158</f>
        <v>1131003284.8793249</v>
      </c>
      <c r="S158">
        <f t="shared" ref="S158" si="768">R158/100000</f>
        <v>11310.032848793249</v>
      </c>
      <c r="T158">
        <f t="shared" ref="T158" si="769">S158/1000</f>
        <v>11.310032848793249</v>
      </c>
    </row>
    <row r="159" spans="1:20" x14ac:dyDescent="0.25">
      <c r="A159" s="5">
        <v>44434</v>
      </c>
      <c r="B159">
        <v>2.0724</v>
      </c>
      <c r="C159">
        <v>2.0779999999999998</v>
      </c>
      <c r="D159">
        <v>1.82</v>
      </c>
      <c r="E159">
        <v>1.85</v>
      </c>
      <c r="F159">
        <v>27528369.859999999</v>
      </c>
      <c r="G159">
        <v>1.85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-0.76744186046511587</v>
      </c>
      <c r="Q159">
        <f t="shared" ref="Q159" si="771">F159*P159</f>
        <v>-21126423.380930223</v>
      </c>
      <c r="R159">
        <f t="shared" ref="R159" si="772">R160+Q159</f>
        <v>1114022877.4972873</v>
      </c>
      <c r="S159">
        <f t="shared" ref="S159" si="773">R159/100000</f>
        <v>11140.228774972873</v>
      </c>
      <c r="T159">
        <f t="shared" ref="T159" si="774">S159/1000</f>
        <v>11.140228774972872</v>
      </c>
    </row>
    <row r="160" spans="1:20" x14ac:dyDescent="0.25">
      <c r="A160" s="5">
        <v>44433</v>
      </c>
      <c r="B160">
        <v>1.8913</v>
      </c>
      <c r="C160">
        <v>2.08</v>
      </c>
      <c r="D160">
        <v>1.7807999999999999</v>
      </c>
      <c r="E160">
        <v>2.0720999999999998</v>
      </c>
      <c r="F160">
        <v>43730043.350000001</v>
      </c>
      <c r="G160">
        <v>2.0720999999999998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0.94719251336898236</v>
      </c>
      <c r="Q160">
        <f t="shared" ref="Q160" si="776">F160*P160</f>
        <v>41420769.670421056</v>
      </c>
      <c r="R160">
        <f t="shared" ref="R160" si="777">R161+Q160</f>
        <v>1135149300.8782175</v>
      </c>
      <c r="S160">
        <f t="shared" ref="S160" si="778">R160/100000</f>
        <v>11351.493008782174</v>
      </c>
      <c r="T160">
        <f t="shared" ref="T160" si="779">S160/1000</f>
        <v>11.351493008782175</v>
      </c>
    </row>
    <row r="161" spans="1:20" x14ac:dyDescent="0.25">
      <c r="A161" s="5">
        <v>44432</v>
      </c>
      <c r="B161">
        <v>2.1783999999999999</v>
      </c>
      <c r="C161">
        <v>2.1861000000000002</v>
      </c>
      <c r="D161">
        <v>1.8566</v>
      </c>
      <c r="E161">
        <v>1.8911</v>
      </c>
      <c r="F161">
        <v>44224875.109999999</v>
      </c>
      <c r="G161">
        <v>1.8911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-0.79059180576631283</v>
      </c>
      <c r="Q161">
        <f t="shared" ref="Q161" si="781">F161*P161</f>
        <v>-34963823.873004563</v>
      </c>
      <c r="R161">
        <f t="shared" ref="R161" si="782">R162+Q161</f>
        <v>1093728531.2077963</v>
      </c>
      <c r="S161">
        <f t="shared" ref="S161" si="783">R161/100000</f>
        <v>10937.285312077964</v>
      </c>
      <c r="T161">
        <f t="shared" ref="T161" si="784">S161/1000</f>
        <v>10.937285312077965</v>
      </c>
    </row>
    <row r="162" spans="1:20" x14ac:dyDescent="0.25">
      <c r="A162" s="5">
        <v>44431</v>
      </c>
      <c r="B162">
        <v>1.8427</v>
      </c>
      <c r="C162">
        <v>2.1987999999999999</v>
      </c>
      <c r="D162">
        <v>1.81</v>
      </c>
      <c r="E162">
        <v>2.1796000000000002</v>
      </c>
      <c r="F162">
        <v>57128524.840000004</v>
      </c>
      <c r="G162">
        <v>2.1796000000000002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0.90123456790123624</v>
      </c>
      <c r="Q162">
        <f t="shared" ref="Q162" si="786">F162*P162</f>
        <v>51486201.399012446</v>
      </c>
      <c r="R162">
        <f t="shared" ref="R162" si="787">R163+Q162</f>
        <v>1128692355.080801</v>
      </c>
      <c r="S162">
        <f t="shared" ref="S162" si="788">R162/100000</f>
        <v>11286.923550808011</v>
      </c>
      <c r="T162">
        <f t="shared" ref="T162" si="789">S162/1000</f>
        <v>11.286923550808011</v>
      </c>
    </row>
    <row r="163" spans="1:20" x14ac:dyDescent="0.25">
      <c r="A163" s="5">
        <v>44430</v>
      </c>
      <c r="B163">
        <v>1.8371</v>
      </c>
      <c r="C163">
        <v>1.9518</v>
      </c>
      <c r="D163">
        <v>1.8351</v>
      </c>
      <c r="E163">
        <v>1.8781000000000001</v>
      </c>
      <c r="F163">
        <v>11676905</v>
      </c>
      <c r="G163">
        <v>1.8781000000000001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-0.26306769494429921</v>
      </c>
      <c r="Q163">
        <f t="shared" ref="Q163" si="791">F163*P163</f>
        <v>-3071816.4824335622</v>
      </c>
      <c r="R163">
        <f t="shared" ref="R163" si="792">R164+Q163</f>
        <v>1077206153.6817884</v>
      </c>
      <c r="S163">
        <f t="shared" ref="S163" si="793">R163/100000</f>
        <v>10772.061536817884</v>
      </c>
      <c r="T163">
        <f t="shared" ref="T163" si="794">S163/1000</f>
        <v>10.772061536817883</v>
      </c>
    </row>
    <row r="164" spans="1:20" x14ac:dyDescent="0.25">
      <c r="A164" s="5">
        <v>44429</v>
      </c>
      <c r="B164">
        <v>1.6712</v>
      </c>
      <c r="C164">
        <v>1.9590000000000001</v>
      </c>
      <c r="D164">
        <v>1.6556999999999999</v>
      </c>
      <c r="E164">
        <v>1.8373999999999999</v>
      </c>
      <c r="F164">
        <v>50339281.5</v>
      </c>
      <c r="G164">
        <v>1.8373999999999999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0.19815364325750015</v>
      </c>
      <c r="Q164">
        <f t="shared" ref="Q164" si="796">F164*P164</f>
        <v>9974912.028189877</v>
      </c>
      <c r="R164">
        <f t="shared" ref="R164" si="797">R165+Q164</f>
        <v>1080277970.164222</v>
      </c>
      <c r="S164">
        <f t="shared" ref="S164" si="798">R164/100000</f>
        <v>10802.779701642219</v>
      </c>
      <c r="T164">
        <f t="shared" ref="T164" si="799">S164/1000</f>
        <v>10.802779701642219</v>
      </c>
    </row>
    <row r="165" spans="1:20" x14ac:dyDescent="0.25">
      <c r="A165" s="5">
        <v>44428</v>
      </c>
      <c r="B165">
        <v>1.5822000000000001</v>
      </c>
      <c r="C165">
        <v>1.6712</v>
      </c>
      <c r="D165">
        <v>1.5633999999999999</v>
      </c>
      <c r="E165">
        <v>1.6712</v>
      </c>
      <c r="F165">
        <v>15984972.34</v>
      </c>
      <c r="G165">
        <v>1.6712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1</v>
      </c>
      <c r="Q165">
        <f t="shared" ref="Q165" si="801">F165*P165</f>
        <v>15984972.34</v>
      </c>
      <c r="R165">
        <f t="shared" ref="R165" si="802">R166+Q165</f>
        <v>1070303058.1360322</v>
      </c>
      <c r="S165">
        <f t="shared" ref="S165" si="803">R165/100000</f>
        <v>10703.030581360323</v>
      </c>
      <c r="T165">
        <f t="shared" ref="T165" si="804">S165/1000</f>
        <v>10.703030581360323</v>
      </c>
    </row>
    <row r="166" spans="1:20" x14ac:dyDescent="0.25">
      <c r="A166" s="5">
        <v>44427</v>
      </c>
      <c r="B166">
        <v>1.5185999999999999</v>
      </c>
      <c r="C166">
        <v>1.583</v>
      </c>
      <c r="D166">
        <v>1.4637</v>
      </c>
      <c r="E166">
        <v>1.5822000000000001</v>
      </c>
      <c r="F166">
        <v>14588931.18</v>
      </c>
      <c r="G166">
        <v>1.5822000000000001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0.98658843252305262</v>
      </c>
      <c r="Q166">
        <f t="shared" ref="Q166" si="806">F166*P166</f>
        <v>14393270.745062888</v>
      </c>
      <c r="R166">
        <f t="shared" ref="R166" si="807">R167+Q166</f>
        <v>1054318085.7960322</v>
      </c>
      <c r="S166">
        <f t="shared" ref="S166" si="808">R166/100000</f>
        <v>10543.180857960322</v>
      </c>
      <c r="T166">
        <f t="shared" ref="T166" si="809">S166/1000</f>
        <v>10.543180857960323</v>
      </c>
    </row>
    <row r="167" spans="1:20" x14ac:dyDescent="0.25">
      <c r="A167" s="5">
        <v>44426</v>
      </c>
      <c r="B167">
        <v>1.5361</v>
      </c>
      <c r="C167">
        <v>1.5698000000000001</v>
      </c>
      <c r="D167">
        <v>1.4437</v>
      </c>
      <c r="E167">
        <v>1.5205</v>
      </c>
      <c r="F167">
        <v>17741304.890000001</v>
      </c>
      <c r="G167">
        <v>1.5205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0.21808088818397967</v>
      </c>
      <c r="Q167">
        <f t="shared" ref="Q167" si="811">F167*P167</f>
        <v>3869039.5279539819</v>
      </c>
      <c r="R167">
        <f t="shared" ref="R167" si="812">R168+Q167</f>
        <v>1039924815.0509692</v>
      </c>
      <c r="S167">
        <f t="shared" ref="S167" si="813">R167/100000</f>
        <v>10399.248150509693</v>
      </c>
      <c r="T167">
        <f t="shared" ref="T167" si="814">S167/1000</f>
        <v>10.399248150509694</v>
      </c>
    </row>
    <row r="168" spans="1:20" x14ac:dyDescent="0.25">
      <c r="A168" s="5">
        <v>44425</v>
      </c>
      <c r="B168">
        <v>1.6206</v>
      </c>
      <c r="C168">
        <v>1.7076</v>
      </c>
      <c r="D168">
        <v>1.5202</v>
      </c>
      <c r="E168">
        <v>1.5359</v>
      </c>
      <c r="F168">
        <v>20630296.699999999</v>
      </c>
      <c r="G168">
        <v>1.5359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-0.83244397011739546</v>
      </c>
      <c r="Q168">
        <f t="shared" ref="Q168" si="816">F168*P168</f>
        <v>-17173566.0896478</v>
      </c>
      <c r="R168">
        <f t="shared" ref="R168" si="817">R169+Q168</f>
        <v>1036055775.5230153</v>
      </c>
      <c r="S168">
        <f t="shared" ref="S168" si="818">R168/100000</f>
        <v>10360.557755230153</v>
      </c>
      <c r="T168">
        <f t="shared" ref="T168" si="819">S168/1000</f>
        <v>10.360557755230152</v>
      </c>
    </row>
    <row r="169" spans="1:20" x14ac:dyDescent="0.25">
      <c r="A169" s="5">
        <v>44424</v>
      </c>
      <c r="B169">
        <v>1.6660999999999999</v>
      </c>
      <c r="C169">
        <v>1.7549999999999999</v>
      </c>
      <c r="D169">
        <v>1.6</v>
      </c>
      <c r="E169">
        <v>1.6204000000000001</v>
      </c>
      <c r="F169">
        <v>22740054.359999999</v>
      </c>
      <c r="G169">
        <v>1.6204000000000001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-0.73677419354838714</v>
      </c>
      <c r="Q169">
        <f t="shared" ref="Q169" si="821">F169*P169</f>
        <v>-16754285.212335484</v>
      </c>
      <c r="R169">
        <f t="shared" ref="R169" si="822">R170+Q169</f>
        <v>1053229341.612663</v>
      </c>
      <c r="S169">
        <f t="shared" ref="S169" si="823">R169/100000</f>
        <v>10532.293416126631</v>
      </c>
      <c r="T169">
        <f t="shared" ref="T169" si="824">S169/1000</f>
        <v>10.532293416126631</v>
      </c>
    </row>
    <row r="170" spans="1:20" x14ac:dyDescent="0.25">
      <c r="A170" s="5">
        <v>44423</v>
      </c>
      <c r="B170">
        <v>1.6830000000000001</v>
      </c>
      <c r="C170">
        <v>1.6871</v>
      </c>
      <c r="D170">
        <v>1.585</v>
      </c>
      <c r="E170">
        <v>1.6664000000000001</v>
      </c>
      <c r="F170">
        <v>13399955.75</v>
      </c>
      <c r="G170">
        <v>1.6664000000000001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0.59451518119490843</v>
      </c>
      <c r="Q170">
        <f t="shared" ref="Q170" si="826">F170*P170</f>
        <v>7966477.1207150053</v>
      </c>
      <c r="R170">
        <f t="shared" ref="R170" si="827">R171+Q170</f>
        <v>1069983626.8249985</v>
      </c>
      <c r="S170">
        <f t="shared" ref="S170" si="828">R170/100000</f>
        <v>10699.836268249985</v>
      </c>
      <c r="T170">
        <f t="shared" ref="T170" si="829">S170/1000</f>
        <v>10.699836268249985</v>
      </c>
    </row>
    <row r="171" spans="1:20" x14ac:dyDescent="0.25">
      <c r="A171" s="5">
        <v>44422</v>
      </c>
      <c r="B171">
        <v>1.6756</v>
      </c>
      <c r="C171">
        <v>1.7275</v>
      </c>
      <c r="D171">
        <v>1.6140000000000001</v>
      </c>
      <c r="E171">
        <v>1.6839999999999999</v>
      </c>
      <c r="F171">
        <v>18755507.309999999</v>
      </c>
      <c r="G171">
        <v>1.6839999999999999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0.23348017621145165</v>
      </c>
      <c r="Q171">
        <f t="shared" ref="Q171" si="831">F171*P171</f>
        <v>4379039.1516739689</v>
      </c>
      <c r="R171">
        <f t="shared" ref="R171" si="832">R172+Q171</f>
        <v>1062017149.7042835</v>
      </c>
      <c r="S171">
        <f t="shared" ref="S171" si="833">R171/100000</f>
        <v>10620.171497042835</v>
      </c>
      <c r="T171">
        <f t="shared" ref="T171" si="834">S171/1000</f>
        <v>10.620171497042834</v>
      </c>
    </row>
    <row r="172" spans="1:20" x14ac:dyDescent="0.25">
      <c r="A172" s="5">
        <v>44421</v>
      </c>
      <c r="B172">
        <v>1.5647</v>
      </c>
      <c r="C172">
        <v>1.68</v>
      </c>
      <c r="D172">
        <v>1.5462</v>
      </c>
      <c r="E172">
        <v>1.6763999999999999</v>
      </c>
      <c r="F172">
        <v>13750063.01</v>
      </c>
      <c r="G172">
        <v>1.6763999999999999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0.94618834080717418</v>
      </c>
      <c r="Q172">
        <f t="shared" ref="Q172" si="836">F172*P172</f>
        <v>13010149.305426</v>
      </c>
      <c r="R172">
        <f t="shared" ref="R172" si="837">R173+Q172</f>
        <v>1057638110.5526096</v>
      </c>
      <c r="S172">
        <f t="shared" ref="S172" si="838">R172/100000</f>
        <v>10576.381105526096</v>
      </c>
      <c r="T172">
        <f t="shared" ref="T172" si="839">S172/1000</f>
        <v>10.576381105526096</v>
      </c>
    </row>
    <row r="173" spans="1:20" x14ac:dyDescent="0.25">
      <c r="A173" s="5">
        <v>44420</v>
      </c>
      <c r="B173">
        <v>1.6184000000000001</v>
      </c>
      <c r="C173">
        <v>1.6686000000000001</v>
      </c>
      <c r="D173">
        <v>1.4790000000000001</v>
      </c>
      <c r="E173">
        <v>1.5647</v>
      </c>
      <c r="F173">
        <v>20277424.399999999</v>
      </c>
      <c r="G173">
        <v>1.5647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-9.5991561181435744E-2</v>
      </c>
      <c r="Q173">
        <f t="shared" ref="Q173" si="841">F173*P173</f>
        <v>-1946461.624894538</v>
      </c>
      <c r="R173">
        <f t="shared" ref="R173" si="842">R174+Q173</f>
        <v>1044627961.2471836</v>
      </c>
      <c r="S173">
        <f t="shared" ref="S173" si="843">R173/100000</f>
        <v>10446.279612471835</v>
      </c>
      <c r="T173">
        <f t="shared" ref="T173" si="844">S173/1000</f>
        <v>10.446279612471836</v>
      </c>
    </row>
    <row r="174" spans="1:20" x14ac:dyDescent="0.25">
      <c r="A174" s="5">
        <v>44419</v>
      </c>
      <c r="B174">
        <v>1.623</v>
      </c>
      <c r="C174">
        <v>1.7</v>
      </c>
      <c r="D174">
        <v>1.59</v>
      </c>
      <c r="E174">
        <v>1.6186</v>
      </c>
      <c r="F174">
        <v>23029194.23</v>
      </c>
      <c r="G174">
        <v>1.6186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-0.48000000000000015</v>
      </c>
      <c r="Q174">
        <f t="shared" ref="Q174" si="846">F174*P174</f>
        <v>-11054013.230400003</v>
      </c>
      <c r="R174">
        <f t="shared" ref="R174" si="847">R175+Q174</f>
        <v>1046574422.8720781</v>
      </c>
      <c r="S174">
        <f t="shared" ref="S174" si="848">R174/100000</f>
        <v>10465.744228720781</v>
      </c>
      <c r="T174">
        <f t="shared" ref="T174" si="849">S174/1000</f>
        <v>10.465744228720782</v>
      </c>
    </row>
    <row r="175" spans="1:20" x14ac:dyDescent="0.25">
      <c r="A175" s="5">
        <v>44418</v>
      </c>
      <c r="B175">
        <v>1.5322</v>
      </c>
      <c r="C175">
        <v>1.6429</v>
      </c>
      <c r="D175">
        <v>1.5084</v>
      </c>
      <c r="E175">
        <v>1.6216999999999999</v>
      </c>
      <c r="F175">
        <v>28430460.719999999</v>
      </c>
      <c r="G175">
        <v>1.6216999999999999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0.68475836431226622</v>
      </c>
      <c r="Q175">
        <f t="shared" ref="Q175" si="851">F175*P175</f>
        <v>19467995.779271334</v>
      </c>
      <c r="R175">
        <f t="shared" ref="R175" si="852">R176+Q175</f>
        <v>1057628436.102478</v>
      </c>
      <c r="S175">
        <f t="shared" ref="S175" si="853">R175/100000</f>
        <v>10576.28436102478</v>
      </c>
      <c r="T175">
        <f t="shared" ref="T175" si="854">S175/1000</f>
        <v>10.576284361024779</v>
      </c>
    </row>
    <row r="176" spans="1:20" x14ac:dyDescent="0.25">
      <c r="A176" s="5">
        <v>44417</v>
      </c>
      <c r="B176">
        <v>1.41</v>
      </c>
      <c r="C176">
        <v>1.6129</v>
      </c>
      <c r="D176">
        <v>1.3571</v>
      </c>
      <c r="E176">
        <v>1.5316000000000001</v>
      </c>
      <c r="F176">
        <v>32614546.48</v>
      </c>
      <c r="G176">
        <v>1.5316000000000001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0.36434714620797559</v>
      </c>
      <c r="Q176">
        <f t="shared" ref="Q176" si="856">F176*P176</f>
        <v>11883016.934855375</v>
      </c>
      <c r="R176">
        <f t="shared" ref="R176" si="857">R177+Q176</f>
        <v>1038160440.3232067</v>
      </c>
      <c r="S176">
        <f t="shared" ref="S176" si="858">R176/100000</f>
        <v>10381.604403232066</v>
      </c>
      <c r="T176">
        <f t="shared" ref="T176" si="859">S176/1000</f>
        <v>10.381604403232066</v>
      </c>
    </row>
    <row r="177" spans="1:20" x14ac:dyDescent="0.25">
      <c r="A177" s="5">
        <v>44416</v>
      </c>
      <c r="B177">
        <v>1.4982</v>
      </c>
      <c r="C177">
        <v>1.5387</v>
      </c>
      <c r="D177">
        <v>1.3844000000000001</v>
      </c>
      <c r="E177">
        <v>1.4109</v>
      </c>
      <c r="F177">
        <v>19401088.710000001</v>
      </c>
      <c r="G177">
        <v>1.4109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-0.65651328580686985</v>
      </c>
      <c r="Q177">
        <f t="shared" ref="Q177" si="861">F177*P177</f>
        <v>-12737072.497232666</v>
      </c>
      <c r="R177">
        <f t="shared" ref="R177" si="862">R178+Q177</f>
        <v>1026277423.3883513</v>
      </c>
      <c r="S177">
        <f t="shared" ref="S177" si="863">R177/100000</f>
        <v>10262.774233883512</v>
      </c>
      <c r="T177">
        <f t="shared" ref="T177" si="864">S177/1000</f>
        <v>10.262774233883512</v>
      </c>
    </row>
    <row r="178" spans="1:20" x14ac:dyDescent="0.25">
      <c r="A178" s="5">
        <v>44415</v>
      </c>
      <c r="B178">
        <v>1.4441999999999999</v>
      </c>
      <c r="C178">
        <v>1.5466</v>
      </c>
      <c r="D178">
        <v>1.4235</v>
      </c>
      <c r="E178">
        <v>1.4963</v>
      </c>
      <c r="F178">
        <v>29589354.649999999</v>
      </c>
      <c r="G178">
        <v>1.4963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0.18277822908204686</v>
      </c>
      <c r="Q178">
        <f t="shared" ref="Q178" si="866">F178*P178</f>
        <v>5408289.8426076286</v>
      </c>
      <c r="R178">
        <f t="shared" ref="R178" si="867">R179+Q178</f>
        <v>1039014495.885584</v>
      </c>
      <c r="S178">
        <f t="shared" ref="S178" si="868">R178/100000</f>
        <v>10390.144958855841</v>
      </c>
      <c r="T178">
        <f t="shared" ref="T178" si="869">S178/1000</f>
        <v>10.39014495885584</v>
      </c>
    </row>
    <row r="179" spans="1:20" x14ac:dyDescent="0.25">
      <c r="A179" s="5">
        <v>44414</v>
      </c>
      <c r="B179">
        <v>1.4077999999999999</v>
      </c>
      <c r="C179">
        <v>1.462</v>
      </c>
      <c r="D179">
        <v>1.3823000000000001</v>
      </c>
      <c r="E179">
        <v>1.4440999999999999</v>
      </c>
      <c r="F179">
        <v>19502375.829999998</v>
      </c>
      <c r="G179">
        <v>1.4440999999999999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0.55081555834378781</v>
      </c>
      <c r="Q179">
        <f t="shared" ref="Q179" si="871">F179*P179</f>
        <v>10742212.031831842</v>
      </c>
      <c r="R179">
        <f t="shared" ref="R179" si="872">R180+Q179</f>
        <v>1033606206.0429764</v>
      </c>
      <c r="S179">
        <f t="shared" ref="S179" si="873">R179/100000</f>
        <v>10336.062060429764</v>
      </c>
      <c r="T179">
        <f t="shared" ref="T179" si="874">S179/1000</f>
        <v>10.336062060429764</v>
      </c>
    </row>
    <row r="180" spans="1:20" x14ac:dyDescent="0.25">
      <c r="A180" s="5">
        <v>44413</v>
      </c>
      <c r="B180">
        <v>1.4056999999999999</v>
      </c>
      <c r="C180">
        <v>1.4152</v>
      </c>
      <c r="D180">
        <v>1.34</v>
      </c>
      <c r="E180">
        <v>1.4077999999999999</v>
      </c>
      <c r="F180">
        <v>17032149.649999999</v>
      </c>
      <c r="G180">
        <v>1.4077999999999999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0.80319148936170004</v>
      </c>
      <c r="Q180">
        <f t="shared" ref="Q180" si="876">F180*P180</f>
        <v>13680077.644414857</v>
      </c>
      <c r="R180">
        <f t="shared" ref="R180" si="877">R181+Q180</f>
        <v>1022863994.0111445</v>
      </c>
      <c r="S180">
        <f t="shared" ref="S180" si="878">R180/100000</f>
        <v>10228.639940111445</v>
      </c>
      <c r="T180">
        <f t="shared" ref="T180" si="879">S180/1000</f>
        <v>10.228639940111446</v>
      </c>
    </row>
    <row r="181" spans="1:20" x14ac:dyDescent="0.25">
      <c r="A181" s="5">
        <v>44412</v>
      </c>
      <c r="B181">
        <v>1.3545</v>
      </c>
      <c r="C181">
        <v>1.4111</v>
      </c>
      <c r="D181">
        <v>1.3333999999999999</v>
      </c>
      <c r="E181">
        <v>1.4058999999999999</v>
      </c>
      <c r="F181">
        <v>21281697.859999999</v>
      </c>
      <c r="G181">
        <v>1.4058999999999999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0.8661518661518639</v>
      </c>
      <c r="Q181">
        <f t="shared" ref="Q181" si="881">F181*P181</f>
        <v>18433182.316319127</v>
      </c>
      <c r="R181">
        <f t="shared" ref="R181" si="882">R182+Q181</f>
        <v>1009183916.3667296</v>
      </c>
      <c r="S181">
        <f t="shared" ref="S181" si="883">R181/100000</f>
        <v>10091.839163667297</v>
      </c>
      <c r="T181">
        <f t="shared" ref="T181" si="884">S181/1000</f>
        <v>10.091839163667297</v>
      </c>
    </row>
    <row r="182" spans="1:20" x14ac:dyDescent="0.25">
      <c r="A182" s="5">
        <v>44411</v>
      </c>
      <c r="B182">
        <v>1.3859999999999999</v>
      </c>
      <c r="C182">
        <v>1.4180999999999999</v>
      </c>
      <c r="D182">
        <v>1.28</v>
      </c>
      <c r="E182">
        <v>1.355</v>
      </c>
      <c r="F182">
        <v>17452097.039999999</v>
      </c>
      <c r="G182">
        <v>1.355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8.6169442433019772E-2</v>
      </c>
      <c r="Q182">
        <f t="shared" ref="Q182" si="886">F182*P182</f>
        <v>1503837.4712237546</v>
      </c>
      <c r="R182">
        <f t="shared" ref="R182" si="887">R183+Q182</f>
        <v>990750734.05041051</v>
      </c>
      <c r="S182">
        <f t="shared" ref="S182" si="888">R182/100000</f>
        <v>9907.5073405041057</v>
      </c>
      <c r="T182">
        <f t="shared" ref="T182" si="889">S182/1000</f>
        <v>9.9075073405041056</v>
      </c>
    </row>
    <row r="183" spans="1:20" x14ac:dyDescent="0.25">
      <c r="A183" s="5">
        <v>44410</v>
      </c>
      <c r="B183">
        <v>1.3722000000000001</v>
      </c>
      <c r="C183">
        <v>1.4224000000000001</v>
      </c>
      <c r="D183">
        <v>1.3391999999999999</v>
      </c>
      <c r="E183">
        <v>1.3871</v>
      </c>
      <c r="F183">
        <v>18033538.850000001</v>
      </c>
      <c r="G183">
        <v>1.3871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0.15144230769230674</v>
      </c>
      <c r="Q183">
        <f t="shared" ref="Q183" si="891">F183*P183</f>
        <v>2731040.7393028676</v>
      </c>
      <c r="R183">
        <f t="shared" ref="R183" si="892">R184+Q183</f>
        <v>989246896.5791868</v>
      </c>
      <c r="S183">
        <f t="shared" ref="S183" si="893">R183/100000</f>
        <v>9892.468965791868</v>
      </c>
      <c r="T183">
        <f t="shared" ref="T183" si="894">S183/1000</f>
        <v>9.8924689657918687</v>
      </c>
    </row>
    <row r="184" spans="1:20" x14ac:dyDescent="0.25">
      <c r="A184" s="5">
        <v>44409</v>
      </c>
      <c r="B184">
        <v>1.4420999999999999</v>
      </c>
      <c r="C184">
        <v>1.4890000000000001</v>
      </c>
      <c r="D184">
        <v>1.353</v>
      </c>
      <c r="E184">
        <v>1.3718999999999999</v>
      </c>
      <c r="F184">
        <v>24529909.09</v>
      </c>
      <c r="G184">
        <v>1.3718999999999999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-0.7220588235294132</v>
      </c>
      <c r="Q184">
        <f t="shared" ref="Q184" si="896">F184*P184</f>
        <v>-17712037.298808858</v>
      </c>
      <c r="R184">
        <f t="shared" ref="R184" si="897">R185+Q184</f>
        <v>986515855.83988392</v>
      </c>
      <c r="S184">
        <f t="shared" ref="S184" si="898">R184/100000</f>
        <v>9865.1585583988399</v>
      </c>
      <c r="T184">
        <f t="shared" ref="T184" si="899">S184/1000</f>
        <v>9.8651585583988393</v>
      </c>
    </row>
    <row r="185" spans="1:20" x14ac:dyDescent="0.25">
      <c r="A185" s="5">
        <v>44408</v>
      </c>
      <c r="B185">
        <v>1.4427000000000001</v>
      </c>
      <c r="C185">
        <v>1.4595</v>
      </c>
      <c r="D185">
        <v>1.4000999999999999</v>
      </c>
      <c r="E185">
        <v>1.4413</v>
      </c>
      <c r="F185">
        <v>23661312.960000001</v>
      </c>
      <c r="G185">
        <v>1.4413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0.38720538720538866</v>
      </c>
      <c r="Q185">
        <f t="shared" ref="Q185" si="901">F185*P185</f>
        <v>9161787.8464646805</v>
      </c>
      <c r="R185">
        <f t="shared" ref="R185" si="902">R186+Q185</f>
        <v>1004227893.1386927</v>
      </c>
      <c r="S185">
        <f t="shared" ref="S185" si="903">R185/100000</f>
        <v>10042.278931386927</v>
      </c>
      <c r="T185">
        <f t="shared" ref="T185" si="904">S185/1000</f>
        <v>10.042278931386926</v>
      </c>
    </row>
    <row r="186" spans="1:20" x14ac:dyDescent="0.25">
      <c r="A186" s="5">
        <v>44407</v>
      </c>
      <c r="B186">
        <v>1.3964000000000001</v>
      </c>
      <c r="C186">
        <v>1.4450000000000001</v>
      </c>
      <c r="D186">
        <v>1.3265</v>
      </c>
      <c r="E186">
        <v>1.4417</v>
      </c>
      <c r="F186">
        <v>30137400.890000001</v>
      </c>
      <c r="G186">
        <v>1.4417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0.94430379746835313</v>
      </c>
      <c r="Q186">
        <f t="shared" ref="Q186" si="906">F186*P186</f>
        <v>28458862.106253125</v>
      </c>
      <c r="R186">
        <f t="shared" ref="R186" si="907">R187+Q186</f>
        <v>995066105.2922281</v>
      </c>
      <c r="S186">
        <f t="shared" ref="S186" si="908">R186/100000</f>
        <v>9950.6610529222817</v>
      </c>
      <c r="T186">
        <f t="shared" ref="T186" si="909">S186/1000</f>
        <v>9.9506610529222819</v>
      </c>
    </row>
    <row r="187" spans="1:20" x14ac:dyDescent="0.25">
      <c r="A187" s="5">
        <v>44406</v>
      </c>
      <c r="B187">
        <v>1.3320000000000001</v>
      </c>
      <c r="C187">
        <v>1.51</v>
      </c>
      <c r="D187">
        <v>1.3056000000000001</v>
      </c>
      <c r="E187">
        <v>1.3972</v>
      </c>
      <c r="F187">
        <v>63658318.509999998</v>
      </c>
      <c r="G187">
        <v>1.3972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-0.10371819960861113</v>
      </c>
      <c r="Q187">
        <f t="shared" ref="Q187" si="911">F187*P187</f>
        <v>-6602526.1859687241</v>
      </c>
      <c r="R187">
        <f t="shared" ref="R187" si="912">R188+Q187</f>
        <v>966607243.18597496</v>
      </c>
      <c r="S187">
        <f t="shared" ref="S187" si="913">R187/100000</f>
        <v>9666.0724318597495</v>
      </c>
      <c r="T187">
        <f t="shared" ref="T187" si="914">S187/1000</f>
        <v>9.6660724318597495</v>
      </c>
    </row>
    <row r="188" spans="1:20" x14ac:dyDescent="0.25">
      <c r="A188" s="5">
        <v>44405</v>
      </c>
      <c r="B188">
        <v>1.3482000000000001</v>
      </c>
      <c r="C188">
        <v>1.381</v>
      </c>
      <c r="D188">
        <v>1.2909999999999999</v>
      </c>
      <c r="E188">
        <v>1.3318000000000001</v>
      </c>
      <c r="F188">
        <v>26939169.289999999</v>
      </c>
      <c r="G188">
        <v>1.3318000000000001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-9.3333333333330368E-2</v>
      </c>
      <c r="Q188">
        <f t="shared" ref="Q188" si="916">F188*P188</f>
        <v>-2514322.4670665865</v>
      </c>
      <c r="R188">
        <f t="shared" ref="R188" si="917">R189+Q188</f>
        <v>973209769.37194371</v>
      </c>
      <c r="S188">
        <f t="shared" ref="S188" si="918">R188/100000</f>
        <v>9732.0976937194373</v>
      </c>
      <c r="T188">
        <f t="shared" ref="T188" si="919">S188/1000</f>
        <v>9.732097693719437</v>
      </c>
    </row>
    <row r="189" spans="1:20" x14ac:dyDescent="0.25">
      <c r="A189" s="5">
        <v>44404</v>
      </c>
      <c r="B189">
        <v>1.2876000000000001</v>
      </c>
      <c r="C189">
        <v>1.3929</v>
      </c>
      <c r="D189">
        <v>1.2230000000000001</v>
      </c>
      <c r="E189">
        <v>1.3482000000000001</v>
      </c>
      <c r="F189">
        <v>49376314.840000004</v>
      </c>
      <c r="G189">
        <v>1.3482000000000001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0.47380812242495612</v>
      </c>
      <c r="Q189">
        <f t="shared" ref="Q189" si="921">F189*P189</f>
        <v>23394899.0266039</v>
      </c>
      <c r="R189">
        <f t="shared" ref="R189" si="922">R190+Q189</f>
        <v>975724091.83901036</v>
      </c>
      <c r="S189">
        <f t="shared" ref="S189" si="923">R189/100000</f>
        <v>9757.2409183901036</v>
      </c>
      <c r="T189">
        <f t="shared" ref="T189" si="924">S189/1000</f>
        <v>9.757240918390103</v>
      </c>
    </row>
    <row r="190" spans="1:20" x14ac:dyDescent="0.25">
      <c r="A190" s="5">
        <v>44403</v>
      </c>
      <c r="B190">
        <v>1.3656999999999999</v>
      </c>
      <c r="C190">
        <v>1.4443999999999999</v>
      </c>
      <c r="D190">
        <v>1.2595000000000001</v>
      </c>
      <c r="E190">
        <v>1.2862</v>
      </c>
      <c r="F190">
        <v>52193167.5</v>
      </c>
      <c r="G190">
        <v>1.2862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-0.71119524067063311</v>
      </c>
      <c r="Q190">
        <f t="shared" ref="Q190" si="926">F190*P190</f>
        <v>-37119532.321525164</v>
      </c>
      <c r="R190">
        <f t="shared" ref="R190" si="927">R191+Q190</f>
        <v>952329192.81240642</v>
      </c>
      <c r="S190">
        <f t="shared" ref="S190" si="928">R190/100000</f>
        <v>9523.2919281240647</v>
      </c>
      <c r="T190">
        <f t="shared" ref="T190" si="929">S190/1000</f>
        <v>9.5232919281240651</v>
      </c>
    </row>
    <row r="191" spans="1:20" x14ac:dyDescent="0.25">
      <c r="A191" s="5">
        <v>44402</v>
      </c>
      <c r="B191">
        <v>1.3002</v>
      </c>
      <c r="C191">
        <v>1.3786</v>
      </c>
      <c r="D191">
        <v>1.2286999999999999</v>
      </c>
      <c r="E191">
        <v>1.3652</v>
      </c>
      <c r="F191">
        <v>48904655.869999997</v>
      </c>
      <c r="G191">
        <v>1.3652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0.82121414276184035</v>
      </c>
      <c r="Q191">
        <f t="shared" ref="Q191" si="931">F191*P191</f>
        <v>40161195.047344849</v>
      </c>
      <c r="R191">
        <f t="shared" ref="R191" si="932">R192+Q191</f>
        <v>989448725.13393164</v>
      </c>
      <c r="S191">
        <f t="shared" ref="S191" si="933">R191/100000</f>
        <v>9894.4872513393166</v>
      </c>
      <c r="T191">
        <f t="shared" ref="T191:T197" si="934">S191/1000</f>
        <v>9.8944872513393172</v>
      </c>
    </row>
    <row r="192" spans="1:20" x14ac:dyDescent="0.25">
      <c r="A192" s="5">
        <v>44401</v>
      </c>
      <c r="B192">
        <v>1.2432000000000001</v>
      </c>
      <c r="C192">
        <v>1.3919999999999999</v>
      </c>
      <c r="D192">
        <v>1.2216</v>
      </c>
      <c r="E192">
        <v>1.2988</v>
      </c>
      <c r="F192">
        <v>55035606.939999998</v>
      </c>
      <c r="G192">
        <v>1.2988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-9.3896713615023622E-2</v>
      </c>
      <c r="Q192">
        <f t="shared" ref="Q192" si="936">F192*P192</f>
        <v>-5167662.6234741863</v>
      </c>
      <c r="R192">
        <f t="shared" ref="R192" si="937">R193+Q192</f>
        <v>949287530.08658683</v>
      </c>
      <c r="S192">
        <f t="shared" ref="S192" si="938">R192/100000</f>
        <v>9492.8753008658678</v>
      </c>
      <c r="T192">
        <f t="shared" si="934"/>
        <v>9.4928753008658671</v>
      </c>
    </row>
    <row r="193" spans="1:20" x14ac:dyDescent="0.25">
      <c r="A193" s="5">
        <v>44400</v>
      </c>
      <c r="B193">
        <v>1.1234999999999999</v>
      </c>
      <c r="C193">
        <v>1.2448999999999999</v>
      </c>
      <c r="D193">
        <v>1.103</v>
      </c>
      <c r="E193">
        <v>1.2432000000000001</v>
      </c>
      <c r="F193">
        <v>38535028.200000003</v>
      </c>
      <c r="G193">
        <v>1.2432000000000001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0.97603946441156009</v>
      </c>
      <c r="Q193">
        <f t="shared" ref="Q193" si="940">F193*P193</f>
        <v>37611708.285412364</v>
      </c>
      <c r="R193">
        <f t="shared" ref="R193" si="941">R194+Q193</f>
        <v>954455192.71006107</v>
      </c>
      <c r="S193">
        <f t="shared" ref="S193" si="942">R193/100000</f>
        <v>9544.5519271006106</v>
      </c>
      <c r="T193">
        <f t="shared" si="934"/>
        <v>9.5445519271006098</v>
      </c>
    </row>
    <row r="194" spans="1:20" x14ac:dyDescent="0.25">
      <c r="A194" s="5">
        <v>44399</v>
      </c>
      <c r="B194">
        <v>1.0981000000000001</v>
      </c>
      <c r="C194">
        <v>1.1448</v>
      </c>
      <c r="D194">
        <v>1.0656000000000001</v>
      </c>
      <c r="E194">
        <v>1.1234999999999999</v>
      </c>
      <c r="F194">
        <v>24268947.640000001</v>
      </c>
      <c r="G194">
        <v>1.1234999999999999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0.46212121212120927</v>
      </c>
      <c r="Q194">
        <f t="shared" ref="Q194" si="944">F194*P194</f>
        <v>11215195.500302961</v>
      </c>
      <c r="R194">
        <f t="shared" ref="R194" si="945">R195+Q194</f>
        <v>916843484.42464876</v>
      </c>
      <c r="S194">
        <f t="shared" ref="S194" si="946">R194/100000</f>
        <v>9168.434844246487</v>
      </c>
      <c r="T194">
        <f t="shared" si="934"/>
        <v>9.1684348442464874</v>
      </c>
    </row>
    <row r="195" spans="1:20" x14ac:dyDescent="0.25">
      <c r="A195" s="5">
        <v>44398</v>
      </c>
      <c r="B195">
        <v>0.99519999999999997</v>
      </c>
      <c r="C195">
        <v>1.1318999999999999</v>
      </c>
      <c r="D195">
        <v>0.95809999999999995</v>
      </c>
      <c r="E195">
        <v>1.0972</v>
      </c>
      <c r="F195">
        <v>29160127.989999998</v>
      </c>
      <c r="G195">
        <v>1.0972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0.60069044879171507</v>
      </c>
      <c r="Q195">
        <f t="shared" ref="Q195" si="948">F195*P195</f>
        <v>17516210.369136952</v>
      </c>
      <c r="R195">
        <f t="shared" ref="R195" si="949">R196+Q195</f>
        <v>905628288.92434585</v>
      </c>
      <c r="S195">
        <f t="shared" ref="S195" si="950">R195/100000</f>
        <v>9056.2828892434591</v>
      </c>
      <c r="T195">
        <f t="shared" si="934"/>
        <v>9.0562828892434588</v>
      </c>
    </row>
    <row r="196" spans="1:20" x14ac:dyDescent="0.25">
      <c r="A196" s="5">
        <v>44397</v>
      </c>
      <c r="B196">
        <v>1.0764</v>
      </c>
      <c r="C196">
        <v>1.0911999999999999</v>
      </c>
      <c r="D196">
        <v>0.92400000000000004</v>
      </c>
      <c r="E196">
        <v>0.99529999999999996</v>
      </c>
      <c r="F196">
        <v>24640195.239999998</v>
      </c>
      <c r="G196">
        <v>0.99529999999999996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-0.1471291866028713</v>
      </c>
      <c r="Q196">
        <f t="shared" ref="Q196" si="952">F196*P196</f>
        <v>-3625291.883397141</v>
      </c>
      <c r="R196">
        <f t="shared" ref="R196" si="953">R197+Q196</f>
        <v>888112078.55520892</v>
      </c>
      <c r="S196">
        <f t="shared" ref="S196" si="954">R196/100000</f>
        <v>8881.1207855520897</v>
      </c>
      <c r="T196">
        <f t="shared" si="934"/>
        <v>8.8811207855520902</v>
      </c>
    </row>
    <row r="197" spans="1:20" x14ac:dyDescent="0.25">
      <c r="A197" s="5">
        <v>44396</v>
      </c>
      <c r="B197">
        <v>1.1854</v>
      </c>
      <c r="C197">
        <v>1.1873</v>
      </c>
      <c r="D197">
        <v>1.0569</v>
      </c>
      <c r="E197">
        <v>1.0748</v>
      </c>
      <c r="F197">
        <v>16765284.98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-0.7254601226993862</v>
      </c>
      <c r="Q197">
        <f t="shared" ref="Q197" si="956">F197*P197</f>
        <v>-12162545.698680976</v>
      </c>
      <c r="R197">
        <f t="shared" ref="R197" si="957">R198+Q197</f>
        <v>891737370.43860602</v>
      </c>
      <c r="S197">
        <f t="shared" ref="S197" si="958">R197/100000</f>
        <v>8917.3737043860601</v>
      </c>
      <c r="T197">
        <f t="shared" si="934"/>
        <v>8.9173737043860601</v>
      </c>
    </row>
    <row r="198" spans="1:20" x14ac:dyDescent="0.25">
      <c r="A198" s="5">
        <v>44395</v>
      </c>
      <c r="B198">
        <v>1.1903999999999999</v>
      </c>
      <c r="C198">
        <v>1.2494000000000001</v>
      </c>
      <c r="D198">
        <v>1.1508</v>
      </c>
      <c r="E198">
        <v>1.1847000000000001</v>
      </c>
      <c r="F198">
        <v>13698530.16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-0.31237322515212912</v>
      </c>
      <c r="Q198">
        <f t="shared" ref="Q198:Q261" si="960">F198*P198</f>
        <v>-4279054.0459229117</v>
      </c>
      <c r="R198">
        <f t="shared" ref="R198:R261" si="961">R199+Q198</f>
        <v>903899916.13728702</v>
      </c>
      <c r="S198">
        <f t="shared" ref="S198:S261" si="962">R198/100000</f>
        <v>9038.9991613728707</v>
      </c>
      <c r="T198">
        <f t="shared" ref="T198:T261" si="963">S198/1000</f>
        <v>9.0389991613728711</v>
      </c>
    </row>
    <row r="199" spans="1:20" x14ac:dyDescent="0.25">
      <c r="A199" s="5">
        <v>44394</v>
      </c>
      <c r="B199">
        <v>1.1795</v>
      </c>
      <c r="C199">
        <v>1.2242</v>
      </c>
      <c r="D199">
        <v>1.1549</v>
      </c>
      <c r="E199">
        <v>1.1911</v>
      </c>
      <c r="F199">
        <v>19207971.370000001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4.4733044733046269E-2</v>
      </c>
      <c r="Q199">
        <f t="shared" si="960"/>
        <v>859231.04252528213</v>
      </c>
      <c r="R199">
        <f t="shared" si="961"/>
        <v>908178970.1832099</v>
      </c>
      <c r="S199">
        <f t="shared" si="962"/>
        <v>9081.7897018320982</v>
      </c>
      <c r="T199">
        <f t="shared" si="963"/>
        <v>9.0817897018320988</v>
      </c>
    </row>
    <row r="200" spans="1:20" x14ac:dyDescent="0.25">
      <c r="A200" s="5">
        <v>44393</v>
      </c>
      <c r="B200">
        <v>1.2521</v>
      </c>
      <c r="C200">
        <v>1.3121</v>
      </c>
      <c r="D200">
        <v>1.1725000000000001</v>
      </c>
      <c r="E200">
        <v>1.1797</v>
      </c>
      <c r="F200">
        <v>33536953.32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-0.89684813753581838</v>
      </c>
      <c r="Q200">
        <f t="shared" si="960"/>
        <v>-30077554.12366768</v>
      </c>
      <c r="R200">
        <f t="shared" si="961"/>
        <v>907319739.1406846</v>
      </c>
      <c r="S200">
        <f t="shared" si="962"/>
        <v>9073.1973914068458</v>
      </c>
      <c r="T200">
        <f t="shared" si="963"/>
        <v>9.0731973914068451</v>
      </c>
    </row>
    <row r="201" spans="1:20" x14ac:dyDescent="0.25">
      <c r="A201" s="5">
        <v>44392</v>
      </c>
      <c r="B201">
        <v>1.3206</v>
      </c>
      <c r="C201">
        <v>1.4650000000000001</v>
      </c>
      <c r="D201">
        <v>1.1920999999999999</v>
      </c>
      <c r="E201">
        <v>1.2505999999999999</v>
      </c>
      <c r="F201">
        <v>79143627.109999999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-0.57127152803224646</v>
      </c>
      <c r="Q201">
        <f t="shared" si="960"/>
        <v>-45212500.793144025</v>
      </c>
      <c r="R201">
        <f t="shared" si="961"/>
        <v>937397293.26435232</v>
      </c>
      <c r="S201">
        <f t="shared" si="962"/>
        <v>9373.9729326435227</v>
      </c>
      <c r="T201">
        <f t="shared" si="963"/>
        <v>9.3739729326435235</v>
      </c>
    </row>
    <row r="202" spans="1:20" x14ac:dyDescent="0.25">
      <c r="A202" s="5">
        <v>44391</v>
      </c>
      <c r="B202">
        <v>1.2188000000000001</v>
      </c>
      <c r="C202">
        <v>1.3511</v>
      </c>
      <c r="D202">
        <v>1.1164000000000001</v>
      </c>
      <c r="E202">
        <v>1.3206</v>
      </c>
      <c r="F202">
        <v>39149765.159999996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0.74009373668513012</v>
      </c>
      <c r="Q202">
        <f t="shared" si="960"/>
        <v>28974495.987609718</v>
      </c>
      <c r="R202">
        <f t="shared" si="961"/>
        <v>982609794.05749631</v>
      </c>
      <c r="S202">
        <f t="shared" si="962"/>
        <v>9826.0979405749622</v>
      </c>
      <c r="T202">
        <f t="shared" si="963"/>
        <v>9.8260979405749627</v>
      </c>
    </row>
    <row r="203" spans="1:20" x14ac:dyDescent="0.25">
      <c r="A203" s="5">
        <v>44390</v>
      </c>
      <c r="B203">
        <v>1.3049999999999999</v>
      </c>
      <c r="C203">
        <v>1.33</v>
      </c>
      <c r="D203">
        <v>1.1817</v>
      </c>
      <c r="E203">
        <v>1.2190000000000001</v>
      </c>
      <c r="F203">
        <v>23760897.539999999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-0.49696561024949309</v>
      </c>
      <c r="Q203">
        <f t="shared" si="960"/>
        <v>-11808348.94604178</v>
      </c>
      <c r="R203">
        <f t="shared" si="961"/>
        <v>953635298.06988657</v>
      </c>
      <c r="S203">
        <f t="shared" si="962"/>
        <v>9536.3529806988663</v>
      </c>
      <c r="T203">
        <f t="shared" si="963"/>
        <v>9.5363529806988669</v>
      </c>
    </row>
    <row r="204" spans="1:20" x14ac:dyDescent="0.25">
      <c r="A204" s="5">
        <v>44389</v>
      </c>
      <c r="B204">
        <v>1.3788</v>
      </c>
      <c r="C204">
        <v>1.3838999999999999</v>
      </c>
      <c r="D204">
        <v>1.26</v>
      </c>
      <c r="E204">
        <v>1.3058000000000001</v>
      </c>
      <c r="F204">
        <v>21577479.359999999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-0.26069410815173366</v>
      </c>
      <c r="Q204">
        <f t="shared" si="960"/>
        <v>-5625121.7379176402</v>
      </c>
      <c r="R204">
        <f t="shared" si="961"/>
        <v>965443647.01592839</v>
      </c>
      <c r="S204">
        <f t="shared" si="962"/>
        <v>9654.436470159284</v>
      </c>
      <c r="T204">
        <f t="shared" si="963"/>
        <v>9.6544364701592844</v>
      </c>
    </row>
    <row r="205" spans="1:20" x14ac:dyDescent="0.25">
      <c r="A205" s="5">
        <v>44388</v>
      </c>
      <c r="B205">
        <v>1.2866</v>
      </c>
      <c r="C205">
        <v>1.4074</v>
      </c>
      <c r="D205">
        <v>1.2734000000000001</v>
      </c>
      <c r="E205">
        <v>1.3798999999999999</v>
      </c>
      <c r="F205">
        <v>36335191.280000001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0.58955223880596863</v>
      </c>
      <c r="Q205">
        <f t="shared" si="960"/>
        <v>21421493.366567109</v>
      </c>
      <c r="R205">
        <f t="shared" si="961"/>
        <v>971068768.75384605</v>
      </c>
      <c r="S205">
        <f t="shared" si="962"/>
        <v>9710.6876875384605</v>
      </c>
      <c r="T205">
        <f t="shared" si="963"/>
        <v>9.71068768753846</v>
      </c>
    </row>
    <row r="206" spans="1:20" x14ac:dyDescent="0.25">
      <c r="A206" s="5">
        <v>44387</v>
      </c>
      <c r="B206">
        <v>1.2895000000000001</v>
      </c>
      <c r="C206">
        <v>1.3779999999999999</v>
      </c>
      <c r="D206">
        <v>1.2428999999999999</v>
      </c>
      <c r="E206">
        <v>1.2873000000000001</v>
      </c>
      <c r="F206">
        <v>47090978.020000003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-0.34270910436713226</v>
      </c>
      <c r="Q206">
        <f t="shared" si="960"/>
        <v>-16138506.901006512</v>
      </c>
      <c r="R206">
        <f t="shared" si="961"/>
        <v>949647275.38727891</v>
      </c>
      <c r="S206">
        <f t="shared" si="962"/>
        <v>9496.4727538727893</v>
      </c>
      <c r="T206">
        <f t="shared" si="963"/>
        <v>9.4964727538727889</v>
      </c>
    </row>
    <row r="207" spans="1:20" x14ac:dyDescent="0.25">
      <c r="A207" s="5">
        <v>44386</v>
      </c>
      <c r="B207">
        <v>1.2113</v>
      </c>
      <c r="C207">
        <v>1.31</v>
      </c>
      <c r="D207">
        <v>1.1222000000000001</v>
      </c>
      <c r="E207">
        <v>1.29</v>
      </c>
      <c r="F207">
        <v>34881871.810000002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0.78700745473908396</v>
      </c>
      <c r="Q207">
        <f t="shared" si="960"/>
        <v>27452293.149723105</v>
      </c>
      <c r="R207">
        <f t="shared" si="961"/>
        <v>965785782.28828537</v>
      </c>
      <c r="S207">
        <f t="shared" si="962"/>
        <v>9657.8578228828537</v>
      </c>
      <c r="T207">
        <f t="shared" si="963"/>
        <v>9.6578578228828533</v>
      </c>
    </row>
    <row r="208" spans="1:20" x14ac:dyDescent="0.25">
      <c r="A208" s="5">
        <v>44385</v>
      </c>
      <c r="B208">
        <v>1.4063000000000001</v>
      </c>
      <c r="C208">
        <v>1.53</v>
      </c>
      <c r="D208">
        <v>1.1701999999999999</v>
      </c>
      <c r="E208">
        <v>1.2108000000000001</v>
      </c>
      <c r="F208">
        <v>68822841.359999999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-0.77431906614785895</v>
      </c>
      <c r="Q208">
        <f t="shared" si="960"/>
        <v>-53290838.251517445</v>
      </c>
      <c r="R208">
        <f t="shared" si="961"/>
        <v>938333489.13856232</v>
      </c>
      <c r="S208">
        <f t="shared" si="962"/>
        <v>9383.3348913856225</v>
      </c>
      <c r="T208">
        <f t="shared" si="963"/>
        <v>9.3833348913856227</v>
      </c>
    </row>
    <row r="209" spans="1:20" x14ac:dyDescent="0.25">
      <c r="A209" s="5">
        <v>44384</v>
      </c>
      <c r="B209">
        <v>1.1755</v>
      </c>
      <c r="C209">
        <v>1.4276</v>
      </c>
      <c r="D209">
        <v>1.1519999999999999</v>
      </c>
      <c r="E209">
        <v>1.4049</v>
      </c>
      <c r="F209">
        <v>61627253.920000002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0.83526850507982631</v>
      </c>
      <c r="Q209">
        <f t="shared" si="960"/>
        <v>51475304.253933266</v>
      </c>
      <c r="R209">
        <f t="shared" si="961"/>
        <v>991624327.39007974</v>
      </c>
      <c r="S209">
        <f t="shared" si="962"/>
        <v>9916.2432739007982</v>
      </c>
      <c r="T209">
        <f t="shared" si="963"/>
        <v>9.9162432739007986</v>
      </c>
    </row>
    <row r="210" spans="1:20" x14ac:dyDescent="0.25">
      <c r="A210" s="5">
        <v>44383</v>
      </c>
      <c r="B210">
        <v>1.1055999999999999</v>
      </c>
      <c r="C210">
        <v>1.2262</v>
      </c>
      <c r="D210">
        <v>1.1047</v>
      </c>
      <c r="E210">
        <v>1.1754</v>
      </c>
      <c r="F210">
        <v>19130955.140000001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0.163786008230453</v>
      </c>
      <c r="Q210">
        <f t="shared" si="960"/>
        <v>3133382.7760164673</v>
      </c>
      <c r="R210">
        <f t="shared" si="961"/>
        <v>940149023.13614643</v>
      </c>
      <c r="S210">
        <f t="shared" si="962"/>
        <v>9401.4902313614639</v>
      </c>
      <c r="T210">
        <f t="shared" si="963"/>
        <v>9.4014902313614641</v>
      </c>
    </row>
    <row r="211" spans="1:20" x14ac:dyDescent="0.25">
      <c r="A211" s="5">
        <v>44382</v>
      </c>
      <c r="B211">
        <v>1.1700999999999999</v>
      </c>
      <c r="C211">
        <v>1.1721999999999999</v>
      </c>
      <c r="D211">
        <v>1.0716000000000001</v>
      </c>
      <c r="E211">
        <v>1.105</v>
      </c>
      <c r="F211">
        <v>14738950.630000001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-0.33598409542743657</v>
      </c>
      <c r="Q211">
        <f t="shared" si="960"/>
        <v>-4952052.9949701969</v>
      </c>
      <c r="R211">
        <f t="shared" si="961"/>
        <v>937015640.36012995</v>
      </c>
      <c r="S211">
        <f t="shared" si="962"/>
        <v>9370.1564036012987</v>
      </c>
      <c r="T211">
        <f t="shared" si="963"/>
        <v>9.3701564036012979</v>
      </c>
    </row>
    <row r="212" spans="1:20" x14ac:dyDescent="0.25">
      <c r="A212" s="5">
        <v>44381</v>
      </c>
      <c r="B212">
        <v>1.1506000000000001</v>
      </c>
      <c r="C212">
        <v>1.2176</v>
      </c>
      <c r="D212">
        <v>1.1180000000000001</v>
      </c>
      <c r="E212">
        <v>1.1711</v>
      </c>
      <c r="F212">
        <v>15261451.779999999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6.6265060240963305E-2</v>
      </c>
      <c r="Q212">
        <f t="shared" si="960"/>
        <v>1011301.0215662566</v>
      </c>
      <c r="R212">
        <f t="shared" si="961"/>
        <v>941967693.35510015</v>
      </c>
      <c r="S212">
        <f t="shared" si="962"/>
        <v>9419.6769335510016</v>
      </c>
      <c r="T212">
        <f t="shared" si="963"/>
        <v>9.4196769335510009</v>
      </c>
    </row>
    <row r="213" spans="1:20" x14ac:dyDescent="0.25">
      <c r="A213" s="5">
        <v>44380</v>
      </c>
      <c r="B213">
        <v>1.1221000000000001</v>
      </c>
      <c r="C213">
        <v>1.1868000000000001</v>
      </c>
      <c r="D213">
        <v>1.085</v>
      </c>
      <c r="E213">
        <v>1.1499999999999999</v>
      </c>
      <c r="F213">
        <v>12613736.57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0.27701375245579324</v>
      </c>
      <c r="Q213">
        <f t="shared" si="960"/>
        <v>3494178.4997445666</v>
      </c>
      <c r="R213">
        <f t="shared" si="961"/>
        <v>940956392.33353388</v>
      </c>
      <c r="S213">
        <f t="shared" si="962"/>
        <v>9409.5639233353395</v>
      </c>
      <c r="T213">
        <f t="shared" si="963"/>
        <v>9.4095639233353392</v>
      </c>
    </row>
    <row r="214" spans="1:20" x14ac:dyDescent="0.25">
      <c r="A214" s="5">
        <v>44379</v>
      </c>
      <c r="B214">
        <v>1.1405000000000001</v>
      </c>
      <c r="C214">
        <v>1.1588000000000001</v>
      </c>
      <c r="D214">
        <v>1.0562</v>
      </c>
      <c r="E214">
        <v>1.1229</v>
      </c>
      <c r="F214">
        <v>12783329.02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0.30019493177387846</v>
      </c>
      <c r="Q214">
        <f t="shared" si="960"/>
        <v>3837490.5830019405</v>
      </c>
      <c r="R214">
        <f t="shared" si="961"/>
        <v>937462213.83378935</v>
      </c>
      <c r="S214">
        <f t="shared" si="962"/>
        <v>9374.6221383378943</v>
      </c>
      <c r="T214">
        <f t="shared" si="963"/>
        <v>9.3746221383378945</v>
      </c>
    </row>
    <row r="215" spans="1:20" x14ac:dyDescent="0.25">
      <c r="A215" s="5">
        <v>44378</v>
      </c>
      <c r="B215">
        <v>1.1637</v>
      </c>
      <c r="C215">
        <v>1.2444999999999999</v>
      </c>
      <c r="D215">
        <v>1.0802</v>
      </c>
      <c r="E215">
        <v>1.1399999999999999</v>
      </c>
      <c r="F215">
        <v>41024983.789999999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-0.2720632988435801</v>
      </c>
      <c r="Q215">
        <f t="shared" si="960"/>
        <v>-11161392.424911799</v>
      </c>
      <c r="R215">
        <f t="shared" si="961"/>
        <v>933624723.25078738</v>
      </c>
      <c r="S215">
        <f t="shared" si="962"/>
        <v>9336.2472325078743</v>
      </c>
      <c r="T215">
        <f t="shared" si="963"/>
        <v>9.3362472325078745</v>
      </c>
    </row>
    <row r="216" spans="1:20" x14ac:dyDescent="0.25">
      <c r="A216" s="5">
        <v>44377</v>
      </c>
      <c r="B216">
        <v>1.0922000000000001</v>
      </c>
      <c r="C216">
        <v>1.1647000000000001</v>
      </c>
      <c r="D216">
        <v>1.0350999999999999</v>
      </c>
      <c r="E216">
        <v>1.1631</v>
      </c>
      <c r="F216">
        <v>30674856.68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0.97530864197530798</v>
      </c>
      <c r="Q216">
        <f t="shared" si="960"/>
        <v>29917452.811358005</v>
      </c>
      <c r="R216">
        <f t="shared" si="961"/>
        <v>944786115.67569923</v>
      </c>
      <c r="S216">
        <f t="shared" si="962"/>
        <v>9447.8611567569915</v>
      </c>
      <c r="T216">
        <f t="shared" si="963"/>
        <v>9.447861156756991</v>
      </c>
    </row>
    <row r="217" spans="1:20" x14ac:dyDescent="0.25">
      <c r="A217" s="5">
        <v>44376</v>
      </c>
      <c r="B217">
        <v>1.0282</v>
      </c>
      <c r="C217">
        <v>1.1362000000000001</v>
      </c>
      <c r="D217">
        <v>1.0251999999999999</v>
      </c>
      <c r="E217">
        <v>1.0922000000000001</v>
      </c>
      <c r="F217">
        <v>21249787.859999999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0.20720720720720801</v>
      </c>
      <c r="Q217">
        <f t="shared" si="960"/>
        <v>4403109.1962162331</v>
      </c>
      <c r="R217">
        <f t="shared" si="961"/>
        <v>914868662.86434126</v>
      </c>
      <c r="S217">
        <f t="shared" si="962"/>
        <v>9148.6866286434124</v>
      </c>
      <c r="T217">
        <f t="shared" si="963"/>
        <v>9.1486866286434125</v>
      </c>
    </row>
    <row r="218" spans="1:20" x14ac:dyDescent="0.25">
      <c r="A218" s="5">
        <v>44375</v>
      </c>
      <c r="B218">
        <v>1.0048999999999999</v>
      </c>
      <c r="C218">
        <v>1.0401</v>
      </c>
      <c r="D218">
        <v>0.97660000000000002</v>
      </c>
      <c r="E218">
        <v>1.0293000000000001</v>
      </c>
      <c r="F218">
        <v>15653149.76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0.65984251968504182</v>
      </c>
      <c r="Q218">
        <f t="shared" si="960"/>
        <v>10328613.778645707</v>
      </c>
      <c r="R218">
        <f t="shared" si="961"/>
        <v>910465553.66812503</v>
      </c>
      <c r="S218">
        <f t="shared" si="962"/>
        <v>9104.6555366812499</v>
      </c>
      <c r="T218">
        <f t="shared" si="963"/>
        <v>9.1046555366812498</v>
      </c>
    </row>
    <row r="219" spans="1:20" x14ac:dyDescent="0.25">
      <c r="A219" s="5">
        <v>44374</v>
      </c>
      <c r="B219">
        <v>0.95299999999999996</v>
      </c>
      <c r="C219">
        <v>1.0051000000000001</v>
      </c>
      <c r="D219">
        <v>0.92800000000000005</v>
      </c>
      <c r="E219">
        <v>1.0044</v>
      </c>
      <c r="F219">
        <v>11668122.16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0.98184176394292755</v>
      </c>
      <c r="Q219">
        <f t="shared" si="960"/>
        <v>11456249.643475963</v>
      </c>
      <c r="R219">
        <f t="shared" si="961"/>
        <v>900136939.88947928</v>
      </c>
      <c r="S219">
        <f t="shared" si="962"/>
        <v>9001.3693988947925</v>
      </c>
      <c r="T219">
        <f t="shared" si="963"/>
        <v>9.0013693988947932</v>
      </c>
    </row>
    <row r="220" spans="1:20" x14ac:dyDescent="0.25">
      <c r="A220" s="5">
        <v>44373</v>
      </c>
      <c r="B220">
        <v>0.94210000000000005</v>
      </c>
      <c r="C220">
        <v>0.98740000000000006</v>
      </c>
      <c r="D220">
        <v>0.89049999999999996</v>
      </c>
      <c r="E220">
        <v>0.95299999999999996</v>
      </c>
      <c r="F220">
        <v>14848718.65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0.28998968008255804</v>
      </c>
      <c r="Q220">
        <f t="shared" si="960"/>
        <v>4305975.1709494134</v>
      </c>
      <c r="R220">
        <f t="shared" si="961"/>
        <v>888680690.24600327</v>
      </c>
      <c r="S220">
        <f t="shared" si="962"/>
        <v>8886.8069024600336</v>
      </c>
      <c r="T220">
        <f t="shared" si="963"/>
        <v>8.8868069024600338</v>
      </c>
    </row>
    <row r="221" spans="1:20" x14ac:dyDescent="0.25">
      <c r="A221" s="5">
        <v>44372</v>
      </c>
      <c r="B221">
        <v>1.0743</v>
      </c>
      <c r="C221">
        <v>1.1132</v>
      </c>
      <c r="D221">
        <v>0.9304</v>
      </c>
      <c r="E221">
        <v>0.94189999999999996</v>
      </c>
      <c r="F221">
        <v>21878220.98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-0.87417943107221052</v>
      </c>
      <c r="Q221">
        <f t="shared" si="960"/>
        <v>-19125490.7691685</v>
      </c>
      <c r="R221">
        <f t="shared" si="961"/>
        <v>884374715.07505381</v>
      </c>
      <c r="S221">
        <f t="shared" si="962"/>
        <v>8843.7471507505379</v>
      </c>
      <c r="T221">
        <f t="shared" si="963"/>
        <v>8.8437471507505379</v>
      </c>
    </row>
    <row r="222" spans="1:20" x14ac:dyDescent="0.25">
      <c r="A222" s="5">
        <v>44371</v>
      </c>
      <c r="B222">
        <v>1.0452999999999999</v>
      </c>
      <c r="C222">
        <v>1.08</v>
      </c>
      <c r="D222">
        <v>0.97099999999999997</v>
      </c>
      <c r="E222">
        <v>1.0742</v>
      </c>
      <c r="F222">
        <v>20922532.760000002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0.8935779816513757</v>
      </c>
      <c r="Q222">
        <f t="shared" si="960"/>
        <v>18695914.594715588</v>
      </c>
      <c r="R222">
        <f t="shared" si="961"/>
        <v>903500205.84422231</v>
      </c>
      <c r="S222">
        <f t="shared" si="962"/>
        <v>9035.0020584422236</v>
      </c>
      <c r="T222">
        <f t="shared" si="963"/>
        <v>9.0350020584422239</v>
      </c>
    </row>
    <row r="223" spans="1:20" x14ac:dyDescent="0.25">
      <c r="A223" s="5">
        <v>44370</v>
      </c>
      <c r="B223">
        <v>0.91810000000000003</v>
      </c>
      <c r="C223">
        <v>1.0867</v>
      </c>
      <c r="D223">
        <v>0.87519999999999998</v>
      </c>
      <c r="E223">
        <v>1.046</v>
      </c>
      <c r="F223">
        <v>31446812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0.61513002364066238</v>
      </c>
      <c r="Q223">
        <f t="shared" si="960"/>
        <v>19343878.208983466</v>
      </c>
      <c r="R223">
        <f t="shared" si="961"/>
        <v>884804291.24950671</v>
      </c>
      <c r="S223">
        <f t="shared" si="962"/>
        <v>8848.0429124950679</v>
      </c>
      <c r="T223">
        <f t="shared" si="963"/>
        <v>8.8480429124950675</v>
      </c>
    </row>
    <row r="224" spans="1:20" x14ac:dyDescent="0.25">
      <c r="A224" s="5">
        <v>44369</v>
      </c>
      <c r="B224">
        <v>0.93700000000000006</v>
      </c>
      <c r="C224">
        <v>1.0106999999999999</v>
      </c>
      <c r="D224">
        <v>0.7651</v>
      </c>
      <c r="E224">
        <v>0.91810000000000003</v>
      </c>
      <c r="F224">
        <v>49949523.299999997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0.24592833876221554</v>
      </c>
      <c r="Q224">
        <f t="shared" si="960"/>
        <v>12284003.287133578</v>
      </c>
      <c r="R224">
        <f t="shared" si="961"/>
        <v>865460413.04052329</v>
      </c>
      <c r="S224">
        <f t="shared" si="962"/>
        <v>8654.6041304052324</v>
      </c>
      <c r="T224">
        <f t="shared" si="963"/>
        <v>8.6546041304052324</v>
      </c>
    </row>
    <row r="225" spans="1:20" x14ac:dyDescent="0.25">
      <c r="A225" s="5">
        <v>44368</v>
      </c>
      <c r="B225">
        <v>1.2495000000000001</v>
      </c>
      <c r="C225">
        <v>1.2645999999999999</v>
      </c>
      <c r="D225">
        <v>0.93169999999999997</v>
      </c>
      <c r="E225">
        <v>0.93769999999999998</v>
      </c>
      <c r="F225">
        <v>38645516.289999999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-0.96395313908080504</v>
      </c>
      <c r="Q225">
        <f t="shared" si="960"/>
        <v>-37252466.739143886</v>
      </c>
      <c r="R225">
        <f t="shared" si="961"/>
        <v>853176409.75338972</v>
      </c>
      <c r="S225">
        <f t="shared" si="962"/>
        <v>8531.7640975338963</v>
      </c>
      <c r="T225">
        <f t="shared" si="963"/>
        <v>8.5317640975338964</v>
      </c>
    </row>
    <row r="226" spans="1:20" x14ac:dyDescent="0.25">
      <c r="A226" s="5">
        <v>44367</v>
      </c>
      <c r="B226">
        <v>1.2379</v>
      </c>
      <c r="C226">
        <v>1.2714000000000001</v>
      </c>
      <c r="D226">
        <v>1.1375999999999999</v>
      </c>
      <c r="E226">
        <v>1.2491000000000001</v>
      </c>
      <c r="F226">
        <v>16004148.1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0.66666666666666718</v>
      </c>
      <c r="Q226">
        <f t="shared" si="960"/>
        <v>10669432.066666674</v>
      </c>
      <c r="R226">
        <f t="shared" si="961"/>
        <v>890428876.49253356</v>
      </c>
      <c r="S226">
        <f t="shared" si="962"/>
        <v>8904.2887649253353</v>
      </c>
      <c r="T226">
        <f t="shared" si="963"/>
        <v>8.9042887649253348</v>
      </c>
    </row>
    <row r="227" spans="1:20" x14ac:dyDescent="0.25">
      <c r="A227" s="5">
        <v>44366</v>
      </c>
      <c r="B227">
        <v>1.2821</v>
      </c>
      <c r="C227">
        <v>1.2989999999999999</v>
      </c>
      <c r="D227">
        <v>1.2331000000000001</v>
      </c>
      <c r="E227">
        <v>1.238</v>
      </c>
      <c r="F227">
        <v>10243914.25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-0.85128983308042749</v>
      </c>
      <c r="Q227">
        <f t="shared" si="960"/>
        <v>-8720540.0519727133</v>
      </c>
      <c r="R227">
        <f t="shared" si="961"/>
        <v>879759444.42586684</v>
      </c>
      <c r="S227">
        <f t="shared" si="962"/>
        <v>8797.5944442586679</v>
      </c>
      <c r="T227">
        <f t="shared" si="963"/>
        <v>8.7975944442586673</v>
      </c>
    </row>
    <row r="228" spans="1:20" x14ac:dyDescent="0.25">
      <c r="A228" s="5">
        <v>44365</v>
      </c>
      <c r="B228">
        <v>1.401</v>
      </c>
      <c r="C228">
        <v>1.4023000000000001</v>
      </c>
      <c r="D228">
        <v>1.2236</v>
      </c>
      <c r="E228">
        <v>1.2805</v>
      </c>
      <c r="F228">
        <v>18131726.170000002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-0.36317851147174118</v>
      </c>
      <c r="Q228">
        <f t="shared" si="960"/>
        <v>-6585053.3208338153</v>
      </c>
      <c r="R228">
        <f t="shared" si="961"/>
        <v>888479984.47783959</v>
      </c>
      <c r="S228">
        <f t="shared" si="962"/>
        <v>8884.7998447783957</v>
      </c>
      <c r="T228">
        <f t="shared" si="963"/>
        <v>8.8847998447783958</v>
      </c>
    </row>
    <row r="229" spans="1:20" x14ac:dyDescent="0.25">
      <c r="A229" s="5">
        <v>44364</v>
      </c>
      <c r="B229">
        <v>1.3982000000000001</v>
      </c>
      <c r="C229">
        <v>1.4963</v>
      </c>
      <c r="D229">
        <v>1.3723000000000001</v>
      </c>
      <c r="E229">
        <v>1.401</v>
      </c>
      <c r="F229">
        <v>21442802.890000001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-0.53709677419354884</v>
      </c>
      <c r="Q229">
        <f t="shared" si="960"/>
        <v>-11516860.261887107</v>
      </c>
      <c r="R229">
        <f t="shared" si="961"/>
        <v>895065037.79867339</v>
      </c>
      <c r="S229">
        <f t="shared" si="962"/>
        <v>8950.6503779867344</v>
      </c>
      <c r="T229">
        <f t="shared" si="963"/>
        <v>8.9506503779867348</v>
      </c>
    </row>
    <row r="230" spans="1:20" x14ac:dyDescent="0.25">
      <c r="A230" s="5">
        <v>44363</v>
      </c>
      <c r="B230">
        <v>1.4007000000000001</v>
      </c>
      <c r="C230">
        <v>1.544</v>
      </c>
      <c r="D230">
        <v>1.3516999999999999</v>
      </c>
      <c r="E230">
        <v>1.3984000000000001</v>
      </c>
      <c r="F230">
        <v>44701996.780000001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-0.51430057202287938</v>
      </c>
      <c r="Q230">
        <f t="shared" si="960"/>
        <v>-22990262.514518913</v>
      </c>
      <c r="R230">
        <f t="shared" si="961"/>
        <v>906581898.06056046</v>
      </c>
      <c r="S230">
        <f t="shared" si="962"/>
        <v>9065.8189806056052</v>
      </c>
      <c r="T230">
        <f t="shared" si="963"/>
        <v>9.0658189806056058</v>
      </c>
    </row>
    <row r="231" spans="1:20" x14ac:dyDescent="0.25">
      <c r="A231" s="5">
        <v>44362</v>
      </c>
      <c r="B231">
        <v>1.4268000000000001</v>
      </c>
      <c r="C231">
        <v>1.4871000000000001</v>
      </c>
      <c r="D231">
        <v>1.3692</v>
      </c>
      <c r="E231">
        <v>1.4015</v>
      </c>
      <c r="F231">
        <v>25312181.379999999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-0.45207803223070459</v>
      </c>
      <c r="Q231">
        <f t="shared" si="960"/>
        <v>-11443081.149737081</v>
      </c>
      <c r="R231">
        <f t="shared" si="961"/>
        <v>929572160.57507932</v>
      </c>
      <c r="S231">
        <f t="shared" si="962"/>
        <v>9295.721605750794</v>
      </c>
      <c r="T231">
        <f t="shared" si="963"/>
        <v>9.2957216057507939</v>
      </c>
    </row>
    <row r="232" spans="1:20" x14ac:dyDescent="0.25">
      <c r="A232" s="5">
        <v>44361</v>
      </c>
      <c r="B232">
        <v>1.3058000000000001</v>
      </c>
      <c r="C232">
        <v>1.5069999999999999</v>
      </c>
      <c r="D232">
        <v>1.2694000000000001</v>
      </c>
      <c r="E232">
        <v>1.4269000000000001</v>
      </c>
      <c r="F232">
        <v>37866362.829999998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0.32575757575757658</v>
      </c>
      <c r="Q232">
        <f t="shared" si="960"/>
        <v>12335254.558257606</v>
      </c>
      <c r="R232">
        <f t="shared" si="961"/>
        <v>941015241.72481644</v>
      </c>
      <c r="S232">
        <f t="shared" si="962"/>
        <v>9410.1524172481641</v>
      </c>
      <c r="T232">
        <f t="shared" si="963"/>
        <v>9.4101524172481632</v>
      </c>
    </row>
    <row r="233" spans="1:20" x14ac:dyDescent="0.25">
      <c r="A233" s="5">
        <v>44360</v>
      </c>
      <c r="B233">
        <v>1.2373000000000001</v>
      </c>
      <c r="C233">
        <v>1.35</v>
      </c>
      <c r="D233">
        <v>1.1971000000000001</v>
      </c>
      <c r="E233">
        <v>1.3056000000000001</v>
      </c>
      <c r="F233">
        <v>18334945.559999999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0.41922825376062806</v>
      </c>
      <c r="Q233">
        <f t="shared" si="960"/>
        <v>7686527.2099149805</v>
      </c>
      <c r="R233">
        <f t="shared" si="961"/>
        <v>928679987.16655886</v>
      </c>
      <c r="S233">
        <f t="shared" si="962"/>
        <v>9286.7998716655893</v>
      </c>
      <c r="T233">
        <f t="shared" si="963"/>
        <v>9.2867998716655897</v>
      </c>
    </row>
    <row r="234" spans="1:20" x14ac:dyDescent="0.25">
      <c r="A234" s="5">
        <v>44359</v>
      </c>
      <c r="B234">
        <v>1.2996000000000001</v>
      </c>
      <c r="C234">
        <v>1.3389</v>
      </c>
      <c r="D234">
        <v>1.1536</v>
      </c>
      <c r="E234">
        <v>1.2370000000000001</v>
      </c>
      <c r="F234">
        <v>31590762.02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-9.9838100377764361E-2</v>
      </c>
      <c r="Q234">
        <f t="shared" si="960"/>
        <v>-3153961.6695628259</v>
      </c>
      <c r="R234">
        <f t="shared" si="961"/>
        <v>920993459.95664394</v>
      </c>
      <c r="S234">
        <f t="shared" si="962"/>
        <v>9209.9345995664389</v>
      </c>
      <c r="T234">
        <f t="shared" si="963"/>
        <v>9.2099345995664397</v>
      </c>
    </row>
    <row r="235" spans="1:20" x14ac:dyDescent="0.25">
      <c r="A235" s="5">
        <v>44358</v>
      </c>
      <c r="B235">
        <v>1.2923</v>
      </c>
      <c r="C235">
        <v>1.5773999999999999</v>
      </c>
      <c r="D235">
        <v>1.2450000000000001</v>
      </c>
      <c r="E235">
        <v>1.3012999999999999</v>
      </c>
      <c r="F235">
        <v>61429747.140000001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-0.66125150421179402</v>
      </c>
      <c r="Q235">
        <f t="shared" si="960"/>
        <v>-40620512.69967515</v>
      </c>
      <c r="R235">
        <f t="shared" si="961"/>
        <v>924147421.62620676</v>
      </c>
      <c r="S235">
        <f t="shared" si="962"/>
        <v>9241.4742162620678</v>
      </c>
      <c r="T235">
        <f t="shared" si="963"/>
        <v>9.241474216262068</v>
      </c>
    </row>
    <row r="236" spans="1:20" x14ac:dyDescent="0.25">
      <c r="A236" s="5">
        <v>44357</v>
      </c>
      <c r="B236">
        <v>1.3712</v>
      </c>
      <c r="C236">
        <v>1.3817999999999999</v>
      </c>
      <c r="D236">
        <v>1.2484999999999999</v>
      </c>
      <c r="E236">
        <v>1.2924</v>
      </c>
      <c r="F236">
        <v>15461080.779999999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-0.34133533383345749</v>
      </c>
      <c r="Q236">
        <f t="shared" si="960"/>
        <v>-5277413.1694673533</v>
      </c>
      <c r="R236">
        <f t="shared" si="961"/>
        <v>964767934.32588196</v>
      </c>
      <c r="S236">
        <f t="shared" si="962"/>
        <v>9647.6793432588202</v>
      </c>
      <c r="T236">
        <f t="shared" si="963"/>
        <v>9.6476793432588206</v>
      </c>
    </row>
    <row r="237" spans="1:20" x14ac:dyDescent="0.25">
      <c r="A237" s="5">
        <v>44356</v>
      </c>
      <c r="B237">
        <v>1.3294999999999999</v>
      </c>
      <c r="C237">
        <v>1.3734999999999999</v>
      </c>
      <c r="D237">
        <v>1.2350000000000001</v>
      </c>
      <c r="E237">
        <v>1.3708</v>
      </c>
      <c r="F237">
        <v>22342641.510000002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0.96101083032491075</v>
      </c>
      <c r="Q237">
        <f t="shared" si="960"/>
        <v>21471520.469176918</v>
      </c>
      <c r="R237">
        <f t="shared" si="961"/>
        <v>970045347.49534929</v>
      </c>
      <c r="S237">
        <f t="shared" si="962"/>
        <v>9700.4534749534923</v>
      </c>
      <c r="T237">
        <f t="shared" si="963"/>
        <v>9.700453474953493</v>
      </c>
    </row>
    <row r="238" spans="1:20" x14ac:dyDescent="0.25">
      <c r="A238" s="5">
        <v>44355</v>
      </c>
      <c r="B238">
        <v>1.3360000000000001</v>
      </c>
      <c r="C238">
        <v>1.371</v>
      </c>
      <c r="D238">
        <v>1.1480999999999999</v>
      </c>
      <c r="E238">
        <v>1.3308</v>
      </c>
      <c r="F238">
        <v>26916982.469999999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0.63930013458950208</v>
      </c>
      <c r="Q238">
        <f t="shared" si="960"/>
        <v>17208030.515814267</v>
      </c>
      <c r="R238">
        <f t="shared" si="961"/>
        <v>948573827.0261724</v>
      </c>
      <c r="S238">
        <f t="shared" si="962"/>
        <v>9485.7382702617233</v>
      </c>
      <c r="T238">
        <f t="shared" si="963"/>
        <v>9.4857382702617237</v>
      </c>
    </row>
    <row r="239" spans="1:20" x14ac:dyDescent="0.25">
      <c r="A239" s="5">
        <v>44354</v>
      </c>
      <c r="B239">
        <v>1.4792000000000001</v>
      </c>
      <c r="C239">
        <v>1.5225</v>
      </c>
      <c r="D239">
        <v>1.3189</v>
      </c>
      <c r="E239">
        <v>1.3375999999999999</v>
      </c>
      <c r="F239">
        <v>17138150.039999999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-0.81630648330058997</v>
      </c>
      <c r="Q239">
        <f t="shared" si="960"/>
        <v>-13989982.989430266</v>
      </c>
      <c r="R239">
        <f t="shared" si="961"/>
        <v>931365796.5103581</v>
      </c>
      <c r="S239">
        <f t="shared" si="962"/>
        <v>9313.6579651035809</v>
      </c>
      <c r="T239">
        <f t="shared" si="963"/>
        <v>9.3136579651035802</v>
      </c>
    </row>
    <row r="240" spans="1:20" x14ac:dyDescent="0.25">
      <c r="A240" s="5">
        <v>44353</v>
      </c>
      <c r="B240">
        <v>1.454</v>
      </c>
      <c r="C240">
        <v>1.5186999999999999</v>
      </c>
      <c r="D240">
        <v>1.4411</v>
      </c>
      <c r="E240">
        <v>1.4786999999999999</v>
      </c>
      <c r="F240">
        <v>11044166.33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-3.0927835051548752E-2</v>
      </c>
      <c r="Q240">
        <f t="shared" si="960"/>
        <v>-341572.15453610854</v>
      </c>
      <c r="R240">
        <f t="shared" si="961"/>
        <v>945355779.4997884</v>
      </c>
      <c r="S240">
        <f t="shared" si="962"/>
        <v>9453.5577949978833</v>
      </c>
      <c r="T240">
        <f t="shared" si="963"/>
        <v>9.4535577949978826</v>
      </c>
    </row>
    <row r="241" spans="1:20" x14ac:dyDescent="0.25">
      <c r="A241" s="5">
        <v>44352</v>
      </c>
      <c r="B241">
        <v>1.4996</v>
      </c>
      <c r="C241">
        <v>1.597</v>
      </c>
      <c r="D241">
        <v>1.3959999999999999</v>
      </c>
      <c r="E241">
        <v>1.4540999999999999</v>
      </c>
      <c r="F241">
        <v>22772309.109999999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-0.42189054726368136</v>
      </c>
      <c r="Q241">
        <f t="shared" si="960"/>
        <v>-9607421.952875616</v>
      </c>
      <c r="R241">
        <f t="shared" si="961"/>
        <v>945697351.65432453</v>
      </c>
      <c r="S241">
        <f t="shared" si="962"/>
        <v>9456.9735165432448</v>
      </c>
      <c r="T241">
        <f t="shared" si="963"/>
        <v>9.4569735165432451</v>
      </c>
    </row>
    <row r="242" spans="1:20" x14ac:dyDescent="0.25">
      <c r="A242" s="5">
        <v>44351</v>
      </c>
      <c r="B242">
        <v>1.6491</v>
      </c>
      <c r="C242">
        <v>1.72</v>
      </c>
      <c r="D242">
        <v>1.4114</v>
      </c>
      <c r="E242">
        <v>1.5</v>
      </c>
      <c r="F242">
        <v>33507240.41</v>
      </c>
      <c r="G242">
        <v>0</v>
      </c>
      <c r="L242" t="s">
        <v>8</v>
      </c>
      <c r="M242" t="s">
        <v>7</v>
      </c>
      <c r="N242" t="s">
        <v>7</v>
      </c>
      <c r="P242">
        <f t="shared" si="959"/>
        <v>-0.42579390797148403</v>
      </c>
      <c r="Q242">
        <f t="shared" si="960"/>
        <v>-14267178.839513931</v>
      </c>
      <c r="R242">
        <f t="shared" si="961"/>
        <v>955304773.60720015</v>
      </c>
      <c r="S242">
        <f t="shared" si="962"/>
        <v>9553.0477360720015</v>
      </c>
      <c r="T242">
        <f t="shared" si="963"/>
        <v>9.553047736072001</v>
      </c>
    </row>
    <row r="243" spans="1:20" x14ac:dyDescent="0.25">
      <c r="A243" s="5">
        <v>44350</v>
      </c>
      <c r="B243">
        <v>1.5793999999999999</v>
      </c>
      <c r="C243">
        <v>1.6950000000000001</v>
      </c>
      <c r="D243">
        <v>1.5359</v>
      </c>
      <c r="E243">
        <v>1.65</v>
      </c>
      <c r="F243">
        <v>27315691.27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0.4343180389691999</v>
      </c>
      <c r="Q243">
        <f t="shared" si="960"/>
        <v>11863697.465474494</v>
      </c>
      <c r="R243">
        <f t="shared" si="961"/>
        <v>969571952.44671404</v>
      </c>
      <c r="S243">
        <f t="shared" si="962"/>
        <v>9695.7195244671402</v>
      </c>
      <c r="T243">
        <f t="shared" si="963"/>
        <v>9.6957195244671404</v>
      </c>
    </row>
    <row r="244" spans="1:20" x14ac:dyDescent="0.25">
      <c r="A244" s="5">
        <v>44349</v>
      </c>
      <c r="B244">
        <v>1.5701000000000001</v>
      </c>
      <c r="C244">
        <v>1.6459999999999999</v>
      </c>
      <c r="D244">
        <v>1.5230999999999999</v>
      </c>
      <c r="E244">
        <v>1.5793999999999999</v>
      </c>
      <c r="F244">
        <v>24686316.149999999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-8.3807973962570989E-2</v>
      </c>
      <c r="Q244">
        <f t="shared" si="960"/>
        <v>-2068910.1411309955</v>
      </c>
      <c r="R244">
        <f t="shared" si="961"/>
        <v>957708254.98123956</v>
      </c>
      <c r="S244">
        <f t="shared" si="962"/>
        <v>9577.0825498123959</v>
      </c>
      <c r="T244">
        <f t="shared" si="963"/>
        <v>9.5770825498123955</v>
      </c>
    </row>
    <row r="245" spans="1:20" x14ac:dyDescent="0.25">
      <c r="A245" s="5">
        <v>44348</v>
      </c>
      <c r="B245">
        <v>1.6251</v>
      </c>
      <c r="C245">
        <v>1.7172000000000001</v>
      </c>
      <c r="D245">
        <v>1.5449999999999999</v>
      </c>
      <c r="E245">
        <v>1.5694999999999999</v>
      </c>
      <c r="F245">
        <v>34525285.149999999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-0.71544715447154528</v>
      </c>
      <c r="Q245">
        <f t="shared" si="960"/>
        <v>-24701017.017886195</v>
      </c>
      <c r="R245">
        <f t="shared" si="961"/>
        <v>959777165.1223706</v>
      </c>
      <c r="S245">
        <f t="shared" si="962"/>
        <v>9597.7716512237057</v>
      </c>
      <c r="T245">
        <f t="shared" si="963"/>
        <v>9.5977716512237059</v>
      </c>
    </row>
    <row r="246" spans="1:20" x14ac:dyDescent="0.25">
      <c r="A246" s="5">
        <v>44347</v>
      </c>
      <c r="B246">
        <v>1.5256000000000001</v>
      </c>
      <c r="C246">
        <v>1.6581999999999999</v>
      </c>
      <c r="D246">
        <v>1.4287000000000001</v>
      </c>
      <c r="E246">
        <v>1.6257999999999999</v>
      </c>
      <c r="F246">
        <v>61863866.810000002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0.7176470588235293</v>
      </c>
      <c r="Q246">
        <f t="shared" si="960"/>
        <v>44396422.063647054</v>
      </c>
      <c r="R246">
        <f t="shared" si="961"/>
        <v>984478182.14025676</v>
      </c>
      <c r="S246">
        <f t="shared" si="962"/>
        <v>9844.7818214025683</v>
      </c>
      <c r="T246">
        <f t="shared" si="963"/>
        <v>9.8447818214025684</v>
      </c>
    </row>
    <row r="247" spans="1:20" x14ac:dyDescent="0.25">
      <c r="A247" s="5">
        <v>44346</v>
      </c>
      <c r="B247">
        <v>1.351</v>
      </c>
      <c r="C247">
        <v>1.75</v>
      </c>
      <c r="D247">
        <v>1.2351000000000001</v>
      </c>
      <c r="E247">
        <v>1.5276000000000001</v>
      </c>
      <c r="F247">
        <v>106256635.37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0.1361429403767723</v>
      </c>
      <c r="Q247">
        <f t="shared" si="960"/>
        <v>14466090.773814345</v>
      </c>
      <c r="R247">
        <f t="shared" si="961"/>
        <v>940081760.07660973</v>
      </c>
      <c r="S247">
        <f t="shared" si="962"/>
        <v>9400.8176007660968</v>
      </c>
      <c r="T247">
        <f t="shared" si="963"/>
        <v>9.4008176007660964</v>
      </c>
    </row>
    <row r="248" spans="1:20" x14ac:dyDescent="0.25">
      <c r="A248" s="5">
        <v>44345</v>
      </c>
      <c r="B248">
        <v>1.4279999999999999</v>
      </c>
      <c r="C248">
        <v>1.4811000000000001</v>
      </c>
      <c r="D248">
        <v>1.2289000000000001</v>
      </c>
      <c r="E248">
        <v>1.3524</v>
      </c>
      <c r="F248">
        <v>43514010.57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-2.0618556701031299E-2</v>
      </c>
      <c r="Q248">
        <f t="shared" si="960"/>
        <v>-897196.09422682028</v>
      </c>
      <c r="R248">
        <f t="shared" si="961"/>
        <v>925615669.30279541</v>
      </c>
      <c r="S248">
        <f t="shared" si="962"/>
        <v>9256.1566930279532</v>
      </c>
      <c r="T248">
        <f t="shared" si="963"/>
        <v>9.256156693027954</v>
      </c>
    </row>
    <row r="249" spans="1:20" x14ac:dyDescent="0.25">
      <c r="A249" s="5">
        <v>44344</v>
      </c>
      <c r="B249">
        <v>1.7283999999999999</v>
      </c>
      <c r="C249">
        <v>1.7464</v>
      </c>
      <c r="D249">
        <v>1.3288</v>
      </c>
      <c r="E249">
        <v>1.4281999999999999</v>
      </c>
      <c r="F249">
        <v>73226030.359999999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-0.52394636015325702</v>
      </c>
      <c r="Q249">
        <f t="shared" si="960"/>
        <v>-38366512.075593889</v>
      </c>
      <c r="R249">
        <f t="shared" si="961"/>
        <v>926512865.39702225</v>
      </c>
      <c r="S249">
        <f t="shared" si="962"/>
        <v>9265.1286539702232</v>
      </c>
      <c r="T249">
        <f t="shared" si="963"/>
        <v>9.2651286539702227</v>
      </c>
    </row>
    <row r="250" spans="1:20" x14ac:dyDescent="0.25">
      <c r="A250" s="5">
        <v>44343</v>
      </c>
      <c r="B250">
        <v>1.9309000000000001</v>
      </c>
      <c r="C250">
        <v>2.0356999999999998</v>
      </c>
      <c r="D250">
        <v>1.6529</v>
      </c>
      <c r="E250">
        <v>1.7274</v>
      </c>
      <c r="F250">
        <v>91245402.680000007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-0.6107628004179726</v>
      </c>
      <c r="Q250">
        <f t="shared" si="960"/>
        <v>-55729297.666102387</v>
      </c>
      <c r="R250">
        <f t="shared" si="961"/>
        <v>964879377.4726162</v>
      </c>
      <c r="S250">
        <f t="shared" si="962"/>
        <v>9648.7937747261622</v>
      </c>
      <c r="T250">
        <f t="shared" si="963"/>
        <v>9.6487937747261618</v>
      </c>
    </row>
    <row r="251" spans="1:20" x14ac:dyDescent="0.25">
      <c r="A251" s="5">
        <v>44342</v>
      </c>
      <c r="B251">
        <v>1.2382</v>
      </c>
      <c r="C251">
        <v>2.0556999999999999</v>
      </c>
      <c r="D251">
        <v>1.2004999999999999</v>
      </c>
      <c r="E251">
        <v>1.9309000000000001</v>
      </c>
      <c r="F251">
        <v>129412710.95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0.70813844714686669</v>
      </c>
      <c r="Q251">
        <f t="shared" si="960"/>
        <v>91642116.173199311</v>
      </c>
      <c r="R251">
        <f t="shared" si="961"/>
        <v>1020608675.1387186</v>
      </c>
      <c r="S251">
        <f t="shared" si="962"/>
        <v>10206.086751387185</v>
      </c>
      <c r="T251">
        <f t="shared" si="963"/>
        <v>10.206086751387186</v>
      </c>
    </row>
    <row r="252" spans="1:20" x14ac:dyDescent="0.25">
      <c r="A252" s="5">
        <v>44341</v>
      </c>
      <c r="B252">
        <v>1.2644</v>
      </c>
      <c r="C252">
        <v>1.3112999999999999</v>
      </c>
      <c r="D252">
        <v>1.085</v>
      </c>
      <c r="E252">
        <v>1.2377</v>
      </c>
      <c r="F252">
        <v>38888971.579999998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0.34953601414052227</v>
      </c>
      <c r="Q252">
        <f t="shared" si="960"/>
        <v>13593096.120097248</v>
      </c>
      <c r="R252">
        <f t="shared" si="961"/>
        <v>928966558.96551931</v>
      </c>
      <c r="S252">
        <f t="shared" si="962"/>
        <v>9289.6655896551929</v>
      </c>
      <c r="T252">
        <f t="shared" si="963"/>
        <v>9.2896655896551934</v>
      </c>
    </row>
    <row r="253" spans="1:20" x14ac:dyDescent="0.25">
      <c r="A253" s="5">
        <v>44340</v>
      </c>
      <c r="B253">
        <v>0.94240000000000002</v>
      </c>
      <c r="C253">
        <v>1.35</v>
      </c>
      <c r="D253">
        <v>0.91210000000000002</v>
      </c>
      <c r="E253">
        <v>1.2647999999999999</v>
      </c>
      <c r="F253">
        <v>68064658.540000007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0.61087006165791202</v>
      </c>
      <c r="Q253">
        <f t="shared" si="960"/>
        <v>41578662.159054533</v>
      </c>
      <c r="R253">
        <f t="shared" si="961"/>
        <v>915373462.84542203</v>
      </c>
      <c r="S253">
        <f t="shared" si="962"/>
        <v>9153.73462845422</v>
      </c>
      <c r="T253">
        <f t="shared" si="963"/>
        <v>9.1537346284542203</v>
      </c>
    </row>
    <row r="254" spans="1:20" x14ac:dyDescent="0.25">
      <c r="A254" s="5">
        <v>44339</v>
      </c>
      <c r="B254">
        <v>1.1855</v>
      </c>
      <c r="C254">
        <v>1.2233000000000001</v>
      </c>
      <c r="D254">
        <v>0.73470000000000002</v>
      </c>
      <c r="E254">
        <v>0.94340000000000002</v>
      </c>
      <c r="F254">
        <v>56541168.009999998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-0.14572247237003691</v>
      </c>
      <c r="Q254">
        <f t="shared" si="960"/>
        <v>-8239318.7931068391</v>
      </c>
      <c r="R254">
        <f t="shared" si="961"/>
        <v>873794800.68636751</v>
      </c>
      <c r="S254">
        <f t="shared" si="962"/>
        <v>8737.9480068636749</v>
      </c>
      <c r="T254">
        <f t="shared" si="963"/>
        <v>8.7379480068636752</v>
      </c>
    </row>
    <row r="255" spans="1:20" x14ac:dyDescent="0.25">
      <c r="A255" s="5">
        <v>44338</v>
      </c>
      <c r="B255">
        <v>1.2789999999999999</v>
      </c>
      <c r="C255">
        <v>1.2952999999999999</v>
      </c>
      <c r="D255">
        <v>1.1123000000000001</v>
      </c>
      <c r="E255">
        <v>1.1846000000000001</v>
      </c>
      <c r="F255">
        <v>27559001.739999998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-0.20983606557376941</v>
      </c>
      <c r="Q255">
        <f t="shared" si="960"/>
        <v>-5782872.4962622644</v>
      </c>
      <c r="R255">
        <f t="shared" si="961"/>
        <v>882034119.47947431</v>
      </c>
      <c r="S255">
        <f t="shared" si="962"/>
        <v>8820.3411947947425</v>
      </c>
      <c r="T255">
        <f t="shared" si="963"/>
        <v>8.820341194794743</v>
      </c>
    </row>
    <row r="256" spans="1:20" x14ac:dyDescent="0.25">
      <c r="A256" s="5">
        <v>44337</v>
      </c>
      <c r="B256">
        <v>1.4837</v>
      </c>
      <c r="C256">
        <v>1.593</v>
      </c>
      <c r="D256">
        <v>1.0561</v>
      </c>
      <c r="E256">
        <v>1.2778</v>
      </c>
      <c r="F256">
        <v>45740723.649999999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-0.17414788601229267</v>
      </c>
      <c r="Q256">
        <f t="shared" si="960"/>
        <v>-7965650.3283199789</v>
      </c>
      <c r="R256">
        <f t="shared" si="961"/>
        <v>887816991.97573662</v>
      </c>
      <c r="S256">
        <f t="shared" si="962"/>
        <v>8878.1699197573653</v>
      </c>
      <c r="T256">
        <f t="shared" si="963"/>
        <v>8.8781699197573651</v>
      </c>
    </row>
    <row r="257" spans="1:20" x14ac:dyDescent="0.25">
      <c r="A257" s="5">
        <v>44336</v>
      </c>
      <c r="B257">
        <v>1.1942999999999999</v>
      </c>
      <c r="C257">
        <v>1.6</v>
      </c>
      <c r="D257">
        <v>1.03</v>
      </c>
      <c r="E257">
        <v>1.4842</v>
      </c>
      <c r="F257">
        <v>55925250.25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0.59368421052631537</v>
      </c>
      <c r="Q257">
        <f t="shared" si="960"/>
        <v>33201938.043157872</v>
      </c>
      <c r="R257">
        <f t="shared" si="961"/>
        <v>895782642.30405664</v>
      </c>
      <c r="S257">
        <f t="shared" si="962"/>
        <v>8957.8264230405657</v>
      </c>
      <c r="T257">
        <f t="shared" si="963"/>
        <v>8.9578264230405651</v>
      </c>
    </row>
    <row r="258" spans="1:20" x14ac:dyDescent="0.25">
      <c r="A258" s="5">
        <v>44335</v>
      </c>
      <c r="B258">
        <v>1.8908</v>
      </c>
      <c r="C258">
        <v>1.9374</v>
      </c>
      <c r="D258">
        <v>0.8629</v>
      </c>
      <c r="E258">
        <v>1.1942999999999999</v>
      </c>
      <c r="F258">
        <v>68567024.689999998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-0.38315495579339243</v>
      </c>
      <c r="Q258">
        <f t="shared" si="960"/>
        <v>-26271795.313981395</v>
      </c>
      <c r="R258">
        <f t="shared" si="961"/>
        <v>862580704.26089883</v>
      </c>
      <c r="S258">
        <f t="shared" si="962"/>
        <v>8625.8070426089889</v>
      </c>
      <c r="T258">
        <f t="shared" si="963"/>
        <v>8.6258070426089883</v>
      </c>
    </row>
    <row r="259" spans="1:20" x14ac:dyDescent="0.25">
      <c r="A259" s="5">
        <v>44334</v>
      </c>
      <c r="B259">
        <v>1.7968</v>
      </c>
      <c r="C259">
        <v>2.0207999999999999</v>
      </c>
      <c r="D259">
        <v>1.7695000000000001</v>
      </c>
      <c r="E259">
        <v>1.8900999999999999</v>
      </c>
      <c r="F259">
        <v>26071642.559999999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-4.0191006764823817E-2</v>
      </c>
      <c r="Q259">
        <f t="shared" si="960"/>
        <v>-1047845.5624990285</v>
      </c>
      <c r="R259">
        <f t="shared" si="961"/>
        <v>888852499.57488024</v>
      </c>
      <c r="S259">
        <f t="shared" si="962"/>
        <v>8888.5249957488031</v>
      </c>
      <c r="T259">
        <f t="shared" si="963"/>
        <v>8.8885249957488028</v>
      </c>
    </row>
    <row r="260" spans="1:20" x14ac:dyDescent="0.25">
      <c r="A260" s="5">
        <v>44333</v>
      </c>
      <c r="B260">
        <v>1.9686999999999999</v>
      </c>
      <c r="C260">
        <v>2.0222000000000002</v>
      </c>
      <c r="D260">
        <v>1.7177</v>
      </c>
      <c r="E260">
        <v>1.7986</v>
      </c>
      <c r="F260">
        <v>25964533.559999999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-0.46863711001642094</v>
      </c>
      <c r="Q260">
        <f t="shared" si="960"/>
        <v>-12167943.970482772</v>
      </c>
      <c r="R260">
        <f t="shared" si="961"/>
        <v>889900345.13737929</v>
      </c>
      <c r="S260">
        <f t="shared" si="962"/>
        <v>8899.0034513737937</v>
      </c>
      <c r="T260">
        <f t="shared" si="963"/>
        <v>8.8990034513737939</v>
      </c>
    </row>
    <row r="261" spans="1:20" x14ac:dyDescent="0.25">
      <c r="A261" s="5">
        <v>44332</v>
      </c>
      <c r="B261">
        <v>1.95</v>
      </c>
      <c r="C261">
        <v>2.1597</v>
      </c>
      <c r="D261">
        <v>1.8030999999999999</v>
      </c>
      <c r="E261">
        <v>1.9709000000000001</v>
      </c>
      <c r="F261">
        <v>23510223.899999999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-5.8889512058327771E-2</v>
      </c>
      <c r="Q261">
        <f t="shared" si="960"/>
        <v>-1384505.6138530357</v>
      </c>
      <c r="R261">
        <f t="shared" si="961"/>
        <v>902068289.10786211</v>
      </c>
      <c r="S261">
        <f t="shared" si="962"/>
        <v>9020.6828910786207</v>
      </c>
      <c r="T261">
        <f t="shared" si="963"/>
        <v>9.0206828910786214</v>
      </c>
    </row>
    <row r="262" spans="1:20" x14ac:dyDescent="0.25">
      <c r="A262" s="5">
        <v>44331</v>
      </c>
      <c r="B262">
        <v>2.1248</v>
      </c>
      <c r="C262">
        <v>2.1486999999999998</v>
      </c>
      <c r="D262">
        <v>1.9341999999999999</v>
      </c>
      <c r="E262">
        <v>1.9523999999999999</v>
      </c>
      <c r="F262">
        <v>17847076.760000002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-0.83030303030303032</v>
      </c>
      <c r="Q262">
        <f t="shared" ref="Q262:Q325" si="965">F262*P262</f>
        <v>-14818481.915878789</v>
      </c>
      <c r="R262">
        <f t="shared" ref="R262:R325" si="966">R263+Q262</f>
        <v>903452794.72171509</v>
      </c>
      <c r="S262">
        <f t="shared" ref="S262:S325" si="967">R262/100000</f>
        <v>9034.5279472171514</v>
      </c>
      <c r="T262">
        <f t="shared" ref="T262:T325" si="968">S262/1000</f>
        <v>9.0345279472171516</v>
      </c>
    </row>
    <row r="263" spans="1:20" x14ac:dyDescent="0.25">
      <c r="A263" s="5">
        <v>44330</v>
      </c>
      <c r="B263">
        <v>2.0571999999999999</v>
      </c>
      <c r="C263">
        <v>2.1800000000000002</v>
      </c>
      <c r="D263">
        <v>2.0358000000000001</v>
      </c>
      <c r="E263">
        <v>2.1229</v>
      </c>
      <c r="F263">
        <v>15928857.210000001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0.20804438280166285</v>
      </c>
      <c r="Q263">
        <f t="shared" si="965"/>
        <v>3313909.2669902672</v>
      </c>
      <c r="R263">
        <f t="shared" si="966"/>
        <v>918271276.63759387</v>
      </c>
      <c r="S263">
        <f t="shared" si="967"/>
        <v>9182.7127663759384</v>
      </c>
      <c r="T263">
        <f t="shared" si="968"/>
        <v>9.1827127663759391</v>
      </c>
    </row>
    <row r="264" spans="1:20" x14ac:dyDescent="0.25">
      <c r="A264" s="5">
        <v>44329</v>
      </c>
      <c r="B264">
        <v>2.0198999999999998</v>
      </c>
      <c r="C264">
        <v>2.1804999999999999</v>
      </c>
      <c r="D264">
        <v>1.8713</v>
      </c>
      <c r="E264">
        <v>2.0556000000000001</v>
      </c>
      <c r="F264">
        <v>30565312.059999999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0.19210866752910852</v>
      </c>
      <c r="Q264">
        <f t="shared" si="965"/>
        <v>5871861.3724579904</v>
      </c>
      <c r="R264">
        <f t="shared" si="966"/>
        <v>914957367.37060356</v>
      </c>
      <c r="S264">
        <f t="shared" si="967"/>
        <v>9149.5736737060361</v>
      </c>
      <c r="T264">
        <f t="shared" si="968"/>
        <v>9.1495736737060369</v>
      </c>
    </row>
    <row r="265" spans="1:20" x14ac:dyDescent="0.25">
      <c r="A265" s="5">
        <v>44328</v>
      </c>
      <c r="B265">
        <v>2.3268</v>
      </c>
      <c r="C265">
        <v>2.61</v>
      </c>
      <c r="D265">
        <v>1.9894000000000001</v>
      </c>
      <c r="E265">
        <v>2.0251999999999999</v>
      </c>
      <c r="F265">
        <v>42878900.100000001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-0.8846277795681603</v>
      </c>
      <c r="Q265">
        <f t="shared" si="965"/>
        <v>-37931866.185787968</v>
      </c>
      <c r="R265">
        <f t="shared" si="966"/>
        <v>909085505.99814558</v>
      </c>
      <c r="S265">
        <f t="shared" si="967"/>
        <v>9090.8550599814553</v>
      </c>
      <c r="T265">
        <f t="shared" si="968"/>
        <v>9.0908550599814557</v>
      </c>
    </row>
    <row r="266" spans="1:20" x14ac:dyDescent="0.25">
      <c r="A266" s="5">
        <v>44327</v>
      </c>
      <c r="B266">
        <v>2.2000999999999999</v>
      </c>
      <c r="C266">
        <v>2.3490000000000002</v>
      </c>
      <c r="D266">
        <v>2.1387999999999998</v>
      </c>
      <c r="E266">
        <v>2.3288000000000002</v>
      </c>
      <c r="F266">
        <v>21318018.719999999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0.80780209324452945</v>
      </c>
      <c r="Q266">
        <f t="shared" si="965"/>
        <v>17220740.145842064</v>
      </c>
      <c r="R266">
        <f t="shared" si="966"/>
        <v>947017372.1839335</v>
      </c>
      <c r="S266">
        <f t="shared" si="967"/>
        <v>9470.1737218393355</v>
      </c>
      <c r="T266">
        <f t="shared" si="968"/>
        <v>9.4701737218393358</v>
      </c>
    </row>
    <row r="267" spans="1:20" x14ac:dyDescent="0.25">
      <c r="A267" s="5">
        <v>44326</v>
      </c>
      <c r="B267">
        <v>2.4350000000000001</v>
      </c>
      <c r="C267">
        <v>2.5043000000000002</v>
      </c>
      <c r="D267">
        <v>2.0207999999999999</v>
      </c>
      <c r="E267">
        <v>2.198</v>
      </c>
      <c r="F267">
        <v>23624098.969999999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-0.26701137538779762</v>
      </c>
      <c r="Q267">
        <f t="shared" si="965"/>
        <v>-6307903.158277153</v>
      </c>
      <c r="R267">
        <f t="shared" si="966"/>
        <v>929796632.03809142</v>
      </c>
      <c r="S267">
        <f t="shared" si="967"/>
        <v>9297.9663203809141</v>
      </c>
      <c r="T267">
        <f t="shared" si="968"/>
        <v>9.2979663203809135</v>
      </c>
    </row>
    <row r="268" spans="1:20" x14ac:dyDescent="0.25">
      <c r="A268" s="5">
        <v>44325</v>
      </c>
      <c r="B268">
        <v>2.4653999999999998</v>
      </c>
      <c r="C268">
        <v>2.4821</v>
      </c>
      <c r="D268">
        <v>2.3207</v>
      </c>
      <c r="E268">
        <v>2.4348999999999998</v>
      </c>
      <c r="F268">
        <v>16344345.66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0.41511771995043206</v>
      </c>
      <c r="Q268">
        <f t="shared" si="965"/>
        <v>6784827.5044609401</v>
      </c>
      <c r="R268">
        <f t="shared" si="966"/>
        <v>936104535.19636858</v>
      </c>
      <c r="S268">
        <f t="shared" si="967"/>
        <v>9361.0453519636849</v>
      </c>
      <c r="T268">
        <f t="shared" si="968"/>
        <v>9.3610453519636856</v>
      </c>
    </row>
    <row r="269" spans="1:20" x14ac:dyDescent="0.25">
      <c r="A269" s="5">
        <v>44324</v>
      </c>
      <c r="B269">
        <v>2.4887000000000001</v>
      </c>
      <c r="C269">
        <v>2.5909</v>
      </c>
      <c r="D269">
        <v>2.4230999999999998</v>
      </c>
      <c r="E269">
        <v>2.4664000000000001</v>
      </c>
      <c r="F269">
        <v>20111610.050000001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-0.48390941597139103</v>
      </c>
      <c r="Q269">
        <f t="shared" si="965"/>
        <v>-9732197.4735398591</v>
      </c>
      <c r="R269">
        <f t="shared" si="966"/>
        <v>929319707.69190764</v>
      </c>
      <c r="S269">
        <f t="shared" si="967"/>
        <v>9293.1970769190757</v>
      </c>
      <c r="T269">
        <f t="shared" si="968"/>
        <v>9.2931970769190748</v>
      </c>
    </row>
    <row r="270" spans="1:20" x14ac:dyDescent="0.25">
      <c r="A270" s="5">
        <v>44323</v>
      </c>
      <c r="B270">
        <v>2.4762</v>
      </c>
      <c r="C270">
        <v>2.7198000000000002</v>
      </c>
      <c r="D270">
        <v>2.4013</v>
      </c>
      <c r="E270">
        <v>2.4889000000000001</v>
      </c>
      <c r="F270">
        <v>37438464.890000001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-0.44992150706436385</v>
      </c>
      <c r="Q270">
        <f t="shared" si="965"/>
        <v>-16844370.545485072</v>
      </c>
      <c r="R270">
        <f t="shared" si="966"/>
        <v>939051905.16544747</v>
      </c>
      <c r="S270">
        <f t="shared" si="967"/>
        <v>9390.5190516544753</v>
      </c>
      <c r="T270">
        <f t="shared" si="968"/>
        <v>9.3905190516544756</v>
      </c>
    </row>
    <row r="271" spans="1:20" x14ac:dyDescent="0.25">
      <c r="A271" s="5">
        <v>44322</v>
      </c>
      <c r="B271">
        <v>2.5857999999999999</v>
      </c>
      <c r="C271">
        <v>2.5939999999999999</v>
      </c>
      <c r="D271">
        <v>2.3940000000000001</v>
      </c>
      <c r="E271">
        <v>2.4748000000000001</v>
      </c>
      <c r="F271">
        <v>25276393.52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-0.19199999999999909</v>
      </c>
      <c r="Q271">
        <f t="shared" si="965"/>
        <v>-4853067.5558399772</v>
      </c>
      <c r="R271">
        <f t="shared" si="966"/>
        <v>955896275.71093249</v>
      </c>
      <c r="S271">
        <f t="shared" si="967"/>
        <v>9558.9627571093242</v>
      </c>
      <c r="T271">
        <f t="shared" si="968"/>
        <v>9.5589627571093239</v>
      </c>
    </row>
    <row r="272" spans="1:20" x14ac:dyDescent="0.25">
      <c r="A272" s="5">
        <v>44321</v>
      </c>
      <c r="B272">
        <v>2.3220000000000001</v>
      </c>
      <c r="C272">
        <v>2.6278000000000001</v>
      </c>
      <c r="D272">
        <v>2.2999999999999998</v>
      </c>
      <c r="E272">
        <v>2.5859999999999999</v>
      </c>
      <c r="F272">
        <v>28526364.960000001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0.74496644295301861</v>
      </c>
      <c r="Q272">
        <f t="shared" si="965"/>
        <v>21251184.634630829</v>
      </c>
      <c r="R272">
        <f t="shared" si="966"/>
        <v>960749343.26677251</v>
      </c>
      <c r="S272">
        <f t="shared" si="967"/>
        <v>9607.4934326677248</v>
      </c>
      <c r="T272">
        <f t="shared" si="968"/>
        <v>9.6074934326677255</v>
      </c>
    </row>
    <row r="273" spans="1:20" x14ac:dyDescent="0.25">
      <c r="A273" s="5">
        <v>44320</v>
      </c>
      <c r="B273">
        <v>2.6190000000000002</v>
      </c>
      <c r="C273">
        <v>2.6269</v>
      </c>
      <c r="D273">
        <v>2.2839999999999998</v>
      </c>
      <c r="E273">
        <v>2.3220000000000001</v>
      </c>
      <c r="F273">
        <v>32814629.489999998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-0.77836103820355651</v>
      </c>
      <c r="Q273">
        <f t="shared" si="965"/>
        <v>-25541629.078101441</v>
      </c>
      <c r="R273">
        <f t="shared" si="966"/>
        <v>939498158.63214171</v>
      </c>
      <c r="S273">
        <f t="shared" si="967"/>
        <v>9394.9815863214171</v>
      </c>
      <c r="T273">
        <f t="shared" si="968"/>
        <v>9.3949815863214177</v>
      </c>
    </row>
    <row r="274" spans="1:20" x14ac:dyDescent="0.25">
      <c r="A274" s="5">
        <v>44319</v>
      </c>
      <c r="B274">
        <v>2.6278999999999999</v>
      </c>
      <c r="C274">
        <v>2.74</v>
      </c>
      <c r="D274">
        <v>2.5859999999999999</v>
      </c>
      <c r="E274">
        <v>2.6177000000000001</v>
      </c>
      <c r="F274">
        <v>25059749.079999998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-0.58831168831168557</v>
      </c>
      <c r="Q274">
        <f t="shared" si="965"/>
        <v>-14742943.289922008</v>
      </c>
      <c r="R274">
        <f t="shared" si="966"/>
        <v>965039787.71024311</v>
      </c>
      <c r="S274">
        <f t="shared" si="967"/>
        <v>9650.3978771024304</v>
      </c>
      <c r="T274">
        <f t="shared" si="968"/>
        <v>9.6503978771024297</v>
      </c>
    </row>
    <row r="275" spans="1:20" x14ac:dyDescent="0.25">
      <c r="A275" s="5">
        <v>44318</v>
      </c>
      <c r="B275">
        <v>2.7193999999999998</v>
      </c>
      <c r="C275">
        <v>2.7292000000000001</v>
      </c>
      <c r="D275">
        <v>2.5853999999999999</v>
      </c>
      <c r="E275">
        <v>2.6259000000000001</v>
      </c>
      <c r="F275">
        <v>19248986.329999998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-0.43671766342141644</v>
      </c>
      <c r="Q275">
        <f t="shared" si="965"/>
        <v>-8406372.3332683854</v>
      </c>
      <c r="R275">
        <f t="shared" si="966"/>
        <v>979782731.0001651</v>
      </c>
      <c r="S275">
        <f t="shared" si="967"/>
        <v>9797.8273100016504</v>
      </c>
      <c r="T275">
        <f t="shared" si="968"/>
        <v>9.7978273100016509</v>
      </c>
    </row>
    <row r="276" spans="1:20" x14ac:dyDescent="0.25">
      <c r="A276" s="5">
        <v>44317</v>
      </c>
      <c r="B276">
        <v>2.7652000000000001</v>
      </c>
      <c r="C276">
        <v>2.8279999999999998</v>
      </c>
      <c r="D276">
        <v>2.6520999999999999</v>
      </c>
      <c r="E276">
        <v>2.7189999999999999</v>
      </c>
      <c r="F276">
        <v>22589782.699999999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-0.23934053439454259</v>
      </c>
      <c r="Q276">
        <f t="shared" si="965"/>
        <v>-5406650.6632745927</v>
      </c>
      <c r="R276">
        <f t="shared" si="966"/>
        <v>988189103.33343351</v>
      </c>
      <c r="S276">
        <f t="shared" si="967"/>
        <v>9881.8910333343356</v>
      </c>
      <c r="T276">
        <f t="shared" si="968"/>
        <v>9.8818910333343357</v>
      </c>
    </row>
    <row r="277" spans="1:20" x14ac:dyDescent="0.25">
      <c r="A277" s="5">
        <v>44316</v>
      </c>
      <c r="B277">
        <v>2.6419999999999999</v>
      </c>
      <c r="C277">
        <v>2.8</v>
      </c>
      <c r="D277">
        <v>2.5647000000000002</v>
      </c>
      <c r="E277">
        <v>2.7652000000000001</v>
      </c>
      <c r="F277">
        <v>30856455.109999999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0.7042073948151315</v>
      </c>
      <c r="Q277">
        <f t="shared" si="965"/>
        <v>21729343.86624315</v>
      </c>
      <c r="R277">
        <f t="shared" si="966"/>
        <v>993595753.99670815</v>
      </c>
      <c r="S277">
        <f t="shared" si="967"/>
        <v>9935.9575399670812</v>
      </c>
      <c r="T277">
        <f t="shared" si="968"/>
        <v>9.935957539967081</v>
      </c>
    </row>
    <row r="278" spans="1:20" x14ac:dyDescent="0.25">
      <c r="A278" s="5">
        <v>44315</v>
      </c>
      <c r="B278">
        <v>2.7347000000000001</v>
      </c>
      <c r="C278">
        <v>2.8660000000000001</v>
      </c>
      <c r="D278">
        <v>2.5156000000000001</v>
      </c>
      <c r="E278">
        <v>2.6408</v>
      </c>
      <c r="F278">
        <v>44687698.859999999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-0.28538812785388151</v>
      </c>
      <c r="Q278">
        <f t="shared" si="965"/>
        <v>-12753338.715753434</v>
      </c>
      <c r="R278">
        <f t="shared" si="966"/>
        <v>971866410.13046503</v>
      </c>
      <c r="S278">
        <f t="shared" si="967"/>
        <v>9718.6641013046501</v>
      </c>
      <c r="T278">
        <f t="shared" si="968"/>
        <v>9.7186641013046504</v>
      </c>
    </row>
    <row r="279" spans="1:20" x14ac:dyDescent="0.25">
      <c r="A279" s="5">
        <v>44314</v>
      </c>
      <c r="B279">
        <v>2.6006999999999998</v>
      </c>
      <c r="C279">
        <v>2.7860999999999998</v>
      </c>
      <c r="D279">
        <v>2.3559000000000001</v>
      </c>
      <c r="E279">
        <v>2.7347000000000001</v>
      </c>
      <c r="F279">
        <v>52054319.219999999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0.76104137610413902</v>
      </c>
      <c r="Q279">
        <f t="shared" si="965"/>
        <v>39615490.731352933</v>
      </c>
      <c r="R279">
        <f t="shared" si="966"/>
        <v>984619748.84621847</v>
      </c>
      <c r="S279">
        <f t="shared" si="967"/>
        <v>9846.197488462185</v>
      </c>
      <c r="T279">
        <f t="shared" si="968"/>
        <v>9.8461974884621846</v>
      </c>
    </row>
    <row r="280" spans="1:20" x14ac:dyDescent="0.25">
      <c r="A280" s="5">
        <v>44313</v>
      </c>
      <c r="B280">
        <v>2.5402999999999998</v>
      </c>
      <c r="C280">
        <v>2.65</v>
      </c>
      <c r="D280">
        <v>2.4632999999999998</v>
      </c>
      <c r="E280">
        <v>2.6009000000000002</v>
      </c>
      <c r="F280">
        <v>29291792.780000001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0.47402249598286367</v>
      </c>
      <c r="Q280">
        <f t="shared" si="965"/>
        <v>13884968.725388426</v>
      </c>
      <c r="R280">
        <f t="shared" si="966"/>
        <v>945004258.11486554</v>
      </c>
      <c r="S280">
        <f t="shared" si="967"/>
        <v>9450.0425811486548</v>
      </c>
      <c r="T280">
        <f t="shared" si="968"/>
        <v>9.4500425811486544</v>
      </c>
    </row>
    <row r="281" spans="1:20" x14ac:dyDescent="0.25">
      <c r="A281" s="5">
        <v>44312</v>
      </c>
      <c r="B281">
        <v>2.0326</v>
      </c>
      <c r="C281">
        <v>2.5529000000000002</v>
      </c>
      <c r="D281">
        <v>2.0036</v>
      </c>
      <c r="E281">
        <v>2.5400999999999998</v>
      </c>
      <c r="F281">
        <v>44593284.909999996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0.95339523029309903</v>
      </c>
      <c r="Q281">
        <f t="shared" si="965"/>
        <v>42515025.136295222</v>
      </c>
      <c r="R281">
        <f t="shared" si="966"/>
        <v>931119289.38947713</v>
      </c>
      <c r="S281">
        <f t="shared" si="967"/>
        <v>9311.1928938947713</v>
      </c>
      <c r="T281">
        <f t="shared" si="968"/>
        <v>9.3111928938947717</v>
      </c>
    </row>
    <row r="282" spans="1:20" x14ac:dyDescent="0.25">
      <c r="A282" s="5">
        <v>44311</v>
      </c>
      <c r="B282">
        <v>2.0166200000000001</v>
      </c>
      <c r="C282">
        <v>2.2339000000000002</v>
      </c>
      <c r="D282">
        <v>1.9219999999999999</v>
      </c>
      <c r="E282">
        <v>2.0312999999999999</v>
      </c>
      <c r="F282">
        <v>19767118.359999999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-0.29913433792882427</v>
      </c>
      <c r="Q282">
        <f t="shared" si="965"/>
        <v>-5913023.8633793062</v>
      </c>
      <c r="R282">
        <f t="shared" si="966"/>
        <v>888604264.25318193</v>
      </c>
      <c r="S282">
        <f t="shared" si="967"/>
        <v>8886.0426425318201</v>
      </c>
      <c r="T282">
        <f t="shared" si="968"/>
        <v>8.8860426425318195</v>
      </c>
    </row>
    <row r="283" spans="1:20" x14ac:dyDescent="0.25">
      <c r="A283" s="5">
        <v>44310</v>
      </c>
      <c r="B283">
        <v>2.2443300000000002</v>
      </c>
      <c r="C283">
        <v>2.25617</v>
      </c>
      <c r="D283">
        <v>1.9882200000000001</v>
      </c>
      <c r="E283">
        <v>2.0197799999999999</v>
      </c>
      <c r="F283">
        <v>21937309.600000001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-0.76443366299682913</v>
      </c>
      <c r="Q283">
        <f t="shared" si="965"/>
        <v>-16769617.933823505</v>
      </c>
      <c r="R283">
        <f t="shared" si="966"/>
        <v>894517288.11656129</v>
      </c>
      <c r="S283">
        <f t="shared" si="967"/>
        <v>8945.1728811656121</v>
      </c>
      <c r="T283">
        <f t="shared" si="968"/>
        <v>8.9451728811656128</v>
      </c>
    </row>
    <row r="284" spans="1:20" x14ac:dyDescent="0.25">
      <c r="A284" s="5">
        <v>44309</v>
      </c>
      <c r="B284">
        <v>2.2123300000000001</v>
      </c>
      <c r="C284">
        <v>2.2966700000000002</v>
      </c>
      <c r="D284">
        <v>1.6934100000000001</v>
      </c>
      <c r="E284">
        <v>2.2407499999999998</v>
      </c>
      <c r="F284">
        <v>57724319.899999999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0.81460730033484596</v>
      </c>
      <c r="Q284">
        <f t="shared" si="965"/>
        <v>47022652.397404023</v>
      </c>
      <c r="R284">
        <f t="shared" si="966"/>
        <v>911286906.05038476</v>
      </c>
      <c r="S284">
        <f t="shared" si="967"/>
        <v>9112.8690605038482</v>
      </c>
      <c r="T284">
        <f t="shared" si="968"/>
        <v>9.1128690605038489</v>
      </c>
    </row>
    <row r="285" spans="1:20" x14ac:dyDescent="0.25">
      <c r="A285" s="5">
        <v>44308</v>
      </c>
      <c r="B285">
        <v>2.4761700000000002</v>
      </c>
      <c r="C285">
        <v>2.57152</v>
      </c>
      <c r="D285">
        <v>2.1749999999999998</v>
      </c>
      <c r="E285">
        <v>2.2112099999999999</v>
      </c>
      <c r="F285">
        <v>36825723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-0.81736104105719731</v>
      </c>
      <c r="Q285">
        <f t="shared" si="965"/>
        <v>-30099911.288963977</v>
      </c>
      <c r="R285">
        <f t="shared" si="966"/>
        <v>864264253.65298069</v>
      </c>
      <c r="S285">
        <f t="shared" si="967"/>
        <v>8642.6425365298073</v>
      </c>
      <c r="T285">
        <f t="shared" si="968"/>
        <v>8.6426425365298076</v>
      </c>
    </row>
    <row r="286" spans="1:20" x14ac:dyDescent="0.25">
      <c r="A286" s="5">
        <v>44307</v>
      </c>
      <c r="B286">
        <v>2.5648900000000001</v>
      </c>
      <c r="C286">
        <v>2.8</v>
      </c>
      <c r="D286">
        <v>2.4536600000000002</v>
      </c>
      <c r="E286">
        <v>2.4742299999999999</v>
      </c>
      <c r="F286">
        <v>38195596.600000001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-0.88121499104925927</v>
      </c>
      <c r="Q286">
        <f t="shared" si="965"/>
        <v>-33658532.31599012</v>
      </c>
      <c r="R286">
        <f t="shared" si="966"/>
        <v>894364164.94194472</v>
      </c>
      <c r="S286">
        <f t="shared" si="967"/>
        <v>8943.6416494194473</v>
      </c>
      <c r="T286">
        <f t="shared" si="968"/>
        <v>8.9436416494194475</v>
      </c>
    </row>
    <row r="287" spans="1:20" x14ac:dyDescent="0.25">
      <c r="A287" s="5">
        <v>44306</v>
      </c>
      <c r="B287">
        <v>2.39527</v>
      </c>
      <c r="C287">
        <v>2.6194000000000002</v>
      </c>
      <c r="D287">
        <v>2.1499000000000001</v>
      </c>
      <c r="E287">
        <v>2.5683199999999999</v>
      </c>
      <c r="F287">
        <v>34682257.100000001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0.78240681576144733</v>
      </c>
      <c r="Q287">
        <f t="shared" si="965"/>
        <v>27135634.341030851</v>
      </c>
      <c r="R287">
        <f t="shared" si="966"/>
        <v>928022697.25793481</v>
      </c>
      <c r="S287">
        <f t="shared" si="967"/>
        <v>9280.2269725793485</v>
      </c>
      <c r="T287">
        <f t="shared" si="968"/>
        <v>9.2802269725793494</v>
      </c>
    </row>
    <row r="288" spans="1:20" x14ac:dyDescent="0.25">
      <c r="A288" s="5">
        <v>44305</v>
      </c>
      <c r="B288">
        <v>2.6925500000000002</v>
      </c>
      <c r="C288">
        <v>2.8</v>
      </c>
      <c r="D288">
        <v>2.37155</v>
      </c>
      <c r="E288">
        <v>2.3960900000000001</v>
      </c>
      <c r="F288">
        <v>26465222.399999999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-0.88544754347064991</v>
      </c>
      <c r="Q288">
        <f t="shared" si="965"/>
        <v>-23433566.161484417</v>
      </c>
      <c r="R288">
        <f t="shared" si="966"/>
        <v>900887062.91690397</v>
      </c>
      <c r="S288">
        <f t="shared" si="967"/>
        <v>9008.8706291690396</v>
      </c>
      <c r="T288">
        <f t="shared" si="968"/>
        <v>9.0088706291690404</v>
      </c>
    </row>
    <row r="289" spans="1:20" x14ac:dyDescent="0.25">
      <c r="A289" s="5">
        <v>44304</v>
      </c>
      <c r="B289">
        <v>2.9599700000000002</v>
      </c>
      <c r="C289">
        <v>2.9889899999999998</v>
      </c>
      <c r="D289">
        <v>2.1538200000000001</v>
      </c>
      <c r="E289">
        <v>2.6925500000000002</v>
      </c>
      <c r="F289">
        <v>38757168.100000001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0.29010860064418098</v>
      </c>
      <c r="Q289">
        <f t="shared" si="965"/>
        <v>11243787.802422291</v>
      </c>
      <c r="R289">
        <f t="shared" si="966"/>
        <v>924320629.07838833</v>
      </c>
      <c r="S289">
        <f t="shared" si="967"/>
        <v>9243.2062907838827</v>
      </c>
      <c r="T289">
        <f t="shared" si="968"/>
        <v>9.243206290783883</v>
      </c>
    </row>
    <row r="290" spans="1:20" x14ac:dyDescent="0.25">
      <c r="A290" s="5">
        <v>44303</v>
      </c>
      <c r="B290">
        <v>3.0076499999999999</v>
      </c>
      <c r="C290">
        <v>3.1541800000000002</v>
      </c>
      <c r="D290">
        <v>2.9333300000000002</v>
      </c>
      <c r="E290">
        <v>2.9607600000000001</v>
      </c>
      <c r="F290">
        <v>29194764.699999999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-0.75159610595426896</v>
      </c>
      <c r="Q290">
        <f t="shared" si="965"/>
        <v>-21942671.462771151</v>
      </c>
      <c r="R290">
        <f t="shared" si="966"/>
        <v>913076841.27596605</v>
      </c>
      <c r="S290">
        <f t="shared" si="967"/>
        <v>9130.7684127596604</v>
      </c>
      <c r="T290">
        <f t="shared" si="968"/>
        <v>9.1307684127596609</v>
      </c>
    </row>
    <row r="291" spans="1:20" x14ac:dyDescent="0.25">
      <c r="A291" s="5">
        <v>44302</v>
      </c>
      <c r="B291">
        <v>3.1685500000000002</v>
      </c>
      <c r="C291">
        <v>3.1959</v>
      </c>
      <c r="D291">
        <v>2.8344800000000001</v>
      </c>
      <c r="E291">
        <v>3.00779</v>
      </c>
      <c r="F291">
        <v>35625673.100000001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-4.0949587737259013E-2</v>
      </c>
      <c r="Q291">
        <f t="shared" si="965"/>
        <v>-1458856.6263073583</v>
      </c>
      <c r="R291">
        <f t="shared" si="966"/>
        <v>935019512.73873723</v>
      </c>
      <c r="S291">
        <f t="shared" si="967"/>
        <v>9350.1951273873728</v>
      </c>
      <c r="T291">
        <f t="shared" si="968"/>
        <v>9.3501951273873729</v>
      </c>
    </row>
    <row r="292" spans="1:20" x14ac:dyDescent="0.25">
      <c r="A292" s="5">
        <v>44301</v>
      </c>
      <c r="B292">
        <v>2.9046500000000002</v>
      </c>
      <c r="C292">
        <v>3.27</v>
      </c>
      <c r="D292">
        <v>2.8656100000000002</v>
      </c>
      <c r="E292">
        <v>3.1684299999999999</v>
      </c>
      <c r="F292">
        <v>40681567.799999997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0.49766314696209002</v>
      </c>
      <c r="Q292">
        <f t="shared" si="965"/>
        <v>20245717.054699626</v>
      </c>
      <c r="R292">
        <f t="shared" si="966"/>
        <v>936478369.36504459</v>
      </c>
      <c r="S292">
        <f t="shared" si="967"/>
        <v>9364.7836936504464</v>
      </c>
      <c r="T292">
        <f t="shared" si="968"/>
        <v>9.3647836936504465</v>
      </c>
    </row>
    <row r="293" spans="1:20" x14ac:dyDescent="0.25">
      <c r="A293" s="5">
        <v>44300</v>
      </c>
      <c r="B293">
        <v>3.0749499999999999</v>
      </c>
      <c r="C293">
        <v>3.0958999999999999</v>
      </c>
      <c r="D293">
        <v>2.78226</v>
      </c>
      <c r="E293">
        <v>2.9065799999999999</v>
      </c>
      <c r="F293">
        <v>33120543.399999999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-0.20724397398291022</v>
      </c>
      <c r="Q293">
        <f t="shared" si="965"/>
        <v>-6864033.0346894488</v>
      </c>
      <c r="R293">
        <f t="shared" si="966"/>
        <v>916232652.31034493</v>
      </c>
      <c r="S293">
        <f t="shared" si="967"/>
        <v>9162.3265231034493</v>
      </c>
      <c r="T293">
        <f t="shared" si="968"/>
        <v>9.1623265231034487</v>
      </c>
    </row>
    <row r="294" spans="1:20" x14ac:dyDescent="0.25">
      <c r="A294" s="5">
        <v>44299</v>
      </c>
      <c r="B294">
        <v>2.9972799999999999</v>
      </c>
      <c r="C294">
        <v>3.22892</v>
      </c>
      <c r="D294">
        <v>2.9513099999999999</v>
      </c>
      <c r="E294">
        <v>3.0759699999999999</v>
      </c>
      <c r="F294">
        <v>40288839.600000001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-0.10190555095277597</v>
      </c>
      <c r="Q294">
        <f t="shared" si="965"/>
        <v>-4105656.3966860184</v>
      </c>
      <c r="R294">
        <f t="shared" si="966"/>
        <v>923096685.34503436</v>
      </c>
      <c r="S294">
        <f t="shared" si="967"/>
        <v>9230.9668534503435</v>
      </c>
      <c r="T294">
        <f t="shared" si="968"/>
        <v>9.2309668534503437</v>
      </c>
    </row>
    <row r="295" spans="1:20" x14ac:dyDescent="0.25">
      <c r="A295" s="5">
        <v>44298</v>
      </c>
      <c r="B295">
        <v>3.1176599999999999</v>
      </c>
      <c r="C295">
        <v>3.16161</v>
      </c>
      <c r="D295">
        <v>2.91</v>
      </c>
      <c r="E295">
        <v>2.9994399999999999</v>
      </c>
      <c r="F295">
        <v>37227365.5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-0.28905846349509334</v>
      </c>
      <c r="Q295">
        <f t="shared" si="965"/>
        <v>-10760885.071400248</v>
      </c>
      <c r="R295">
        <f t="shared" si="966"/>
        <v>927202341.74172044</v>
      </c>
      <c r="S295">
        <f t="shared" si="967"/>
        <v>9272.0234174172037</v>
      </c>
      <c r="T295">
        <f t="shared" si="968"/>
        <v>9.2720234174172038</v>
      </c>
    </row>
    <row r="296" spans="1:20" x14ac:dyDescent="0.25">
      <c r="A296" s="5">
        <v>44297</v>
      </c>
      <c r="B296">
        <v>3.21909</v>
      </c>
      <c r="C296">
        <v>3.2961</v>
      </c>
      <c r="D296">
        <v>2.9947400000000002</v>
      </c>
      <c r="E296">
        <v>3.11876</v>
      </c>
      <c r="F296">
        <v>55364579.899999999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-0.17693124502256533</v>
      </c>
      <c r="Q296">
        <f t="shared" si="965"/>
        <v>-9795724.0518582948</v>
      </c>
      <c r="R296">
        <f t="shared" si="966"/>
        <v>937963226.81312072</v>
      </c>
      <c r="S296">
        <f t="shared" si="967"/>
        <v>9379.6322681312067</v>
      </c>
      <c r="T296">
        <f t="shared" si="968"/>
        <v>9.379632268131207</v>
      </c>
    </row>
    <row r="297" spans="1:20" x14ac:dyDescent="0.25">
      <c r="A297" s="5">
        <v>44296</v>
      </c>
      <c r="B297">
        <v>3.4258700000000002</v>
      </c>
      <c r="C297">
        <v>3.57</v>
      </c>
      <c r="D297">
        <v>3.14</v>
      </c>
      <c r="E297">
        <v>3.2194199999999999</v>
      </c>
      <c r="F297">
        <v>98978547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-0.6306046511627913</v>
      </c>
      <c r="Q297">
        <f t="shared" si="965"/>
        <v>-62416332.103534944</v>
      </c>
      <c r="R297">
        <f t="shared" si="966"/>
        <v>947758950.86497903</v>
      </c>
      <c r="S297">
        <f t="shared" si="967"/>
        <v>9477.5895086497894</v>
      </c>
      <c r="T297">
        <f t="shared" si="968"/>
        <v>9.477589508649789</v>
      </c>
    </row>
    <row r="298" spans="1:20" x14ac:dyDescent="0.25">
      <c r="A298" s="5">
        <v>44295</v>
      </c>
      <c r="B298">
        <v>3.2421700000000002</v>
      </c>
      <c r="C298">
        <v>4</v>
      </c>
      <c r="D298">
        <v>3.1097000000000001</v>
      </c>
      <c r="E298">
        <v>3.42571</v>
      </c>
      <c r="F298">
        <v>214684706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-0.29010445917106603</v>
      </c>
      <c r="Q298">
        <f t="shared" si="965"/>
        <v>-62280990.526429318</v>
      </c>
      <c r="R298">
        <f t="shared" si="966"/>
        <v>1010175282.968514</v>
      </c>
      <c r="S298">
        <f t="shared" si="967"/>
        <v>10101.75282968514</v>
      </c>
      <c r="T298">
        <f t="shared" si="968"/>
        <v>10.10175282968514</v>
      </c>
    </row>
    <row r="299" spans="1:20" x14ac:dyDescent="0.25">
      <c r="A299" s="5">
        <v>44294</v>
      </c>
      <c r="B299">
        <v>2.8363299999999998</v>
      </c>
      <c r="C299">
        <v>3.4743599999999999</v>
      </c>
      <c r="D299">
        <v>2.5765600000000002</v>
      </c>
      <c r="E299">
        <v>3.2421700000000002</v>
      </c>
      <c r="F299">
        <v>221272675.5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0.48275785252840331</v>
      </c>
      <c r="Q299">
        <f t="shared" si="965"/>
        <v>106821121.64759424</v>
      </c>
      <c r="R299">
        <f t="shared" si="966"/>
        <v>1072456273.4949433</v>
      </c>
      <c r="S299">
        <f t="shared" si="967"/>
        <v>10724.562734949433</v>
      </c>
      <c r="T299">
        <f t="shared" si="968"/>
        <v>10.724562734949433</v>
      </c>
    </row>
    <row r="300" spans="1:20" x14ac:dyDescent="0.25">
      <c r="A300" s="5">
        <v>44293</v>
      </c>
      <c r="B300">
        <v>2.31853</v>
      </c>
      <c r="C300">
        <v>2.8780000000000001</v>
      </c>
      <c r="D300">
        <v>2.028</v>
      </c>
      <c r="E300">
        <v>2.83</v>
      </c>
      <c r="F300">
        <v>155233152.30000001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0.88705882352941168</v>
      </c>
      <c r="Q300">
        <f t="shared" si="965"/>
        <v>137700937.45199999</v>
      </c>
      <c r="R300">
        <f t="shared" si="966"/>
        <v>965635151.84734905</v>
      </c>
      <c r="S300">
        <f t="shared" si="967"/>
        <v>9656.3515184734897</v>
      </c>
      <c r="T300">
        <f t="shared" si="968"/>
        <v>9.6563515184734889</v>
      </c>
    </row>
    <row r="301" spans="1:20" x14ac:dyDescent="0.25">
      <c r="A301" s="5">
        <v>44292</v>
      </c>
      <c r="B301">
        <v>2.4650099999999999</v>
      </c>
      <c r="C301">
        <v>2.4919699999999998</v>
      </c>
      <c r="D301">
        <v>2.3000099999999999</v>
      </c>
      <c r="E301">
        <v>2.3199399999999999</v>
      </c>
      <c r="F301">
        <v>43299455.299999997</v>
      </c>
      <c r="G301">
        <v>0</v>
      </c>
      <c r="L301" t="s">
        <v>7</v>
      </c>
      <c r="M301" t="s">
        <v>8</v>
      </c>
      <c r="N301" t="s">
        <v>7</v>
      </c>
      <c r="P301">
        <f t="shared" si="964"/>
        <v>-0.79235257345280252</v>
      </c>
      <c r="Q301">
        <f t="shared" si="965"/>
        <v>-34308434.836059585</v>
      </c>
      <c r="R301">
        <f t="shared" si="966"/>
        <v>827934214.39534903</v>
      </c>
      <c r="S301">
        <f t="shared" si="967"/>
        <v>8279.3421439534904</v>
      </c>
      <c r="T301">
        <f t="shared" si="968"/>
        <v>8.2793421439534907</v>
      </c>
    </row>
    <row r="302" spans="1:20" x14ac:dyDescent="0.25">
      <c r="A302" s="5">
        <v>44291</v>
      </c>
      <c r="B302">
        <v>2.4064000000000001</v>
      </c>
      <c r="C302">
        <v>2.6359699999999999</v>
      </c>
      <c r="D302">
        <v>2.2643200000000001</v>
      </c>
      <c r="E302">
        <v>2.4664700000000002</v>
      </c>
      <c r="F302">
        <v>60405060.100000001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8.785147316023223E-2</v>
      </c>
      <c r="Q302">
        <f t="shared" si="965"/>
        <v>5306673.5161173651</v>
      </c>
      <c r="R302">
        <f t="shared" si="966"/>
        <v>862242649.2314086</v>
      </c>
      <c r="S302">
        <f t="shared" si="967"/>
        <v>8622.4264923140854</v>
      </c>
      <c r="T302">
        <f t="shared" si="968"/>
        <v>8.6224264923140854</v>
      </c>
    </row>
    <row r="303" spans="1:20" x14ac:dyDescent="0.25">
      <c r="A303" s="5">
        <v>44290</v>
      </c>
      <c r="B303">
        <v>2.3131200000000001</v>
      </c>
      <c r="C303">
        <v>2.4500000000000002</v>
      </c>
      <c r="D303">
        <v>2.2000000000000002</v>
      </c>
      <c r="E303">
        <v>2.4064100000000002</v>
      </c>
      <c r="F303">
        <v>24713949.899999999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0.65127999999999986</v>
      </c>
      <c r="Q303">
        <f t="shared" si="965"/>
        <v>16095701.290871996</v>
      </c>
      <c r="R303">
        <f t="shared" si="966"/>
        <v>856935975.71529126</v>
      </c>
      <c r="S303">
        <f t="shared" si="967"/>
        <v>8569.3597571529135</v>
      </c>
      <c r="T303">
        <f t="shared" si="968"/>
        <v>8.5693597571529132</v>
      </c>
    </row>
    <row r="304" spans="1:20" x14ac:dyDescent="0.25">
      <c r="A304" s="5">
        <v>44289</v>
      </c>
      <c r="B304">
        <v>2.56603</v>
      </c>
      <c r="C304">
        <v>2.5777700000000001</v>
      </c>
      <c r="D304">
        <v>2.2000000000000002</v>
      </c>
      <c r="E304">
        <v>2.3141400000000001</v>
      </c>
      <c r="F304">
        <v>28701657</v>
      </c>
      <c r="G304">
        <v>0</v>
      </c>
      <c r="L304" t="s">
        <v>7</v>
      </c>
      <c r="M304" t="s">
        <v>8</v>
      </c>
      <c r="N304" t="s">
        <v>7</v>
      </c>
      <c r="P304">
        <f t="shared" si="964"/>
        <v>-0.39571697064351363</v>
      </c>
      <c r="Q304">
        <f t="shared" si="965"/>
        <v>-11357732.760489197</v>
      </c>
      <c r="R304">
        <f t="shared" si="966"/>
        <v>840840274.42441928</v>
      </c>
      <c r="S304">
        <f t="shared" si="967"/>
        <v>8408.4027442441929</v>
      </c>
      <c r="T304">
        <f t="shared" si="968"/>
        <v>8.4084027442441922</v>
      </c>
    </row>
    <row r="305" spans="1:20" x14ac:dyDescent="0.25">
      <c r="A305" s="5">
        <v>44288</v>
      </c>
      <c r="B305">
        <v>2.4888699999999999</v>
      </c>
      <c r="C305">
        <v>2.57</v>
      </c>
      <c r="D305">
        <v>2.4088699999999998</v>
      </c>
      <c r="E305">
        <v>2.5630700000000002</v>
      </c>
      <c r="F305">
        <v>29316428.199999999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0.91398249860361624</v>
      </c>
      <c r="Q305">
        <f t="shared" si="965"/>
        <v>26794702.296369515</v>
      </c>
      <c r="R305">
        <f t="shared" si="966"/>
        <v>852198007.18490851</v>
      </c>
      <c r="S305">
        <f t="shared" si="967"/>
        <v>8521.9800718490842</v>
      </c>
      <c r="T305">
        <f t="shared" si="968"/>
        <v>8.5219800718490841</v>
      </c>
    </row>
    <row r="306" spans="1:20" x14ac:dyDescent="0.25">
      <c r="A306" s="5">
        <v>44287</v>
      </c>
      <c r="B306">
        <v>2.55227</v>
      </c>
      <c r="C306">
        <v>2.64</v>
      </c>
      <c r="D306">
        <v>2.4277299999999999</v>
      </c>
      <c r="E306">
        <v>2.4893000000000001</v>
      </c>
      <c r="F306">
        <v>39308622.700000003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-0.41988976303764008</v>
      </c>
      <c r="Q306">
        <f t="shared" si="965"/>
        <v>-16505288.270839002</v>
      </c>
      <c r="R306">
        <f t="shared" si="966"/>
        <v>825403304.88853896</v>
      </c>
      <c r="S306">
        <f t="shared" si="967"/>
        <v>8254.0330488853888</v>
      </c>
      <c r="T306">
        <f t="shared" si="968"/>
        <v>8.2540330488853879</v>
      </c>
    </row>
    <row r="307" spans="1:20" x14ac:dyDescent="0.25">
      <c r="A307" s="5">
        <v>44286</v>
      </c>
      <c r="B307">
        <v>2.4906000000000001</v>
      </c>
      <c r="C307">
        <v>2.65</v>
      </c>
      <c r="D307">
        <v>2.3069099999999998</v>
      </c>
      <c r="E307">
        <v>2.5504799999999999</v>
      </c>
      <c r="F307">
        <v>64361348.899999999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0.41986067795622128</v>
      </c>
      <c r="Q307">
        <f t="shared" si="965"/>
        <v>27022799.583330896</v>
      </c>
      <c r="R307">
        <f t="shared" si="966"/>
        <v>841908593.15937793</v>
      </c>
      <c r="S307">
        <f t="shared" si="967"/>
        <v>8419.0859315937796</v>
      </c>
      <c r="T307">
        <f t="shared" si="968"/>
        <v>8.4190859315937789</v>
      </c>
    </row>
    <row r="308" spans="1:20" x14ac:dyDescent="0.25">
      <c r="A308" s="5">
        <v>44285</v>
      </c>
      <c r="B308">
        <v>2.4920499999999999</v>
      </c>
      <c r="C308">
        <v>2.4996299999999998</v>
      </c>
      <c r="D308">
        <v>2.41093</v>
      </c>
      <c r="E308">
        <v>2.4917400000000001</v>
      </c>
      <c r="F308">
        <v>29588675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0.82209695603157273</v>
      </c>
      <c r="Q308">
        <f t="shared" si="965"/>
        <v>24324759.650507495</v>
      </c>
      <c r="R308">
        <f t="shared" si="966"/>
        <v>814885793.57604706</v>
      </c>
      <c r="S308">
        <f t="shared" si="967"/>
        <v>8148.8579357604704</v>
      </c>
      <c r="T308">
        <f t="shared" si="968"/>
        <v>8.1488579357604696</v>
      </c>
    </row>
    <row r="309" spans="1:20" x14ac:dyDescent="0.25">
      <c r="A309" s="5">
        <v>44284</v>
      </c>
      <c r="B309">
        <v>2.51058</v>
      </c>
      <c r="C309">
        <v>2.5635599999999998</v>
      </c>
      <c r="D309">
        <v>2.38</v>
      </c>
      <c r="E309">
        <v>2.4925000000000002</v>
      </c>
      <c r="F309">
        <v>40639665.100000001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0.22575724558727719</v>
      </c>
      <c r="Q309">
        <f t="shared" si="965"/>
        <v>9174698.8545653988</v>
      </c>
      <c r="R309">
        <f t="shared" si="966"/>
        <v>790561033.92553961</v>
      </c>
      <c r="S309">
        <f t="shared" si="967"/>
        <v>7905.610339255396</v>
      </c>
      <c r="T309">
        <f t="shared" si="968"/>
        <v>7.9056103392553956</v>
      </c>
    </row>
    <row r="310" spans="1:20" x14ac:dyDescent="0.25">
      <c r="A310" s="5">
        <v>44283</v>
      </c>
      <c r="B310">
        <v>2.3010700000000002</v>
      </c>
      <c r="C310">
        <v>2.63</v>
      </c>
      <c r="D310">
        <v>2.2611300000000001</v>
      </c>
      <c r="E310">
        <v>2.51112</v>
      </c>
      <c r="F310">
        <v>68918703.799999997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0.35543687477973307</v>
      </c>
      <c r="Q310">
        <f t="shared" si="965"/>
        <v>24496248.692542113</v>
      </c>
      <c r="R310">
        <f t="shared" si="966"/>
        <v>781386335.07097423</v>
      </c>
      <c r="S310">
        <f t="shared" si="967"/>
        <v>7813.863350709742</v>
      </c>
      <c r="T310">
        <f t="shared" si="968"/>
        <v>7.8138633507097417</v>
      </c>
    </row>
    <row r="311" spans="1:20" x14ac:dyDescent="0.25">
      <c r="A311" s="5">
        <v>44282</v>
      </c>
      <c r="B311">
        <v>2.3349700000000002</v>
      </c>
      <c r="C311">
        <v>2.3839999999999999</v>
      </c>
      <c r="D311">
        <v>2.2019099999999998</v>
      </c>
      <c r="E311">
        <v>2.3020200000000002</v>
      </c>
      <c r="F311">
        <v>38186988.600000001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9.956614860783479E-2</v>
      </c>
      <c r="Q311">
        <f t="shared" si="965"/>
        <v>3802131.381833293</v>
      </c>
      <c r="R311">
        <f t="shared" si="966"/>
        <v>756890086.37843215</v>
      </c>
      <c r="S311">
        <f t="shared" si="967"/>
        <v>7568.9008637843217</v>
      </c>
      <c r="T311">
        <f t="shared" si="968"/>
        <v>7.5689008637843216</v>
      </c>
    </row>
    <row r="312" spans="1:20" x14ac:dyDescent="0.25">
      <c r="A312" s="5">
        <v>44281</v>
      </c>
      <c r="B312">
        <v>2.0931099999999998</v>
      </c>
      <c r="C312">
        <v>2.335</v>
      </c>
      <c r="D312">
        <v>2.0914799999999998</v>
      </c>
      <c r="E312">
        <v>2.3349899999999999</v>
      </c>
      <c r="F312">
        <v>54711674.5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0.99991787122207565</v>
      </c>
      <c r="Q312">
        <f t="shared" si="965"/>
        <v>54707181.097035117</v>
      </c>
      <c r="R312">
        <f t="shared" si="966"/>
        <v>753087954.99659884</v>
      </c>
      <c r="S312">
        <f t="shared" si="967"/>
        <v>7530.8795499659882</v>
      </c>
      <c r="T312">
        <f t="shared" si="968"/>
        <v>7.530879549965988</v>
      </c>
    </row>
    <row r="313" spans="1:20" x14ac:dyDescent="0.25">
      <c r="A313" s="5">
        <v>44280</v>
      </c>
      <c r="B313">
        <v>2.1478799999999998</v>
      </c>
      <c r="C313">
        <v>2.2991999999999999</v>
      </c>
      <c r="D313">
        <v>2.0049999999999999</v>
      </c>
      <c r="E313">
        <v>2.0939100000000002</v>
      </c>
      <c r="F313">
        <v>61035461.700000003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-0.3955812372535672</v>
      </c>
      <c r="Q313">
        <f t="shared" si="965"/>
        <v>-24144483.455628715</v>
      </c>
      <c r="R313">
        <f t="shared" si="966"/>
        <v>698380773.89956367</v>
      </c>
      <c r="S313">
        <f t="shared" si="967"/>
        <v>6983.807738995637</v>
      </c>
      <c r="T313">
        <f t="shared" si="968"/>
        <v>6.9838077389956368</v>
      </c>
    </row>
    <row r="314" spans="1:20" x14ac:dyDescent="0.25">
      <c r="A314" s="5">
        <v>44279</v>
      </c>
      <c r="B314">
        <v>2.0516000000000001</v>
      </c>
      <c r="C314">
        <v>2.5474800000000002</v>
      </c>
      <c r="D314">
        <v>2.0001000000000002</v>
      </c>
      <c r="E314">
        <v>2.1478899999999999</v>
      </c>
      <c r="F314">
        <v>123236613.5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-0.46000949979904399</v>
      </c>
      <c r="Q314">
        <f t="shared" si="965"/>
        <v>-56690012.933063112</v>
      </c>
      <c r="R314">
        <f t="shared" si="966"/>
        <v>722525257.35519242</v>
      </c>
      <c r="S314">
        <f t="shared" si="967"/>
        <v>7225.2525735519239</v>
      </c>
      <c r="T314">
        <f t="shared" si="968"/>
        <v>7.2252525735519235</v>
      </c>
    </row>
    <row r="315" spans="1:20" x14ac:dyDescent="0.25">
      <c r="A315" s="5">
        <v>44278</v>
      </c>
      <c r="B315">
        <v>2.15862</v>
      </c>
      <c r="C315">
        <v>2.2078600000000002</v>
      </c>
      <c r="D315">
        <v>1.9633</v>
      </c>
      <c r="E315">
        <v>2.0501900000000002</v>
      </c>
      <c r="F315">
        <v>58198982.399999999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-0.28941772980045721</v>
      </c>
      <c r="Q315">
        <f t="shared" si="965"/>
        <v>-16843817.362904765</v>
      </c>
      <c r="R315">
        <f t="shared" si="966"/>
        <v>779215270.28825557</v>
      </c>
      <c r="S315">
        <f t="shared" si="967"/>
        <v>7792.1527028825558</v>
      </c>
      <c r="T315">
        <f t="shared" si="968"/>
        <v>7.7921527028825555</v>
      </c>
    </row>
    <row r="316" spans="1:20" x14ac:dyDescent="0.25">
      <c r="A316" s="5">
        <v>44277</v>
      </c>
      <c r="B316">
        <v>2.4324400000000002</v>
      </c>
      <c r="C316">
        <v>2.4382999999999999</v>
      </c>
      <c r="D316">
        <v>2.0501100000000001</v>
      </c>
      <c r="E316">
        <v>2.1572</v>
      </c>
      <c r="F316">
        <v>54084930.299999997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-0.44825987274272927</v>
      </c>
      <c r="Q316">
        <f t="shared" si="965"/>
        <v>-24244103.97357738</v>
      </c>
      <c r="R316">
        <f t="shared" si="966"/>
        <v>796059087.65116036</v>
      </c>
      <c r="S316">
        <f t="shared" si="967"/>
        <v>7960.5908765116037</v>
      </c>
      <c r="T316">
        <f t="shared" si="968"/>
        <v>7.9605908765116036</v>
      </c>
    </row>
    <row r="317" spans="1:20" x14ac:dyDescent="0.25">
      <c r="A317" s="5">
        <v>44276</v>
      </c>
      <c r="B317">
        <v>2.19916</v>
      </c>
      <c r="C317">
        <v>2.4999699999999998</v>
      </c>
      <c r="D317">
        <v>2.1433300000000002</v>
      </c>
      <c r="E317">
        <v>2.4324400000000002</v>
      </c>
      <c r="F317">
        <v>69896134.200000003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0.62129878869448341</v>
      </c>
      <c r="Q317">
        <f t="shared" si="965"/>
        <v>43426383.512887053</v>
      </c>
      <c r="R317">
        <f t="shared" si="966"/>
        <v>820303191.62473774</v>
      </c>
      <c r="S317">
        <f t="shared" si="967"/>
        <v>8203.031916247377</v>
      </c>
      <c r="T317">
        <f t="shared" si="968"/>
        <v>8.2030319162473777</v>
      </c>
    </row>
    <row r="318" spans="1:20" x14ac:dyDescent="0.25">
      <c r="A318" s="5">
        <v>44275</v>
      </c>
      <c r="B318">
        <v>2.4841899999999999</v>
      </c>
      <c r="C318">
        <v>2.5036900000000002</v>
      </c>
      <c r="D318">
        <v>2.1901700000000002</v>
      </c>
      <c r="E318">
        <v>2.19916</v>
      </c>
      <c r="F318">
        <v>57226008.600000001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-0.94265118652717639</v>
      </c>
      <c r="Q318">
        <f t="shared" si="965"/>
        <v>-53944164.907004401</v>
      </c>
      <c r="R318">
        <f t="shared" si="966"/>
        <v>776876808.11185074</v>
      </c>
      <c r="S318">
        <f t="shared" si="967"/>
        <v>7768.7680811185073</v>
      </c>
      <c r="T318">
        <f t="shared" si="968"/>
        <v>7.7687680811185071</v>
      </c>
    </row>
    <row r="319" spans="1:20" x14ac:dyDescent="0.25">
      <c r="A319" s="5">
        <v>44274</v>
      </c>
      <c r="B319">
        <v>2.6525400000000001</v>
      </c>
      <c r="C319">
        <v>2.6568900000000002</v>
      </c>
      <c r="D319">
        <v>2.4549400000000001</v>
      </c>
      <c r="E319">
        <v>2.4845299999999999</v>
      </c>
      <c r="F319">
        <v>54210502.5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-0.70695716761574867</v>
      </c>
      <c r="Q319">
        <f t="shared" si="965"/>
        <v>-38324503.302426465</v>
      </c>
      <c r="R319">
        <f t="shared" si="966"/>
        <v>830820973.01885509</v>
      </c>
      <c r="S319">
        <f t="shared" si="967"/>
        <v>8308.2097301885515</v>
      </c>
      <c r="T319">
        <f t="shared" si="968"/>
        <v>8.3082097301885511</v>
      </c>
    </row>
    <row r="320" spans="1:20" x14ac:dyDescent="0.25">
      <c r="A320" s="5">
        <v>44273</v>
      </c>
      <c r="B320">
        <v>2.4581499999999998</v>
      </c>
      <c r="C320">
        <v>2.794</v>
      </c>
      <c r="D320">
        <v>2.4376199999999999</v>
      </c>
      <c r="E320">
        <v>2.6505100000000001</v>
      </c>
      <c r="F320">
        <v>106489065.59999999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0.19473595600202123</v>
      </c>
      <c r="Q320">
        <f t="shared" si="965"/>
        <v>20737249.99337795</v>
      </c>
      <c r="R320">
        <f t="shared" si="966"/>
        <v>869145476.32128155</v>
      </c>
      <c r="S320">
        <f t="shared" si="967"/>
        <v>8691.454763212816</v>
      </c>
      <c r="T320">
        <f t="shared" si="968"/>
        <v>8.6914547632128158</v>
      </c>
    </row>
    <row r="321" spans="1:20" x14ac:dyDescent="0.25">
      <c r="A321" s="5">
        <v>44272</v>
      </c>
      <c r="B321">
        <v>2.5514199999999998</v>
      </c>
      <c r="C321">
        <v>2.6974499999999999</v>
      </c>
      <c r="D321">
        <v>2.25</v>
      </c>
      <c r="E321">
        <v>2.4596</v>
      </c>
      <c r="F321">
        <v>107881988.2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-6.3135545871046805E-2</v>
      </c>
      <c r="Q321">
        <f t="shared" si="965"/>
        <v>-6811188.2146608308</v>
      </c>
      <c r="R321">
        <f t="shared" si="966"/>
        <v>848408226.32790363</v>
      </c>
      <c r="S321">
        <f t="shared" si="967"/>
        <v>8484.0822632790369</v>
      </c>
      <c r="T321">
        <f t="shared" si="968"/>
        <v>8.4840822632790367</v>
      </c>
    </row>
    <row r="322" spans="1:20" x14ac:dyDescent="0.25">
      <c r="A322" s="5">
        <v>44271</v>
      </c>
      <c r="B322">
        <v>2.6782499999999998</v>
      </c>
      <c r="C322">
        <v>2.9194100000000001</v>
      </c>
      <c r="D322">
        <v>2.3445499999999999</v>
      </c>
      <c r="E322">
        <v>2.5494500000000002</v>
      </c>
      <c r="F322">
        <v>150907450.90000001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-0.28713077966809225</v>
      </c>
      <c r="Q322">
        <f t="shared" si="965"/>
        <v>-43330174.034641348</v>
      </c>
      <c r="R322">
        <f t="shared" si="966"/>
        <v>855219414.54256451</v>
      </c>
      <c r="S322">
        <f t="shared" si="967"/>
        <v>8552.1941454256448</v>
      </c>
      <c r="T322">
        <f t="shared" si="968"/>
        <v>8.5521941454256449</v>
      </c>
    </row>
    <row r="323" spans="1:20" x14ac:dyDescent="0.25">
      <c r="A323" s="5">
        <v>44270</v>
      </c>
      <c r="B323">
        <v>2.33</v>
      </c>
      <c r="C323">
        <v>3.0845899999999999</v>
      </c>
      <c r="D323">
        <v>2.3243399999999999</v>
      </c>
      <c r="E323">
        <v>2.67509</v>
      </c>
      <c r="F323">
        <v>244913781.69999999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-7.7277211443603888E-2</v>
      </c>
      <c r="Q323">
        <f t="shared" si="965"/>
        <v>-18926254.093883544</v>
      </c>
      <c r="R323">
        <f t="shared" si="966"/>
        <v>898549588.5772059</v>
      </c>
      <c r="S323">
        <f t="shared" si="967"/>
        <v>8985.4958857720594</v>
      </c>
      <c r="T323">
        <f t="shared" si="968"/>
        <v>8.9854958857720586</v>
      </c>
    </row>
    <row r="324" spans="1:20" x14ac:dyDescent="0.25">
      <c r="A324" s="5">
        <v>44269</v>
      </c>
      <c r="B324">
        <v>2.0378799999999999</v>
      </c>
      <c r="C324">
        <v>2.7</v>
      </c>
      <c r="D324">
        <v>1.9277</v>
      </c>
      <c r="E324">
        <v>2.33</v>
      </c>
      <c r="F324">
        <v>159689200.80000001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4.1823125728343888E-2</v>
      </c>
      <c r="Q324">
        <f t="shared" si="965"/>
        <v>6678701.522517154</v>
      </c>
      <c r="R324">
        <f t="shared" si="966"/>
        <v>917475842.67108941</v>
      </c>
      <c r="S324">
        <f t="shared" si="967"/>
        <v>9174.7584267108941</v>
      </c>
      <c r="T324">
        <f t="shared" si="968"/>
        <v>9.1747584267108948</v>
      </c>
    </row>
    <row r="325" spans="1:20" x14ac:dyDescent="0.25">
      <c r="A325" s="5">
        <v>44268</v>
      </c>
      <c r="B325">
        <v>2.06745</v>
      </c>
      <c r="C325">
        <v>2.1958099999999998</v>
      </c>
      <c r="D325">
        <v>1.91604</v>
      </c>
      <c r="E325">
        <v>2.0377399999999999</v>
      </c>
      <c r="F325">
        <v>98650837.099999994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-0.12999964256353444</v>
      </c>
      <c r="Q325">
        <f t="shared" si="965"/>
        <v>-12824573.561593462</v>
      </c>
      <c r="R325">
        <f t="shared" si="966"/>
        <v>910797141.14857221</v>
      </c>
      <c r="S325">
        <f t="shared" si="967"/>
        <v>9107.9714114857215</v>
      </c>
      <c r="T325">
        <f t="shared" si="968"/>
        <v>9.1079714114857211</v>
      </c>
    </row>
    <row r="326" spans="1:20" x14ac:dyDescent="0.25">
      <c r="A326" s="5">
        <v>44267</v>
      </c>
      <c r="B326">
        <v>1.78966</v>
      </c>
      <c r="C326">
        <v>2.21</v>
      </c>
      <c r="D326">
        <v>1.7896399999999999</v>
      </c>
      <c r="E326">
        <v>2.0681400000000001</v>
      </c>
      <c r="F326">
        <v>182596022.30000001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0.32505471500618588</v>
      </c>
      <c r="Q326">
        <f t="shared" ref="Q326:Q389" si="970">F326*P326</f>
        <v>59353697.989989668</v>
      </c>
      <c r="R326">
        <f t="shared" ref="R326:R389" si="971">R327+Q326</f>
        <v>923621714.71016562</v>
      </c>
      <c r="S326">
        <f t="shared" ref="S326:S389" si="972">R326/100000</f>
        <v>9236.2171471016554</v>
      </c>
      <c r="T326">
        <f t="shared" ref="T326:T389" si="973">S326/1000</f>
        <v>9.2362171471016552</v>
      </c>
    </row>
    <row r="327" spans="1:20" x14ac:dyDescent="0.25">
      <c r="A327" s="5">
        <v>44266</v>
      </c>
      <c r="B327">
        <v>1.64856</v>
      </c>
      <c r="C327">
        <v>1.9450000000000001</v>
      </c>
      <c r="D327">
        <v>1.6101700000000001</v>
      </c>
      <c r="E327">
        <v>1.78966</v>
      </c>
      <c r="F327">
        <v>130521202.3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7.2126153570468282E-2</v>
      </c>
      <c r="Q327">
        <f t="shared" si="970"/>
        <v>9413992.2812919579</v>
      </c>
      <c r="R327">
        <f t="shared" si="971"/>
        <v>864268016.72017598</v>
      </c>
      <c r="S327">
        <f t="shared" si="972"/>
        <v>8642.6801672017591</v>
      </c>
      <c r="T327">
        <f t="shared" si="973"/>
        <v>8.6426801672017586</v>
      </c>
    </row>
    <row r="328" spans="1:20" x14ac:dyDescent="0.25">
      <c r="A328" s="5">
        <v>44265</v>
      </c>
      <c r="B328">
        <v>1.70224</v>
      </c>
      <c r="C328">
        <v>1.77</v>
      </c>
      <c r="D328">
        <v>1.5229999999999999</v>
      </c>
      <c r="E328">
        <v>1.64608</v>
      </c>
      <c r="F328">
        <v>89992993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-3.400809716598994E-3</v>
      </c>
      <c r="Q328">
        <f t="shared" si="970"/>
        <v>-306049.04502022523</v>
      </c>
      <c r="R328">
        <f t="shared" si="971"/>
        <v>854854024.43888402</v>
      </c>
      <c r="S328">
        <f t="shared" si="972"/>
        <v>8548.5402443888397</v>
      </c>
      <c r="T328">
        <f t="shared" si="973"/>
        <v>8.548540244388839</v>
      </c>
    </row>
    <row r="329" spans="1:20" x14ac:dyDescent="0.25">
      <c r="A329" s="5">
        <v>44264</v>
      </c>
      <c r="B329">
        <v>1.73285</v>
      </c>
      <c r="C329">
        <v>1.9472</v>
      </c>
      <c r="D329">
        <v>1.65055</v>
      </c>
      <c r="E329">
        <v>1.70428</v>
      </c>
      <c r="F329">
        <v>170337346.30000001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-0.63775493005224981</v>
      </c>
      <c r="Q329">
        <f t="shared" si="970"/>
        <v>-108633482.37484236</v>
      </c>
      <c r="R329">
        <f t="shared" si="971"/>
        <v>855160073.48390424</v>
      </c>
      <c r="S329">
        <f t="shared" si="972"/>
        <v>8551.6007348390431</v>
      </c>
      <c r="T329">
        <f t="shared" si="973"/>
        <v>8.5516007348390435</v>
      </c>
    </row>
    <row r="330" spans="1:20" x14ac:dyDescent="0.25">
      <c r="A330" s="5">
        <v>44263</v>
      </c>
      <c r="B330">
        <v>1.4105700000000001</v>
      </c>
      <c r="C330">
        <v>1.89</v>
      </c>
      <c r="D330">
        <v>1.38693</v>
      </c>
      <c r="E330">
        <v>1.7312700000000001</v>
      </c>
      <c r="F330">
        <v>313386232.19999999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0.36895461864154155</v>
      </c>
      <c r="Q330">
        <f t="shared" si="970"/>
        <v>115625297.78886059</v>
      </c>
      <c r="R330">
        <f t="shared" si="971"/>
        <v>963793555.85874665</v>
      </c>
      <c r="S330">
        <f t="shared" si="972"/>
        <v>9637.9355585874673</v>
      </c>
      <c r="T330">
        <f t="shared" si="973"/>
        <v>9.6379355585874666</v>
      </c>
    </row>
    <row r="331" spans="1:20" x14ac:dyDescent="0.25">
      <c r="A331" s="5">
        <v>44262</v>
      </c>
      <c r="B331">
        <v>1.1555</v>
      </c>
      <c r="C331">
        <v>1.4380599999999999</v>
      </c>
      <c r="D331">
        <v>1.12202</v>
      </c>
      <c r="E331">
        <v>1.4105700000000001</v>
      </c>
      <c r="F331">
        <v>173416637.19999999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0.82603467915453865</v>
      </c>
      <c r="Q331">
        <f t="shared" si="970"/>
        <v>143248156.26956102</v>
      </c>
      <c r="R331">
        <f t="shared" si="971"/>
        <v>848168258.06988609</v>
      </c>
      <c r="S331">
        <f t="shared" si="972"/>
        <v>8481.6825806988618</v>
      </c>
      <c r="T331">
        <f t="shared" si="973"/>
        <v>8.4816825806988625</v>
      </c>
    </row>
    <row r="332" spans="1:20" x14ac:dyDescent="0.25">
      <c r="A332" s="5">
        <v>44261</v>
      </c>
      <c r="B332">
        <v>1.1977899999999999</v>
      </c>
      <c r="C332">
        <v>1.26</v>
      </c>
      <c r="D332">
        <v>1.08165</v>
      </c>
      <c r="E332">
        <v>1.1538999999999999</v>
      </c>
      <c r="F332">
        <v>106250673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-0.18979534622932523</v>
      </c>
      <c r="Q332">
        <f t="shared" si="970"/>
        <v>-20165883.269133817</v>
      </c>
      <c r="R332">
        <f t="shared" si="971"/>
        <v>704920101.80032504</v>
      </c>
      <c r="S332">
        <f t="shared" si="972"/>
        <v>7049.2010180032503</v>
      </c>
      <c r="T332">
        <f t="shared" si="973"/>
        <v>7.0492010180032505</v>
      </c>
    </row>
    <row r="333" spans="1:20" x14ac:dyDescent="0.25">
      <c r="A333" s="5">
        <v>44260</v>
      </c>
      <c r="B333">
        <v>1.2971600000000001</v>
      </c>
      <c r="C333">
        <v>1.37727</v>
      </c>
      <c r="D333">
        <v>1.13853</v>
      </c>
      <c r="E333">
        <v>1.19787</v>
      </c>
      <c r="F333">
        <v>189103453.30000001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-0.50289017341040498</v>
      </c>
      <c r="Q333">
        <f t="shared" si="970"/>
        <v>-95098268.422543421</v>
      </c>
      <c r="R333">
        <f t="shared" si="971"/>
        <v>725085985.06945884</v>
      </c>
      <c r="S333">
        <f t="shared" si="972"/>
        <v>7250.8598506945882</v>
      </c>
      <c r="T333">
        <f t="shared" si="973"/>
        <v>7.2508598506945878</v>
      </c>
    </row>
    <row r="334" spans="1:20" x14ac:dyDescent="0.25">
      <c r="A334" s="5">
        <v>44259</v>
      </c>
      <c r="B334">
        <v>1.17788</v>
      </c>
      <c r="C334">
        <v>1.5192600000000001</v>
      </c>
      <c r="D334">
        <v>1.08138</v>
      </c>
      <c r="E334">
        <v>1.2998700000000001</v>
      </c>
      <c r="F334">
        <v>435990892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-2.0553576322277813E-3</v>
      </c>
      <c r="Q334">
        <f t="shared" si="970"/>
        <v>-896117.20745399827</v>
      </c>
      <c r="R334">
        <f t="shared" si="971"/>
        <v>820184253.49200225</v>
      </c>
      <c r="S334">
        <f t="shared" si="972"/>
        <v>8201.8425349200224</v>
      </c>
      <c r="T334">
        <f t="shared" si="973"/>
        <v>8.2018425349200221</v>
      </c>
    </row>
    <row r="335" spans="1:20" x14ac:dyDescent="0.25">
      <c r="A335" s="5">
        <v>44258</v>
      </c>
      <c r="B335">
        <v>0.78566999999999998</v>
      </c>
      <c r="C335">
        <v>1.3498000000000001</v>
      </c>
      <c r="D335">
        <v>0.77049000000000001</v>
      </c>
      <c r="E335">
        <v>1.1753</v>
      </c>
      <c r="F335">
        <v>448998401.80000001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0.39755916521378859</v>
      </c>
      <c r="Q335">
        <f t="shared" si="970"/>
        <v>178503429.80193323</v>
      </c>
      <c r="R335">
        <f t="shared" si="971"/>
        <v>821080370.69945621</v>
      </c>
      <c r="S335">
        <f t="shared" si="972"/>
        <v>8210.8037069945622</v>
      </c>
      <c r="T335">
        <f t="shared" si="973"/>
        <v>8.2108037069945627</v>
      </c>
    </row>
    <row r="336" spans="1:20" x14ac:dyDescent="0.25">
      <c r="A336" s="5">
        <v>44257</v>
      </c>
      <c r="B336">
        <v>0.69669999999999999</v>
      </c>
      <c r="C336">
        <v>0.875</v>
      </c>
      <c r="D336">
        <v>0.65508999999999995</v>
      </c>
      <c r="E336">
        <v>0.78649999999999998</v>
      </c>
      <c r="F336">
        <v>223655164.40000001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0.19512527852303213</v>
      </c>
      <c r="Q336">
        <f t="shared" si="970"/>
        <v>43640776.246664539</v>
      </c>
      <c r="R336">
        <f t="shared" si="971"/>
        <v>642576940.89752305</v>
      </c>
      <c r="S336">
        <f t="shared" si="972"/>
        <v>6425.7694089752304</v>
      </c>
      <c r="T336">
        <f t="shared" si="973"/>
        <v>6.4257694089752304</v>
      </c>
    </row>
    <row r="337" spans="1:20" x14ac:dyDescent="0.25">
      <c r="A337" s="5">
        <v>44256</v>
      </c>
      <c r="B337">
        <v>0.57542000000000004</v>
      </c>
      <c r="C337">
        <v>0.73197000000000001</v>
      </c>
      <c r="D337">
        <v>0.56264000000000003</v>
      </c>
      <c r="E337">
        <v>0.69667000000000001</v>
      </c>
      <c r="F337">
        <v>106573849.40000001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0.58306265871375418</v>
      </c>
      <c r="Q337">
        <f t="shared" si="970"/>
        <v>62139231.980523236</v>
      </c>
      <c r="R337">
        <f t="shared" si="971"/>
        <v>598936164.65085852</v>
      </c>
      <c r="S337">
        <f t="shared" si="972"/>
        <v>5989.3616465085852</v>
      </c>
      <c r="T337">
        <f t="shared" si="973"/>
        <v>5.989361646508585</v>
      </c>
    </row>
    <row r="338" spans="1:20" x14ac:dyDescent="0.25">
      <c r="A338" s="5">
        <v>44255</v>
      </c>
      <c r="B338">
        <v>0.56879999999999997</v>
      </c>
      <c r="C338">
        <v>0.58925000000000005</v>
      </c>
      <c r="D338">
        <v>0.47499999999999998</v>
      </c>
      <c r="E338">
        <v>0.57547999999999999</v>
      </c>
      <c r="F338">
        <v>42931785.899999999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0.758949671772428</v>
      </c>
      <c r="Q338">
        <f t="shared" si="970"/>
        <v>32583064.81740915</v>
      </c>
      <c r="R338">
        <f t="shared" si="971"/>
        <v>536796932.67033523</v>
      </c>
      <c r="S338">
        <f t="shared" si="972"/>
        <v>5367.9693267033526</v>
      </c>
      <c r="T338">
        <f t="shared" si="973"/>
        <v>5.3679693267033528</v>
      </c>
    </row>
    <row r="339" spans="1:20" x14ac:dyDescent="0.25">
      <c r="A339" s="5">
        <v>44254</v>
      </c>
      <c r="B339">
        <v>0.57789999999999997</v>
      </c>
      <c r="C339">
        <v>0.65849999999999997</v>
      </c>
      <c r="D339">
        <v>0.55164000000000002</v>
      </c>
      <c r="E339">
        <v>0.56879999999999997</v>
      </c>
      <c r="F339">
        <v>50936915.399999999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-0.67883211678832189</v>
      </c>
      <c r="Q339">
        <f t="shared" si="970"/>
        <v>-34577614.103649668</v>
      </c>
      <c r="R339">
        <f t="shared" si="971"/>
        <v>504213867.85292608</v>
      </c>
      <c r="S339">
        <f t="shared" si="972"/>
        <v>5042.1386785292607</v>
      </c>
      <c r="T339">
        <f t="shared" si="973"/>
        <v>5.0421386785292608</v>
      </c>
    </row>
    <row r="340" spans="1:20" x14ac:dyDescent="0.25">
      <c r="A340" s="5">
        <v>44253</v>
      </c>
      <c r="B340">
        <v>0.54039999999999999</v>
      </c>
      <c r="C340">
        <v>0.623</v>
      </c>
      <c r="D340">
        <v>0.52266999999999997</v>
      </c>
      <c r="E340">
        <v>0.57808999999999999</v>
      </c>
      <c r="F340">
        <v>87807074.099999994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0.1047543107744445</v>
      </c>
      <c r="Q340">
        <f t="shared" si="970"/>
        <v>9198169.5284660757</v>
      </c>
      <c r="R340">
        <f t="shared" si="971"/>
        <v>538791481.95657575</v>
      </c>
      <c r="S340">
        <f t="shared" si="972"/>
        <v>5387.9148195657572</v>
      </c>
      <c r="T340">
        <f t="shared" si="973"/>
        <v>5.3879148195657569</v>
      </c>
    </row>
    <row r="341" spans="1:20" x14ac:dyDescent="0.25">
      <c r="A341" s="5">
        <v>44252</v>
      </c>
      <c r="B341">
        <v>0.49174000000000001</v>
      </c>
      <c r="C341">
        <v>0.66998000000000002</v>
      </c>
      <c r="D341">
        <v>0.48899999999999999</v>
      </c>
      <c r="E341">
        <v>0.54049000000000003</v>
      </c>
      <c r="F341">
        <v>155038141.30000001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-0.43098684937562132</v>
      </c>
      <c r="Q341">
        <f t="shared" si="970"/>
        <v>-66819400.051939398</v>
      </c>
      <c r="R341">
        <f t="shared" si="971"/>
        <v>529593312.42810965</v>
      </c>
      <c r="S341">
        <f t="shared" si="972"/>
        <v>5295.9331242810968</v>
      </c>
      <c r="T341">
        <f t="shared" si="973"/>
        <v>5.2959331242810972</v>
      </c>
    </row>
    <row r="342" spans="1:20" x14ac:dyDescent="0.25">
      <c r="A342" s="5">
        <v>44251</v>
      </c>
      <c r="B342">
        <v>0.45249</v>
      </c>
      <c r="C342">
        <v>0.51</v>
      </c>
      <c r="D342">
        <v>0.42170000000000002</v>
      </c>
      <c r="E342">
        <v>0.49174000000000001</v>
      </c>
      <c r="F342">
        <v>29492678.199999999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0.58640996602491502</v>
      </c>
      <c r="Q342">
        <f t="shared" si="970"/>
        <v>17294800.42124575</v>
      </c>
      <c r="R342">
        <f t="shared" si="971"/>
        <v>596412712.48004901</v>
      </c>
      <c r="S342">
        <f t="shared" si="972"/>
        <v>5964.1271248004905</v>
      </c>
      <c r="T342">
        <f t="shared" si="973"/>
        <v>5.9641271248004903</v>
      </c>
    </row>
    <row r="343" spans="1:20" x14ac:dyDescent="0.25">
      <c r="A343" s="5">
        <v>44250</v>
      </c>
      <c r="B343">
        <v>0.54388999999999998</v>
      </c>
      <c r="C343">
        <v>0.54732999999999998</v>
      </c>
      <c r="D343">
        <v>0.34560000000000002</v>
      </c>
      <c r="E343">
        <v>0.45246999999999998</v>
      </c>
      <c r="F343">
        <v>69637154.5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5.9535022059187863E-2</v>
      </c>
      <c r="Q343">
        <f t="shared" si="970"/>
        <v>4145849.5292965733</v>
      </c>
      <c r="R343">
        <f t="shared" si="971"/>
        <v>579117912.05880332</v>
      </c>
      <c r="S343">
        <f t="shared" si="972"/>
        <v>5791.1791205880336</v>
      </c>
      <c r="T343">
        <f t="shared" si="973"/>
        <v>5.7911791205880334</v>
      </c>
    </row>
    <row r="344" spans="1:20" x14ac:dyDescent="0.25">
      <c r="A344" s="5">
        <v>44249</v>
      </c>
      <c r="B344">
        <v>0.57335999999999998</v>
      </c>
      <c r="C344">
        <v>0.67490000000000006</v>
      </c>
      <c r="D344">
        <v>0.44721</v>
      </c>
      <c r="E344">
        <v>0.54271000000000003</v>
      </c>
      <c r="F344">
        <v>99764443.200000003</v>
      </c>
      <c r="G344">
        <v>0</v>
      </c>
      <c r="L344" t="s">
        <v>8</v>
      </c>
      <c r="M344" t="s">
        <v>7</v>
      </c>
      <c r="N344" t="s">
        <v>8</v>
      </c>
      <c r="P344">
        <f t="shared" si="969"/>
        <v>-0.16114014669067589</v>
      </c>
      <c r="Q344">
        <f t="shared" si="970"/>
        <v>-16076057.011761604</v>
      </c>
      <c r="R344">
        <f t="shared" si="971"/>
        <v>574972062.5295068</v>
      </c>
      <c r="S344">
        <f t="shared" si="972"/>
        <v>5749.7206252950682</v>
      </c>
      <c r="T344">
        <f t="shared" si="973"/>
        <v>5.7497206252950681</v>
      </c>
    </row>
    <row r="345" spans="1:20" x14ac:dyDescent="0.25">
      <c r="A345" s="5">
        <v>44248</v>
      </c>
      <c r="B345">
        <v>0.55071999999999999</v>
      </c>
      <c r="C345">
        <v>0.58620000000000005</v>
      </c>
      <c r="D345">
        <v>0.54068000000000005</v>
      </c>
      <c r="E345">
        <v>0.57323000000000002</v>
      </c>
      <c r="F345">
        <v>20157201.800000001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0.43014059753954148</v>
      </c>
      <c r="Q345">
        <f t="shared" si="970"/>
        <v>8670430.8269771207</v>
      </c>
      <c r="R345">
        <f t="shared" si="971"/>
        <v>591048119.54126835</v>
      </c>
      <c r="S345">
        <f t="shared" si="972"/>
        <v>5910.4811954126835</v>
      </c>
      <c r="T345">
        <f t="shared" si="973"/>
        <v>5.9104811954126832</v>
      </c>
    </row>
    <row r="346" spans="1:20" x14ac:dyDescent="0.25">
      <c r="A346" s="5">
        <v>44247</v>
      </c>
      <c r="B346">
        <v>0.60087999999999997</v>
      </c>
      <c r="C346">
        <v>0.60596000000000005</v>
      </c>
      <c r="D346">
        <v>0.51470000000000005</v>
      </c>
      <c r="E346">
        <v>0.55071999999999999</v>
      </c>
      <c r="F346">
        <v>34473561.700000003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-0.21060705676090427</v>
      </c>
      <c r="Q346">
        <f t="shared" si="970"/>
        <v>-7260375.3657024363</v>
      </c>
      <c r="R346">
        <f t="shared" si="971"/>
        <v>582377688.71429121</v>
      </c>
      <c r="S346">
        <f t="shared" si="972"/>
        <v>5823.7768871429125</v>
      </c>
      <c r="T346">
        <f t="shared" si="973"/>
        <v>5.8237768871429125</v>
      </c>
    </row>
    <row r="347" spans="1:20" x14ac:dyDescent="0.25">
      <c r="A347" s="5">
        <v>44246</v>
      </c>
      <c r="B347">
        <v>0.58875999999999995</v>
      </c>
      <c r="C347">
        <v>0.62</v>
      </c>
      <c r="D347">
        <v>0.54918</v>
      </c>
      <c r="E347">
        <v>0.60199999999999998</v>
      </c>
      <c r="F347">
        <v>34534663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0.49166902005083263</v>
      </c>
      <c r="Q347">
        <f t="shared" si="970"/>
        <v>16979623.914995749</v>
      </c>
      <c r="R347">
        <f t="shared" si="971"/>
        <v>589638064.07999361</v>
      </c>
      <c r="S347">
        <f t="shared" si="972"/>
        <v>5896.3806407999364</v>
      </c>
      <c r="T347">
        <f t="shared" si="973"/>
        <v>5.8963806407999364</v>
      </c>
    </row>
    <row r="348" spans="1:20" x14ac:dyDescent="0.25">
      <c r="A348" s="5">
        <v>44245</v>
      </c>
      <c r="B348">
        <v>0.54998000000000002</v>
      </c>
      <c r="C348">
        <v>0.59123000000000003</v>
      </c>
      <c r="D348">
        <v>0.53903000000000001</v>
      </c>
      <c r="E348">
        <v>0.58711999999999998</v>
      </c>
      <c r="F348">
        <v>29831269.699999999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0.84252873563218178</v>
      </c>
      <c r="Q348">
        <f t="shared" si="970"/>
        <v>25133701.942643613</v>
      </c>
      <c r="R348">
        <f t="shared" si="971"/>
        <v>572658440.16499782</v>
      </c>
      <c r="S348">
        <f t="shared" si="972"/>
        <v>5726.5844016499777</v>
      </c>
      <c r="T348">
        <f t="shared" si="973"/>
        <v>5.7265844016499781</v>
      </c>
    </row>
    <row r="349" spans="1:20" x14ac:dyDescent="0.25">
      <c r="A349" s="5">
        <v>44244</v>
      </c>
      <c r="B349">
        <v>0.54408999999999996</v>
      </c>
      <c r="C349">
        <v>0.56999999999999995</v>
      </c>
      <c r="D349">
        <v>0.5</v>
      </c>
      <c r="E349">
        <v>0.54998000000000002</v>
      </c>
      <c r="F349">
        <v>23837475.699999999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0.42800000000000171</v>
      </c>
      <c r="Q349">
        <f t="shared" si="970"/>
        <v>10202439.599600041</v>
      </c>
      <c r="R349">
        <f t="shared" si="971"/>
        <v>547524738.22235417</v>
      </c>
      <c r="S349">
        <f t="shared" si="972"/>
        <v>5475.2473822235415</v>
      </c>
      <c r="T349">
        <f t="shared" si="973"/>
        <v>5.4752473822235412</v>
      </c>
    </row>
    <row r="350" spans="1:20" x14ac:dyDescent="0.25">
      <c r="A350" s="5">
        <v>44243</v>
      </c>
      <c r="B350">
        <v>0.52500000000000002</v>
      </c>
      <c r="C350">
        <v>0.59</v>
      </c>
      <c r="D350">
        <v>0.51276999999999995</v>
      </c>
      <c r="E350">
        <v>0.54418</v>
      </c>
      <c r="F350">
        <v>32794226.899999999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-0.18658552376019577</v>
      </c>
      <c r="Q350">
        <f t="shared" si="970"/>
        <v>-6118928.0024472009</v>
      </c>
      <c r="R350">
        <f t="shared" si="971"/>
        <v>537322298.6227541</v>
      </c>
      <c r="S350">
        <f t="shared" si="972"/>
        <v>5373.2229862275408</v>
      </c>
      <c r="T350">
        <f t="shared" si="973"/>
        <v>5.3732229862275407</v>
      </c>
    </row>
    <row r="351" spans="1:20" x14ac:dyDescent="0.25">
      <c r="A351" s="5">
        <v>44242</v>
      </c>
      <c r="B351">
        <v>0.55079999999999996</v>
      </c>
      <c r="C351">
        <v>0.56777</v>
      </c>
      <c r="D351">
        <v>0.44489000000000001</v>
      </c>
      <c r="E351">
        <v>0.52371000000000001</v>
      </c>
      <c r="F351">
        <v>37740753.700000003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0.2828776041666668</v>
      </c>
      <c r="Q351">
        <f t="shared" si="970"/>
        <v>10676013.986100266</v>
      </c>
      <c r="R351">
        <f t="shared" si="971"/>
        <v>543441226.62520134</v>
      </c>
      <c r="S351">
        <f t="shared" si="972"/>
        <v>5434.4122662520131</v>
      </c>
      <c r="T351">
        <f t="shared" si="973"/>
        <v>5.4344122662520133</v>
      </c>
    </row>
    <row r="352" spans="1:20" x14ac:dyDescent="0.25">
      <c r="A352" s="5">
        <v>44241</v>
      </c>
      <c r="B352">
        <v>0.59250000000000003</v>
      </c>
      <c r="C352">
        <v>0.62399000000000004</v>
      </c>
      <c r="D352">
        <v>0.52802000000000004</v>
      </c>
      <c r="E352">
        <v>0.55135000000000001</v>
      </c>
      <c r="F352">
        <v>29487398.199999999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-0.5138063978326568</v>
      </c>
      <c r="Q352">
        <f t="shared" si="970"/>
        <v>-15150813.850599168</v>
      </c>
      <c r="R352">
        <f t="shared" si="971"/>
        <v>532765212.63910103</v>
      </c>
      <c r="S352">
        <f t="shared" si="972"/>
        <v>5327.6521263910099</v>
      </c>
      <c r="T352">
        <f t="shared" si="973"/>
        <v>5.3276521263910102</v>
      </c>
    </row>
    <row r="353" spans="1:20" x14ac:dyDescent="0.25">
      <c r="A353" s="5">
        <v>44240</v>
      </c>
      <c r="B353">
        <v>0.61038999999999999</v>
      </c>
      <c r="C353">
        <v>0.63200000000000001</v>
      </c>
      <c r="D353">
        <v>0.53600999999999999</v>
      </c>
      <c r="E353">
        <v>0.59248999999999996</v>
      </c>
      <c r="F353">
        <v>39197470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0.1767892488800909</v>
      </c>
      <c r="Q353">
        <f t="shared" si="970"/>
        <v>6929691.2792998962</v>
      </c>
      <c r="R353">
        <f t="shared" si="971"/>
        <v>547916026.4897002</v>
      </c>
      <c r="S353">
        <f t="shared" si="972"/>
        <v>5479.160264897002</v>
      </c>
      <c r="T353">
        <f t="shared" si="973"/>
        <v>5.4791602648970024</v>
      </c>
    </row>
    <row r="354" spans="1:20" x14ac:dyDescent="0.25">
      <c r="A354" s="5">
        <v>44239</v>
      </c>
      <c r="B354">
        <v>0.60199999999999998</v>
      </c>
      <c r="C354">
        <v>0.65883000000000003</v>
      </c>
      <c r="D354">
        <v>0.56000000000000005</v>
      </c>
      <c r="E354">
        <v>0.61036000000000001</v>
      </c>
      <c r="F354">
        <v>76011857.599999994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1.9123747849842637E-2</v>
      </c>
      <c r="Q354">
        <f t="shared" si="970"/>
        <v>1453631.5983405446</v>
      </c>
      <c r="R354">
        <f t="shared" si="971"/>
        <v>540986335.21040034</v>
      </c>
      <c r="S354">
        <f t="shared" si="972"/>
        <v>5409.8633521040038</v>
      </c>
      <c r="T354">
        <f t="shared" si="973"/>
        <v>5.4098633521040034</v>
      </c>
    </row>
    <row r="355" spans="1:20" x14ac:dyDescent="0.25">
      <c r="A355" s="5">
        <v>44238</v>
      </c>
      <c r="B355">
        <v>0.42579</v>
      </c>
      <c r="C355">
        <v>0.66666000000000003</v>
      </c>
      <c r="D355">
        <v>0.41846</v>
      </c>
      <c r="E355">
        <v>0.59987000000000001</v>
      </c>
      <c r="F355">
        <v>246665294.19999999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0.46180499597099106</v>
      </c>
      <c r="Q355">
        <f t="shared" si="970"/>
        <v>113911265.19421431</v>
      </c>
      <c r="R355">
        <f t="shared" si="971"/>
        <v>539532703.61205983</v>
      </c>
      <c r="S355">
        <f t="shared" si="972"/>
        <v>5395.3270361205987</v>
      </c>
      <c r="T355">
        <f t="shared" si="973"/>
        <v>5.3953270361205989</v>
      </c>
    </row>
    <row r="356" spans="1:20" x14ac:dyDescent="0.25">
      <c r="A356" s="5">
        <v>44237</v>
      </c>
      <c r="B356">
        <v>0.41839999999999999</v>
      </c>
      <c r="C356">
        <v>0.45429999999999998</v>
      </c>
      <c r="D356">
        <v>0.38200000000000001</v>
      </c>
      <c r="E356">
        <v>0.42595</v>
      </c>
      <c r="F356">
        <v>67014734.5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0.21576763485477191</v>
      </c>
      <c r="Q356">
        <f t="shared" si="970"/>
        <v>14459610.763485486</v>
      </c>
      <c r="R356">
        <f t="shared" si="971"/>
        <v>425621438.41784555</v>
      </c>
      <c r="S356">
        <f t="shared" si="972"/>
        <v>4256.2143841784555</v>
      </c>
      <c r="T356">
        <f t="shared" si="973"/>
        <v>4.2562143841784552</v>
      </c>
    </row>
    <row r="357" spans="1:20" x14ac:dyDescent="0.25">
      <c r="A357" s="5">
        <v>44236</v>
      </c>
      <c r="B357">
        <v>0.39872999999999997</v>
      </c>
      <c r="C357">
        <v>0.43698999999999999</v>
      </c>
      <c r="D357">
        <v>0.39018000000000003</v>
      </c>
      <c r="E357">
        <v>0.41839999999999999</v>
      </c>
      <c r="F357">
        <v>57156285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0.20572527237769664</v>
      </c>
      <c r="Q357">
        <f t="shared" si="970"/>
        <v>11758492.299722256</v>
      </c>
      <c r="R357">
        <f t="shared" si="971"/>
        <v>411161827.65436006</v>
      </c>
      <c r="S357">
        <f t="shared" si="972"/>
        <v>4111.6182765436006</v>
      </c>
      <c r="T357">
        <f t="shared" si="973"/>
        <v>4.1116182765436005</v>
      </c>
    </row>
    <row r="358" spans="1:20" x14ac:dyDescent="0.25">
      <c r="A358" s="5">
        <v>44235</v>
      </c>
      <c r="B358">
        <v>0.38052000000000002</v>
      </c>
      <c r="C358">
        <v>0.40899999999999997</v>
      </c>
      <c r="D358">
        <v>0.37243999999999999</v>
      </c>
      <c r="E358">
        <v>0.39831</v>
      </c>
      <c r="F358">
        <v>37525706</v>
      </c>
      <c r="G358">
        <v>0</v>
      </c>
      <c r="L358" t="s">
        <v>7</v>
      </c>
      <c r="M358" t="s">
        <v>7</v>
      </c>
      <c r="N358" t="s">
        <v>7</v>
      </c>
      <c r="P358">
        <f t="shared" si="969"/>
        <v>0.41520787746170773</v>
      </c>
      <c r="Q358">
        <f t="shared" si="970"/>
        <v>15580968.738512071</v>
      </c>
      <c r="R358">
        <f t="shared" si="971"/>
        <v>399403335.3546378</v>
      </c>
      <c r="S358">
        <f t="shared" si="972"/>
        <v>3994.0333535463778</v>
      </c>
      <c r="T358">
        <f t="shared" si="973"/>
        <v>3.9940333535463779</v>
      </c>
    </row>
    <row r="359" spans="1:20" x14ac:dyDescent="0.25">
      <c r="A359" s="5">
        <v>44234</v>
      </c>
      <c r="B359">
        <v>0.39222000000000001</v>
      </c>
      <c r="C359">
        <v>0.40859000000000001</v>
      </c>
      <c r="D359">
        <v>0.35644999999999999</v>
      </c>
      <c r="E359">
        <v>0.38024000000000002</v>
      </c>
      <c r="F359">
        <v>39367213.899999999</v>
      </c>
      <c r="G359">
        <v>0</v>
      </c>
      <c r="L359" t="s">
        <v>8</v>
      </c>
      <c r="M359" t="s">
        <v>7</v>
      </c>
      <c r="N359" t="s">
        <v>7</v>
      </c>
      <c r="P359">
        <f t="shared" si="969"/>
        <v>-8.7456846950516906E-2</v>
      </c>
      <c r="Q359">
        <f t="shared" si="970"/>
        <v>-3442932.4009205615</v>
      </c>
      <c r="R359">
        <f t="shared" si="971"/>
        <v>383822366.6161257</v>
      </c>
      <c r="S359">
        <f t="shared" si="972"/>
        <v>3838.2236661612569</v>
      </c>
      <c r="T359">
        <f t="shared" si="973"/>
        <v>3.838223666161257</v>
      </c>
    </row>
    <row r="360" spans="1:20" x14ac:dyDescent="0.25">
      <c r="A360" s="5">
        <v>44233</v>
      </c>
      <c r="B360">
        <v>0.41144999999999998</v>
      </c>
      <c r="C360">
        <v>0.41699999999999998</v>
      </c>
      <c r="D360">
        <v>0.35099999999999998</v>
      </c>
      <c r="E360">
        <v>0.39169999999999999</v>
      </c>
      <c r="F360">
        <v>51943945.899999999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0.2333333333333337</v>
      </c>
      <c r="Q360">
        <f t="shared" si="970"/>
        <v>12120254.043333352</v>
      </c>
      <c r="R360">
        <f t="shared" si="971"/>
        <v>387265299.01704627</v>
      </c>
      <c r="S360">
        <f t="shared" si="972"/>
        <v>3872.6529901704625</v>
      </c>
      <c r="T360">
        <f t="shared" si="973"/>
        <v>3.8726529901704625</v>
      </c>
    </row>
    <row r="361" spans="1:20" x14ac:dyDescent="0.25">
      <c r="A361" s="5">
        <v>44232</v>
      </c>
      <c r="B361">
        <v>0.36530000000000001</v>
      </c>
      <c r="C361">
        <v>0.41899999999999998</v>
      </c>
      <c r="D361">
        <v>0.36071999999999999</v>
      </c>
      <c r="E361">
        <v>0.41204000000000002</v>
      </c>
      <c r="F361">
        <v>72710979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0.76115305422100321</v>
      </c>
      <c r="Q361">
        <f t="shared" si="970"/>
        <v>55344183.741249226</v>
      </c>
      <c r="R361">
        <f t="shared" si="971"/>
        <v>375145044.97371292</v>
      </c>
      <c r="S361">
        <f t="shared" si="972"/>
        <v>3751.450449737129</v>
      </c>
      <c r="T361">
        <f t="shared" si="973"/>
        <v>3.751450449737129</v>
      </c>
    </row>
    <row r="362" spans="1:20" x14ac:dyDescent="0.25">
      <c r="A362" s="5">
        <v>44231</v>
      </c>
      <c r="B362">
        <v>0.37386999999999998</v>
      </c>
      <c r="C362">
        <v>0.38228000000000001</v>
      </c>
      <c r="D362">
        <v>0.33454</v>
      </c>
      <c r="E362">
        <v>0.36554999999999999</v>
      </c>
      <c r="F362">
        <v>52576843.700000003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0.2991202346041047</v>
      </c>
      <c r="Q362">
        <f t="shared" si="970"/>
        <v>15726797.822287345</v>
      </c>
      <c r="R362">
        <f t="shared" si="971"/>
        <v>319800861.23246372</v>
      </c>
      <c r="S362">
        <f t="shared" si="972"/>
        <v>3198.0086123246374</v>
      </c>
      <c r="T362">
        <f t="shared" si="973"/>
        <v>3.1980086123246374</v>
      </c>
    </row>
    <row r="363" spans="1:20" x14ac:dyDescent="0.25">
      <c r="A363" s="5">
        <v>44230</v>
      </c>
      <c r="B363">
        <v>0.36541000000000001</v>
      </c>
      <c r="C363">
        <v>0.3775</v>
      </c>
      <c r="D363">
        <v>0.35715999999999998</v>
      </c>
      <c r="E363">
        <v>0.37383</v>
      </c>
      <c r="F363">
        <v>23308526.699999999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0.63913470993116994</v>
      </c>
      <c r="Q363">
        <f t="shared" si="970"/>
        <v>14897288.45132743</v>
      </c>
      <c r="R363">
        <f t="shared" si="971"/>
        <v>304074063.4101764</v>
      </c>
      <c r="S363">
        <f t="shared" si="972"/>
        <v>3040.740634101764</v>
      </c>
      <c r="T363">
        <f t="shared" si="973"/>
        <v>3.040740634101764</v>
      </c>
    </row>
    <row r="364" spans="1:20" x14ac:dyDescent="0.25">
      <c r="A364" s="5">
        <v>44229</v>
      </c>
      <c r="B364">
        <v>0.34264</v>
      </c>
      <c r="C364">
        <v>0.38645000000000002</v>
      </c>
      <c r="D364">
        <v>0.33644000000000002</v>
      </c>
      <c r="E364">
        <v>0.36509999999999998</v>
      </c>
      <c r="F364">
        <v>58119659.5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0.1461707658468292</v>
      </c>
      <c r="Q364">
        <f t="shared" si="970"/>
        <v>8495395.1398719419</v>
      </c>
      <c r="R364">
        <f t="shared" si="971"/>
        <v>289176774.95884895</v>
      </c>
      <c r="S364">
        <f t="shared" si="972"/>
        <v>2891.7677495884896</v>
      </c>
      <c r="T364">
        <f t="shared" si="973"/>
        <v>2.8917677495884897</v>
      </c>
    </row>
    <row r="365" spans="1:20" x14ac:dyDescent="0.25">
      <c r="A365" s="5">
        <v>44228</v>
      </c>
      <c r="B365">
        <v>0.34293000000000001</v>
      </c>
      <c r="C365">
        <v>0.36</v>
      </c>
      <c r="D365">
        <v>0.31425999999999998</v>
      </c>
      <c r="E365">
        <v>0.34187000000000001</v>
      </c>
      <c r="F365">
        <v>52617953.700000003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0.2072584171403595</v>
      </c>
      <c r="Q365">
        <f t="shared" si="970"/>
        <v>10905513.797026724</v>
      </c>
      <c r="R365">
        <f t="shared" si="971"/>
        <v>280681379.818977</v>
      </c>
      <c r="S365">
        <f t="shared" si="972"/>
        <v>2806.8137981897698</v>
      </c>
      <c r="T365">
        <f t="shared" si="973"/>
        <v>2.8068137981897698</v>
      </c>
    </row>
    <row r="366" spans="1:20" x14ac:dyDescent="0.25">
      <c r="A366" s="5">
        <v>44227</v>
      </c>
      <c r="B366">
        <v>0.33571000000000001</v>
      </c>
      <c r="C366">
        <v>0.373</v>
      </c>
      <c r="D366">
        <v>0.32948</v>
      </c>
      <c r="E366">
        <v>0.34366000000000002</v>
      </c>
      <c r="F366">
        <v>45265514.799999997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-0.34834558823529299</v>
      </c>
      <c r="Q366">
        <f t="shared" si="970"/>
        <v>-15768042.379779359</v>
      </c>
      <c r="R366">
        <f t="shared" si="971"/>
        <v>269775866.0219503</v>
      </c>
      <c r="S366">
        <f t="shared" si="972"/>
        <v>2697.7586602195029</v>
      </c>
      <c r="T366">
        <f t="shared" si="973"/>
        <v>2.6977586602195029</v>
      </c>
    </row>
    <row r="367" spans="1:20" x14ac:dyDescent="0.25">
      <c r="A367" s="5">
        <v>44226</v>
      </c>
      <c r="B367">
        <v>0.35937000000000002</v>
      </c>
      <c r="C367">
        <v>0.36237999999999998</v>
      </c>
      <c r="D367">
        <v>0.33</v>
      </c>
      <c r="E367">
        <v>0.33501999999999998</v>
      </c>
      <c r="F367">
        <v>27936100.199999999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-0.68993205682520231</v>
      </c>
      <c r="Q367">
        <f t="shared" si="970"/>
        <v>-19274011.070660945</v>
      </c>
      <c r="R367">
        <f t="shared" si="971"/>
        <v>285543908.40172964</v>
      </c>
      <c r="S367">
        <f t="shared" si="972"/>
        <v>2855.4390840172964</v>
      </c>
      <c r="T367">
        <f t="shared" si="973"/>
        <v>2.8554390840172963</v>
      </c>
    </row>
    <row r="368" spans="1:20" x14ac:dyDescent="0.25">
      <c r="A368" s="5">
        <v>44225</v>
      </c>
      <c r="B368">
        <v>0.37306</v>
      </c>
      <c r="C368">
        <v>0.37498999999999999</v>
      </c>
      <c r="D368">
        <v>0.34366999999999998</v>
      </c>
      <c r="E368">
        <v>0.35972999999999999</v>
      </c>
      <c r="F368">
        <v>40365756.200000003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2.5542784163474538E-2</v>
      </c>
      <c r="Q368">
        <f t="shared" si="970"/>
        <v>1031053.7982120343</v>
      </c>
      <c r="R368">
        <f t="shared" si="971"/>
        <v>304817919.47239059</v>
      </c>
      <c r="S368">
        <f t="shared" si="972"/>
        <v>3048.1791947239058</v>
      </c>
      <c r="T368">
        <f t="shared" si="973"/>
        <v>3.0481791947239056</v>
      </c>
    </row>
    <row r="369" spans="1:20" x14ac:dyDescent="0.25">
      <c r="A369" s="5">
        <v>44224</v>
      </c>
      <c r="B369">
        <v>0.36293999999999998</v>
      </c>
      <c r="C369">
        <v>0.39294000000000001</v>
      </c>
      <c r="D369">
        <v>0.34221000000000001</v>
      </c>
      <c r="E369">
        <v>0.37379000000000001</v>
      </c>
      <c r="F369">
        <v>56895797</v>
      </c>
      <c r="G369">
        <v>0</v>
      </c>
      <c r="L369" t="s">
        <v>7</v>
      </c>
      <c r="M369" t="s">
        <v>7</v>
      </c>
      <c r="N369" t="s">
        <v>7</v>
      </c>
      <c r="P369">
        <f t="shared" si="969"/>
        <v>0.24502266903213082</v>
      </c>
      <c r="Q369">
        <f t="shared" si="970"/>
        <v>13940760.037650302</v>
      </c>
      <c r="R369">
        <f t="shared" si="971"/>
        <v>303786865.67417854</v>
      </c>
      <c r="S369">
        <f t="shared" si="972"/>
        <v>3037.8686567417853</v>
      </c>
      <c r="T369">
        <f t="shared" si="973"/>
        <v>3.0378686567417854</v>
      </c>
    </row>
    <row r="370" spans="1:20" x14ac:dyDescent="0.25">
      <c r="A370" s="5">
        <v>44223</v>
      </c>
      <c r="B370">
        <v>0.43836000000000003</v>
      </c>
      <c r="C370">
        <v>0.43935000000000002</v>
      </c>
      <c r="D370">
        <v>0.35405999999999999</v>
      </c>
      <c r="E370">
        <v>0.36313000000000001</v>
      </c>
      <c r="F370">
        <v>57011301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-0.78731387032477385</v>
      </c>
      <c r="Q370">
        <f t="shared" si="970"/>
        <v>-44885788.042560652</v>
      </c>
      <c r="R370">
        <f t="shared" si="971"/>
        <v>289846105.63652825</v>
      </c>
      <c r="S370">
        <f t="shared" si="972"/>
        <v>2898.4610563652827</v>
      </c>
      <c r="T370">
        <f t="shared" si="973"/>
        <v>2.8984610563652828</v>
      </c>
    </row>
    <row r="371" spans="1:20" x14ac:dyDescent="0.25">
      <c r="A371" s="5">
        <v>44222</v>
      </c>
      <c r="B371">
        <v>0.47217999999999999</v>
      </c>
      <c r="C371">
        <v>0.49</v>
      </c>
      <c r="D371">
        <v>0.38379000000000002</v>
      </c>
      <c r="E371">
        <v>0.43935999999999997</v>
      </c>
      <c r="F371">
        <v>155568590.19999999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4.6417474814047038E-2</v>
      </c>
      <c r="Q371">
        <f t="shared" si="970"/>
        <v>7221101.1174653042</v>
      </c>
      <c r="R371">
        <f t="shared" si="971"/>
        <v>334731893.67908889</v>
      </c>
      <c r="S371">
        <f t="shared" si="972"/>
        <v>3347.318936790889</v>
      </c>
      <c r="T371">
        <f t="shared" si="973"/>
        <v>3.3473189367908889</v>
      </c>
    </row>
    <row r="372" spans="1:20" x14ac:dyDescent="0.25">
      <c r="A372" s="5">
        <v>44221</v>
      </c>
      <c r="B372">
        <v>0.42065000000000002</v>
      </c>
      <c r="C372">
        <v>0.495</v>
      </c>
      <c r="D372">
        <v>0.40303</v>
      </c>
      <c r="E372">
        <v>0.47220000000000001</v>
      </c>
      <c r="F372">
        <v>107200650.7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0.50418614765684489</v>
      </c>
      <c r="Q372">
        <f t="shared" si="970"/>
        <v>54049083.102740057</v>
      </c>
      <c r="R372">
        <f t="shared" si="971"/>
        <v>327510792.56162357</v>
      </c>
      <c r="S372">
        <f t="shared" si="972"/>
        <v>3275.1079256162357</v>
      </c>
      <c r="T372">
        <f t="shared" si="973"/>
        <v>3.2751079256162359</v>
      </c>
    </row>
    <row r="373" spans="1:20" x14ac:dyDescent="0.25">
      <c r="A373" s="5">
        <v>44220</v>
      </c>
      <c r="B373">
        <v>0.42918000000000001</v>
      </c>
      <c r="C373">
        <v>0.42974000000000001</v>
      </c>
      <c r="D373">
        <v>0.39578000000000002</v>
      </c>
      <c r="E373">
        <v>0.42098999999999998</v>
      </c>
      <c r="F373">
        <v>44462468.899999999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0.48468786808009201</v>
      </c>
      <c r="Q373">
        <f t="shared" si="970"/>
        <v>21550419.260718394</v>
      </c>
      <c r="R373">
        <f t="shared" si="971"/>
        <v>273461709.45888352</v>
      </c>
      <c r="S373">
        <f t="shared" si="972"/>
        <v>2734.6170945888352</v>
      </c>
      <c r="T373">
        <f t="shared" si="973"/>
        <v>2.7346170945888351</v>
      </c>
    </row>
    <row r="374" spans="1:20" x14ac:dyDescent="0.25">
      <c r="A374" s="5">
        <v>44219</v>
      </c>
      <c r="B374">
        <v>0.38101000000000002</v>
      </c>
      <c r="C374">
        <v>0.44753999999999999</v>
      </c>
      <c r="D374">
        <v>0.37372</v>
      </c>
      <c r="E374">
        <v>0.42973</v>
      </c>
      <c r="F374">
        <v>95854987.200000003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0.51747493904091046</v>
      </c>
      <c r="Q374">
        <f t="shared" si="970"/>
        <v>49602553.658087254</v>
      </c>
      <c r="R374">
        <f t="shared" si="971"/>
        <v>251911290.19816515</v>
      </c>
      <c r="S374">
        <f t="shared" si="972"/>
        <v>2519.1129019816517</v>
      </c>
      <c r="T374">
        <f t="shared" si="973"/>
        <v>2.5191129019816518</v>
      </c>
    </row>
    <row r="375" spans="1:20" x14ac:dyDescent="0.25">
      <c r="A375" s="5">
        <v>44218</v>
      </c>
      <c r="B375">
        <v>0.32928000000000002</v>
      </c>
      <c r="C375">
        <v>0.41498000000000002</v>
      </c>
      <c r="D375">
        <v>0.28999999999999998</v>
      </c>
      <c r="E375">
        <v>0.38157000000000002</v>
      </c>
      <c r="F375">
        <v>131381776.8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0.46535445671307429</v>
      </c>
      <c r="Q375">
        <f t="shared" si="970"/>
        <v>61139095.364762388</v>
      </c>
      <c r="R375">
        <f t="shared" si="971"/>
        <v>202308736.54007789</v>
      </c>
      <c r="S375">
        <f t="shared" si="972"/>
        <v>2023.0873654007789</v>
      </c>
      <c r="T375">
        <f t="shared" si="973"/>
        <v>2.0230873654007788</v>
      </c>
    </row>
    <row r="376" spans="1:20" x14ac:dyDescent="0.25">
      <c r="A376" s="5">
        <v>44217</v>
      </c>
      <c r="B376">
        <v>0.42129</v>
      </c>
      <c r="C376">
        <v>0.43620999999999999</v>
      </c>
      <c r="D376">
        <v>0.32535999999999998</v>
      </c>
      <c r="E376">
        <v>0.32924999999999999</v>
      </c>
      <c r="F376">
        <v>137018866.5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-0.92981506540369863</v>
      </c>
      <c r="Q376">
        <f t="shared" si="970"/>
        <v>-127402206.31623815</v>
      </c>
      <c r="R376">
        <f t="shared" si="971"/>
        <v>141169641.1753155</v>
      </c>
      <c r="S376">
        <f t="shared" si="972"/>
        <v>1411.696411753155</v>
      </c>
      <c r="T376">
        <f t="shared" si="973"/>
        <v>1.411696411753155</v>
      </c>
    </row>
    <row r="377" spans="1:20" x14ac:dyDescent="0.25">
      <c r="A377" s="5">
        <v>44216</v>
      </c>
      <c r="B377">
        <v>0.36148999999999998</v>
      </c>
      <c r="C377">
        <v>0.46600000000000003</v>
      </c>
      <c r="D377">
        <v>0.34861999999999999</v>
      </c>
      <c r="E377">
        <v>0.42131000000000002</v>
      </c>
      <c r="F377">
        <v>325551796.5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0.23854148918043974</v>
      </c>
      <c r="Q377">
        <f t="shared" si="970"/>
        <v>77657610.342477471</v>
      </c>
      <c r="R377">
        <f t="shared" si="971"/>
        <v>268571847.49155366</v>
      </c>
      <c r="S377">
        <f t="shared" si="972"/>
        <v>2685.7184749155367</v>
      </c>
      <c r="T377">
        <f t="shared" si="973"/>
        <v>2.6857184749155367</v>
      </c>
    </row>
    <row r="378" spans="1:20" x14ac:dyDescent="0.25">
      <c r="A378" s="5">
        <v>44215</v>
      </c>
      <c r="B378">
        <v>0.24715000000000001</v>
      </c>
      <c r="C378">
        <v>0.44399</v>
      </c>
      <c r="D378">
        <v>0.23699999999999999</v>
      </c>
      <c r="E378">
        <v>0.36022999999999999</v>
      </c>
      <c r="F378">
        <v>399731122.39999998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0.19068554036426882</v>
      </c>
      <c r="Q378">
        <f t="shared" si="970"/>
        <v>76222945.075259671</v>
      </c>
      <c r="R378">
        <f t="shared" si="971"/>
        <v>190914237.14907622</v>
      </c>
      <c r="S378">
        <f t="shared" si="972"/>
        <v>1909.1423714907623</v>
      </c>
      <c r="T378">
        <f t="shared" si="973"/>
        <v>1.9091423714907623</v>
      </c>
    </row>
    <row r="379" spans="1:20" x14ac:dyDescent="0.25">
      <c r="A379" s="5">
        <v>44214</v>
      </c>
      <c r="B379">
        <v>0.23116999999999999</v>
      </c>
      <c r="C379">
        <v>0.27300000000000002</v>
      </c>
      <c r="D379">
        <v>0.22689999999999999</v>
      </c>
      <c r="E379">
        <v>0.24692</v>
      </c>
      <c r="F379">
        <v>104838275.09999999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-0.13145336225596543</v>
      </c>
      <c r="Q379">
        <f t="shared" si="970"/>
        <v>-13781343.75501086</v>
      </c>
      <c r="R379">
        <f t="shared" si="971"/>
        <v>114691292.07381657</v>
      </c>
      <c r="S379">
        <f t="shared" si="972"/>
        <v>1146.9129207381657</v>
      </c>
      <c r="T379">
        <f t="shared" si="973"/>
        <v>1.1469129207381656</v>
      </c>
    </row>
    <row r="380" spans="1:20" x14ac:dyDescent="0.25">
      <c r="A380" s="5">
        <v>44213</v>
      </c>
      <c r="B380">
        <v>0.19474</v>
      </c>
      <c r="C380">
        <v>0.29881000000000002</v>
      </c>
      <c r="D380">
        <v>0.19444</v>
      </c>
      <c r="E380">
        <v>0.23114000000000001</v>
      </c>
      <c r="F380">
        <v>177231853.30000001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-0.29673277761808942</v>
      </c>
      <c r="Q380">
        <f t="shared" si="970"/>
        <v>-52590500.112110749</v>
      </c>
      <c r="R380">
        <f t="shared" si="971"/>
        <v>128472635.82882743</v>
      </c>
      <c r="S380">
        <f t="shared" si="972"/>
        <v>1284.7263582882742</v>
      </c>
      <c r="T380">
        <f t="shared" si="973"/>
        <v>1.2847263582882742</v>
      </c>
    </row>
    <row r="381" spans="1:20" x14ac:dyDescent="0.25">
      <c r="A381" s="5">
        <v>44212</v>
      </c>
      <c r="B381">
        <v>0.18890000000000001</v>
      </c>
      <c r="C381">
        <v>0.20843</v>
      </c>
      <c r="D381">
        <v>0.18653</v>
      </c>
      <c r="E381">
        <v>0.1948</v>
      </c>
      <c r="F381">
        <v>42362437.799999997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-0.24474885844748873</v>
      </c>
      <c r="Q381">
        <f t="shared" si="970"/>
        <v>-10368158.292602746</v>
      </c>
      <c r="R381">
        <f t="shared" si="971"/>
        <v>181063135.94093817</v>
      </c>
      <c r="S381">
        <f t="shared" si="972"/>
        <v>1810.6313594093817</v>
      </c>
      <c r="T381">
        <f t="shared" si="973"/>
        <v>1.8106313594093817</v>
      </c>
    </row>
    <row r="382" spans="1:20" x14ac:dyDescent="0.25">
      <c r="A382" s="5">
        <v>44211</v>
      </c>
      <c r="B382">
        <v>0.18312999999999999</v>
      </c>
      <c r="C382">
        <v>0.19789999999999999</v>
      </c>
      <c r="D382">
        <v>0.16841999999999999</v>
      </c>
      <c r="E382">
        <v>0.18883</v>
      </c>
      <c r="F382">
        <v>42653692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0.38466757123473588</v>
      </c>
      <c r="Q382">
        <f t="shared" si="970"/>
        <v>16407492.105834484</v>
      </c>
      <c r="R382">
        <f t="shared" si="971"/>
        <v>191431294.23354092</v>
      </c>
      <c r="S382">
        <f t="shared" si="972"/>
        <v>1914.3129423354092</v>
      </c>
      <c r="T382">
        <f t="shared" si="973"/>
        <v>1.9143129423354091</v>
      </c>
    </row>
    <row r="383" spans="1:20" x14ac:dyDescent="0.25">
      <c r="A383" s="5">
        <v>44210</v>
      </c>
      <c r="B383">
        <v>0.17979999999999999</v>
      </c>
      <c r="C383">
        <v>0.18995999999999999</v>
      </c>
      <c r="D383">
        <v>0.17233000000000001</v>
      </c>
      <c r="E383">
        <v>0.18307000000000001</v>
      </c>
      <c r="F383">
        <v>25464136.399999999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0.21837776517300198</v>
      </c>
      <c r="Q383">
        <f t="shared" si="970"/>
        <v>5560801.1990924915</v>
      </c>
      <c r="R383">
        <f t="shared" si="971"/>
        <v>175023802.12770644</v>
      </c>
      <c r="S383">
        <f t="shared" si="972"/>
        <v>1750.2380212770645</v>
      </c>
      <c r="T383">
        <f t="shared" si="973"/>
        <v>1.7502380212770645</v>
      </c>
    </row>
    <row r="384" spans="1:20" x14ac:dyDescent="0.25">
      <c r="A384" s="5">
        <v>44209</v>
      </c>
      <c r="B384">
        <v>0.16714000000000001</v>
      </c>
      <c r="C384">
        <v>0.18096999999999999</v>
      </c>
      <c r="D384">
        <v>0.15665999999999999</v>
      </c>
      <c r="E384">
        <v>0.17979999999999999</v>
      </c>
      <c r="F384">
        <v>20969515.5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0.90374331550802101</v>
      </c>
      <c r="Q384">
        <f t="shared" si="970"/>
        <v>18951059.462566838</v>
      </c>
      <c r="R384">
        <f t="shared" si="971"/>
        <v>169463000.92861396</v>
      </c>
      <c r="S384">
        <f t="shared" si="972"/>
        <v>1694.6300092861395</v>
      </c>
      <c r="T384">
        <f t="shared" si="973"/>
        <v>1.6946300092861395</v>
      </c>
    </row>
    <row r="385" spans="1:20" x14ac:dyDescent="0.25">
      <c r="A385" s="5">
        <v>44208</v>
      </c>
      <c r="B385">
        <v>0.16325000000000001</v>
      </c>
      <c r="C385">
        <v>0.18073</v>
      </c>
      <c r="D385">
        <v>0.15629000000000001</v>
      </c>
      <c r="E385">
        <v>0.16711999999999999</v>
      </c>
      <c r="F385">
        <v>41684601.600000001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-0.11374795417348746</v>
      </c>
      <c r="Q385">
        <f t="shared" si="970"/>
        <v>-4741538.1525368821</v>
      </c>
      <c r="R385">
        <f t="shared" si="971"/>
        <v>150511941.46604714</v>
      </c>
      <c r="S385">
        <f t="shared" si="972"/>
        <v>1505.1194146604714</v>
      </c>
      <c r="T385">
        <f t="shared" si="973"/>
        <v>1.5051194146604714</v>
      </c>
    </row>
    <row r="386" spans="1:20" x14ac:dyDescent="0.25">
      <c r="A386" s="5">
        <v>44207</v>
      </c>
      <c r="B386">
        <v>0.18551999999999999</v>
      </c>
      <c r="C386">
        <v>0.18586</v>
      </c>
      <c r="D386">
        <v>0.14026</v>
      </c>
      <c r="E386">
        <v>0.16322999999999999</v>
      </c>
      <c r="F386">
        <v>51592468.700000003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7.4561403508767365E-3</v>
      </c>
      <c r="Q386">
        <f t="shared" si="970"/>
        <v>384680.68767541507</v>
      </c>
      <c r="R386">
        <f t="shared" si="971"/>
        <v>155253479.61858401</v>
      </c>
      <c r="S386">
        <f t="shared" si="972"/>
        <v>1552.5347961858402</v>
      </c>
      <c r="T386">
        <f t="shared" si="973"/>
        <v>1.5525347961858402</v>
      </c>
    </row>
    <row r="387" spans="1:20" x14ac:dyDescent="0.25">
      <c r="A387" s="5">
        <v>44206</v>
      </c>
      <c r="B387">
        <v>0.20455999999999999</v>
      </c>
      <c r="C387">
        <v>0.21375</v>
      </c>
      <c r="D387">
        <v>0.16800000000000001</v>
      </c>
      <c r="E387">
        <v>0.18526999999999999</v>
      </c>
      <c r="F387">
        <v>49654627.200000003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-0.24502732240437222</v>
      </c>
      <c r="Q387">
        <f t="shared" si="970"/>
        <v>-12166740.347803311</v>
      </c>
      <c r="R387">
        <f t="shared" si="971"/>
        <v>154868798.93090859</v>
      </c>
      <c r="S387">
        <f t="shared" si="972"/>
        <v>1548.6879893090859</v>
      </c>
      <c r="T387">
        <f t="shared" si="973"/>
        <v>1.5486879893090859</v>
      </c>
    </row>
    <row r="388" spans="1:20" x14ac:dyDescent="0.25">
      <c r="A388" s="5">
        <v>44205</v>
      </c>
      <c r="B388">
        <v>0.21485000000000001</v>
      </c>
      <c r="C388">
        <v>0.21701000000000001</v>
      </c>
      <c r="D388">
        <v>0.189</v>
      </c>
      <c r="E388">
        <v>0.20455999999999999</v>
      </c>
      <c r="F388">
        <v>80561486.299999997</v>
      </c>
      <c r="G388">
        <v>0</v>
      </c>
      <c r="L388" t="s">
        <v>7</v>
      </c>
      <c r="M388" t="s">
        <v>7</v>
      </c>
      <c r="N388" t="s">
        <v>7</v>
      </c>
      <c r="P388">
        <f t="shared" si="969"/>
        <v>0.11103177436629678</v>
      </c>
      <c r="Q388">
        <f t="shared" si="970"/>
        <v>8944884.7694751099</v>
      </c>
      <c r="R388">
        <f t="shared" si="971"/>
        <v>167035539.27871192</v>
      </c>
      <c r="S388">
        <f t="shared" si="972"/>
        <v>1670.3553927871192</v>
      </c>
      <c r="T388">
        <f t="shared" si="973"/>
        <v>1.6703553927871191</v>
      </c>
    </row>
    <row r="389" spans="1:20" x14ac:dyDescent="0.25">
      <c r="A389" s="5">
        <v>44204</v>
      </c>
      <c r="B389">
        <v>0.16391</v>
      </c>
      <c r="C389">
        <v>0.27200000000000002</v>
      </c>
      <c r="D389">
        <v>0.16391</v>
      </c>
      <c r="E389">
        <v>0.21487999999999999</v>
      </c>
      <c r="F389">
        <v>330270304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-5.6897030252567704E-2</v>
      </c>
      <c r="Q389">
        <f t="shared" si="970"/>
        <v>-18791399.478212733</v>
      </c>
      <c r="R389">
        <f t="shared" si="971"/>
        <v>158090654.50923681</v>
      </c>
      <c r="S389">
        <f t="shared" si="972"/>
        <v>1580.9065450923681</v>
      </c>
      <c r="T389">
        <f t="shared" si="973"/>
        <v>1.5809065450923681</v>
      </c>
    </row>
    <row r="390" spans="1:20" x14ac:dyDescent="0.25">
      <c r="A390" s="5">
        <v>44203</v>
      </c>
      <c r="B390">
        <v>0.16041</v>
      </c>
      <c r="C390">
        <v>0.18879000000000001</v>
      </c>
      <c r="D390">
        <v>0.1517</v>
      </c>
      <c r="E390">
        <v>0.16388</v>
      </c>
      <c r="F390">
        <v>44221166.299999997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-0.3432191965489354</v>
      </c>
      <c r="Q390">
        <f t="shared" ref="Q390:Q453" si="975">F390*P390</f>
        <v>-15177553.167942857</v>
      </c>
      <c r="R390">
        <f t="shared" ref="R390:R453" si="976">R391+Q390</f>
        <v>176882053.98744956</v>
      </c>
      <c r="S390">
        <f t="shared" ref="S390:S453" si="977">R390/100000</f>
        <v>1768.8205398744956</v>
      </c>
      <c r="T390">
        <f t="shared" ref="T390:T453" si="978">S390/1000</f>
        <v>1.7688205398744956</v>
      </c>
    </row>
    <row r="391" spans="1:20" x14ac:dyDescent="0.25">
      <c r="A391" s="5">
        <v>44202</v>
      </c>
      <c r="B391">
        <v>0.14654</v>
      </c>
      <c r="C391">
        <v>0.16294</v>
      </c>
      <c r="D391">
        <v>0.14255000000000001</v>
      </c>
      <c r="E391">
        <v>0.16005</v>
      </c>
      <c r="F391">
        <v>36828277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0.71652770966159829</v>
      </c>
      <c r="Q391">
        <f t="shared" si="975"/>
        <v>26388480.969592918</v>
      </c>
      <c r="R391">
        <f t="shared" si="976"/>
        <v>192059607.15539241</v>
      </c>
      <c r="S391">
        <f t="shared" si="977"/>
        <v>1920.596071553924</v>
      </c>
      <c r="T391">
        <f t="shared" si="978"/>
        <v>1.9205960715539241</v>
      </c>
    </row>
    <row r="392" spans="1:20" x14ac:dyDescent="0.25">
      <c r="A392" s="5">
        <v>44201</v>
      </c>
      <c r="B392">
        <v>0.14101</v>
      </c>
      <c r="C392">
        <v>0.1482</v>
      </c>
      <c r="D392">
        <v>0.13400000000000001</v>
      </c>
      <c r="E392">
        <v>0.14654</v>
      </c>
      <c r="F392">
        <v>24622543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0.76619718309859208</v>
      </c>
      <c r="Q392">
        <f t="shared" si="975"/>
        <v>18865723.087323956</v>
      </c>
      <c r="R392">
        <f t="shared" si="976"/>
        <v>165671126.18579948</v>
      </c>
      <c r="S392">
        <f t="shared" si="977"/>
        <v>1656.7112618579947</v>
      </c>
      <c r="T392">
        <f t="shared" si="978"/>
        <v>1.6567112618579947</v>
      </c>
    </row>
    <row r="393" spans="1:20" x14ac:dyDescent="0.25">
      <c r="A393" s="5">
        <v>44200</v>
      </c>
      <c r="B393">
        <v>0.13500000000000001</v>
      </c>
      <c r="C393">
        <v>0.14732000000000001</v>
      </c>
      <c r="D393">
        <v>0.128</v>
      </c>
      <c r="E393">
        <v>0.14105000000000001</v>
      </c>
      <c r="F393">
        <v>32351362.800000001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0.35093167701863387</v>
      </c>
      <c r="Q393">
        <f t="shared" si="975"/>
        <v>11353118.001242246</v>
      </c>
      <c r="R393">
        <f t="shared" si="976"/>
        <v>146805403.09847552</v>
      </c>
      <c r="S393">
        <f t="shared" si="977"/>
        <v>1468.0540309847552</v>
      </c>
      <c r="T393">
        <f t="shared" si="978"/>
        <v>1.4680540309847552</v>
      </c>
    </row>
    <row r="394" spans="1:20" x14ac:dyDescent="0.25">
      <c r="A394" s="5">
        <v>44199</v>
      </c>
      <c r="B394">
        <v>0.13172</v>
      </c>
      <c r="C394">
        <v>0.13699</v>
      </c>
      <c r="D394">
        <v>0.12806000000000001</v>
      </c>
      <c r="E394">
        <v>0.13500000000000001</v>
      </c>
      <c r="F394">
        <v>20306643.300000001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0.55431131019037105</v>
      </c>
      <c r="Q394">
        <f t="shared" si="975"/>
        <v>11256202.05319152</v>
      </c>
      <c r="R394">
        <f t="shared" si="976"/>
        <v>135452285.09723327</v>
      </c>
      <c r="S394">
        <f t="shared" si="977"/>
        <v>1354.5228509723327</v>
      </c>
      <c r="T394">
        <f t="shared" si="978"/>
        <v>1.3545228509723326</v>
      </c>
    </row>
    <row r="395" spans="1:20" x14ac:dyDescent="0.25">
      <c r="A395" s="5">
        <v>44198</v>
      </c>
      <c r="B395">
        <v>0.13567000000000001</v>
      </c>
      <c r="C395">
        <v>0.13571</v>
      </c>
      <c r="D395">
        <v>0.12701000000000001</v>
      </c>
      <c r="E395">
        <v>0.13156000000000001</v>
      </c>
      <c r="F395">
        <v>13171004.9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4.5977011494254268E-2</v>
      </c>
      <c r="Q395">
        <f t="shared" si="975"/>
        <v>605563.44367817929</v>
      </c>
      <c r="R395">
        <f t="shared" si="976"/>
        <v>124196083.04404174</v>
      </c>
      <c r="S395">
        <f t="shared" si="977"/>
        <v>1241.9608304404173</v>
      </c>
      <c r="T395">
        <f t="shared" si="978"/>
        <v>1.2419608304404173</v>
      </c>
    </row>
    <row r="396" spans="1:20" x14ac:dyDescent="0.25">
      <c r="A396" s="5">
        <v>44197</v>
      </c>
      <c r="B396">
        <v>0.12994</v>
      </c>
      <c r="C396">
        <v>0.13888</v>
      </c>
      <c r="D396">
        <v>0.12859999999999999</v>
      </c>
      <c r="E396">
        <v>0.13561000000000001</v>
      </c>
      <c r="F396">
        <v>13878554.9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0.36381322957198609</v>
      </c>
      <c r="Q396">
        <f t="shared" si="975"/>
        <v>5049201.8799611125</v>
      </c>
      <c r="R396">
        <f t="shared" si="976"/>
        <v>123590519.60036355</v>
      </c>
      <c r="S396">
        <f t="shared" si="977"/>
        <v>1235.9051960036356</v>
      </c>
      <c r="T396">
        <f t="shared" si="978"/>
        <v>1.2359051960036356</v>
      </c>
    </row>
    <row r="397" spans="1:20" x14ac:dyDescent="0.25">
      <c r="A397" s="5">
        <v>44196</v>
      </c>
      <c r="B397">
        <v>0.12933</v>
      </c>
      <c r="C397">
        <v>0.13062000000000001</v>
      </c>
      <c r="D397">
        <v>0.12411</v>
      </c>
      <c r="E397">
        <v>0.12977</v>
      </c>
      <c r="F397">
        <v>13065329.6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0.73886328725037931</v>
      </c>
      <c r="Q397">
        <f t="shared" si="975"/>
        <v>9653492.3772656824</v>
      </c>
      <c r="R397">
        <f t="shared" si="976"/>
        <v>118541317.72040243</v>
      </c>
      <c r="S397">
        <f t="shared" si="977"/>
        <v>1185.4131772040244</v>
      </c>
      <c r="T397">
        <f t="shared" si="978"/>
        <v>1.1854131772040244</v>
      </c>
    </row>
    <row r="398" spans="1:20" x14ac:dyDescent="0.25">
      <c r="A398" s="5">
        <v>44195</v>
      </c>
      <c r="B398">
        <v>0.13295999999999999</v>
      </c>
      <c r="C398">
        <v>0.13700000000000001</v>
      </c>
      <c r="D398">
        <v>0.12881000000000001</v>
      </c>
      <c r="E398">
        <v>0.12934000000000001</v>
      </c>
      <c r="F398">
        <v>15293648.9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-0.87057387057386992</v>
      </c>
      <c r="Q398">
        <f t="shared" si="975"/>
        <v>-13314251.118070809</v>
      </c>
      <c r="R398">
        <f t="shared" si="976"/>
        <v>108887825.34313676</v>
      </c>
      <c r="S398">
        <f t="shared" si="977"/>
        <v>1088.8782534313675</v>
      </c>
      <c r="T398">
        <f t="shared" si="978"/>
        <v>1.0888782534313675</v>
      </c>
    </row>
    <row r="399" spans="1:20" x14ac:dyDescent="0.25">
      <c r="A399" s="5">
        <v>44194</v>
      </c>
      <c r="B399">
        <v>0.13854</v>
      </c>
      <c r="C399">
        <v>0.14057</v>
      </c>
      <c r="D399">
        <v>0.12928000000000001</v>
      </c>
      <c r="E399">
        <v>0.13286000000000001</v>
      </c>
      <c r="F399">
        <v>18327175.100000001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-0.3658104517271919</v>
      </c>
      <c r="Q399">
        <f t="shared" si="975"/>
        <v>-6704272.2022143435</v>
      </c>
      <c r="R399">
        <f t="shared" si="976"/>
        <v>122202076.46120757</v>
      </c>
      <c r="S399">
        <f t="shared" si="977"/>
        <v>1222.0207646120757</v>
      </c>
      <c r="T399">
        <f t="shared" si="978"/>
        <v>1.2220207646120758</v>
      </c>
    </row>
    <row r="400" spans="1:20" x14ac:dyDescent="0.25">
      <c r="A400" s="5">
        <v>44193</v>
      </c>
      <c r="B400">
        <v>0.13675999999999999</v>
      </c>
      <c r="C400">
        <v>0.14448</v>
      </c>
      <c r="D400">
        <v>0.13519999999999999</v>
      </c>
      <c r="E400">
        <v>0.13875000000000001</v>
      </c>
      <c r="F400">
        <v>13308949.6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-0.23491379310344368</v>
      </c>
      <c r="Q400">
        <f t="shared" si="975"/>
        <v>-3126455.8327585594</v>
      </c>
      <c r="R400">
        <f t="shared" si="976"/>
        <v>128906348.66342191</v>
      </c>
      <c r="S400">
        <f t="shared" si="977"/>
        <v>1289.0634866342191</v>
      </c>
      <c r="T400">
        <f t="shared" si="978"/>
        <v>1.289063486634219</v>
      </c>
    </row>
    <row r="401" spans="1:20" x14ac:dyDescent="0.25">
      <c r="A401" s="5">
        <v>44192</v>
      </c>
      <c r="B401">
        <v>0.1406</v>
      </c>
      <c r="C401">
        <v>0.14679</v>
      </c>
      <c r="D401">
        <v>0.13317999999999999</v>
      </c>
      <c r="E401">
        <v>0.13666</v>
      </c>
      <c r="F401">
        <v>16948283.300000001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-0.48861131520940365</v>
      </c>
      <c r="Q401">
        <f t="shared" si="975"/>
        <v>-8281122.9937545722</v>
      </c>
      <c r="R401">
        <f t="shared" si="976"/>
        <v>132032804.49618047</v>
      </c>
      <c r="S401">
        <f t="shared" si="977"/>
        <v>1320.3280449618048</v>
      </c>
      <c r="T401">
        <f t="shared" si="978"/>
        <v>1.3203280449618049</v>
      </c>
    </row>
    <row r="402" spans="1:20" x14ac:dyDescent="0.25">
      <c r="A402" s="5">
        <v>44191</v>
      </c>
      <c r="B402">
        <v>0.14071</v>
      </c>
      <c r="C402">
        <v>0.14138999999999999</v>
      </c>
      <c r="D402">
        <v>0.13405</v>
      </c>
      <c r="E402">
        <v>0.14066000000000001</v>
      </c>
      <c r="F402">
        <v>9138443.6999999993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0.80108991825613562</v>
      </c>
      <c r="Q402">
        <f t="shared" si="975"/>
        <v>7320715.1166212969</v>
      </c>
      <c r="R402">
        <f t="shared" si="976"/>
        <v>140313927.48993504</v>
      </c>
      <c r="S402">
        <f t="shared" si="977"/>
        <v>1403.1392748993503</v>
      </c>
      <c r="T402">
        <f t="shared" si="978"/>
        <v>1.4031392748993503</v>
      </c>
    </row>
    <row r="403" spans="1:20" x14ac:dyDescent="0.25">
      <c r="A403" s="5">
        <v>44190</v>
      </c>
      <c r="B403">
        <v>0.14399000000000001</v>
      </c>
      <c r="C403">
        <v>0.14535000000000001</v>
      </c>
      <c r="D403">
        <v>0.13850000000000001</v>
      </c>
      <c r="E403">
        <v>0.14066999999999999</v>
      </c>
      <c r="F403">
        <v>8677546.4000000004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-0.36642335766423967</v>
      </c>
      <c r="Q403">
        <f t="shared" si="975"/>
        <v>-3179655.6881752354</v>
      </c>
      <c r="R403">
        <f t="shared" si="976"/>
        <v>132993212.37331375</v>
      </c>
      <c r="S403">
        <f t="shared" si="977"/>
        <v>1329.9321237331376</v>
      </c>
      <c r="T403">
        <f t="shared" si="978"/>
        <v>1.3299321237331376</v>
      </c>
    </row>
    <row r="404" spans="1:20" x14ac:dyDescent="0.25">
      <c r="A404" s="5">
        <v>44189</v>
      </c>
      <c r="B404">
        <v>0.12203</v>
      </c>
      <c r="C404">
        <v>0.14399000000000001</v>
      </c>
      <c r="D404">
        <v>0.11931</v>
      </c>
      <c r="E404">
        <v>0.14394000000000001</v>
      </c>
      <c r="F404">
        <v>17223259.199999999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0.99594813614262601</v>
      </c>
      <c r="Q404">
        <f t="shared" si="975"/>
        <v>17153472.898541335</v>
      </c>
      <c r="R404">
        <f t="shared" si="976"/>
        <v>136172868.06148899</v>
      </c>
      <c r="S404">
        <f t="shared" si="977"/>
        <v>1361.7286806148898</v>
      </c>
      <c r="T404">
        <f t="shared" si="978"/>
        <v>1.3617286806148898</v>
      </c>
    </row>
    <row r="405" spans="1:20" x14ac:dyDescent="0.25">
      <c r="A405" s="5">
        <v>44188</v>
      </c>
      <c r="B405">
        <v>0.14459</v>
      </c>
      <c r="C405">
        <v>0.14545</v>
      </c>
      <c r="D405">
        <v>0.11523</v>
      </c>
      <c r="E405">
        <v>0.12203</v>
      </c>
      <c r="F405">
        <v>20669763.699999999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-0.54996690933156844</v>
      </c>
      <c r="Q405">
        <f t="shared" si="975"/>
        <v>-11367686.058702845</v>
      </c>
      <c r="R405">
        <f t="shared" si="976"/>
        <v>119019395.16294765</v>
      </c>
      <c r="S405">
        <f t="shared" si="977"/>
        <v>1190.1939516294765</v>
      </c>
      <c r="T405">
        <f t="shared" si="978"/>
        <v>1.1901939516294764</v>
      </c>
    </row>
    <row r="406" spans="1:20" x14ac:dyDescent="0.25">
      <c r="A406" s="5">
        <v>44187</v>
      </c>
      <c r="B406">
        <v>0.14501</v>
      </c>
      <c r="C406">
        <v>0.14677000000000001</v>
      </c>
      <c r="D406">
        <v>0.13800999999999999</v>
      </c>
      <c r="E406">
        <v>0.1447</v>
      </c>
      <c r="F406">
        <v>13705189.9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0.52739726027396983</v>
      </c>
      <c r="Q406">
        <f t="shared" si="975"/>
        <v>7228079.6047944827</v>
      </c>
      <c r="R406">
        <f t="shared" si="976"/>
        <v>130387081.2216505</v>
      </c>
      <c r="S406">
        <f t="shared" si="977"/>
        <v>1303.8708122165049</v>
      </c>
      <c r="T406">
        <f t="shared" si="978"/>
        <v>1.3038708122165048</v>
      </c>
    </row>
    <row r="407" spans="1:20" x14ac:dyDescent="0.25">
      <c r="A407" s="5">
        <v>44186</v>
      </c>
      <c r="B407">
        <v>0.15236</v>
      </c>
      <c r="C407">
        <v>0.15615000000000001</v>
      </c>
      <c r="D407">
        <v>0.13569999999999999</v>
      </c>
      <c r="E407">
        <v>0.14510999999999999</v>
      </c>
      <c r="F407">
        <v>16513051.300000001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-7.9706601466993571E-2</v>
      </c>
      <c r="Q407">
        <f t="shared" si="975"/>
        <v>-1316199.1989731202</v>
      </c>
      <c r="R407">
        <f t="shared" si="976"/>
        <v>123159001.61685601</v>
      </c>
      <c r="S407">
        <f t="shared" si="977"/>
        <v>1231.5900161685602</v>
      </c>
      <c r="T407">
        <f t="shared" si="978"/>
        <v>1.2315900161685602</v>
      </c>
    </row>
    <row r="408" spans="1:20" x14ac:dyDescent="0.25">
      <c r="A408" s="5">
        <v>44185</v>
      </c>
      <c r="B408">
        <v>0.15884000000000001</v>
      </c>
      <c r="C408">
        <v>0.15889</v>
      </c>
      <c r="D408">
        <v>0.15001</v>
      </c>
      <c r="E408">
        <v>0.15236</v>
      </c>
      <c r="F408">
        <v>9858928.6999999993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-0.47072072072072269</v>
      </c>
      <c r="Q408">
        <f t="shared" si="975"/>
        <v>-4640802.0231982172</v>
      </c>
      <c r="R408">
        <f t="shared" si="976"/>
        <v>124475200.81582913</v>
      </c>
      <c r="S408">
        <f t="shared" si="977"/>
        <v>1244.7520081582913</v>
      </c>
      <c r="T408">
        <f t="shared" si="978"/>
        <v>1.2447520081582915</v>
      </c>
    </row>
    <row r="409" spans="1:20" x14ac:dyDescent="0.25">
      <c r="A409" s="5">
        <v>44184</v>
      </c>
      <c r="B409">
        <v>0.16023000000000001</v>
      </c>
      <c r="C409">
        <v>0.16672999999999999</v>
      </c>
      <c r="D409">
        <v>0.15795000000000001</v>
      </c>
      <c r="E409">
        <v>0.15884000000000001</v>
      </c>
      <c r="F409">
        <v>11174408.5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-0.79726651480637734</v>
      </c>
      <c r="Q409">
        <f t="shared" si="975"/>
        <v>-8908981.7198177595</v>
      </c>
      <c r="R409">
        <f t="shared" si="976"/>
        <v>129116002.83902735</v>
      </c>
      <c r="S409">
        <f t="shared" si="977"/>
        <v>1291.1600283902735</v>
      </c>
      <c r="T409">
        <f t="shared" si="978"/>
        <v>1.2911600283902736</v>
      </c>
    </row>
    <row r="410" spans="1:20" x14ac:dyDescent="0.25">
      <c r="A410" s="5">
        <v>44183</v>
      </c>
      <c r="B410">
        <v>0.15260000000000001</v>
      </c>
      <c r="C410">
        <v>0.16400000000000001</v>
      </c>
      <c r="D410">
        <v>0.14965999999999999</v>
      </c>
      <c r="E410">
        <v>0.16037000000000001</v>
      </c>
      <c r="F410">
        <v>12999688.699999999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0.49372384937238639</v>
      </c>
      <c r="Q410">
        <f t="shared" si="975"/>
        <v>6418256.3456067136</v>
      </c>
      <c r="R410">
        <f t="shared" si="976"/>
        <v>138024984.5588451</v>
      </c>
      <c r="S410">
        <f t="shared" si="977"/>
        <v>1380.2498455884511</v>
      </c>
      <c r="T410">
        <f t="shared" si="978"/>
        <v>1.3802498455884511</v>
      </c>
    </row>
    <row r="411" spans="1:20" x14ac:dyDescent="0.25">
      <c r="A411" s="5">
        <v>44182</v>
      </c>
      <c r="B411">
        <v>0.15456</v>
      </c>
      <c r="C411">
        <v>0.16200000000000001</v>
      </c>
      <c r="D411">
        <v>0.15001</v>
      </c>
      <c r="E411">
        <v>0.15265999999999999</v>
      </c>
      <c r="F411">
        <v>20094164.300000001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-0.55796497080900986</v>
      </c>
      <c r="Q411">
        <f t="shared" si="975"/>
        <v>-11211839.797080949</v>
      </c>
      <c r="R411">
        <f t="shared" si="976"/>
        <v>131606728.2132384</v>
      </c>
      <c r="S411">
        <f t="shared" si="977"/>
        <v>1316.067282132384</v>
      </c>
      <c r="T411">
        <f t="shared" si="978"/>
        <v>1.316067282132384</v>
      </c>
    </row>
    <row r="412" spans="1:20" x14ac:dyDescent="0.25">
      <c r="A412" s="5">
        <v>44181</v>
      </c>
      <c r="B412">
        <v>0.15515999999999999</v>
      </c>
      <c r="C412">
        <v>0.15717999999999999</v>
      </c>
      <c r="D412">
        <v>0.14929999999999999</v>
      </c>
      <c r="E412">
        <v>0.15459000000000001</v>
      </c>
      <c r="F412">
        <v>14219024.199999999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0.34263959390863408</v>
      </c>
      <c r="Q412">
        <f t="shared" si="975"/>
        <v>4872000.6776650399</v>
      </c>
      <c r="R412">
        <f t="shared" si="976"/>
        <v>142818568.01031935</v>
      </c>
      <c r="S412">
        <f t="shared" si="977"/>
        <v>1428.1856801031936</v>
      </c>
      <c r="T412">
        <f t="shared" si="978"/>
        <v>1.4281856801031936</v>
      </c>
    </row>
    <row r="413" spans="1:20" x14ac:dyDescent="0.25">
      <c r="A413" s="5">
        <v>44180</v>
      </c>
      <c r="B413">
        <v>0.15099000000000001</v>
      </c>
      <c r="C413">
        <v>0.15906000000000001</v>
      </c>
      <c r="D413">
        <v>0.14671999999999999</v>
      </c>
      <c r="E413">
        <v>0.15529999999999999</v>
      </c>
      <c r="F413">
        <v>15347307.5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0.39059967585089012</v>
      </c>
      <c r="Q413">
        <f t="shared" si="975"/>
        <v>5994653.3346839352</v>
      </c>
      <c r="R413">
        <f t="shared" si="976"/>
        <v>137946567.3326543</v>
      </c>
      <c r="S413">
        <f t="shared" si="977"/>
        <v>1379.4656733265431</v>
      </c>
      <c r="T413">
        <f t="shared" si="978"/>
        <v>1.3794656733265431</v>
      </c>
    </row>
    <row r="414" spans="1:20" x14ac:dyDescent="0.25">
      <c r="A414" s="5">
        <v>44179</v>
      </c>
      <c r="B414">
        <v>0.14351</v>
      </c>
      <c r="C414">
        <v>0.1532</v>
      </c>
      <c r="D414">
        <v>0.14143</v>
      </c>
      <c r="E414">
        <v>0.15084</v>
      </c>
      <c r="F414">
        <v>13549294.5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0.59898045879354278</v>
      </c>
      <c r="Q414">
        <f t="shared" si="975"/>
        <v>8115762.635938826</v>
      </c>
      <c r="R414">
        <f t="shared" si="976"/>
        <v>131951913.99797036</v>
      </c>
      <c r="S414">
        <f t="shared" si="977"/>
        <v>1319.5191399797036</v>
      </c>
      <c r="T414">
        <f t="shared" si="978"/>
        <v>1.3195191399797035</v>
      </c>
    </row>
    <row r="415" spans="1:20" x14ac:dyDescent="0.25">
      <c r="A415" s="5">
        <v>44178</v>
      </c>
      <c r="B415">
        <v>0.14471999999999999</v>
      </c>
      <c r="C415">
        <v>0.14609</v>
      </c>
      <c r="D415">
        <v>0.14099</v>
      </c>
      <c r="E415">
        <v>0.14377999999999999</v>
      </c>
      <c r="F415">
        <v>8757279.0999999996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9.4117647058819823E-2</v>
      </c>
      <c r="Q415">
        <f t="shared" si="975"/>
        <v>824214.50352937926</v>
      </c>
      <c r="R415">
        <f t="shared" si="976"/>
        <v>123836151.36203153</v>
      </c>
      <c r="S415">
        <f t="shared" si="977"/>
        <v>1238.3615136203152</v>
      </c>
      <c r="T415">
        <f t="shared" si="978"/>
        <v>1.2383615136203152</v>
      </c>
    </row>
    <row r="416" spans="1:20" x14ac:dyDescent="0.25">
      <c r="A416" s="5">
        <v>44177</v>
      </c>
      <c r="B416">
        <v>0.14001</v>
      </c>
      <c r="C416">
        <v>0.14507999999999999</v>
      </c>
      <c r="D416">
        <v>0.13965</v>
      </c>
      <c r="E416">
        <v>0.14446999999999999</v>
      </c>
      <c r="F416">
        <v>5052940.3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0.77532228360957622</v>
      </c>
      <c r="Q416">
        <f t="shared" si="975"/>
        <v>3917657.2123388569</v>
      </c>
      <c r="R416">
        <f t="shared" si="976"/>
        <v>123011936.85850215</v>
      </c>
      <c r="S416">
        <f t="shared" si="977"/>
        <v>1230.1193685850214</v>
      </c>
      <c r="T416">
        <f t="shared" si="978"/>
        <v>1.2301193685850214</v>
      </c>
    </row>
    <row r="417" spans="1:20" x14ac:dyDescent="0.25">
      <c r="A417" s="5">
        <v>44176</v>
      </c>
      <c r="B417">
        <v>0.14255000000000001</v>
      </c>
      <c r="C417">
        <v>0.14330000000000001</v>
      </c>
      <c r="D417">
        <v>0.13411000000000001</v>
      </c>
      <c r="E417">
        <v>0.14000000000000001</v>
      </c>
      <c r="F417">
        <v>8037102.7000000002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0.28182807399347204</v>
      </c>
      <c r="Q417">
        <f t="shared" si="975"/>
        <v>2265081.174428734</v>
      </c>
      <c r="R417">
        <f t="shared" si="976"/>
        <v>119094279.6461633</v>
      </c>
      <c r="S417">
        <f t="shared" si="977"/>
        <v>1190.942796461633</v>
      </c>
      <c r="T417">
        <f t="shared" si="978"/>
        <v>1.190942796461633</v>
      </c>
    </row>
    <row r="418" spans="1:20" x14ac:dyDescent="0.25">
      <c r="A418" s="5">
        <v>44175</v>
      </c>
      <c r="B418">
        <v>0.14066000000000001</v>
      </c>
      <c r="C418">
        <v>0.14432</v>
      </c>
      <c r="D418">
        <v>0.13636999999999999</v>
      </c>
      <c r="E418">
        <v>0.14221</v>
      </c>
      <c r="F418">
        <v>11541224.800000001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0.46918238993710759</v>
      </c>
      <c r="Q418">
        <f t="shared" si="975"/>
        <v>5414939.4344654167</v>
      </c>
      <c r="R418">
        <f t="shared" si="976"/>
        <v>116829198.47173457</v>
      </c>
      <c r="S418">
        <f t="shared" si="977"/>
        <v>1168.2919847173457</v>
      </c>
      <c r="T418">
        <f t="shared" si="978"/>
        <v>1.1682919847173456</v>
      </c>
    </row>
    <row r="419" spans="1:20" x14ac:dyDescent="0.25">
      <c r="A419" s="5">
        <v>44174</v>
      </c>
      <c r="B419">
        <v>0.13994000000000001</v>
      </c>
      <c r="C419">
        <v>0.14510000000000001</v>
      </c>
      <c r="D419">
        <v>0.13055</v>
      </c>
      <c r="E419">
        <v>0.14069999999999999</v>
      </c>
      <c r="F419">
        <v>13948420.300000001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0.39518900343642438</v>
      </c>
      <c r="Q419">
        <f t="shared" si="975"/>
        <v>5512262.3178693922</v>
      </c>
      <c r="R419">
        <f t="shared" si="976"/>
        <v>111414259.03726915</v>
      </c>
      <c r="S419">
        <f t="shared" si="977"/>
        <v>1114.1425903726915</v>
      </c>
      <c r="T419">
        <f t="shared" si="978"/>
        <v>1.1141425903726916</v>
      </c>
    </row>
    <row r="420" spans="1:20" x14ac:dyDescent="0.25">
      <c r="A420" s="5">
        <v>44173</v>
      </c>
      <c r="B420">
        <v>0.15148</v>
      </c>
      <c r="C420">
        <v>0.15805</v>
      </c>
      <c r="D420">
        <v>0.13900000000000001</v>
      </c>
      <c r="E420">
        <v>0.14027999999999999</v>
      </c>
      <c r="F420">
        <v>19101963.199999999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-0.86561679790026491</v>
      </c>
      <c r="Q420">
        <f t="shared" si="975"/>
        <v>-16534980.218792697</v>
      </c>
      <c r="R420">
        <f t="shared" si="976"/>
        <v>105901996.71939975</v>
      </c>
      <c r="S420">
        <f t="shared" si="977"/>
        <v>1059.0199671939974</v>
      </c>
      <c r="T420">
        <f t="shared" si="978"/>
        <v>1.0590199671939975</v>
      </c>
    </row>
    <row r="421" spans="1:20" x14ac:dyDescent="0.25">
      <c r="A421" s="5">
        <v>44172</v>
      </c>
      <c r="B421">
        <v>0.15279999999999999</v>
      </c>
      <c r="C421">
        <v>0.15654000000000001</v>
      </c>
      <c r="D421">
        <v>0.14760999999999999</v>
      </c>
      <c r="E421">
        <v>0.15153</v>
      </c>
      <c r="F421">
        <v>9732967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-0.12206047032474861</v>
      </c>
      <c r="Q421">
        <f t="shared" si="975"/>
        <v>-1188010.5296752574</v>
      </c>
      <c r="R421">
        <f t="shared" si="976"/>
        <v>122436976.93819244</v>
      </c>
      <c r="S421">
        <f t="shared" si="977"/>
        <v>1224.3697693819245</v>
      </c>
      <c r="T421">
        <f t="shared" si="978"/>
        <v>1.2243697693819244</v>
      </c>
    </row>
    <row r="422" spans="1:20" x14ac:dyDescent="0.25">
      <c r="A422" s="5">
        <v>44171</v>
      </c>
      <c r="B422">
        <v>0.15298999999999999</v>
      </c>
      <c r="C422">
        <v>0.154</v>
      </c>
      <c r="D422">
        <v>0.14757999999999999</v>
      </c>
      <c r="E422">
        <v>0.15257000000000001</v>
      </c>
      <c r="F422">
        <v>12542739.5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0.55451713395639102</v>
      </c>
      <c r="Q422">
        <f t="shared" si="975"/>
        <v>6955163.9595016167</v>
      </c>
      <c r="R422">
        <f t="shared" si="976"/>
        <v>123624987.4678677</v>
      </c>
      <c r="S422">
        <f t="shared" si="977"/>
        <v>1236.2498746786771</v>
      </c>
      <c r="T422">
        <f t="shared" si="978"/>
        <v>1.2362498746786772</v>
      </c>
    </row>
    <row r="423" spans="1:20" x14ac:dyDescent="0.25">
      <c r="A423" s="5">
        <v>44170</v>
      </c>
      <c r="B423">
        <v>0.14621999999999999</v>
      </c>
      <c r="C423">
        <v>0.15642</v>
      </c>
      <c r="D423">
        <v>0.14280999999999999</v>
      </c>
      <c r="E423">
        <v>0.15251000000000001</v>
      </c>
      <c r="F423">
        <v>16770054.300000001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0.42542248346803913</v>
      </c>
      <c r="Q423">
        <f t="shared" si="975"/>
        <v>7134358.1481998684</v>
      </c>
      <c r="R423">
        <f t="shared" si="976"/>
        <v>116669823.50836608</v>
      </c>
      <c r="S423">
        <f t="shared" si="977"/>
        <v>1166.6982350836608</v>
      </c>
      <c r="T423">
        <f t="shared" si="978"/>
        <v>1.1666982350836608</v>
      </c>
    </row>
    <row r="424" spans="1:20" x14ac:dyDescent="0.25">
      <c r="A424" s="5">
        <v>44169</v>
      </c>
      <c r="B424">
        <v>0.15720999999999999</v>
      </c>
      <c r="C424">
        <v>0.16300000000000001</v>
      </c>
      <c r="D424">
        <v>0.14402999999999999</v>
      </c>
      <c r="E424">
        <v>0.14643</v>
      </c>
      <c r="F424">
        <v>31376127.100000001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-0.74696889826041002</v>
      </c>
      <c r="Q424">
        <f t="shared" si="975"/>
        <v>-23436991.091565594</v>
      </c>
      <c r="R424">
        <f t="shared" si="976"/>
        <v>109535465.36016621</v>
      </c>
      <c r="S424">
        <f t="shared" si="977"/>
        <v>1095.354653601662</v>
      </c>
      <c r="T424">
        <f t="shared" si="978"/>
        <v>1.0953546536016621</v>
      </c>
    </row>
    <row r="425" spans="1:20" x14ac:dyDescent="0.25">
      <c r="A425" s="5">
        <v>44168</v>
      </c>
      <c r="B425">
        <v>0.16164999999999999</v>
      </c>
      <c r="C425">
        <v>0.1636</v>
      </c>
      <c r="D425">
        <v>0.15346000000000001</v>
      </c>
      <c r="E425">
        <v>0.15720999999999999</v>
      </c>
      <c r="F425">
        <v>12082794.300000001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-0.26035502958580237</v>
      </c>
      <c r="Q425">
        <f t="shared" si="975"/>
        <v>-3145816.2674556645</v>
      </c>
      <c r="R425">
        <f t="shared" si="976"/>
        <v>132972456.4517318</v>
      </c>
      <c r="S425">
        <f t="shared" si="977"/>
        <v>1329.724564517318</v>
      </c>
      <c r="T425">
        <f t="shared" si="978"/>
        <v>1.3297245645173179</v>
      </c>
    </row>
    <row r="426" spans="1:20" x14ac:dyDescent="0.25">
      <c r="A426" s="5">
        <v>44167</v>
      </c>
      <c r="B426">
        <v>0.14610999999999999</v>
      </c>
      <c r="C426">
        <v>0.16200000000000001</v>
      </c>
      <c r="D426">
        <v>0.14407</v>
      </c>
      <c r="E426">
        <v>0.16167999999999999</v>
      </c>
      <c r="F426">
        <v>14658292.199999999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0.96430563301728778</v>
      </c>
      <c r="Q426">
        <f t="shared" si="975"/>
        <v>14135073.738873372</v>
      </c>
      <c r="R426">
        <f t="shared" si="976"/>
        <v>136118272.71918747</v>
      </c>
      <c r="S426">
        <f t="shared" si="977"/>
        <v>1361.1827271918746</v>
      </c>
      <c r="T426">
        <f t="shared" si="978"/>
        <v>1.3611827271918746</v>
      </c>
    </row>
    <row r="427" spans="1:20" x14ac:dyDescent="0.25">
      <c r="A427" s="5">
        <v>44166</v>
      </c>
      <c r="B427">
        <v>0.14881</v>
      </c>
      <c r="C427">
        <v>0.1537</v>
      </c>
      <c r="D427">
        <v>0.13600000000000001</v>
      </c>
      <c r="E427">
        <v>0.14641999999999999</v>
      </c>
      <c r="F427">
        <v>21788549.899999999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0.17740112994350155</v>
      </c>
      <c r="Q427">
        <f t="shared" si="975"/>
        <v>3865313.3720903671</v>
      </c>
      <c r="R427">
        <f t="shared" si="976"/>
        <v>121983198.98031409</v>
      </c>
      <c r="S427">
        <f t="shared" si="977"/>
        <v>1219.8319898031409</v>
      </c>
      <c r="T427">
        <f t="shared" si="978"/>
        <v>1.2198319898031409</v>
      </c>
    </row>
    <row r="428" spans="1:20" x14ac:dyDescent="0.25">
      <c r="A428" s="5">
        <v>44165</v>
      </c>
      <c r="B428">
        <v>0.14380000000000001</v>
      </c>
      <c r="C428">
        <v>0.14912</v>
      </c>
      <c r="D428">
        <v>0.13886999999999999</v>
      </c>
      <c r="E428">
        <v>0.14888999999999999</v>
      </c>
      <c r="F428">
        <v>14847971.800000001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0.95512195121951071</v>
      </c>
      <c r="Q428">
        <f t="shared" si="975"/>
        <v>14181623.797268271</v>
      </c>
      <c r="R428">
        <f t="shared" si="976"/>
        <v>118117885.60822372</v>
      </c>
      <c r="S428">
        <f t="shared" si="977"/>
        <v>1181.1788560822372</v>
      </c>
      <c r="T428">
        <f t="shared" si="978"/>
        <v>1.1811788560822372</v>
      </c>
    </row>
    <row r="429" spans="1:20" x14ac:dyDescent="0.25">
      <c r="A429" s="5">
        <v>44164</v>
      </c>
      <c r="B429">
        <v>0.14446999999999999</v>
      </c>
      <c r="C429">
        <v>0.14538999999999999</v>
      </c>
      <c r="D429">
        <v>0.14099999999999999</v>
      </c>
      <c r="E429">
        <v>0.14362</v>
      </c>
      <c r="F429">
        <v>8003361.2999999998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0.19362186788155272</v>
      </c>
      <c r="Q429">
        <f t="shared" si="975"/>
        <v>1549625.7642369319</v>
      </c>
      <c r="R429">
        <f t="shared" si="976"/>
        <v>103936261.81095545</v>
      </c>
      <c r="S429">
        <f t="shared" si="977"/>
        <v>1039.3626181095544</v>
      </c>
      <c r="T429">
        <f t="shared" si="978"/>
        <v>1.0393626181095543</v>
      </c>
    </row>
    <row r="430" spans="1:20" x14ac:dyDescent="0.25">
      <c r="A430" s="5">
        <v>44163</v>
      </c>
      <c r="B430">
        <v>0.14158000000000001</v>
      </c>
      <c r="C430">
        <v>0.151</v>
      </c>
      <c r="D430">
        <v>0.14029</v>
      </c>
      <c r="E430">
        <v>0.14455000000000001</v>
      </c>
      <c r="F430">
        <v>10925902.699999999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-0.20448179271708405</v>
      </c>
      <c r="Q430">
        <f t="shared" si="975"/>
        <v>-2234148.1711484287</v>
      </c>
      <c r="R430">
        <f t="shared" si="976"/>
        <v>102386636.04671852</v>
      </c>
      <c r="S430">
        <f t="shared" si="977"/>
        <v>1023.8663604671852</v>
      </c>
      <c r="T430">
        <f t="shared" si="978"/>
        <v>1.0238663604671852</v>
      </c>
    </row>
    <row r="431" spans="1:20" x14ac:dyDescent="0.25">
      <c r="A431" s="5">
        <v>44162</v>
      </c>
      <c r="B431">
        <v>0.14163000000000001</v>
      </c>
      <c r="C431">
        <v>0.14457999999999999</v>
      </c>
      <c r="D431">
        <v>0.13317000000000001</v>
      </c>
      <c r="E431">
        <v>0.14158999999999999</v>
      </c>
      <c r="F431">
        <v>12050212.4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0.47589833479404048</v>
      </c>
      <c r="Q431">
        <f t="shared" si="975"/>
        <v>5734676.015074498</v>
      </c>
      <c r="R431">
        <f t="shared" si="976"/>
        <v>104620784.21786696</v>
      </c>
      <c r="S431">
        <f t="shared" si="977"/>
        <v>1046.2078421786696</v>
      </c>
      <c r="T431">
        <f t="shared" si="978"/>
        <v>1.0462078421786696</v>
      </c>
    </row>
    <row r="432" spans="1:20" x14ac:dyDescent="0.25">
      <c r="A432" s="5">
        <v>44161</v>
      </c>
      <c r="B432">
        <v>0.16172</v>
      </c>
      <c r="C432">
        <v>0.17197999999999999</v>
      </c>
      <c r="D432">
        <v>0.13311000000000001</v>
      </c>
      <c r="E432">
        <v>0.14149999999999999</v>
      </c>
      <c r="F432">
        <v>37026877.700000003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-0.56830460509390357</v>
      </c>
      <c r="Q432">
        <f t="shared" si="975"/>
        <v>-21042545.109158766</v>
      </c>
      <c r="R432">
        <f t="shared" si="976"/>
        <v>98886108.202792466</v>
      </c>
      <c r="S432">
        <f t="shared" si="977"/>
        <v>988.86108202792468</v>
      </c>
      <c r="T432">
        <f t="shared" si="978"/>
        <v>0.98886108202792466</v>
      </c>
    </row>
    <row r="433" spans="1:20" x14ac:dyDescent="0.25">
      <c r="A433" s="5">
        <v>44160</v>
      </c>
      <c r="B433">
        <v>0.15936</v>
      </c>
      <c r="C433">
        <v>0.17843999999999999</v>
      </c>
      <c r="D433">
        <v>0.15201000000000001</v>
      </c>
      <c r="E433">
        <v>0.16198000000000001</v>
      </c>
      <c r="F433">
        <v>31202189.100000001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-0.24555429436246587</v>
      </c>
      <c r="Q433">
        <f t="shared" si="975"/>
        <v>-7661831.527014724</v>
      </c>
      <c r="R433">
        <f t="shared" si="976"/>
        <v>119928653.31195123</v>
      </c>
      <c r="S433">
        <f t="shared" si="977"/>
        <v>1199.2865331195123</v>
      </c>
      <c r="T433">
        <f t="shared" si="978"/>
        <v>1.1992865331195124</v>
      </c>
    </row>
    <row r="434" spans="1:20" x14ac:dyDescent="0.25">
      <c r="A434" s="5">
        <v>44159</v>
      </c>
      <c r="B434">
        <v>0.15503</v>
      </c>
      <c r="C434">
        <v>0.16980000000000001</v>
      </c>
      <c r="D434">
        <v>0.14637</v>
      </c>
      <c r="E434">
        <v>0.15931000000000001</v>
      </c>
      <c r="F434">
        <v>25981346.5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0.10456679470764008</v>
      </c>
      <c r="Q434">
        <f t="shared" si="975"/>
        <v>2716786.1256935629</v>
      </c>
      <c r="R434">
        <f t="shared" si="976"/>
        <v>127590484.83896595</v>
      </c>
      <c r="S434">
        <f t="shared" si="977"/>
        <v>1275.9048483896595</v>
      </c>
      <c r="T434">
        <f t="shared" si="978"/>
        <v>1.2759048483896596</v>
      </c>
    </row>
    <row r="435" spans="1:20" x14ac:dyDescent="0.25">
      <c r="A435" s="5">
        <v>44158</v>
      </c>
      <c r="B435">
        <v>0.14541000000000001</v>
      </c>
      <c r="C435">
        <v>0.15690999999999999</v>
      </c>
      <c r="D435">
        <v>0.14050000000000001</v>
      </c>
      <c r="E435">
        <v>0.15501000000000001</v>
      </c>
      <c r="F435">
        <v>15200290.6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0.7684338817794043</v>
      </c>
      <c r="Q435">
        <f t="shared" si="975"/>
        <v>11680418.30993299</v>
      </c>
      <c r="R435">
        <f t="shared" si="976"/>
        <v>124873698.71327239</v>
      </c>
      <c r="S435">
        <f t="shared" si="977"/>
        <v>1248.7369871327239</v>
      </c>
      <c r="T435">
        <f t="shared" si="978"/>
        <v>1.2487369871327239</v>
      </c>
    </row>
    <row r="436" spans="1:20" x14ac:dyDescent="0.25">
      <c r="A436" s="5">
        <v>44157</v>
      </c>
      <c r="B436">
        <v>0.15071999999999999</v>
      </c>
      <c r="C436">
        <v>0.15368000000000001</v>
      </c>
      <c r="D436">
        <v>0.13614000000000001</v>
      </c>
      <c r="E436">
        <v>0.1454</v>
      </c>
      <c r="F436">
        <v>14361449.300000001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5.5872291904217837E-2</v>
      </c>
      <c r="Q436">
        <f t="shared" si="975"/>
        <v>802407.08745722496</v>
      </c>
      <c r="R436">
        <f t="shared" si="976"/>
        <v>113193280.4033394</v>
      </c>
      <c r="S436">
        <f t="shared" si="977"/>
        <v>1131.9328040333939</v>
      </c>
      <c r="T436">
        <f t="shared" si="978"/>
        <v>1.131932804033394</v>
      </c>
    </row>
    <row r="437" spans="1:20" x14ac:dyDescent="0.25">
      <c r="A437" s="5">
        <v>44156</v>
      </c>
      <c r="B437">
        <v>0.14001</v>
      </c>
      <c r="C437">
        <v>0.15110999999999999</v>
      </c>
      <c r="D437">
        <v>0.13672000000000001</v>
      </c>
      <c r="E437">
        <v>0.15060000000000001</v>
      </c>
      <c r="F437">
        <v>12294056.5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0.92911744266852214</v>
      </c>
      <c r="Q437">
        <f t="shared" si="975"/>
        <v>11422622.335302321</v>
      </c>
      <c r="R437">
        <f t="shared" si="976"/>
        <v>112390873.31588218</v>
      </c>
      <c r="S437">
        <f t="shared" si="977"/>
        <v>1123.9087331588219</v>
      </c>
      <c r="T437">
        <f t="shared" si="978"/>
        <v>1.1239087331588218</v>
      </c>
    </row>
    <row r="438" spans="1:20" x14ac:dyDescent="0.25">
      <c r="A438" s="5">
        <v>44155</v>
      </c>
      <c r="B438">
        <v>0.13627</v>
      </c>
      <c r="C438">
        <v>0.14097999999999999</v>
      </c>
      <c r="D438">
        <v>0.13467000000000001</v>
      </c>
      <c r="E438">
        <v>0.13982</v>
      </c>
      <c r="F438">
        <v>8050871.2999999998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0.6323296354992084</v>
      </c>
      <c r="Q438">
        <f t="shared" si="975"/>
        <v>5090804.5145800384</v>
      </c>
      <c r="R438">
        <f t="shared" si="976"/>
        <v>100968250.98057985</v>
      </c>
      <c r="S438">
        <f t="shared" si="977"/>
        <v>1009.6825098057985</v>
      </c>
      <c r="T438">
        <f t="shared" si="978"/>
        <v>1.0096825098057984</v>
      </c>
    </row>
    <row r="439" spans="1:20" x14ac:dyDescent="0.25">
      <c r="A439" s="5">
        <v>44154</v>
      </c>
      <c r="B439">
        <v>0.13836000000000001</v>
      </c>
      <c r="C439">
        <v>0.14052999999999999</v>
      </c>
      <c r="D439">
        <v>0.13353000000000001</v>
      </c>
      <c r="E439">
        <v>0.13658999999999999</v>
      </c>
      <c r="F439">
        <v>6036045.5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-0.12571428571428891</v>
      </c>
      <c r="Q439">
        <f t="shared" si="975"/>
        <v>-758817.14857144793</v>
      </c>
      <c r="R439">
        <f t="shared" si="976"/>
        <v>95877446.465999812</v>
      </c>
      <c r="S439">
        <f t="shared" si="977"/>
        <v>958.7744646599981</v>
      </c>
      <c r="T439">
        <f t="shared" si="978"/>
        <v>0.95877446465999805</v>
      </c>
    </row>
    <row r="440" spans="1:20" x14ac:dyDescent="0.25">
      <c r="A440" s="5">
        <v>44153</v>
      </c>
      <c r="B440">
        <v>0.14584</v>
      </c>
      <c r="C440">
        <v>0.14699999999999999</v>
      </c>
      <c r="D440">
        <v>0.13297999999999999</v>
      </c>
      <c r="E440">
        <v>0.13833999999999999</v>
      </c>
      <c r="F440">
        <v>10478127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-0.23537803138373725</v>
      </c>
      <c r="Q440">
        <f t="shared" si="975"/>
        <v>-2466320.9058487848</v>
      </c>
      <c r="R440">
        <f t="shared" si="976"/>
        <v>96636263.614571258</v>
      </c>
      <c r="S440">
        <f t="shared" si="977"/>
        <v>966.3626361457126</v>
      </c>
      <c r="T440">
        <f t="shared" si="978"/>
        <v>0.96636263614571261</v>
      </c>
    </row>
    <row r="441" spans="1:20" x14ac:dyDescent="0.25">
      <c r="A441" s="5">
        <v>44152</v>
      </c>
      <c r="B441">
        <v>0.14532</v>
      </c>
      <c r="C441">
        <v>0.14746000000000001</v>
      </c>
      <c r="D441">
        <v>0.14277999999999999</v>
      </c>
      <c r="E441">
        <v>0.14596999999999999</v>
      </c>
      <c r="F441">
        <v>7304897.7999999998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0.36324786324785746</v>
      </c>
      <c r="Q441">
        <f t="shared" si="975"/>
        <v>2653488.5170939746</v>
      </c>
      <c r="R441">
        <f t="shared" si="976"/>
        <v>99102584.520420045</v>
      </c>
      <c r="S441">
        <f t="shared" si="977"/>
        <v>991.02584520420044</v>
      </c>
      <c r="T441">
        <f t="shared" si="978"/>
        <v>0.99102584520420045</v>
      </c>
    </row>
    <row r="442" spans="1:20" x14ac:dyDescent="0.25">
      <c r="A442" s="5">
        <v>44151</v>
      </c>
      <c r="B442">
        <v>0.14412</v>
      </c>
      <c r="C442">
        <v>0.15</v>
      </c>
      <c r="D442">
        <v>0.14080999999999999</v>
      </c>
      <c r="E442">
        <v>0.14527999999999999</v>
      </c>
      <c r="F442">
        <v>7995751.7000000002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-2.7203482045701863E-2</v>
      </c>
      <c r="Q442">
        <f t="shared" si="975"/>
        <v>-217512.28781284016</v>
      </c>
      <c r="R442">
        <f t="shared" si="976"/>
        <v>96449096.003326073</v>
      </c>
      <c r="S442">
        <f t="shared" si="977"/>
        <v>964.49096003326076</v>
      </c>
      <c r="T442">
        <f t="shared" si="978"/>
        <v>0.96449096003326074</v>
      </c>
    </row>
    <row r="443" spans="1:20" x14ac:dyDescent="0.25">
      <c r="A443" s="5">
        <v>44150</v>
      </c>
      <c r="B443">
        <v>0.14124</v>
      </c>
      <c r="C443">
        <v>0.15076000000000001</v>
      </c>
      <c r="D443">
        <v>0.13839000000000001</v>
      </c>
      <c r="E443">
        <v>0.14405000000000001</v>
      </c>
      <c r="F443">
        <v>13944789.800000001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-8.4882780921584161E-2</v>
      </c>
      <c r="Q443">
        <f t="shared" si="975"/>
        <v>-1183672.5375909414</v>
      </c>
      <c r="R443">
        <f t="shared" si="976"/>
        <v>96666608.291138917</v>
      </c>
      <c r="S443">
        <f t="shared" si="977"/>
        <v>966.66608291138914</v>
      </c>
      <c r="T443">
        <f t="shared" si="978"/>
        <v>0.96666608291138911</v>
      </c>
    </row>
    <row r="444" spans="1:20" x14ac:dyDescent="0.25">
      <c r="A444" s="5">
        <v>44149</v>
      </c>
      <c r="B444">
        <v>0.14376</v>
      </c>
      <c r="C444">
        <v>0.14408000000000001</v>
      </c>
      <c r="D444">
        <v>0.13533999999999999</v>
      </c>
      <c r="E444">
        <v>0.14141999999999999</v>
      </c>
      <c r="F444">
        <v>5253360.4000000004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0.39130434782608337</v>
      </c>
      <c r="Q444">
        <f t="shared" si="975"/>
        <v>2055662.7652173727</v>
      </c>
      <c r="R444">
        <f t="shared" si="976"/>
        <v>97850280.828729853</v>
      </c>
      <c r="S444">
        <f t="shared" si="977"/>
        <v>978.50280828729854</v>
      </c>
      <c r="T444">
        <f t="shared" si="978"/>
        <v>0.97850280828729852</v>
      </c>
    </row>
    <row r="445" spans="1:20" x14ac:dyDescent="0.25">
      <c r="A445" s="5">
        <v>44148</v>
      </c>
      <c r="B445">
        <v>0.13419</v>
      </c>
      <c r="C445">
        <v>0.14449999999999999</v>
      </c>
      <c r="D445">
        <v>0.13308</v>
      </c>
      <c r="E445">
        <v>0.14352000000000001</v>
      </c>
      <c r="F445">
        <v>7489407.9000000004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0.82837127845884728</v>
      </c>
      <c r="Q445">
        <f t="shared" si="975"/>
        <v>6204010.3970227912</v>
      </c>
      <c r="R445">
        <f t="shared" si="976"/>
        <v>95794618.063512474</v>
      </c>
      <c r="S445">
        <f t="shared" si="977"/>
        <v>957.94618063512473</v>
      </c>
      <c r="T445">
        <f t="shared" si="978"/>
        <v>0.95794618063512471</v>
      </c>
    </row>
    <row r="446" spans="1:20" x14ac:dyDescent="0.25">
      <c r="A446" s="5">
        <v>44147</v>
      </c>
      <c r="B446">
        <v>0.13833000000000001</v>
      </c>
      <c r="C446">
        <v>0.14180000000000001</v>
      </c>
      <c r="D446">
        <v>0.13156000000000001</v>
      </c>
      <c r="E446">
        <v>0.13458000000000001</v>
      </c>
      <c r="F446">
        <v>5987832.2000000002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-0.41015625000000094</v>
      </c>
      <c r="Q446">
        <f t="shared" si="975"/>
        <v>-2455946.8007812556</v>
      </c>
      <c r="R446">
        <f t="shared" si="976"/>
        <v>89590607.666489676</v>
      </c>
      <c r="S446">
        <f t="shared" si="977"/>
        <v>895.90607666489677</v>
      </c>
      <c r="T446">
        <f t="shared" si="978"/>
        <v>0.89590607666489674</v>
      </c>
    </row>
    <row r="447" spans="1:20" x14ac:dyDescent="0.25">
      <c r="A447" s="5">
        <v>44146</v>
      </c>
      <c r="B447">
        <v>0.13983000000000001</v>
      </c>
      <c r="C447">
        <v>0.14473</v>
      </c>
      <c r="D447">
        <v>0.13683000000000001</v>
      </c>
      <c r="E447">
        <v>0.1381</v>
      </c>
      <c r="F447">
        <v>8378704.5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-0.67848101265822913</v>
      </c>
      <c r="Q447">
        <f t="shared" si="975"/>
        <v>-5684791.9139240617</v>
      </c>
      <c r="R447">
        <f t="shared" si="976"/>
        <v>92046554.467270926</v>
      </c>
      <c r="S447">
        <f t="shared" si="977"/>
        <v>920.46554467270926</v>
      </c>
      <c r="T447">
        <f t="shared" si="978"/>
        <v>0.92046554467270925</v>
      </c>
    </row>
    <row r="448" spans="1:20" x14ac:dyDescent="0.25">
      <c r="A448" s="5">
        <v>44145</v>
      </c>
      <c r="B448">
        <v>0.13350000000000001</v>
      </c>
      <c r="C448">
        <v>0.14229</v>
      </c>
      <c r="D448">
        <v>0.13250000000000001</v>
      </c>
      <c r="E448">
        <v>0.13983999999999999</v>
      </c>
      <c r="F448">
        <v>7535760.0999999996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0.49948927477017174</v>
      </c>
      <c r="Q448">
        <f t="shared" si="975"/>
        <v>3764031.3471909966</v>
      </c>
      <c r="R448">
        <f t="shared" si="976"/>
        <v>97731346.381194994</v>
      </c>
      <c r="S448">
        <f t="shared" si="977"/>
        <v>977.31346381194999</v>
      </c>
      <c r="T448">
        <f t="shared" si="978"/>
        <v>0.97731346381194995</v>
      </c>
    </row>
    <row r="449" spans="1:20" x14ac:dyDescent="0.25">
      <c r="A449" s="5">
        <v>44144</v>
      </c>
      <c r="B449">
        <v>0.13639999999999999</v>
      </c>
      <c r="C449">
        <v>0.13780000000000001</v>
      </c>
      <c r="D449">
        <v>0.12817000000000001</v>
      </c>
      <c r="E449">
        <v>0.13356999999999999</v>
      </c>
      <c r="F449">
        <v>4082731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0.12149532710280131</v>
      </c>
      <c r="Q449">
        <f t="shared" si="975"/>
        <v>496032.73831774708</v>
      </c>
      <c r="R449">
        <f t="shared" si="976"/>
        <v>93967315.034004003</v>
      </c>
      <c r="S449">
        <f t="shared" si="977"/>
        <v>939.67315034004002</v>
      </c>
      <c r="T449">
        <f t="shared" si="978"/>
        <v>0.93967315034004006</v>
      </c>
    </row>
    <row r="450" spans="1:20" x14ac:dyDescent="0.25">
      <c r="A450" s="5">
        <v>44143</v>
      </c>
      <c r="B450">
        <v>0.12770999999999999</v>
      </c>
      <c r="C450">
        <v>0.13952999999999999</v>
      </c>
      <c r="D450">
        <v>0.12545999999999999</v>
      </c>
      <c r="E450">
        <v>0.13633999999999999</v>
      </c>
      <c r="F450">
        <v>4905889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0.54655294953802436</v>
      </c>
      <c r="Q450">
        <f t="shared" si="975"/>
        <v>2681328.1030561486</v>
      </c>
      <c r="R450">
        <f t="shared" si="976"/>
        <v>93471282.29568626</v>
      </c>
      <c r="S450">
        <f t="shared" si="977"/>
        <v>934.71282295686262</v>
      </c>
      <c r="T450">
        <f t="shared" si="978"/>
        <v>0.93471282295686264</v>
      </c>
    </row>
    <row r="451" spans="1:20" x14ac:dyDescent="0.25">
      <c r="A451" s="5">
        <v>44142</v>
      </c>
      <c r="B451">
        <v>0.13794999999999999</v>
      </c>
      <c r="C451">
        <v>0.14388000000000001</v>
      </c>
      <c r="D451">
        <v>0.12291000000000001</v>
      </c>
      <c r="E451">
        <v>0.12778</v>
      </c>
      <c r="F451">
        <v>11742383.199999999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-0.53552694325226524</v>
      </c>
      <c r="Q451">
        <f t="shared" si="975"/>
        <v>-6288362.5815927526</v>
      </c>
      <c r="R451">
        <f t="shared" si="976"/>
        <v>90789954.192630112</v>
      </c>
      <c r="S451">
        <f t="shared" si="977"/>
        <v>907.89954192630114</v>
      </c>
      <c r="T451">
        <f t="shared" si="978"/>
        <v>0.90789954192630118</v>
      </c>
    </row>
    <row r="452" spans="1:20" x14ac:dyDescent="0.25">
      <c r="A452" s="5">
        <v>44141</v>
      </c>
      <c r="B452">
        <v>0.1237</v>
      </c>
      <c r="C452">
        <v>0.13847999999999999</v>
      </c>
      <c r="D452">
        <v>0.12279</v>
      </c>
      <c r="E452">
        <v>0.13769000000000001</v>
      </c>
      <c r="F452">
        <v>10164903.5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0.8992989165073314</v>
      </c>
      <c r="Q452">
        <f t="shared" si="975"/>
        <v>9141286.7039515804</v>
      </c>
      <c r="R452">
        <f t="shared" si="976"/>
        <v>97078316.774222866</v>
      </c>
      <c r="S452">
        <f t="shared" si="977"/>
        <v>970.78316774222867</v>
      </c>
      <c r="T452">
        <f t="shared" si="978"/>
        <v>0.97078316774222873</v>
      </c>
    </row>
    <row r="453" spans="1:20" x14ac:dyDescent="0.25">
      <c r="A453" s="5">
        <v>44140</v>
      </c>
      <c r="B453">
        <v>0.11867</v>
      </c>
      <c r="C453">
        <v>0.1278</v>
      </c>
      <c r="D453">
        <v>0.11806</v>
      </c>
      <c r="E453">
        <v>0.12361999999999999</v>
      </c>
      <c r="F453">
        <v>6606050.5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0.14168377823408548</v>
      </c>
      <c r="Q453">
        <f t="shared" si="975"/>
        <v>935970.19404516951</v>
      </c>
      <c r="R453">
        <f t="shared" si="976"/>
        <v>87937030.070271283</v>
      </c>
      <c r="S453">
        <f t="shared" si="977"/>
        <v>879.37030070271283</v>
      </c>
      <c r="T453">
        <f t="shared" si="978"/>
        <v>0.87937030070271283</v>
      </c>
    </row>
    <row r="454" spans="1:20" x14ac:dyDescent="0.25">
      <c r="A454" s="5">
        <v>44139</v>
      </c>
      <c r="B454">
        <v>0.11917</v>
      </c>
      <c r="C454">
        <v>0.11992999999999999</v>
      </c>
      <c r="D454">
        <v>0.11118</v>
      </c>
      <c r="E454">
        <v>0.11833</v>
      </c>
      <c r="F454">
        <v>4229449.7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0.63428571428571623</v>
      </c>
      <c r="Q454">
        <f t="shared" ref="Q454:Q517" si="980">F454*P454</f>
        <v>2682679.5240000081</v>
      </c>
      <c r="R454">
        <f t="shared" ref="R454:R517" si="981">R455+Q454</f>
        <v>87001059.876226112</v>
      </c>
      <c r="S454">
        <f t="shared" ref="S454:S517" si="982">R454/100000</f>
        <v>870.01059876226111</v>
      </c>
      <c r="T454">
        <f t="shared" ref="T454:T517" si="983">S454/1000</f>
        <v>0.87001059876226106</v>
      </c>
    </row>
    <row r="455" spans="1:20" x14ac:dyDescent="0.25">
      <c r="A455" s="5">
        <v>44138</v>
      </c>
      <c r="B455">
        <v>0.12098</v>
      </c>
      <c r="C455">
        <v>0.12141</v>
      </c>
      <c r="D455">
        <v>0.11509999999999999</v>
      </c>
      <c r="E455">
        <v>0.11901</v>
      </c>
      <c r="F455">
        <v>6516345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0.23930269413629301</v>
      </c>
      <c r="Q455">
        <f t="shared" si="980"/>
        <v>1559378.9144215623</v>
      </c>
      <c r="R455">
        <f t="shared" si="981"/>
        <v>84318380.352226108</v>
      </c>
      <c r="S455">
        <f t="shared" si="982"/>
        <v>843.18380352226109</v>
      </c>
      <c r="T455">
        <f t="shared" si="983"/>
        <v>0.84318380352226108</v>
      </c>
    </row>
    <row r="456" spans="1:20" x14ac:dyDescent="0.25">
      <c r="A456" s="5">
        <v>44137</v>
      </c>
      <c r="B456">
        <v>0.12701000000000001</v>
      </c>
      <c r="C456">
        <v>0.12956000000000001</v>
      </c>
      <c r="D456">
        <v>0.12064999999999999</v>
      </c>
      <c r="E456">
        <v>0.12132999999999999</v>
      </c>
      <c r="F456">
        <v>3626379.1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-0.84736251402918095</v>
      </c>
      <c r="Q456">
        <f t="shared" si="980"/>
        <v>-3072857.7109988788</v>
      </c>
      <c r="R456">
        <f t="shared" si="981"/>
        <v>82759001.43780455</v>
      </c>
      <c r="S456">
        <f t="shared" si="982"/>
        <v>827.59001437804545</v>
      </c>
      <c r="T456">
        <f t="shared" si="983"/>
        <v>0.82759001437804547</v>
      </c>
    </row>
    <row r="457" spans="1:20" x14ac:dyDescent="0.25">
      <c r="A457" s="5">
        <v>44136</v>
      </c>
      <c r="B457">
        <v>0.12703999999999999</v>
      </c>
      <c r="C457">
        <v>0.12870000000000001</v>
      </c>
      <c r="D457">
        <v>0.12384000000000001</v>
      </c>
      <c r="E457">
        <v>0.12697</v>
      </c>
      <c r="F457">
        <v>3998830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0.28806584362139581</v>
      </c>
      <c r="Q457">
        <f t="shared" si="980"/>
        <v>1151926.3374485462</v>
      </c>
      <c r="R457">
        <f t="shared" si="981"/>
        <v>85831859.148803428</v>
      </c>
      <c r="S457">
        <f t="shared" si="982"/>
        <v>858.31859148803426</v>
      </c>
      <c r="T457">
        <f t="shared" si="983"/>
        <v>0.85831859148803424</v>
      </c>
    </row>
    <row r="458" spans="1:20" x14ac:dyDescent="0.25">
      <c r="A458" s="5">
        <v>44135</v>
      </c>
      <c r="B458">
        <v>0.12620000000000001</v>
      </c>
      <c r="C458">
        <v>0.13125000000000001</v>
      </c>
      <c r="D458">
        <v>0.12575</v>
      </c>
      <c r="E458">
        <v>0.12736</v>
      </c>
      <c r="F458">
        <v>3247609.5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-0.41454545454545494</v>
      </c>
      <c r="Q458">
        <f t="shared" si="980"/>
        <v>-1346281.7563636377</v>
      </c>
      <c r="R458">
        <f t="shared" si="981"/>
        <v>84679932.811354876</v>
      </c>
      <c r="S458">
        <f t="shared" si="982"/>
        <v>846.79932811354877</v>
      </c>
      <c r="T458">
        <f t="shared" si="983"/>
        <v>0.84679932811354874</v>
      </c>
    </row>
    <row r="459" spans="1:20" x14ac:dyDescent="0.25">
      <c r="A459" s="5">
        <v>44134</v>
      </c>
      <c r="B459">
        <v>0.13245000000000001</v>
      </c>
      <c r="C459">
        <v>0.13350999999999999</v>
      </c>
      <c r="D459">
        <v>0.12486</v>
      </c>
      <c r="E459">
        <v>0.12612000000000001</v>
      </c>
      <c r="F459">
        <v>5426836.9000000004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-0.70867052023121102</v>
      </c>
      <c r="Q459">
        <f t="shared" si="980"/>
        <v>-3845839.3291329327</v>
      </c>
      <c r="R459">
        <f t="shared" si="981"/>
        <v>86026214.567718521</v>
      </c>
      <c r="S459">
        <f t="shared" si="982"/>
        <v>860.26214567718523</v>
      </c>
      <c r="T459">
        <f t="shared" si="983"/>
        <v>0.86026214567718529</v>
      </c>
    </row>
    <row r="460" spans="1:20" x14ac:dyDescent="0.25">
      <c r="A460" s="5">
        <v>44133</v>
      </c>
      <c r="B460">
        <v>0.13496</v>
      </c>
      <c r="C460">
        <v>0.13778000000000001</v>
      </c>
      <c r="D460">
        <v>0.13</v>
      </c>
      <c r="E460">
        <v>0.13220999999999999</v>
      </c>
      <c r="F460">
        <v>3896009.6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-0.43187660668380795</v>
      </c>
      <c r="Q460">
        <f t="shared" si="980"/>
        <v>-1682595.4056555401</v>
      </c>
      <c r="R460">
        <f t="shared" si="981"/>
        <v>89872053.89685145</v>
      </c>
      <c r="S460">
        <f t="shared" si="982"/>
        <v>898.72053896851446</v>
      </c>
      <c r="T460">
        <f t="shared" si="983"/>
        <v>0.89872053896851445</v>
      </c>
    </row>
    <row r="461" spans="1:20" x14ac:dyDescent="0.25">
      <c r="A461" s="5">
        <v>44132</v>
      </c>
      <c r="B461">
        <v>0.13900999999999999</v>
      </c>
      <c r="C461">
        <v>0.14099999999999999</v>
      </c>
      <c r="D461">
        <v>0.13100000000000001</v>
      </c>
      <c r="E461">
        <v>0.13467000000000001</v>
      </c>
      <c r="F461">
        <v>5783997.4000000004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-0.26599999999999729</v>
      </c>
      <c r="Q461">
        <f t="shared" si="980"/>
        <v>-1538543.3083999844</v>
      </c>
      <c r="R461">
        <f t="shared" si="981"/>
        <v>91554649.302506983</v>
      </c>
      <c r="S461">
        <f t="shared" si="982"/>
        <v>915.54649302506982</v>
      </c>
      <c r="T461">
        <f t="shared" si="983"/>
        <v>0.91554649302506985</v>
      </c>
    </row>
    <row r="462" spans="1:20" x14ac:dyDescent="0.25">
      <c r="A462" s="5">
        <v>44131</v>
      </c>
      <c r="B462">
        <v>0.13818</v>
      </c>
      <c r="C462">
        <v>0.14183999999999999</v>
      </c>
      <c r="D462">
        <v>0.1356</v>
      </c>
      <c r="E462">
        <v>0.13900999999999999</v>
      </c>
      <c r="F462">
        <v>5082032.5999999996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9.2948717948717563E-2</v>
      </c>
      <c r="Q462">
        <f t="shared" si="980"/>
        <v>472368.41474358772</v>
      </c>
      <c r="R462">
        <f t="shared" si="981"/>
        <v>93093192.610906973</v>
      </c>
      <c r="S462">
        <f t="shared" si="982"/>
        <v>930.93192610906976</v>
      </c>
      <c r="T462">
        <f t="shared" si="983"/>
        <v>0.93093192610906972</v>
      </c>
    </row>
    <row r="463" spans="1:20" x14ac:dyDescent="0.25">
      <c r="A463" s="5">
        <v>44130</v>
      </c>
      <c r="B463">
        <v>0.14385999999999999</v>
      </c>
      <c r="C463">
        <v>0.14563999999999999</v>
      </c>
      <c r="D463">
        <v>0.13216</v>
      </c>
      <c r="E463">
        <v>0.13821</v>
      </c>
      <c r="F463">
        <v>8432049.0999999996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-0.10237388724035558</v>
      </c>
      <c r="Q463">
        <f t="shared" si="980"/>
        <v>-863221.64376854175</v>
      </c>
      <c r="R463">
        <f t="shared" si="981"/>
        <v>92620824.196163386</v>
      </c>
      <c r="S463">
        <f t="shared" si="982"/>
        <v>926.20824196163392</v>
      </c>
      <c r="T463">
        <f t="shared" si="983"/>
        <v>0.92620824196163387</v>
      </c>
    </row>
    <row r="464" spans="1:20" x14ac:dyDescent="0.25">
      <c r="A464" s="5">
        <v>44129</v>
      </c>
      <c r="B464">
        <v>0.14646000000000001</v>
      </c>
      <c r="C464">
        <v>0.14842</v>
      </c>
      <c r="D464">
        <v>0.14166999999999999</v>
      </c>
      <c r="E464">
        <v>0.14391999999999999</v>
      </c>
      <c r="F464">
        <v>3968746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-0.33333333333333331</v>
      </c>
      <c r="Q464">
        <f t="shared" si="980"/>
        <v>-1322915.3333333333</v>
      </c>
      <c r="R464">
        <f t="shared" si="981"/>
        <v>93484045.839931935</v>
      </c>
      <c r="S464">
        <f t="shared" si="982"/>
        <v>934.84045839931935</v>
      </c>
      <c r="T464">
        <f t="shared" si="983"/>
        <v>0.9348404583993194</v>
      </c>
    </row>
    <row r="465" spans="1:20" x14ac:dyDescent="0.25">
      <c r="A465" s="5">
        <v>44128</v>
      </c>
      <c r="B465">
        <v>0.14742</v>
      </c>
      <c r="C465">
        <v>0.1502</v>
      </c>
      <c r="D465">
        <v>0.14430000000000001</v>
      </c>
      <c r="E465">
        <v>0.14662</v>
      </c>
      <c r="F465">
        <v>3459271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-0.2135593220339006</v>
      </c>
      <c r="Q465">
        <f t="shared" si="980"/>
        <v>-738759.56949153333</v>
      </c>
      <c r="R465">
        <f t="shared" si="981"/>
        <v>94806961.173265263</v>
      </c>
      <c r="S465">
        <f t="shared" si="982"/>
        <v>948.06961173265267</v>
      </c>
      <c r="T465">
        <f t="shared" si="983"/>
        <v>0.9480696117326527</v>
      </c>
    </row>
    <row r="466" spans="1:20" x14ac:dyDescent="0.25">
      <c r="A466" s="5">
        <v>44127</v>
      </c>
      <c r="B466">
        <v>0.15112999999999999</v>
      </c>
      <c r="C466">
        <v>0.15311</v>
      </c>
      <c r="D466">
        <v>0.14491000000000001</v>
      </c>
      <c r="E466">
        <v>0.1472</v>
      </c>
      <c r="F466">
        <v>5529254.5999999996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-0.44146341463414862</v>
      </c>
      <c r="Q466">
        <f t="shared" si="980"/>
        <v>-2440963.6160975732</v>
      </c>
      <c r="R466">
        <f t="shared" si="981"/>
        <v>95545720.742756799</v>
      </c>
      <c r="S466">
        <f t="shared" si="982"/>
        <v>955.45720742756794</v>
      </c>
      <c r="T466">
        <f t="shared" si="983"/>
        <v>0.9554572074275679</v>
      </c>
    </row>
    <row r="467" spans="1:20" x14ac:dyDescent="0.25">
      <c r="A467" s="5">
        <v>44126</v>
      </c>
      <c r="B467">
        <v>0.14382</v>
      </c>
      <c r="C467">
        <v>0.15387999999999999</v>
      </c>
      <c r="D467">
        <v>0.14352999999999999</v>
      </c>
      <c r="E467">
        <v>0.15112999999999999</v>
      </c>
      <c r="F467">
        <v>4998878.7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0.46859903381642454</v>
      </c>
      <c r="Q467">
        <f t="shared" si="980"/>
        <v>2342469.7289855042</v>
      </c>
      <c r="R467">
        <f t="shared" si="981"/>
        <v>97986684.358854368</v>
      </c>
      <c r="S467">
        <f t="shared" si="982"/>
        <v>979.8668435885437</v>
      </c>
      <c r="T467">
        <f t="shared" si="983"/>
        <v>0.9798668435885437</v>
      </c>
    </row>
    <row r="468" spans="1:20" x14ac:dyDescent="0.25">
      <c r="A468" s="5">
        <v>44125</v>
      </c>
      <c r="B468">
        <v>0.14046</v>
      </c>
      <c r="C468">
        <v>0.14942</v>
      </c>
      <c r="D468">
        <v>0.14002999999999999</v>
      </c>
      <c r="E468">
        <v>0.14352999999999999</v>
      </c>
      <c r="F468">
        <v>5554266.7000000002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-0.25452609158679457</v>
      </c>
      <c r="Q468">
        <f t="shared" si="980"/>
        <v>-1413705.7947816832</v>
      </c>
      <c r="R468">
        <f t="shared" si="981"/>
        <v>95644214.629868865</v>
      </c>
      <c r="S468">
        <f t="shared" si="982"/>
        <v>956.44214629868861</v>
      </c>
      <c r="T468">
        <f t="shared" si="983"/>
        <v>0.95644214629868862</v>
      </c>
    </row>
    <row r="469" spans="1:20" x14ac:dyDescent="0.25">
      <c r="A469" s="5">
        <v>44124</v>
      </c>
      <c r="B469">
        <v>0.14921999999999999</v>
      </c>
      <c r="C469">
        <v>0.14927000000000001</v>
      </c>
      <c r="D469">
        <v>0.13700000000000001</v>
      </c>
      <c r="E469">
        <v>0.14047999999999999</v>
      </c>
      <c r="F469">
        <v>6087587.5999999996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-0.43276283618582195</v>
      </c>
      <c r="Q469">
        <f t="shared" si="980"/>
        <v>-2634481.6753056408</v>
      </c>
      <c r="R469">
        <f t="shared" si="981"/>
        <v>97057920.42465055</v>
      </c>
      <c r="S469">
        <f t="shared" si="982"/>
        <v>970.57920424650547</v>
      </c>
      <c r="T469">
        <f t="shared" si="983"/>
        <v>0.97057920424650546</v>
      </c>
    </row>
    <row r="470" spans="1:20" x14ac:dyDescent="0.25">
      <c r="A470" s="5">
        <v>44123</v>
      </c>
      <c r="B470">
        <v>0.15073</v>
      </c>
      <c r="C470">
        <v>0.15129000000000001</v>
      </c>
      <c r="D470">
        <v>0.14649000000000001</v>
      </c>
      <c r="E470">
        <v>0.14921999999999999</v>
      </c>
      <c r="F470">
        <v>4312730.3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0.13749999999999299</v>
      </c>
      <c r="Q470">
        <f t="shared" si="980"/>
        <v>593000.41624996974</v>
      </c>
      <c r="R470">
        <f t="shared" si="981"/>
        <v>99692402.099956185</v>
      </c>
      <c r="S470">
        <f t="shared" si="982"/>
        <v>996.92402099956189</v>
      </c>
      <c r="T470">
        <f t="shared" si="983"/>
        <v>0.9969240209995619</v>
      </c>
    </row>
    <row r="471" spans="1:20" x14ac:dyDescent="0.25">
      <c r="A471" s="5">
        <v>44122</v>
      </c>
      <c r="B471">
        <v>0.14818999999999999</v>
      </c>
      <c r="C471">
        <v>0.15079999999999999</v>
      </c>
      <c r="D471">
        <v>0.14699000000000001</v>
      </c>
      <c r="E471">
        <v>0.15078</v>
      </c>
      <c r="F471">
        <v>2118420.4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0.98950131233596206</v>
      </c>
      <c r="Q471">
        <f t="shared" si="980"/>
        <v>2096179.7658792736</v>
      </c>
      <c r="R471">
        <f t="shared" si="981"/>
        <v>99099401.683706209</v>
      </c>
      <c r="S471">
        <f t="shared" si="982"/>
        <v>990.99401683706208</v>
      </c>
      <c r="T471">
        <f t="shared" si="983"/>
        <v>0.99099401683706212</v>
      </c>
    </row>
    <row r="472" spans="1:20" x14ac:dyDescent="0.25">
      <c r="A472" s="5">
        <v>44121</v>
      </c>
      <c r="B472">
        <v>0.14549000000000001</v>
      </c>
      <c r="C472">
        <v>0.15149000000000001</v>
      </c>
      <c r="D472">
        <v>0.14423</v>
      </c>
      <c r="E472">
        <v>0.14843000000000001</v>
      </c>
      <c r="F472">
        <v>3554991.5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0.1570247933884297</v>
      </c>
      <c r="Q472">
        <f t="shared" si="980"/>
        <v>558221.80578512384</v>
      </c>
      <c r="R472">
        <f t="shared" si="981"/>
        <v>97003221.917826936</v>
      </c>
      <c r="S472">
        <f t="shared" si="982"/>
        <v>970.03221917826932</v>
      </c>
      <c r="T472">
        <f t="shared" si="983"/>
        <v>0.97003221917826932</v>
      </c>
    </row>
    <row r="473" spans="1:20" x14ac:dyDescent="0.25">
      <c r="A473" s="5">
        <v>44120</v>
      </c>
      <c r="B473">
        <v>0.15267</v>
      </c>
      <c r="C473">
        <v>0.15328</v>
      </c>
      <c r="D473">
        <v>0.14399999999999999</v>
      </c>
      <c r="E473">
        <v>0.14549999999999999</v>
      </c>
      <c r="F473">
        <v>6786742.7999999998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-0.67672413793103459</v>
      </c>
      <c r="Q473">
        <f t="shared" si="980"/>
        <v>-4592752.6706896555</v>
      </c>
      <c r="R473">
        <f t="shared" si="981"/>
        <v>96445000.112041816</v>
      </c>
      <c r="S473">
        <f t="shared" si="982"/>
        <v>964.45000112041816</v>
      </c>
      <c r="T473">
        <f t="shared" si="983"/>
        <v>0.96445000112041812</v>
      </c>
    </row>
    <row r="474" spans="1:20" x14ac:dyDescent="0.25">
      <c r="A474" s="5">
        <v>44119</v>
      </c>
      <c r="B474">
        <v>0.15411</v>
      </c>
      <c r="C474">
        <v>0.15598999999999999</v>
      </c>
      <c r="D474">
        <v>0.14918999999999999</v>
      </c>
      <c r="E474">
        <v>0.15265000000000001</v>
      </c>
      <c r="F474">
        <v>5323976.5999999996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1.7647058823534813E-2</v>
      </c>
      <c r="Q474">
        <f t="shared" si="980"/>
        <v>93952.528235322869</v>
      </c>
      <c r="R474">
        <f t="shared" si="981"/>
        <v>101037752.78273147</v>
      </c>
      <c r="S474">
        <f t="shared" si="982"/>
        <v>1010.3775278273147</v>
      </c>
      <c r="T474">
        <f t="shared" si="983"/>
        <v>1.0103775278273146</v>
      </c>
    </row>
    <row r="475" spans="1:20" x14ac:dyDescent="0.25">
      <c r="A475" s="5">
        <v>44118</v>
      </c>
      <c r="B475">
        <v>0.16163</v>
      </c>
      <c r="C475">
        <v>0.16275999999999999</v>
      </c>
      <c r="D475">
        <v>0.15</v>
      </c>
      <c r="E475">
        <v>0.15381</v>
      </c>
      <c r="F475">
        <v>7620134.2999999998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-0.40282131661441856</v>
      </c>
      <c r="Q475">
        <f t="shared" si="980"/>
        <v>-3069552.5315046906</v>
      </c>
      <c r="R475">
        <f t="shared" si="981"/>
        <v>100943800.25449616</v>
      </c>
      <c r="S475">
        <f t="shared" si="982"/>
        <v>1009.4380025449616</v>
      </c>
      <c r="T475">
        <f t="shared" si="983"/>
        <v>1.0094380025449616</v>
      </c>
    </row>
    <row r="476" spans="1:20" x14ac:dyDescent="0.25">
      <c r="A476" s="5">
        <v>44117</v>
      </c>
      <c r="B476">
        <v>0.16589999999999999</v>
      </c>
      <c r="C476">
        <v>0.16699</v>
      </c>
      <c r="D476">
        <v>0.15661</v>
      </c>
      <c r="E476">
        <v>0.16148999999999999</v>
      </c>
      <c r="F476">
        <v>8439037.4000000004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-5.9730250481696473E-2</v>
      </c>
      <c r="Q476">
        <f t="shared" si="980"/>
        <v>-504065.81772640458</v>
      </c>
      <c r="R476">
        <f t="shared" si="981"/>
        <v>104013352.78600085</v>
      </c>
      <c r="S476">
        <f t="shared" si="982"/>
        <v>1040.1335278600084</v>
      </c>
      <c r="T476">
        <f t="shared" si="983"/>
        <v>1.0401335278600083</v>
      </c>
    </row>
    <row r="477" spans="1:20" x14ac:dyDescent="0.25">
      <c r="A477" s="5">
        <v>44116</v>
      </c>
      <c r="B477">
        <v>0.15878</v>
      </c>
      <c r="C477">
        <v>0.17255000000000001</v>
      </c>
      <c r="D477">
        <v>0.15773000000000001</v>
      </c>
      <c r="E477">
        <v>0.16589999999999999</v>
      </c>
      <c r="F477">
        <v>18796424.399999999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0.10256410256410026</v>
      </c>
      <c r="Q477">
        <f t="shared" si="980"/>
        <v>1927838.3999999564</v>
      </c>
      <c r="R477">
        <f t="shared" si="981"/>
        <v>104517418.60372725</v>
      </c>
      <c r="S477">
        <f t="shared" si="982"/>
        <v>1045.1741860372724</v>
      </c>
      <c r="T477">
        <f t="shared" si="983"/>
        <v>1.0451741860372725</v>
      </c>
    </row>
    <row r="478" spans="1:20" x14ac:dyDescent="0.25">
      <c r="A478" s="5">
        <v>44115</v>
      </c>
      <c r="B478">
        <v>0.16009999999999999</v>
      </c>
      <c r="C478">
        <v>0.16653999999999999</v>
      </c>
      <c r="D478">
        <v>0.15637999999999999</v>
      </c>
      <c r="E478">
        <v>0.15878999999999999</v>
      </c>
      <c r="F478">
        <v>8340189.5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-0.52559055118110332</v>
      </c>
      <c r="Q478">
        <f t="shared" si="980"/>
        <v>-4383524.7962598503</v>
      </c>
      <c r="R478">
        <f t="shared" si="981"/>
        <v>102589580.20372729</v>
      </c>
      <c r="S478">
        <f t="shared" si="982"/>
        <v>1025.8958020372729</v>
      </c>
      <c r="T478">
        <f t="shared" si="983"/>
        <v>1.0258958020372728</v>
      </c>
    </row>
    <row r="479" spans="1:20" x14ac:dyDescent="0.25">
      <c r="A479" s="5">
        <v>44114</v>
      </c>
      <c r="B479">
        <v>0.15425</v>
      </c>
      <c r="C479">
        <v>0.16631000000000001</v>
      </c>
      <c r="D479">
        <v>0.154</v>
      </c>
      <c r="E479">
        <v>0.15976000000000001</v>
      </c>
      <c r="F479">
        <v>7919232.0999999996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-6.4175467099917477E-2</v>
      </c>
      <c r="Q479">
        <f t="shared" si="980"/>
        <v>-508220.41909016034</v>
      </c>
      <c r="R479">
        <f t="shared" si="981"/>
        <v>106973104.99998714</v>
      </c>
      <c r="S479">
        <f t="shared" si="982"/>
        <v>1069.7310499998714</v>
      </c>
      <c r="T479">
        <f t="shared" si="983"/>
        <v>1.0697310499998713</v>
      </c>
    </row>
    <row r="480" spans="1:20" x14ac:dyDescent="0.25">
      <c r="A480" s="5">
        <v>44113</v>
      </c>
      <c r="B480">
        <v>0.15078</v>
      </c>
      <c r="C480">
        <v>0.15673000000000001</v>
      </c>
      <c r="D480">
        <v>0.14704</v>
      </c>
      <c r="E480">
        <v>0.15425</v>
      </c>
      <c r="F480">
        <v>8813305.5999999996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0.48813209494323861</v>
      </c>
      <c r="Q480">
        <f t="shared" si="980"/>
        <v>4302057.3259029761</v>
      </c>
      <c r="R480">
        <f t="shared" si="981"/>
        <v>107481325.41907731</v>
      </c>
      <c r="S480">
        <f t="shared" si="982"/>
        <v>1074.813254190773</v>
      </c>
      <c r="T480">
        <f t="shared" si="983"/>
        <v>1.0748132541907731</v>
      </c>
    </row>
    <row r="481" spans="1:20" x14ac:dyDescent="0.25">
      <c r="A481" s="5">
        <v>44112</v>
      </c>
      <c r="B481">
        <v>0.14896000000000001</v>
      </c>
      <c r="C481">
        <v>0.15237000000000001</v>
      </c>
      <c r="D481">
        <v>0.14099999999999999</v>
      </c>
      <c r="E481">
        <v>0.15057999999999999</v>
      </c>
      <c r="F481">
        <v>8357025.4000000004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0.68513632365874921</v>
      </c>
      <c r="Q481">
        <f t="shared" si="980"/>
        <v>5725701.6592787886</v>
      </c>
      <c r="R481">
        <f t="shared" si="981"/>
        <v>103179268.09317432</v>
      </c>
      <c r="S481">
        <f t="shared" si="982"/>
        <v>1031.7926809317432</v>
      </c>
      <c r="T481">
        <f t="shared" si="983"/>
        <v>1.0317926809317433</v>
      </c>
    </row>
    <row r="482" spans="1:20" x14ac:dyDescent="0.25">
      <c r="A482" s="5">
        <v>44111</v>
      </c>
      <c r="B482">
        <v>0.14369000000000001</v>
      </c>
      <c r="C482">
        <v>0.14942</v>
      </c>
      <c r="D482">
        <v>0.13846</v>
      </c>
      <c r="E482">
        <v>0.14893999999999999</v>
      </c>
      <c r="F482">
        <v>6922491.5999999996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0.91240875912408603</v>
      </c>
      <c r="Q482">
        <f t="shared" si="980"/>
        <v>6316141.9708029088</v>
      </c>
      <c r="R482">
        <f t="shared" si="981"/>
        <v>97453566.433895528</v>
      </c>
      <c r="S482">
        <f t="shared" si="982"/>
        <v>974.53566433895526</v>
      </c>
      <c r="T482">
        <f t="shared" si="983"/>
        <v>0.97453566433895522</v>
      </c>
    </row>
    <row r="483" spans="1:20" x14ac:dyDescent="0.25">
      <c r="A483" s="5">
        <v>44110</v>
      </c>
      <c r="B483">
        <v>0.15476999999999999</v>
      </c>
      <c r="C483">
        <v>0.15581</v>
      </c>
      <c r="D483">
        <v>0.14216000000000001</v>
      </c>
      <c r="E483">
        <v>0.14373</v>
      </c>
      <c r="F483">
        <v>6433240.7000000002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-0.76996336996337167</v>
      </c>
      <c r="Q483">
        <f t="shared" si="980"/>
        <v>-4953359.6891575204</v>
      </c>
      <c r="R483">
        <f t="shared" si="981"/>
        <v>91137424.463092625</v>
      </c>
      <c r="S483">
        <f t="shared" si="982"/>
        <v>911.37424463092623</v>
      </c>
      <c r="T483">
        <f t="shared" si="983"/>
        <v>0.9113742446309262</v>
      </c>
    </row>
    <row r="484" spans="1:20" x14ac:dyDescent="0.25">
      <c r="A484" s="5">
        <v>44109</v>
      </c>
      <c r="B484">
        <v>0.15232999999999999</v>
      </c>
      <c r="C484">
        <v>0.15594</v>
      </c>
      <c r="D484">
        <v>0.14777999999999999</v>
      </c>
      <c r="E484">
        <v>0.15475</v>
      </c>
      <c r="F484">
        <v>6707754.7999999998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0.70833333333333415</v>
      </c>
      <c r="Q484">
        <f t="shared" si="980"/>
        <v>4751326.316666672</v>
      </c>
      <c r="R484">
        <f t="shared" si="981"/>
        <v>96090784.152250141</v>
      </c>
      <c r="S484">
        <f t="shared" si="982"/>
        <v>960.90784152250137</v>
      </c>
      <c r="T484">
        <f t="shared" si="983"/>
        <v>0.96090784152250142</v>
      </c>
    </row>
    <row r="485" spans="1:20" x14ac:dyDescent="0.25">
      <c r="A485" s="5">
        <v>44108</v>
      </c>
      <c r="B485">
        <v>0.14971999999999999</v>
      </c>
      <c r="C485">
        <v>0.1545</v>
      </c>
      <c r="D485">
        <v>0.1459</v>
      </c>
      <c r="E485">
        <v>0.15221999999999999</v>
      </c>
      <c r="F485">
        <v>6593953.4000000004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0.46976744186046393</v>
      </c>
      <c r="Q485">
        <f t="shared" si="980"/>
        <v>3097624.6204651087</v>
      </c>
      <c r="R485">
        <f t="shared" si="981"/>
        <v>91339457.835583463</v>
      </c>
      <c r="S485">
        <f t="shared" si="982"/>
        <v>913.3945783558346</v>
      </c>
      <c r="T485">
        <f t="shared" si="983"/>
        <v>0.9133945783558346</v>
      </c>
    </row>
    <row r="486" spans="1:20" x14ac:dyDescent="0.25">
      <c r="A486" s="5">
        <v>44107</v>
      </c>
      <c r="B486">
        <v>0.15060000000000001</v>
      </c>
      <c r="C486">
        <v>0.15421000000000001</v>
      </c>
      <c r="D486">
        <v>0.14818000000000001</v>
      </c>
      <c r="E486">
        <v>0.15</v>
      </c>
      <c r="F486">
        <v>2597602.6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-0.3963515754560577</v>
      </c>
      <c r="Q486">
        <f t="shared" si="980"/>
        <v>-1029563.8829187517</v>
      </c>
      <c r="R486">
        <f t="shared" si="981"/>
        <v>88241833.215118349</v>
      </c>
      <c r="S486">
        <f t="shared" si="982"/>
        <v>882.41833215118345</v>
      </c>
      <c r="T486">
        <f t="shared" si="983"/>
        <v>0.88241833215118348</v>
      </c>
    </row>
    <row r="487" spans="1:20" x14ac:dyDescent="0.25">
      <c r="A487" s="5">
        <v>44106</v>
      </c>
      <c r="B487">
        <v>0.15382999999999999</v>
      </c>
      <c r="C487">
        <v>0.15475</v>
      </c>
      <c r="D487">
        <v>0.14338999999999999</v>
      </c>
      <c r="E487">
        <v>0.15051</v>
      </c>
      <c r="F487">
        <v>10168258.9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0.25352112676056504</v>
      </c>
      <c r="Q487">
        <f t="shared" si="980"/>
        <v>2577868.4535211436</v>
      </c>
      <c r="R487">
        <f t="shared" si="981"/>
        <v>89271397.098037094</v>
      </c>
      <c r="S487">
        <f t="shared" si="982"/>
        <v>892.71397098037096</v>
      </c>
      <c r="T487">
        <f t="shared" si="983"/>
        <v>0.89271397098037097</v>
      </c>
    </row>
    <row r="488" spans="1:20" x14ac:dyDescent="0.25">
      <c r="A488" s="5">
        <v>44105</v>
      </c>
      <c r="B488">
        <v>0.16111</v>
      </c>
      <c r="C488">
        <v>0.16566</v>
      </c>
      <c r="D488">
        <v>0.15010000000000001</v>
      </c>
      <c r="E488">
        <v>0.15373000000000001</v>
      </c>
      <c r="F488">
        <v>11205780.199999999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-0.53341902313624723</v>
      </c>
      <c r="Q488">
        <f t="shared" si="980"/>
        <v>-5977376.3277635006</v>
      </c>
      <c r="R488">
        <f t="shared" si="981"/>
        <v>86693528.644515947</v>
      </c>
      <c r="S488">
        <f t="shared" si="982"/>
        <v>866.93528644515948</v>
      </c>
      <c r="T488">
        <f t="shared" si="983"/>
        <v>0.86693528644515949</v>
      </c>
    </row>
    <row r="489" spans="1:20" x14ac:dyDescent="0.25">
      <c r="A489" s="5">
        <v>44104</v>
      </c>
      <c r="B489">
        <v>0.16048000000000001</v>
      </c>
      <c r="C489">
        <v>0.16392999999999999</v>
      </c>
      <c r="D489">
        <v>0.15637999999999999</v>
      </c>
      <c r="E489">
        <v>0.16053999999999999</v>
      </c>
      <c r="F489">
        <v>13087617.699999999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0.10198675496688646</v>
      </c>
      <c r="Q489">
        <f t="shared" si="980"/>
        <v>1334763.6594701861</v>
      </c>
      <c r="R489">
        <f t="shared" si="981"/>
        <v>92670904.972279444</v>
      </c>
      <c r="S489">
        <f t="shared" si="982"/>
        <v>926.70904972279448</v>
      </c>
      <c r="T489">
        <f t="shared" si="983"/>
        <v>0.92670904972279444</v>
      </c>
    </row>
    <row r="490" spans="1:20" x14ac:dyDescent="0.25">
      <c r="A490" s="5">
        <v>44103</v>
      </c>
      <c r="B490">
        <v>0.16769999999999999</v>
      </c>
      <c r="C490">
        <v>0.18251000000000001</v>
      </c>
      <c r="D490">
        <v>0.15625</v>
      </c>
      <c r="E490">
        <v>0.16012999999999999</v>
      </c>
      <c r="F490">
        <v>31759037.800000001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-0.70449352627570494</v>
      </c>
      <c r="Q490">
        <f t="shared" si="980"/>
        <v>-22374036.530845407</v>
      </c>
      <c r="R490">
        <f t="shared" si="981"/>
        <v>91336141.312809259</v>
      </c>
      <c r="S490">
        <f t="shared" si="982"/>
        <v>913.36141312809264</v>
      </c>
      <c r="T490">
        <f t="shared" si="983"/>
        <v>0.9133614131280926</v>
      </c>
    </row>
    <row r="491" spans="1:20" x14ac:dyDescent="0.25">
      <c r="A491" s="5">
        <v>44102</v>
      </c>
      <c r="B491">
        <v>0.16944000000000001</v>
      </c>
      <c r="C491">
        <v>0.17734</v>
      </c>
      <c r="D491">
        <v>0.16425999999999999</v>
      </c>
      <c r="E491">
        <v>0.16803000000000001</v>
      </c>
      <c r="F491">
        <v>11769610.199999999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-0.42354740061161761</v>
      </c>
      <c r="Q491">
        <f t="shared" si="980"/>
        <v>-4984987.8064219803</v>
      </c>
      <c r="R491">
        <f t="shared" si="981"/>
        <v>113710177.84365466</v>
      </c>
      <c r="S491">
        <f t="shared" si="982"/>
        <v>1137.1017784365465</v>
      </c>
      <c r="T491">
        <f t="shared" si="983"/>
        <v>1.1371017784365465</v>
      </c>
    </row>
    <row r="492" spans="1:20" x14ac:dyDescent="0.25">
      <c r="A492" s="5">
        <v>44101</v>
      </c>
      <c r="B492">
        <v>0.16172</v>
      </c>
      <c r="C492">
        <v>0.18135999999999999</v>
      </c>
      <c r="D492">
        <v>0.15629999999999999</v>
      </c>
      <c r="E492">
        <v>0.16988</v>
      </c>
      <c r="F492">
        <v>27733846.899999999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8.379888268156499E-2</v>
      </c>
      <c r="Q492">
        <f t="shared" si="980"/>
        <v>2324065.3826815849</v>
      </c>
      <c r="R492">
        <f t="shared" si="981"/>
        <v>118695165.65007664</v>
      </c>
      <c r="S492">
        <f t="shared" si="982"/>
        <v>1186.9516565007664</v>
      </c>
      <c r="T492">
        <f t="shared" si="983"/>
        <v>1.1869516565007663</v>
      </c>
    </row>
    <row r="493" spans="1:20" x14ac:dyDescent="0.25">
      <c r="A493" s="5">
        <v>44100</v>
      </c>
      <c r="B493">
        <v>0.15421000000000001</v>
      </c>
      <c r="C493">
        <v>0.16375999999999999</v>
      </c>
      <c r="D493">
        <v>0.15379000000000001</v>
      </c>
      <c r="E493">
        <v>0.16131999999999999</v>
      </c>
      <c r="F493">
        <v>4879195.7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0.5105315947843525</v>
      </c>
      <c r="Q493">
        <f t="shared" si="980"/>
        <v>2490983.5619859551</v>
      </c>
      <c r="R493">
        <f t="shared" si="981"/>
        <v>116371100.26739506</v>
      </c>
      <c r="S493">
        <f t="shared" si="982"/>
        <v>1163.7110026739506</v>
      </c>
      <c r="T493">
        <f t="shared" si="983"/>
        <v>1.1637110026739506</v>
      </c>
    </row>
    <row r="494" spans="1:20" x14ac:dyDescent="0.25">
      <c r="A494" s="5">
        <v>44099</v>
      </c>
      <c r="B494">
        <v>0.15554999999999999</v>
      </c>
      <c r="C494">
        <v>0.15909000000000001</v>
      </c>
      <c r="D494">
        <v>0.14643</v>
      </c>
      <c r="E494">
        <v>0.15373000000000001</v>
      </c>
      <c r="F494">
        <v>5444622.5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0.15323854660347525</v>
      </c>
      <c r="Q494">
        <f t="shared" si="980"/>
        <v>834326.03870457993</v>
      </c>
      <c r="R494">
        <f t="shared" si="981"/>
        <v>113880116.70540911</v>
      </c>
      <c r="S494">
        <f t="shared" si="982"/>
        <v>1138.8011670540911</v>
      </c>
      <c r="T494">
        <f t="shared" si="983"/>
        <v>1.1388011670540912</v>
      </c>
    </row>
    <row r="495" spans="1:20" x14ac:dyDescent="0.25">
      <c r="A495" s="5">
        <v>44098</v>
      </c>
      <c r="B495">
        <v>0.14358000000000001</v>
      </c>
      <c r="C495">
        <v>0.15694</v>
      </c>
      <c r="D495">
        <v>0.14149</v>
      </c>
      <c r="E495">
        <v>0.15512999999999999</v>
      </c>
      <c r="F495">
        <v>4029872.5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0.76569579288025802</v>
      </c>
      <c r="Q495">
        <f t="shared" si="980"/>
        <v>3085656.4190938477</v>
      </c>
      <c r="R495">
        <f t="shared" si="981"/>
        <v>113045790.66670454</v>
      </c>
      <c r="S495">
        <f t="shared" si="982"/>
        <v>1130.4579066670453</v>
      </c>
      <c r="T495">
        <f t="shared" si="983"/>
        <v>1.1304579066670453</v>
      </c>
    </row>
    <row r="496" spans="1:20" x14ac:dyDescent="0.25">
      <c r="A496" s="5">
        <v>44097</v>
      </c>
      <c r="B496">
        <v>0.15481</v>
      </c>
      <c r="C496">
        <v>0.16331999999999999</v>
      </c>
      <c r="D496">
        <v>0.14000000000000001</v>
      </c>
      <c r="E496">
        <v>0.14358000000000001</v>
      </c>
      <c r="F496">
        <v>7770549.0999999996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-0.69296740994854178</v>
      </c>
      <c r="Q496">
        <f t="shared" si="980"/>
        <v>-5384737.2837049719</v>
      </c>
      <c r="R496">
        <f t="shared" si="981"/>
        <v>109960134.24761069</v>
      </c>
      <c r="S496">
        <f t="shared" si="982"/>
        <v>1099.601342476107</v>
      </c>
      <c r="T496">
        <f t="shared" si="983"/>
        <v>1.0996013424761071</v>
      </c>
    </row>
    <row r="497" spans="1:20" x14ac:dyDescent="0.25">
      <c r="A497" s="5">
        <v>44096</v>
      </c>
      <c r="B497">
        <v>0.14346999999999999</v>
      </c>
      <c r="C497">
        <v>0.156</v>
      </c>
      <c r="D497">
        <v>0.1399</v>
      </c>
      <c r="E497">
        <v>0.15481</v>
      </c>
      <c r="F497">
        <v>4740472.3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0.85217391304347867</v>
      </c>
      <c r="Q497">
        <f t="shared" si="980"/>
        <v>4039706.8295652191</v>
      </c>
      <c r="R497">
        <f t="shared" si="981"/>
        <v>115344871.53131565</v>
      </c>
      <c r="S497">
        <f t="shared" si="982"/>
        <v>1153.4487153131565</v>
      </c>
      <c r="T497">
        <f t="shared" si="983"/>
        <v>1.1534487153131565</v>
      </c>
    </row>
    <row r="498" spans="1:20" x14ac:dyDescent="0.25">
      <c r="A498" s="5">
        <v>44095</v>
      </c>
      <c r="B498">
        <v>0.16020000000000001</v>
      </c>
      <c r="C498">
        <v>0.1686</v>
      </c>
      <c r="D498">
        <v>0.14071</v>
      </c>
      <c r="E498">
        <v>0.14348</v>
      </c>
      <c r="F498">
        <v>5973320.5999999996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-0.80136249551810723</v>
      </c>
      <c r="Q498">
        <f t="shared" si="980"/>
        <v>-4786795.1025457177</v>
      </c>
      <c r="R498">
        <f t="shared" si="981"/>
        <v>111305164.70175044</v>
      </c>
      <c r="S498">
        <f t="shared" si="982"/>
        <v>1113.0516470175044</v>
      </c>
      <c r="T498">
        <f t="shared" si="983"/>
        <v>1.1130516470175045</v>
      </c>
    </row>
    <row r="499" spans="1:20" x14ac:dyDescent="0.25">
      <c r="A499" s="5">
        <v>44094</v>
      </c>
      <c r="B499">
        <v>0.16897000000000001</v>
      </c>
      <c r="C499">
        <v>0.16914999999999999</v>
      </c>
      <c r="D499">
        <v>0.15620000000000001</v>
      </c>
      <c r="E499">
        <v>0.16017999999999999</v>
      </c>
      <c r="F499">
        <v>3038484.2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-0.38532818532818736</v>
      </c>
      <c r="Q499">
        <f t="shared" si="980"/>
        <v>-1170813.6029343691</v>
      </c>
      <c r="R499">
        <f t="shared" si="981"/>
        <v>116091959.80429617</v>
      </c>
      <c r="S499">
        <f t="shared" si="982"/>
        <v>1160.9195980429618</v>
      </c>
      <c r="T499">
        <f t="shared" si="983"/>
        <v>1.1609195980429619</v>
      </c>
    </row>
    <row r="500" spans="1:20" x14ac:dyDescent="0.25">
      <c r="A500" s="5">
        <v>44093</v>
      </c>
      <c r="B500">
        <v>0.16606000000000001</v>
      </c>
      <c r="C500">
        <v>0.17282</v>
      </c>
      <c r="D500">
        <v>0.16258</v>
      </c>
      <c r="E500">
        <v>0.16897999999999999</v>
      </c>
      <c r="F500">
        <v>3513181.4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0.24999999999999797</v>
      </c>
      <c r="Q500">
        <f t="shared" si="980"/>
        <v>878295.34999999288</v>
      </c>
      <c r="R500">
        <f t="shared" si="981"/>
        <v>117262773.40723054</v>
      </c>
      <c r="S500">
        <f t="shared" si="982"/>
        <v>1172.6277340723054</v>
      </c>
      <c r="T500">
        <f t="shared" si="983"/>
        <v>1.1726277340723055</v>
      </c>
    </row>
    <row r="501" spans="1:20" x14ac:dyDescent="0.25">
      <c r="A501" s="5">
        <v>44092</v>
      </c>
      <c r="B501">
        <v>0.16078999999999999</v>
      </c>
      <c r="C501">
        <v>0.17119999999999999</v>
      </c>
      <c r="D501">
        <v>0.15779000000000001</v>
      </c>
      <c r="E501">
        <v>0.16631000000000001</v>
      </c>
      <c r="F501">
        <v>6368950.2000000002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0.27069351230425265</v>
      </c>
      <c r="Q501">
        <f t="shared" si="980"/>
        <v>1724033.4993288724</v>
      </c>
      <c r="R501">
        <f t="shared" si="981"/>
        <v>116384478.05723055</v>
      </c>
      <c r="S501">
        <f t="shared" si="982"/>
        <v>1163.8447805723056</v>
      </c>
      <c r="T501">
        <f t="shared" si="983"/>
        <v>1.1638447805723056</v>
      </c>
    </row>
    <row r="502" spans="1:20" x14ac:dyDescent="0.25">
      <c r="A502" s="5">
        <v>44091</v>
      </c>
      <c r="B502">
        <v>0.15601000000000001</v>
      </c>
      <c r="C502">
        <v>0.16350999999999999</v>
      </c>
      <c r="D502">
        <v>0.15457000000000001</v>
      </c>
      <c r="E502">
        <v>0.16159000000000001</v>
      </c>
      <c r="F502">
        <v>2428618.1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0.57046979865772207</v>
      </c>
      <c r="Q502">
        <f t="shared" si="980"/>
        <v>1385453.2785234996</v>
      </c>
      <c r="R502">
        <f t="shared" si="981"/>
        <v>114660444.55790168</v>
      </c>
      <c r="S502">
        <f t="shared" si="982"/>
        <v>1146.6044455790168</v>
      </c>
      <c r="T502">
        <f t="shared" si="983"/>
        <v>1.1466044455790168</v>
      </c>
    </row>
    <row r="503" spans="1:20" x14ac:dyDescent="0.25">
      <c r="A503" s="5">
        <v>44090</v>
      </c>
      <c r="B503">
        <v>0.1583</v>
      </c>
      <c r="C503">
        <v>0.15934999999999999</v>
      </c>
      <c r="D503">
        <v>0.15234</v>
      </c>
      <c r="E503">
        <v>0.15612999999999999</v>
      </c>
      <c r="F503">
        <v>2104099.2999999998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8.1312410841653082E-2</v>
      </c>
      <c r="Q503">
        <f t="shared" si="980"/>
        <v>171089.38673323466</v>
      </c>
      <c r="R503">
        <f t="shared" si="981"/>
        <v>113274991.27937818</v>
      </c>
      <c r="S503">
        <f t="shared" si="982"/>
        <v>1132.7499127937817</v>
      </c>
      <c r="T503">
        <f t="shared" si="983"/>
        <v>1.1327499127937817</v>
      </c>
    </row>
    <row r="504" spans="1:20" x14ac:dyDescent="0.25">
      <c r="A504" s="5">
        <v>44089</v>
      </c>
      <c r="B504">
        <v>0.16655</v>
      </c>
      <c r="C504">
        <v>0.17399000000000001</v>
      </c>
      <c r="D504">
        <v>0.15792</v>
      </c>
      <c r="E504">
        <v>0.15889</v>
      </c>
      <c r="F504">
        <v>3667731.3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-0.8792781580584943</v>
      </c>
      <c r="Q504">
        <f t="shared" si="980"/>
        <v>-3224956.0217174864</v>
      </c>
      <c r="R504">
        <f t="shared" si="981"/>
        <v>113103901.89264494</v>
      </c>
      <c r="S504">
        <f t="shared" si="982"/>
        <v>1131.0390189264494</v>
      </c>
      <c r="T504">
        <f t="shared" si="983"/>
        <v>1.1310390189264494</v>
      </c>
    </row>
    <row r="505" spans="1:20" x14ac:dyDescent="0.25">
      <c r="A505" s="5">
        <v>44088</v>
      </c>
      <c r="B505">
        <v>0.16123000000000001</v>
      </c>
      <c r="C505">
        <v>0.16755</v>
      </c>
      <c r="D505">
        <v>0.15876999999999999</v>
      </c>
      <c r="E505">
        <v>0.16711999999999999</v>
      </c>
      <c r="F505">
        <v>2862059.7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0.90205011389521339</v>
      </c>
      <c r="Q505">
        <f t="shared" si="980"/>
        <v>2581721.2783599002</v>
      </c>
      <c r="R505">
        <f t="shared" si="981"/>
        <v>116328857.91436243</v>
      </c>
      <c r="S505">
        <f t="shared" si="982"/>
        <v>1163.2885791436242</v>
      </c>
      <c r="T505">
        <f t="shared" si="983"/>
        <v>1.1632885791436243</v>
      </c>
    </row>
    <row r="506" spans="1:20" x14ac:dyDescent="0.25">
      <c r="A506" s="5">
        <v>44087</v>
      </c>
      <c r="B506">
        <v>0.17241999999999999</v>
      </c>
      <c r="C506">
        <v>0.17344000000000001</v>
      </c>
      <c r="D506">
        <v>0.15706000000000001</v>
      </c>
      <c r="E506">
        <v>0.16116</v>
      </c>
      <c r="F506">
        <v>4075543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-0.49938949938950045</v>
      </c>
      <c r="Q506">
        <f t="shared" si="980"/>
        <v>-2035283.3785103827</v>
      </c>
      <c r="R506">
        <f t="shared" si="981"/>
        <v>113747136.63600253</v>
      </c>
      <c r="S506">
        <f t="shared" si="982"/>
        <v>1137.4713663600253</v>
      </c>
      <c r="T506">
        <f t="shared" si="983"/>
        <v>1.1374713663600253</v>
      </c>
    </row>
    <row r="507" spans="1:20" x14ac:dyDescent="0.25">
      <c r="A507" s="5">
        <v>44086</v>
      </c>
      <c r="B507">
        <v>0.17229</v>
      </c>
      <c r="C507">
        <v>0.17319000000000001</v>
      </c>
      <c r="D507">
        <v>0.16682</v>
      </c>
      <c r="E507">
        <v>0.17241000000000001</v>
      </c>
      <c r="F507">
        <v>3302178.5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0.75510204081632615</v>
      </c>
      <c r="Q507">
        <f t="shared" si="980"/>
        <v>2493481.7244897946</v>
      </c>
      <c r="R507">
        <f t="shared" si="981"/>
        <v>115782420.01451291</v>
      </c>
      <c r="S507">
        <f t="shared" si="982"/>
        <v>1157.8242001451292</v>
      </c>
      <c r="T507">
        <f t="shared" si="983"/>
        <v>1.1578242001451293</v>
      </c>
    </row>
    <row r="508" spans="1:20" x14ac:dyDescent="0.25">
      <c r="A508" s="5">
        <v>44085</v>
      </c>
      <c r="B508">
        <v>0.17607</v>
      </c>
      <c r="C508">
        <v>0.17745</v>
      </c>
      <c r="D508">
        <v>0.1668</v>
      </c>
      <c r="E508">
        <v>0.17235</v>
      </c>
      <c r="F508">
        <v>3688632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4.2253521126761152E-2</v>
      </c>
      <c r="Q508">
        <f t="shared" si="980"/>
        <v>155857.69014084723</v>
      </c>
      <c r="R508">
        <f t="shared" si="981"/>
        <v>113288938.29002312</v>
      </c>
      <c r="S508">
        <f t="shared" si="982"/>
        <v>1132.8893829002311</v>
      </c>
      <c r="T508">
        <f t="shared" si="983"/>
        <v>1.1328893829002311</v>
      </c>
    </row>
    <row r="509" spans="1:20" x14ac:dyDescent="0.25">
      <c r="A509" s="5">
        <v>44084</v>
      </c>
      <c r="B509">
        <v>0.16449</v>
      </c>
      <c r="C509">
        <v>0.17885999999999999</v>
      </c>
      <c r="D509">
        <v>0.16345999999999999</v>
      </c>
      <c r="E509">
        <v>0.1757</v>
      </c>
      <c r="F509">
        <v>6895267.0999999996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0.58961038961039003</v>
      </c>
      <c r="Q509">
        <f t="shared" si="980"/>
        <v>4065521.1212987038</v>
      </c>
      <c r="R509">
        <f t="shared" si="981"/>
        <v>113133080.59988227</v>
      </c>
      <c r="S509">
        <f t="shared" si="982"/>
        <v>1131.3308059988228</v>
      </c>
      <c r="T509">
        <f t="shared" si="983"/>
        <v>1.1313308059988227</v>
      </c>
    </row>
    <row r="510" spans="1:20" x14ac:dyDescent="0.25">
      <c r="A510" s="5">
        <v>44083</v>
      </c>
      <c r="B510">
        <v>0.15340999999999999</v>
      </c>
      <c r="C510">
        <v>0.17327999999999999</v>
      </c>
      <c r="D510">
        <v>0.15024000000000001</v>
      </c>
      <c r="E510">
        <v>0.16444</v>
      </c>
      <c r="F510">
        <v>14379556.800000001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0.23263888888888928</v>
      </c>
      <c r="Q510">
        <f t="shared" si="980"/>
        <v>3345244.1166666723</v>
      </c>
      <c r="R510">
        <f t="shared" si="981"/>
        <v>109067559.47858357</v>
      </c>
      <c r="S510">
        <f t="shared" si="982"/>
        <v>1090.6755947858358</v>
      </c>
      <c r="T510">
        <f t="shared" si="983"/>
        <v>1.0906755947858358</v>
      </c>
    </row>
    <row r="511" spans="1:20" x14ac:dyDescent="0.25">
      <c r="A511" s="5">
        <v>44082</v>
      </c>
      <c r="B511">
        <v>0.15021999999999999</v>
      </c>
      <c r="C511">
        <v>0.15703</v>
      </c>
      <c r="D511">
        <v>0.14121</v>
      </c>
      <c r="E511">
        <v>0.15390000000000001</v>
      </c>
      <c r="F511">
        <v>6555747.2999999998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0.6042983565107467</v>
      </c>
      <c r="Q511">
        <f t="shared" si="980"/>
        <v>3961627.3190897652</v>
      </c>
      <c r="R511">
        <f t="shared" si="981"/>
        <v>105722315.3619169</v>
      </c>
      <c r="S511">
        <f t="shared" si="982"/>
        <v>1057.2231536191689</v>
      </c>
      <c r="T511">
        <f t="shared" si="983"/>
        <v>1.057223153619169</v>
      </c>
    </row>
    <row r="512" spans="1:20" x14ac:dyDescent="0.25">
      <c r="A512" s="5">
        <v>44081</v>
      </c>
      <c r="B512">
        <v>0.15936</v>
      </c>
      <c r="C512">
        <v>0.16128999999999999</v>
      </c>
      <c r="D512">
        <v>0.13757</v>
      </c>
      <c r="E512">
        <v>0.15015000000000001</v>
      </c>
      <c r="F512">
        <v>7669056.5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6.0708263069141025E-2</v>
      </c>
      <c r="Q512">
        <f t="shared" si="980"/>
        <v>465575.0994941059</v>
      </c>
      <c r="R512">
        <f t="shared" si="981"/>
        <v>101760688.04282713</v>
      </c>
      <c r="S512">
        <f t="shared" si="982"/>
        <v>1017.6068804282713</v>
      </c>
      <c r="T512">
        <f t="shared" si="983"/>
        <v>1.0176068804282714</v>
      </c>
    </row>
    <row r="513" spans="1:20" x14ac:dyDescent="0.25">
      <c r="A513" s="5">
        <v>44080</v>
      </c>
      <c r="B513">
        <v>0.15314</v>
      </c>
      <c r="C513">
        <v>0.16241</v>
      </c>
      <c r="D513">
        <v>0.14363000000000001</v>
      </c>
      <c r="E513">
        <v>0.15969</v>
      </c>
      <c r="F513">
        <v>5884177.5999999996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0.71033013844515425</v>
      </c>
      <c r="Q513">
        <f t="shared" si="980"/>
        <v>4179708.689243875</v>
      </c>
      <c r="R513">
        <f t="shared" si="981"/>
        <v>101295112.94333303</v>
      </c>
      <c r="S513">
        <f t="shared" si="982"/>
        <v>1012.9511294333303</v>
      </c>
      <c r="T513">
        <f t="shared" si="983"/>
        <v>1.0129511294333302</v>
      </c>
    </row>
    <row r="514" spans="1:20" x14ac:dyDescent="0.25">
      <c r="A514" s="5">
        <v>44079</v>
      </c>
      <c r="B514">
        <v>0.16974</v>
      </c>
      <c r="C514">
        <v>0.1762</v>
      </c>
      <c r="D514">
        <v>0.14233000000000001</v>
      </c>
      <c r="E514">
        <v>0.15298999999999999</v>
      </c>
      <c r="F514">
        <v>9393812.5999999996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-0.37053439622084555</v>
      </c>
      <c r="Q514">
        <f t="shared" si="980"/>
        <v>-3480730.6799527714</v>
      </c>
      <c r="R514">
        <f t="shared" si="981"/>
        <v>97115404.254089162</v>
      </c>
      <c r="S514">
        <f t="shared" si="982"/>
        <v>971.15404254089162</v>
      </c>
      <c r="T514">
        <f t="shared" si="983"/>
        <v>0.97115404254089166</v>
      </c>
    </row>
    <row r="515" spans="1:20" x14ac:dyDescent="0.25">
      <c r="A515" s="5">
        <v>44078</v>
      </c>
      <c r="B515">
        <v>0.1711</v>
      </c>
      <c r="C515">
        <v>0.182</v>
      </c>
      <c r="D515">
        <v>0.15684999999999999</v>
      </c>
      <c r="E515">
        <v>0.17025999999999999</v>
      </c>
      <c r="F515">
        <v>9396381.6999999993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6.6401590457256632E-2</v>
      </c>
      <c r="Q515">
        <f t="shared" si="980"/>
        <v>623934.68942346075</v>
      </c>
      <c r="R515">
        <f t="shared" si="981"/>
        <v>100596134.93404193</v>
      </c>
      <c r="S515">
        <f t="shared" si="982"/>
        <v>1005.9613493404194</v>
      </c>
      <c r="T515">
        <f t="shared" si="983"/>
        <v>1.0059613493404194</v>
      </c>
    </row>
    <row r="516" spans="1:20" x14ac:dyDescent="0.25">
      <c r="A516" s="5">
        <v>44077</v>
      </c>
      <c r="B516">
        <v>0.20179</v>
      </c>
      <c r="C516">
        <v>0.20699999999999999</v>
      </c>
      <c r="D516">
        <v>0.14799999999999999</v>
      </c>
      <c r="E516">
        <v>0.1711</v>
      </c>
      <c r="F516">
        <v>21120858.300000001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-0.21694915254237251</v>
      </c>
      <c r="Q516">
        <f t="shared" si="980"/>
        <v>-4582152.3091525352</v>
      </c>
      <c r="R516">
        <f t="shared" si="981"/>
        <v>99972200.244618475</v>
      </c>
      <c r="S516">
        <f t="shared" si="982"/>
        <v>999.72200244618477</v>
      </c>
      <c r="T516">
        <f t="shared" si="983"/>
        <v>0.99972200244618481</v>
      </c>
    </row>
    <row r="517" spans="1:20" x14ac:dyDescent="0.25">
      <c r="A517" s="5">
        <v>44076</v>
      </c>
      <c r="B517">
        <v>0.20938000000000001</v>
      </c>
      <c r="C517">
        <v>0.21048</v>
      </c>
      <c r="D517">
        <v>0.2</v>
      </c>
      <c r="E517">
        <v>0.20222000000000001</v>
      </c>
      <c r="F517">
        <v>13775883.199999999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-0.57633587786259499</v>
      </c>
      <c r="Q517">
        <f t="shared" si="980"/>
        <v>-7939535.7374045737</v>
      </c>
      <c r="R517">
        <f t="shared" si="981"/>
        <v>104554352.553771</v>
      </c>
      <c r="S517">
        <f t="shared" si="982"/>
        <v>1045.5435255377101</v>
      </c>
      <c r="T517">
        <f t="shared" si="983"/>
        <v>1.0455435255377101</v>
      </c>
    </row>
    <row r="518" spans="1:20" x14ac:dyDescent="0.25">
      <c r="A518" s="5">
        <v>44075</v>
      </c>
      <c r="B518">
        <v>0.21421999999999999</v>
      </c>
      <c r="C518">
        <v>0.21507999999999999</v>
      </c>
      <c r="D518">
        <v>0.20699999999999999</v>
      </c>
      <c r="E518">
        <v>0.21007999999999999</v>
      </c>
      <c r="F518">
        <v>9953398.5999999996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-0.23762376237623814</v>
      </c>
      <c r="Q518">
        <f t="shared" ref="Q518:Q581" si="985">F518*P518</f>
        <v>-2365164.0237623812</v>
      </c>
      <c r="R518">
        <f t="shared" ref="R518:R581" si="986">R519+Q518</f>
        <v>112493888.29117557</v>
      </c>
      <c r="S518">
        <f t="shared" ref="S518:S581" si="987">R518/100000</f>
        <v>1124.9388829117556</v>
      </c>
      <c r="T518">
        <f t="shared" ref="T518:T581" si="988">S518/1000</f>
        <v>1.1249388829117557</v>
      </c>
    </row>
    <row r="519" spans="1:20" x14ac:dyDescent="0.25">
      <c r="A519" s="5">
        <v>44074</v>
      </c>
      <c r="B519">
        <v>0.21854999999999999</v>
      </c>
      <c r="C519">
        <v>0.22353000000000001</v>
      </c>
      <c r="D519">
        <v>0.21360000000000001</v>
      </c>
      <c r="E519">
        <v>0.21423</v>
      </c>
      <c r="F519">
        <v>7234005.7000000002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-0.873111782477343</v>
      </c>
      <c r="Q519">
        <f t="shared" si="985"/>
        <v>-6316095.6111782594</v>
      </c>
      <c r="R519">
        <f t="shared" si="986"/>
        <v>114859052.31493795</v>
      </c>
      <c r="S519">
        <f t="shared" si="987"/>
        <v>1148.5905231493796</v>
      </c>
      <c r="T519">
        <f t="shared" si="988"/>
        <v>1.1485905231493796</v>
      </c>
    </row>
    <row r="520" spans="1:20" x14ac:dyDescent="0.25">
      <c r="A520" s="5">
        <v>44073</v>
      </c>
      <c r="B520">
        <v>0.2132</v>
      </c>
      <c r="C520">
        <v>0.23000999999999999</v>
      </c>
      <c r="D520">
        <v>0.21163000000000001</v>
      </c>
      <c r="E520">
        <v>0.21843000000000001</v>
      </c>
      <c r="F520">
        <v>9994883.6999999993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-0.26006528835690879</v>
      </c>
      <c r="Q520">
        <f t="shared" si="985"/>
        <v>-2599322.3115342674</v>
      </c>
      <c r="R520">
        <f t="shared" si="986"/>
        <v>121175147.92611621</v>
      </c>
      <c r="S520">
        <f t="shared" si="987"/>
        <v>1211.7514792611621</v>
      </c>
      <c r="T520">
        <f t="shared" si="988"/>
        <v>1.2117514792611621</v>
      </c>
    </row>
    <row r="521" spans="1:20" x14ac:dyDescent="0.25">
      <c r="A521" s="5">
        <v>44072</v>
      </c>
      <c r="B521">
        <v>0.22073000000000001</v>
      </c>
      <c r="C521">
        <v>0.221</v>
      </c>
      <c r="D521">
        <v>0.21099000000000001</v>
      </c>
      <c r="E521">
        <v>0.2132</v>
      </c>
      <c r="F521">
        <v>8368214.5999999996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-0.55844155844156007</v>
      </c>
      <c r="Q521">
        <f t="shared" si="985"/>
        <v>-4673158.8025974156</v>
      </c>
      <c r="R521">
        <f t="shared" si="986"/>
        <v>123774470.23765048</v>
      </c>
      <c r="S521">
        <f t="shared" si="987"/>
        <v>1237.7447023765048</v>
      </c>
      <c r="T521">
        <f t="shared" si="988"/>
        <v>1.2377447023765049</v>
      </c>
    </row>
    <row r="522" spans="1:20" x14ac:dyDescent="0.25">
      <c r="A522" s="5">
        <v>44071</v>
      </c>
      <c r="B522">
        <v>0.21098</v>
      </c>
      <c r="C522">
        <v>0.22550000000000001</v>
      </c>
      <c r="D522">
        <v>0.20732999999999999</v>
      </c>
      <c r="E522">
        <v>0.22119</v>
      </c>
      <c r="F522">
        <v>7682920.5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0.52559163456246516</v>
      </c>
      <c r="Q522">
        <f t="shared" si="985"/>
        <v>4038078.7438084721</v>
      </c>
      <c r="R522">
        <f t="shared" si="986"/>
        <v>128447629.0402479</v>
      </c>
      <c r="S522">
        <f t="shared" si="987"/>
        <v>1284.476290402479</v>
      </c>
      <c r="T522">
        <f t="shared" si="988"/>
        <v>1.2844762904024789</v>
      </c>
    </row>
    <row r="523" spans="1:20" x14ac:dyDescent="0.25">
      <c r="A523" s="5">
        <v>44070</v>
      </c>
      <c r="B523">
        <v>0.22716</v>
      </c>
      <c r="C523">
        <v>0.22746</v>
      </c>
      <c r="D523">
        <v>0.20083000000000001</v>
      </c>
      <c r="E523">
        <v>0.21113000000000001</v>
      </c>
      <c r="F523">
        <v>13840826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-0.22643634998122353</v>
      </c>
      <c r="Q523">
        <f t="shared" si="985"/>
        <v>-3134066.1201652181</v>
      </c>
      <c r="R523">
        <f t="shared" si="986"/>
        <v>124409550.29643942</v>
      </c>
      <c r="S523">
        <f t="shared" si="987"/>
        <v>1244.0955029643942</v>
      </c>
      <c r="T523">
        <f t="shared" si="988"/>
        <v>1.2440955029643943</v>
      </c>
    </row>
    <row r="524" spans="1:20" x14ac:dyDescent="0.25">
      <c r="A524" s="5">
        <v>44069</v>
      </c>
      <c r="B524">
        <v>0.22639999999999999</v>
      </c>
      <c r="C524">
        <v>0.23749000000000001</v>
      </c>
      <c r="D524">
        <v>0.22045999999999999</v>
      </c>
      <c r="E524">
        <v>0.22716</v>
      </c>
      <c r="F524">
        <v>11213514.800000001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-0.21315325895478512</v>
      </c>
      <c r="Q524">
        <f t="shared" si="985"/>
        <v>-2390197.2239577156</v>
      </c>
      <c r="R524">
        <f t="shared" si="986"/>
        <v>127543616.41660464</v>
      </c>
      <c r="S524">
        <f t="shared" si="987"/>
        <v>1275.4361641660464</v>
      </c>
      <c r="T524">
        <f t="shared" si="988"/>
        <v>1.2754361641660463</v>
      </c>
    </row>
    <row r="525" spans="1:20" x14ac:dyDescent="0.25">
      <c r="A525" s="5">
        <v>44068</v>
      </c>
      <c r="B525">
        <v>0.2447</v>
      </c>
      <c r="C525">
        <v>0.24573999999999999</v>
      </c>
      <c r="D525">
        <v>0.21318000000000001</v>
      </c>
      <c r="E525">
        <v>0.22639999999999999</v>
      </c>
      <c r="F525">
        <v>17741579.899999999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-0.18796068796068852</v>
      </c>
      <c r="Q525">
        <f t="shared" si="985"/>
        <v>-3334719.563513523</v>
      </c>
      <c r="R525">
        <f t="shared" si="986"/>
        <v>129933813.64056236</v>
      </c>
      <c r="S525">
        <f t="shared" si="987"/>
        <v>1299.3381364056236</v>
      </c>
      <c r="T525">
        <f t="shared" si="988"/>
        <v>1.2993381364056236</v>
      </c>
    </row>
    <row r="526" spans="1:20" x14ac:dyDescent="0.25">
      <c r="A526" s="5">
        <v>44067</v>
      </c>
      <c r="B526">
        <v>0.22097</v>
      </c>
      <c r="C526">
        <v>0.2586</v>
      </c>
      <c r="D526">
        <v>0.21561</v>
      </c>
      <c r="E526">
        <v>0.2447</v>
      </c>
      <c r="F526">
        <v>23810847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0.35333798557804164</v>
      </c>
      <c r="Q526">
        <f t="shared" si="985"/>
        <v>8413276.7138869558</v>
      </c>
      <c r="R526">
        <f t="shared" si="986"/>
        <v>133268533.20407587</v>
      </c>
      <c r="S526">
        <f t="shared" si="987"/>
        <v>1332.6853320407588</v>
      </c>
      <c r="T526">
        <f t="shared" si="988"/>
        <v>1.3326853320407588</v>
      </c>
    </row>
    <row r="527" spans="1:20" x14ac:dyDescent="0.25">
      <c r="A527" s="5">
        <v>44066</v>
      </c>
      <c r="B527">
        <v>0.22489000000000001</v>
      </c>
      <c r="C527">
        <v>0.22617999999999999</v>
      </c>
      <c r="D527">
        <v>0.21288000000000001</v>
      </c>
      <c r="E527">
        <v>0.22097</v>
      </c>
      <c r="F527">
        <v>7265053.0999999996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0.21654135338345853</v>
      </c>
      <c r="Q527">
        <f t="shared" si="985"/>
        <v>1573184.4306766908</v>
      </c>
      <c r="R527">
        <f t="shared" si="986"/>
        <v>124855256.49018891</v>
      </c>
      <c r="S527">
        <f t="shared" si="987"/>
        <v>1248.5525649018891</v>
      </c>
      <c r="T527">
        <f t="shared" si="988"/>
        <v>1.2485525649018892</v>
      </c>
    </row>
    <row r="528" spans="1:20" x14ac:dyDescent="0.25">
      <c r="A528" s="5">
        <v>44065</v>
      </c>
      <c r="B528">
        <v>0.20984</v>
      </c>
      <c r="C528">
        <v>0.22800000000000001</v>
      </c>
      <c r="D528">
        <v>0.19600000000000001</v>
      </c>
      <c r="E528">
        <v>0.22542000000000001</v>
      </c>
      <c r="F528">
        <v>16762491.6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0.83875000000000011</v>
      </c>
      <c r="Q528">
        <f t="shared" si="985"/>
        <v>14059539.829500001</v>
      </c>
      <c r="R528">
        <f t="shared" si="986"/>
        <v>123282072.05951223</v>
      </c>
      <c r="S528">
        <f t="shared" si="987"/>
        <v>1232.8207205951223</v>
      </c>
      <c r="T528">
        <f t="shared" si="988"/>
        <v>1.2328207205951223</v>
      </c>
    </row>
    <row r="529" spans="1:20" x14ac:dyDescent="0.25">
      <c r="A529" s="5">
        <v>44064</v>
      </c>
      <c r="B529">
        <v>0.20823</v>
      </c>
      <c r="C529">
        <v>0.24</v>
      </c>
      <c r="D529">
        <v>0.20671999999999999</v>
      </c>
      <c r="E529">
        <v>0.20988999999999999</v>
      </c>
      <c r="F529">
        <v>30153608.699999999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-0.80949519230769196</v>
      </c>
      <c r="Q529">
        <f t="shared" si="985"/>
        <v>-24409201.273377392</v>
      </c>
      <c r="R529">
        <f t="shared" si="986"/>
        <v>109222532.23001222</v>
      </c>
      <c r="S529">
        <f t="shared" si="987"/>
        <v>1092.2253223001223</v>
      </c>
      <c r="T529">
        <f t="shared" si="988"/>
        <v>1.0922253223001224</v>
      </c>
    </row>
    <row r="530" spans="1:20" x14ac:dyDescent="0.25">
      <c r="A530" s="5">
        <v>44063</v>
      </c>
      <c r="B530">
        <v>0.19713</v>
      </c>
      <c r="C530">
        <v>0.21099999999999999</v>
      </c>
      <c r="D530">
        <v>0.19472999999999999</v>
      </c>
      <c r="E530">
        <v>0.20824000000000001</v>
      </c>
      <c r="F530">
        <v>9030076.1999999993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0.66072526121696573</v>
      </c>
      <c r="Q530">
        <f t="shared" si="985"/>
        <v>5966399.4560541045</v>
      </c>
      <c r="R530">
        <f t="shared" si="986"/>
        <v>133631733.50338961</v>
      </c>
      <c r="S530">
        <f t="shared" si="987"/>
        <v>1336.3173350338961</v>
      </c>
      <c r="T530">
        <f t="shared" si="988"/>
        <v>1.3363173350338962</v>
      </c>
    </row>
    <row r="531" spans="1:20" x14ac:dyDescent="0.25">
      <c r="A531" s="5">
        <v>44062</v>
      </c>
      <c r="B531">
        <v>0.20862</v>
      </c>
      <c r="C531">
        <v>0.21149999999999999</v>
      </c>
      <c r="D531">
        <v>0.19206000000000001</v>
      </c>
      <c r="E531">
        <v>0.19694999999999999</v>
      </c>
      <c r="F531">
        <v>9120694.3000000007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-0.49691358024691551</v>
      </c>
      <c r="Q531">
        <f t="shared" si="985"/>
        <v>-4532196.8589506354</v>
      </c>
      <c r="R531">
        <f t="shared" si="986"/>
        <v>127665334.04733551</v>
      </c>
      <c r="S531">
        <f t="shared" si="987"/>
        <v>1276.653340473355</v>
      </c>
      <c r="T531">
        <f t="shared" si="988"/>
        <v>1.2766533404733551</v>
      </c>
    </row>
    <row r="532" spans="1:20" x14ac:dyDescent="0.25">
      <c r="A532" s="5">
        <v>44061</v>
      </c>
      <c r="B532">
        <v>0.20596999999999999</v>
      </c>
      <c r="C532">
        <v>0.214</v>
      </c>
      <c r="D532">
        <v>0.19861000000000001</v>
      </c>
      <c r="E532">
        <v>0.20799000000000001</v>
      </c>
      <c r="F532">
        <v>11801658.6</v>
      </c>
      <c r="G532">
        <v>0</v>
      </c>
      <c r="L532" t="s">
        <v>8</v>
      </c>
      <c r="M532" t="s">
        <v>7</v>
      </c>
      <c r="N532" t="s">
        <v>8</v>
      </c>
      <c r="P532">
        <f t="shared" si="984"/>
        <v>0.21897335932423748</v>
      </c>
      <c r="Q532">
        <f t="shared" si="985"/>
        <v>2584248.8292397773</v>
      </c>
      <c r="R532">
        <f t="shared" si="986"/>
        <v>132197530.90628614</v>
      </c>
      <c r="S532">
        <f t="shared" si="987"/>
        <v>1321.9753090628612</v>
      </c>
      <c r="T532">
        <f t="shared" si="988"/>
        <v>1.3219753090628612</v>
      </c>
    </row>
    <row r="533" spans="1:20" x14ac:dyDescent="0.25">
      <c r="A533" s="5">
        <v>44060</v>
      </c>
      <c r="B533">
        <v>0.21471000000000001</v>
      </c>
      <c r="C533">
        <v>0.21479999999999999</v>
      </c>
      <c r="D533">
        <v>0.20093</v>
      </c>
      <c r="E533">
        <v>0.20588999999999999</v>
      </c>
      <c r="F533">
        <v>10765160.6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-0.28478731074261071</v>
      </c>
      <c r="Q533">
        <f t="shared" si="985"/>
        <v>-3065781.1369863097</v>
      </c>
      <c r="R533">
        <f t="shared" si="986"/>
        <v>129613282.07704636</v>
      </c>
      <c r="S533">
        <f t="shared" si="987"/>
        <v>1296.1328207704637</v>
      </c>
      <c r="T533">
        <f t="shared" si="988"/>
        <v>1.2961328207704637</v>
      </c>
    </row>
    <row r="534" spans="1:20" x14ac:dyDescent="0.25">
      <c r="A534" s="5">
        <v>44059</v>
      </c>
      <c r="B534">
        <v>0.20602000000000001</v>
      </c>
      <c r="C534">
        <v>0.21476999999999999</v>
      </c>
      <c r="D534">
        <v>0.20244000000000001</v>
      </c>
      <c r="E534">
        <v>0.21471000000000001</v>
      </c>
      <c r="F534">
        <v>8575311.0999999996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0.99026763990268019</v>
      </c>
      <c r="Q534">
        <f t="shared" si="985"/>
        <v>8491853.0844282564</v>
      </c>
      <c r="R534">
        <f t="shared" si="986"/>
        <v>132679063.21403268</v>
      </c>
      <c r="S534">
        <f t="shared" si="987"/>
        <v>1326.7906321403268</v>
      </c>
      <c r="T534">
        <f t="shared" si="988"/>
        <v>1.3267906321403269</v>
      </c>
    </row>
    <row r="535" spans="1:20" x14ac:dyDescent="0.25">
      <c r="A535" s="5">
        <v>44058</v>
      </c>
      <c r="B535">
        <v>0.20898</v>
      </c>
      <c r="C535">
        <v>0.21099000000000001</v>
      </c>
      <c r="D535">
        <v>0.20352999999999999</v>
      </c>
      <c r="E535">
        <v>0.20574999999999999</v>
      </c>
      <c r="F535">
        <v>8946852.1999999993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-0.40482573726541737</v>
      </c>
      <c r="Q535">
        <f t="shared" si="985"/>
        <v>-3621916.0380697213</v>
      </c>
      <c r="R535">
        <f t="shared" si="986"/>
        <v>124187210.12960443</v>
      </c>
      <c r="S535">
        <f t="shared" si="987"/>
        <v>1241.8721012960443</v>
      </c>
      <c r="T535">
        <f t="shared" si="988"/>
        <v>1.2418721012960443</v>
      </c>
    </row>
    <row r="536" spans="1:20" x14ac:dyDescent="0.25">
      <c r="A536" s="5">
        <v>44057</v>
      </c>
      <c r="B536">
        <v>0.21049000000000001</v>
      </c>
      <c r="C536">
        <v>0.21790999999999999</v>
      </c>
      <c r="D536">
        <v>0.20491000000000001</v>
      </c>
      <c r="E536">
        <v>0.20863000000000001</v>
      </c>
      <c r="F536">
        <v>13611558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-0.42769230769230682</v>
      </c>
      <c r="Q536">
        <f t="shared" si="985"/>
        <v>-5821558.6523076808</v>
      </c>
      <c r="R536">
        <f t="shared" si="986"/>
        <v>127809126.16767415</v>
      </c>
      <c r="S536">
        <f t="shared" si="987"/>
        <v>1278.0912616767416</v>
      </c>
      <c r="T536">
        <f t="shared" si="988"/>
        <v>1.2780912616767417</v>
      </c>
    </row>
    <row r="537" spans="1:20" x14ac:dyDescent="0.25">
      <c r="A537" s="5">
        <v>44056</v>
      </c>
      <c r="B537">
        <v>0.20752000000000001</v>
      </c>
      <c r="C537">
        <v>0.22186</v>
      </c>
      <c r="D537">
        <v>0.1996</v>
      </c>
      <c r="E537">
        <v>0.21088000000000001</v>
      </c>
      <c r="F537">
        <v>21806543.5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1.3477088948788071E-2</v>
      </c>
      <c r="Q537">
        <f t="shared" si="985"/>
        <v>293888.72641511634</v>
      </c>
      <c r="R537">
        <f t="shared" si="986"/>
        <v>133630684.81998183</v>
      </c>
      <c r="S537">
        <f t="shared" si="987"/>
        <v>1336.3068481998182</v>
      </c>
      <c r="T537">
        <f t="shared" si="988"/>
        <v>1.3363068481998182</v>
      </c>
    </row>
    <row r="538" spans="1:20" x14ac:dyDescent="0.25">
      <c r="A538" s="5">
        <v>44055</v>
      </c>
      <c r="B538">
        <v>0.20344999999999999</v>
      </c>
      <c r="C538">
        <v>0.21</v>
      </c>
      <c r="D538">
        <v>0.19500000000000001</v>
      </c>
      <c r="E538">
        <v>0.20835999999999999</v>
      </c>
      <c r="F538">
        <v>11354361.1</v>
      </c>
      <c r="G538">
        <v>0</v>
      </c>
      <c r="L538" t="s">
        <v>8</v>
      </c>
      <c r="M538" t="s">
        <v>7</v>
      </c>
      <c r="N538" t="s">
        <v>8</v>
      </c>
      <c r="P538">
        <f t="shared" si="984"/>
        <v>0.78133333333333277</v>
      </c>
      <c r="Q538">
        <f t="shared" si="985"/>
        <v>8871540.8061333261</v>
      </c>
      <c r="R538">
        <f t="shared" si="986"/>
        <v>133336796.09356672</v>
      </c>
      <c r="S538">
        <f t="shared" si="987"/>
        <v>1333.3679609356673</v>
      </c>
      <c r="T538">
        <f t="shared" si="988"/>
        <v>1.3333679609356672</v>
      </c>
    </row>
    <row r="539" spans="1:20" x14ac:dyDescent="0.25">
      <c r="A539" s="5">
        <v>44054</v>
      </c>
      <c r="B539">
        <v>0.22500000000000001</v>
      </c>
      <c r="C539">
        <v>0.22539999999999999</v>
      </c>
      <c r="D539">
        <v>0.19500000000000001</v>
      </c>
      <c r="E539">
        <v>0.20301</v>
      </c>
      <c r="F539">
        <v>19463031.699999999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-0.47302631578947407</v>
      </c>
      <c r="Q539">
        <f t="shared" si="985"/>
        <v>-9206526.1791447438</v>
      </c>
      <c r="R539">
        <f t="shared" si="986"/>
        <v>124465255.28743339</v>
      </c>
      <c r="S539">
        <f t="shared" si="987"/>
        <v>1244.6525528743339</v>
      </c>
      <c r="T539">
        <f t="shared" si="988"/>
        <v>1.244652552874334</v>
      </c>
    </row>
    <row r="540" spans="1:20" x14ac:dyDescent="0.25">
      <c r="A540" s="5">
        <v>44053</v>
      </c>
      <c r="B540">
        <v>0.22097</v>
      </c>
      <c r="C540">
        <v>0.22628000000000001</v>
      </c>
      <c r="D540">
        <v>0.20709</v>
      </c>
      <c r="E540">
        <v>0.22517000000000001</v>
      </c>
      <c r="F540">
        <v>25787630.399999999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0.88431474726420023</v>
      </c>
      <c r="Q540">
        <f t="shared" si="985"/>
        <v>22804381.859718606</v>
      </c>
      <c r="R540">
        <f t="shared" si="986"/>
        <v>133671781.46657813</v>
      </c>
      <c r="S540">
        <f t="shared" si="987"/>
        <v>1336.7178146657814</v>
      </c>
      <c r="T540">
        <f t="shared" si="988"/>
        <v>1.3367178146657814</v>
      </c>
    </row>
    <row r="541" spans="1:20" x14ac:dyDescent="0.25">
      <c r="A541" s="5">
        <v>44052</v>
      </c>
      <c r="B541">
        <v>0.21228</v>
      </c>
      <c r="C541">
        <v>0.23991000000000001</v>
      </c>
      <c r="D541">
        <v>0.20627999999999999</v>
      </c>
      <c r="E541">
        <v>0.22091</v>
      </c>
      <c r="F541">
        <v>37561164.299999997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-0.12994350282485906</v>
      </c>
      <c r="Q541">
        <f t="shared" si="985"/>
        <v>-4880829.2593220444</v>
      </c>
      <c r="R541">
        <f t="shared" si="986"/>
        <v>110867399.60685952</v>
      </c>
      <c r="S541">
        <f t="shared" si="987"/>
        <v>1108.6739960685952</v>
      </c>
      <c r="T541">
        <f t="shared" si="988"/>
        <v>1.1086739960685952</v>
      </c>
    </row>
    <row r="542" spans="1:20" x14ac:dyDescent="0.25">
      <c r="A542" s="5">
        <v>44051</v>
      </c>
      <c r="B542">
        <v>0.20791000000000001</v>
      </c>
      <c r="C542">
        <v>0.22</v>
      </c>
      <c r="D542">
        <v>0.20594000000000001</v>
      </c>
      <c r="E542">
        <v>0.21207000000000001</v>
      </c>
      <c r="F542">
        <v>23236083.399999999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-0.12802275960170678</v>
      </c>
      <c r="Q542">
        <f t="shared" si="985"/>
        <v>-2974747.5192034096</v>
      </c>
      <c r="R542">
        <f t="shared" si="986"/>
        <v>115748228.86618157</v>
      </c>
      <c r="S542">
        <f t="shared" si="987"/>
        <v>1157.4822886618156</v>
      </c>
      <c r="T542">
        <f t="shared" si="988"/>
        <v>1.1574822886618157</v>
      </c>
    </row>
    <row r="543" spans="1:20" x14ac:dyDescent="0.25">
      <c r="A543" s="5">
        <v>44050</v>
      </c>
      <c r="B543">
        <v>0.19331000000000001</v>
      </c>
      <c r="C543">
        <v>0.21099999999999999</v>
      </c>
      <c r="D543">
        <v>0.19308</v>
      </c>
      <c r="E543">
        <v>0.20832999999999999</v>
      </c>
      <c r="F543">
        <v>27531785.5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0.70200892857142783</v>
      </c>
      <c r="Q543">
        <f t="shared" si="985"/>
        <v>19327559.240513373</v>
      </c>
      <c r="R543">
        <f t="shared" si="986"/>
        <v>118722976.38538498</v>
      </c>
      <c r="S543">
        <f t="shared" si="987"/>
        <v>1187.2297638538498</v>
      </c>
      <c r="T543">
        <f t="shared" si="988"/>
        <v>1.1872297638538498</v>
      </c>
    </row>
    <row r="544" spans="1:20" x14ac:dyDescent="0.25">
      <c r="A544" s="5">
        <v>44049</v>
      </c>
      <c r="B544">
        <v>0.18951999999999999</v>
      </c>
      <c r="C544">
        <v>0.19517999999999999</v>
      </c>
      <c r="D544">
        <v>0.18537000000000001</v>
      </c>
      <c r="E544">
        <v>0.19320000000000001</v>
      </c>
      <c r="F544">
        <v>9577667.5</v>
      </c>
      <c r="G544">
        <v>0</v>
      </c>
      <c r="L544" t="s">
        <v>7</v>
      </c>
      <c r="M544" t="s">
        <v>8</v>
      </c>
      <c r="N544" t="s">
        <v>7</v>
      </c>
      <c r="P544">
        <f t="shared" si="984"/>
        <v>0.59633027522936088</v>
      </c>
      <c r="Q544">
        <f t="shared" si="985"/>
        <v>5711453.0963303046</v>
      </c>
      <c r="R544">
        <f t="shared" si="986"/>
        <v>99395417.144871607</v>
      </c>
      <c r="S544">
        <f t="shared" si="987"/>
        <v>993.95417144871612</v>
      </c>
      <c r="T544">
        <f t="shared" si="988"/>
        <v>0.99395417144871612</v>
      </c>
    </row>
    <row r="545" spans="1:20" x14ac:dyDescent="0.25">
      <c r="A545" s="5">
        <v>44048</v>
      </c>
      <c r="B545">
        <v>0.18764</v>
      </c>
      <c r="C545">
        <v>0.19849</v>
      </c>
      <c r="D545">
        <v>0.18509999999999999</v>
      </c>
      <c r="E545">
        <v>0.18978</v>
      </c>
      <c r="F545">
        <v>12268781.6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-0.30097087378640586</v>
      </c>
      <c r="Q545">
        <f t="shared" si="985"/>
        <v>-3692545.9184465786</v>
      </c>
      <c r="R545">
        <f t="shared" si="986"/>
        <v>93683964.048541307</v>
      </c>
      <c r="S545">
        <f t="shared" si="987"/>
        <v>936.83964048541304</v>
      </c>
      <c r="T545">
        <f t="shared" si="988"/>
        <v>0.93683964048541302</v>
      </c>
    </row>
    <row r="546" spans="1:20" x14ac:dyDescent="0.25">
      <c r="A546" s="5">
        <v>44047</v>
      </c>
      <c r="B546">
        <v>0.17824999999999999</v>
      </c>
      <c r="C546">
        <v>0.191</v>
      </c>
      <c r="D546">
        <v>0.17801</v>
      </c>
      <c r="E546">
        <v>0.18761</v>
      </c>
      <c r="F546">
        <v>11133755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0.47806004618937586</v>
      </c>
      <c r="Q546">
        <f t="shared" si="985"/>
        <v>5322603.429561194</v>
      </c>
      <c r="R546">
        <f t="shared" si="986"/>
        <v>97376509.966987893</v>
      </c>
      <c r="S546">
        <f t="shared" si="987"/>
        <v>973.76509966987896</v>
      </c>
      <c r="T546">
        <f t="shared" si="988"/>
        <v>0.97376509966987901</v>
      </c>
    </row>
    <row r="547" spans="1:20" x14ac:dyDescent="0.25">
      <c r="A547" s="5">
        <v>44046</v>
      </c>
      <c r="B547">
        <v>0.17549999999999999</v>
      </c>
      <c r="C547">
        <v>0.18099000000000001</v>
      </c>
      <c r="D547">
        <v>0.17424999999999999</v>
      </c>
      <c r="E547">
        <v>0.17799999999999999</v>
      </c>
      <c r="F547">
        <v>6565210.7000000002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0.11275964391691101</v>
      </c>
      <c r="Q547">
        <f t="shared" si="985"/>
        <v>740290.82077149407</v>
      </c>
      <c r="R547">
        <f t="shared" si="986"/>
        <v>92053906.537426695</v>
      </c>
      <c r="S547">
        <f t="shared" si="987"/>
        <v>920.5390653742669</v>
      </c>
      <c r="T547">
        <f t="shared" si="988"/>
        <v>0.92053906537426688</v>
      </c>
    </row>
    <row r="548" spans="1:20" x14ac:dyDescent="0.25">
      <c r="A548" s="5">
        <v>44045</v>
      </c>
      <c r="B548">
        <v>0.17621999999999999</v>
      </c>
      <c r="C548">
        <v>0.18115999999999999</v>
      </c>
      <c r="D548">
        <v>0.16220000000000001</v>
      </c>
      <c r="E548">
        <v>0.17523</v>
      </c>
      <c r="F548">
        <v>11935596.1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0.37447257383966265</v>
      </c>
      <c r="Q548">
        <f t="shared" si="985"/>
        <v>4469553.3918776391</v>
      </c>
      <c r="R548">
        <f t="shared" si="986"/>
        <v>91313615.716655195</v>
      </c>
      <c r="S548">
        <f t="shared" si="987"/>
        <v>913.13615716655193</v>
      </c>
      <c r="T548">
        <f t="shared" si="988"/>
        <v>0.91313615716655194</v>
      </c>
    </row>
    <row r="549" spans="1:20" x14ac:dyDescent="0.25">
      <c r="A549" s="5">
        <v>44044</v>
      </c>
      <c r="B549">
        <v>0.17455999999999999</v>
      </c>
      <c r="C549">
        <v>0.17979000000000001</v>
      </c>
      <c r="D549">
        <v>0.17199999999999999</v>
      </c>
      <c r="E549">
        <v>0.17652999999999999</v>
      </c>
      <c r="F549">
        <v>6964771.2999999998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0.16302952503209117</v>
      </c>
      <c r="Q549">
        <f t="shared" si="985"/>
        <v>1135463.3569961402</v>
      </c>
      <c r="R549">
        <f t="shared" si="986"/>
        <v>86844062.324777558</v>
      </c>
      <c r="S549">
        <f t="shared" si="987"/>
        <v>868.44062324777553</v>
      </c>
      <c r="T549">
        <f t="shared" si="988"/>
        <v>0.86844062324777549</v>
      </c>
    </row>
    <row r="550" spans="1:20" x14ac:dyDescent="0.25">
      <c r="A550" s="5">
        <v>44043</v>
      </c>
      <c r="B550">
        <v>0.17768</v>
      </c>
      <c r="C550">
        <v>0.18325</v>
      </c>
      <c r="D550">
        <v>0.17199</v>
      </c>
      <c r="E550">
        <v>0.17419000000000001</v>
      </c>
      <c r="F550">
        <v>7276863.2999999998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-0.6092362344582577</v>
      </c>
      <c r="Q550">
        <f t="shared" si="985"/>
        <v>-4433328.795559491</v>
      </c>
      <c r="R550">
        <f t="shared" si="986"/>
        <v>85708598.967781425</v>
      </c>
      <c r="S550">
        <f t="shared" si="987"/>
        <v>857.08598967781427</v>
      </c>
      <c r="T550">
        <f t="shared" si="988"/>
        <v>0.85708598967781424</v>
      </c>
    </row>
    <row r="551" spans="1:20" x14ac:dyDescent="0.25">
      <c r="A551" s="5">
        <v>44042</v>
      </c>
      <c r="B551">
        <v>0.17662</v>
      </c>
      <c r="C551">
        <v>0.17962</v>
      </c>
      <c r="D551">
        <v>0.17366999999999999</v>
      </c>
      <c r="E551">
        <v>0.17780000000000001</v>
      </c>
      <c r="F551">
        <v>3514172.7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0.38823529411765212</v>
      </c>
      <c r="Q551">
        <f t="shared" si="985"/>
        <v>1364325.8717647237</v>
      </c>
      <c r="R551">
        <f t="shared" si="986"/>
        <v>90141927.76334092</v>
      </c>
      <c r="S551">
        <f t="shared" si="987"/>
        <v>901.41927763340925</v>
      </c>
      <c r="T551">
        <f t="shared" si="988"/>
        <v>0.90141927763340923</v>
      </c>
    </row>
    <row r="552" spans="1:20" x14ac:dyDescent="0.25">
      <c r="A552" s="5">
        <v>44041</v>
      </c>
      <c r="B552">
        <v>0.17451</v>
      </c>
      <c r="C552">
        <v>0.18487999999999999</v>
      </c>
      <c r="D552">
        <v>0.1744</v>
      </c>
      <c r="E552">
        <v>0.17634</v>
      </c>
      <c r="F552">
        <v>6965349.5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-0.62977099236641232</v>
      </c>
      <c r="Q552">
        <f t="shared" si="985"/>
        <v>-4386575.0667938935</v>
      </c>
      <c r="R552">
        <f t="shared" si="986"/>
        <v>88777601.891576201</v>
      </c>
      <c r="S552">
        <f t="shared" si="987"/>
        <v>887.77601891576205</v>
      </c>
      <c r="T552">
        <f t="shared" si="988"/>
        <v>0.88777601891576208</v>
      </c>
    </row>
    <row r="553" spans="1:20" x14ac:dyDescent="0.25">
      <c r="A553" s="5">
        <v>44040</v>
      </c>
      <c r="B553">
        <v>0.16878000000000001</v>
      </c>
      <c r="C553">
        <v>0.17680000000000001</v>
      </c>
      <c r="D553">
        <v>0.16502</v>
      </c>
      <c r="E553">
        <v>0.17452000000000001</v>
      </c>
      <c r="F553">
        <v>7774577.2000000002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0.61290322580645129</v>
      </c>
      <c r="Q553">
        <f t="shared" si="985"/>
        <v>4765063.4451612877</v>
      </c>
      <c r="R553">
        <f t="shared" si="986"/>
        <v>93164176.95837009</v>
      </c>
      <c r="S553">
        <f t="shared" si="987"/>
        <v>931.64176958370092</v>
      </c>
      <c r="T553">
        <f t="shared" si="988"/>
        <v>0.93164176958370093</v>
      </c>
    </row>
    <row r="554" spans="1:20" x14ac:dyDescent="0.25">
      <c r="A554" s="5">
        <v>44039</v>
      </c>
      <c r="B554">
        <v>0.17873</v>
      </c>
      <c r="C554">
        <v>0.17978</v>
      </c>
      <c r="D554">
        <v>0.16081000000000001</v>
      </c>
      <c r="E554">
        <v>0.16889999999999999</v>
      </c>
      <c r="F554">
        <v>17399760.5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-0.14707432788613689</v>
      </c>
      <c r="Q554">
        <f t="shared" si="985"/>
        <v>-2559058.0809172532</v>
      </c>
      <c r="R554">
        <f t="shared" si="986"/>
        <v>88399113.513208807</v>
      </c>
      <c r="S554">
        <f t="shared" si="987"/>
        <v>883.99113513208806</v>
      </c>
      <c r="T554">
        <f t="shared" si="988"/>
        <v>0.88399113513208805</v>
      </c>
    </row>
    <row r="555" spans="1:20" x14ac:dyDescent="0.25">
      <c r="A555" s="5">
        <v>44038</v>
      </c>
      <c r="B555">
        <v>0.18754000000000001</v>
      </c>
      <c r="C555">
        <v>0.18976999999999999</v>
      </c>
      <c r="D555">
        <v>0.17688000000000001</v>
      </c>
      <c r="E555">
        <v>0.17916000000000001</v>
      </c>
      <c r="F555">
        <v>8356490.5999999996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-0.64623739332816033</v>
      </c>
      <c r="Q555">
        <f t="shared" si="985"/>
        <v>-5400276.7027152739</v>
      </c>
      <c r="R555">
        <f t="shared" si="986"/>
        <v>90958171.594126061</v>
      </c>
      <c r="S555">
        <f t="shared" si="987"/>
        <v>909.58171594126065</v>
      </c>
      <c r="T555">
        <f t="shared" si="988"/>
        <v>0.90958171594126069</v>
      </c>
    </row>
    <row r="556" spans="1:20" x14ac:dyDescent="0.25">
      <c r="A556" s="5">
        <v>44037</v>
      </c>
      <c r="B556">
        <v>0.18625</v>
      </c>
      <c r="C556">
        <v>0.19350999999999999</v>
      </c>
      <c r="D556">
        <v>0.18504000000000001</v>
      </c>
      <c r="E556">
        <v>0.18781999999999999</v>
      </c>
      <c r="F556">
        <v>7974712.2000000002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-0.34356552538371093</v>
      </c>
      <c r="Q556">
        <f t="shared" si="985"/>
        <v>-2739836.1867768895</v>
      </c>
      <c r="R556">
        <f t="shared" si="986"/>
        <v>96358448.296841338</v>
      </c>
      <c r="S556">
        <f t="shared" si="987"/>
        <v>963.58448296841334</v>
      </c>
      <c r="T556">
        <f t="shared" si="988"/>
        <v>0.96358448296841337</v>
      </c>
    </row>
    <row r="557" spans="1:20" x14ac:dyDescent="0.25">
      <c r="A557" s="5">
        <v>44036</v>
      </c>
      <c r="B557">
        <v>0.18603</v>
      </c>
      <c r="C557">
        <v>0.18884000000000001</v>
      </c>
      <c r="D557">
        <v>0.18368999999999999</v>
      </c>
      <c r="E557">
        <v>0.18625</v>
      </c>
      <c r="F557">
        <v>5056983.9000000004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-5.8252427184470202E-3</v>
      </c>
      <c r="Q557">
        <f t="shared" si="985"/>
        <v>-29458.158640778816</v>
      </c>
      <c r="R557">
        <f t="shared" si="986"/>
        <v>99098284.48361823</v>
      </c>
      <c r="S557">
        <f t="shared" si="987"/>
        <v>990.98284483618227</v>
      </c>
      <c r="T557">
        <f t="shared" si="988"/>
        <v>0.99098284483618226</v>
      </c>
    </row>
    <row r="558" spans="1:20" x14ac:dyDescent="0.25">
      <c r="A558" s="5">
        <v>44035</v>
      </c>
      <c r="B558">
        <v>0.19103999999999999</v>
      </c>
      <c r="C558">
        <v>0.19237000000000001</v>
      </c>
      <c r="D558">
        <v>0.18373</v>
      </c>
      <c r="E558">
        <v>0.18567</v>
      </c>
      <c r="F558">
        <v>9518242.6999999993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-0.55092592592592704</v>
      </c>
      <c r="Q558">
        <f t="shared" si="985"/>
        <v>-5243846.6726851957</v>
      </c>
      <c r="R558">
        <f t="shared" si="986"/>
        <v>99127742.642259002</v>
      </c>
      <c r="S558">
        <f t="shared" si="987"/>
        <v>991.27742642259</v>
      </c>
      <c r="T558">
        <f t="shared" si="988"/>
        <v>0.99127742642258998</v>
      </c>
    </row>
    <row r="559" spans="1:20" x14ac:dyDescent="0.25">
      <c r="A559" s="5">
        <v>44034</v>
      </c>
      <c r="B559">
        <v>0.19400000000000001</v>
      </c>
      <c r="C559">
        <v>0.19889000000000001</v>
      </c>
      <c r="D559">
        <v>0.19</v>
      </c>
      <c r="E559">
        <v>0.19070999999999999</v>
      </c>
      <c r="F559">
        <v>7039497.5999999996</v>
      </c>
      <c r="G559">
        <v>0</v>
      </c>
      <c r="L559" t="s">
        <v>7</v>
      </c>
      <c r="M559" t="s">
        <v>8</v>
      </c>
      <c r="N559" t="s">
        <v>8</v>
      </c>
      <c r="P559">
        <f t="shared" si="984"/>
        <v>-0.84026996625422101</v>
      </c>
      <c r="Q559">
        <f t="shared" si="985"/>
        <v>-5915078.4107986698</v>
      </c>
      <c r="R559">
        <f t="shared" si="986"/>
        <v>104371589.31494419</v>
      </c>
      <c r="S559">
        <f t="shared" si="987"/>
        <v>1043.7158931494419</v>
      </c>
      <c r="T559">
        <f t="shared" si="988"/>
        <v>1.0437158931494419</v>
      </c>
    </row>
    <row r="560" spans="1:20" x14ac:dyDescent="0.25">
      <c r="A560" s="5">
        <v>44033</v>
      </c>
      <c r="B560">
        <v>0.19328000000000001</v>
      </c>
      <c r="C560">
        <v>0.19742000000000001</v>
      </c>
      <c r="D560">
        <v>0.18593999999999999</v>
      </c>
      <c r="E560">
        <v>0.1938</v>
      </c>
      <c r="F560">
        <v>9518189.3000000007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0.36933797909407551</v>
      </c>
      <c r="Q560">
        <f t="shared" si="985"/>
        <v>3515428.8006968535</v>
      </c>
      <c r="R560">
        <f t="shared" si="986"/>
        <v>110286667.72574286</v>
      </c>
      <c r="S560">
        <f t="shared" si="987"/>
        <v>1102.8666772574286</v>
      </c>
      <c r="T560">
        <f t="shared" si="988"/>
        <v>1.1028666772574285</v>
      </c>
    </row>
    <row r="561" spans="1:104" x14ac:dyDescent="0.25">
      <c r="A561" s="5">
        <v>44032</v>
      </c>
      <c r="B561">
        <v>0.20752000000000001</v>
      </c>
      <c r="C561">
        <v>0.20752000000000001</v>
      </c>
      <c r="D561">
        <v>0.192</v>
      </c>
      <c r="E561">
        <v>0.19328999999999999</v>
      </c>
      <c r="F561">
        <v>8645679.5999999996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-0.83376288659794007</v>
      </c>
      <c r="Q561">
        <f t="shared" si="985"/>
        <v>-7208446.7798969233</v>
      </c>
      <c r="R561">
        <f t="shared" si="986"/>
        <v>106771238.92504601</v>
      </c>
      <c r="S561">
        <f t="shared" si="987"/>
        <v>1067.7123892504601</v>
      </c>
      <c r="T561">
        <f t="shared" si="988"/>
        <v>1.0677123892504601</v>
      </c>
      <c r="CZ561" t="s">
        <v>7</v>
      </c>
    </row>
    <row r="562" spans="1:104" x14ac:dyDescent="0.25">
      <c r="A562" s="5">
        <v>44031</v>
      </c>
      <c r="B562">
        <v>0.20787</v>
      </c>
      <c r="C562">
        <v>0.21156</v>
      </c>
      <c r="D562">
        <v>0.19650000000000001</v>
      </c>
      <c r="E562">
        <v>0.2074</v>
      </c>
      <c r="F562">
        <v>10470554.6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0.4475431606905711</v>
      </c>
      <c r="Q562">
        <f t="shared" si="985"/>
        <v>4686025.0998671986</v>
      </c>
      <c r="R562">
        <f t="shared" si="986"/>
        <v>113979685.70494294</v>
      </c>
      <c r="S562">
        <f t="shared" si="987"/>
        <v>1139.7968570494295</v>
      </c>
      <c r="T562">
        <f t="shared" si="988"/>
        <v>1.1397968570494295</v>
      </c>
      <c r="CZ562" t="s">
        <v>7</v>
      </c>
    </row>
    <row r="563" spans="1:104" x14ac:dyDescent="0.25">
      <c r="A563" s="5">
        <v>44030</v>
      </c>
      <c r="B563">
        <v>0.20118</v>
      </c>
      <c r="C563">
        <v>0.21779000000000001</v>
      </c>
      <c r="D563">
        <v>0.19628999999999999</v>
      </c>
      <c r="E563">
        <v>0.20832000000000001</v>
      </c>
      <c r="F563">
        <v>17246742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0.11906976744186067</v>
      </c>
      <c r="Q563">
        <f t="shared" si="985"/>
        <v>2053565.5590697709</v>
      </c>
      <c r="R563">
        <f t="shared" si="986"/>
        <v>109293660.60507575</v>
      </c>
      <c r="S563">
        <f t="shared" si="987"/>
        <v>1092.9366060507575</v>
      </c>
      <c r="T563">
        <f t="shared" si="988"/>
        <v>1.0929366060507575</v>
      </c>
      <c r="CZ563" t="s">
        <v>7</v>
      </c>
    </row>
    <row r="564" spans="1:104" x14ac:dyDescent="0.25">
      <c r="A564" s="5">
        <v>44029</v>
      </c>
      <c r="B564">
        <v>0.19178000000000001</v>
      </c>
      <c r="C564">
        <v>0.21625</v>
      </c>
      <c r="D564">
        <v>0.19114</v>
      </c>
      <c r="E564">
        <v>0.20133000000000001</v>
      </c>
      <c r="F564">
        <v>33841771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-0.18837116686578995</v>
      </c>
      <c r="Q564">
        <f t="shared" si="985"/>
        <v>-6374813.8920748513</v>
      </c>
      <c r="R564">
        <f t="shared" si="986"/>
        <v>107240095.04600598</v>
      </c>
      <c r="S564">
        <f t="shared" si="987"/>
        <v>1072.4009504600599</v>
      </c>
      <c r="T564">
        <f t="shared" si="988"/>
        <v>1.07240095046006</v>
      </c>
    </row>
    <row r="565" spans="1:104" x14ac:dyDescent="0.25">
      <c r="A565" s="5">
        <v>44028</v>
      </c>
      <c r="B565">
        <v>0.18472</v>
      </c>
      <c r="C565">
        <v>0.19874</v>
      </c>
      <c r="D565">
        <v>0.17066000000000001</v>
      </c>
      <c r="E565">
        <v>0.19178999999999999</v>
      </c>
      <c r="F565">
        <v>23472206.300000001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0.50498575498575404</v>
      </c>
      <c r="Q565">
        <f t="shared" si="985"/>
        <v>11853129.819586873</v>
      </c>
      <c r="R565">
        <f t="shared" si="986"/>
        <v>113614908.93808083</v>
      </c>
      <c r="S565">
        <f t="shared" si="987"/>
        <v>1136.1490893808084</v>
      </c>
      <c r="T565">
        <f t="shared" si="988"/>
        <v>1.1361490893808084</v>
      </c>
    </row>
    <row r="566" spans="1:104" x14ac:dyDescent="0.25">
      <c r="A566" s="5">
        <v>44027</v>
      </c>
      <c r="B566">
        <v>0.18639</v>
      </c>
      <c r="C566">
        <v>0.19349</v>
      </c>
      <c r="D566">
        <v>0.18361</v>
      </c>
      <c r="E566">
        <v>0.18421000000000001</v>
      </c>
      <c r="F566">
        <v>10738399.800000001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-0.87854251012145401</v>
      </c>
      <c r="Q566">
        <f t="shared" si="985"/>
        <v>-9434140.7149797212</v>
      </c>
      <c r="R566">
        <f t="shared" si="986"/>
        <v>101761779.11849396</v>
      </c>
      <c r="S566">
        <f t="shared" si="987"/>
        <v>1017.6177911849396</v>
      </c>
      <c r="T566">
        <f t="shared" si="988"/>
        <v>1.0176177911849396</v>
      </c>
    </row>
    <row r="567" spans="1:104" x14ac:dyDescent="0.25">
      <c r="A567" s="5">
        <v>44026</v>
      </c>
      <c r="B567">
        <v>0.18032999999999999</v>
      </c>
      <c r="C567">
        <v>0.19989999999999999</v>
      </c>
      <c r="D567">
        <v>0.17680999999999999</v>
      </c>
      <c r="E567">
        <v>0.18618000000000001</v>
      </c>
      <c r="F567">
        <v>26504036.5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-0.18839324382849568</v>
      </c>
      <c r="Q567">
        <f t="shared" si="985"/>
        <v>-4993181.4107838487</v>
      </c>
      <c r="R567">
        <f t="shared" si="986"/>
        <v>111195919.83347368</v>
      </c>
      <c r="S567">
        <f t="shared" si="987"/>
        <v>1111.9591983347368</v>
      </c>
      <c r="T567">
        <f t="shared" si="988"/>
        <v>1.1119591983347368</v>
      </c>
    </row>
    <row r="568" spans="1:104" x14ac:dyDescent="0.25">
      <c r="A568" s="5">
        <v>44025</v>
      </c>
      <c r="B568">
        <v>0.17730000000000001</v>
      </c>
      <c r="C568">
        <v>0.19181999999999999</v>
      </c>
      <c r="D568">
        <v>0.1744</v>
      </c>
      <c r="E568">
        <v>0.18038999999999999</v>
      </c>
      <c r="F568">
        <v>15121778.9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-0.31228473019517816</v>
      </c>
      <c r="Q568">
        <f t="shared" si="985"/>
        <v>-4722300.6438576384</v>
      </c>
      <c r="R568">
        <f t="shared" si="986"/>
        <v>116189101.24425752</v>
      </c>
      <c r="S568">
        <f t="shared" si="987"/>
        <v>1161.8910124425752</v>
      </c>
      <c r="T568">
        <f t="shared" si="988"/>
        <v>1.1618910124425752</v>
      </c>
    </row>
    <row r="569" spans="1:104" x14ac:dyDescent="0.25">
      <c r="A569" s="5">
        <v>44024</v>
      </c>
      <c r="B569">
        <v>0.18153</v>
      </c>
      <c r="C569">
        <v>0.18184</v>
      </c>
      <c r="D569">
        <v>0.17199999999999999</v>
      </c>
      <c r="E569">
        <v>0.1769</v>
      </c>
      <c r="F569">
        <v>5275383.4000000004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-4.0650406504049216E-3</v>
      </c>
      <c r="Q569">
        <f t="shared" si="985"/>
        <v>-21444.647967471326</v>
      </c>
      <c r="R569">
        <f t="shared" si="986"/>
        <v>120911401.88811517</v>
      </c>
      <c r="S569">
        <f t="shared" si="987"/>
        <v>1209.1140188811517</v>
      </c>
      <c r="T569">
        <f t="shared" si="988"/>
        <v>1.2091140188811516</v>
      </c>
    </row>
    <row r="570" spans="1:104" x14ac:dyDescent="0.25">
      <c r="A570" s="5">
        <v>44023</v>
      </c>
      <c r="B570">
        <v>0.17641999999999999</v>
      </c>
      <c r="C570">
        <v>0.18245</v>
      </c>
      <c r="D570">
        <v>0.17510000000000001</v>
      </c>
      <c r="E570">
        <v>0.18153</v>
      </c>
      <c r="F570">
        <v>6470089.4000000004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0.74965986394557693</v>
      </c>
      <c r="Q570">
        <f t="shared" si="985"/>
        <v>4850366.3393197199</v>
      </c>
      <c r="R570">
        <f t="shared" si="986"/>
        <v>120932846.53608264</v>
      </c>
      <c r="S570">
        <f t="shared" si="987"/>
        <v>1209.3284653608264</v>
      </c>
      <c r="T570">
        <f t="shared" si="988"/>
        <v>1.2093284653608263</v>
      </c>
    </row>
    <row r="571" spans="1:104" x14ac:dyDescent="0.25">
      <c r="A571" s="5">
        <v>44022</v>
      </c>
      <c r="B571">
        <v>0.18462999999999999</v>
      </c>
      <c r="C571">
        <v>0.18498999999999999</v>
      </c>
      <c r="D571">
        <v>0.16739999999999999</v>
      </c>
      <c r="E571">
        <v>0.17662</v>
      </c>
      <c r="F571">
        <v>7821260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4.8322910744742334E-2</v>
      </c>
      <c r="Q571">
        <f t="shared" si="985"/>
        <v>377946.04889142344</v>
      </c>
      <c r="R571">
        <f t="shared" si="986"/>
        <v>116082480.19676292</v>
      </c>
      <c r="S571">
        <f t="shared" si="987"/>
        <v>1160.8248019676291</v>
      </c>
      <c r="T571">
        <f t="shared" si="988"/>
        <v>1.160824801967629</v>
      </c>
    </row>
    <row r="572" spans="1:104" x14ac:dyDescent="0.25">
      <c r="A572" s="5">
        <v>44021</v>
      </c>
      <c r="B572">
        <v>0.18498999999999999</v>
      </c>
      <c r="C572">
        <v>0.19700999999999999</v>
      </c>
      <c r="D572">
        <v>0.17521</v>
      </c>
      <c r="E572">
        <v>0.18497</v>
      </c>
      <c r="F572">
        <v>14547940.199999999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-0.10458715596330301</v>
      </c>
      <c r="Q572">
        <f t="shared" si="985"/>
        <v>-1521527.6906422055</v>
      </c>
      <c r="R572">
        <f t="shared" si="986"/>
        <v>115704534.14787149</v>
      </c>
      <c r="S572">
        <f t="shared" si="987"/>
        <v>1157.045341478715</v>
      </c>
      <c r="T572">
        <f t="shared" si="988"/>
        <v>1.157045341478715</v>
      </c>
    </row>
    <row r="573" spans="1:104" x14ac:dyDescent="0.25">
      <c r="A573" s="5">
        <v>44020</v>
      </c>
      <c r="B573">
        <v>0.17649000000000001</v>
      </c>
      <c r="C573">
        <v>0.18540999999999999</v>
      </c>
      <c r="D573">
        <v>0.17588999999999999</v>
      </c>
      <c r="E573">
        <v>0.18493000000000001</v>
      </c>
      <c r="F573">
        <v>9202851.3000000007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0.89915966386555035</v>
      </c>
      <c r="Q573">
        <f t="shared" si="985"/>
        <v>8274832.6815126436</v>
      </c>
      <c r="R573">
        <f t="shared" si="986"/>
        <v>117226061.8385137</v>
      </c>
      <c r="S573">
        <f t="shared" si="987"/>
        <v>1172.2606183851369</v>
      </c>
      <c r="T573">
        <f t="shared" si="988"/>
        <v>1.172260618385137</v>
      </c>
    </row>
    <row r="574" spans="1:104" x14ac:dyDescent="0.25">
      <c r="A574" s="5">
        <v>44019</v>
      </c>
      <c r="B574">
        <v>0.17879</v>
      </c>
      <c r="C574">
        <v>0.17909</v>
      </c>
      <c r="D574">
        <v>0.17318</v>
      </c>
      <c r="E574">
        <v>0.17649000000000001</v>
      </c>
      <c r="F574">
        <v>4826588.2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0.1201353637901889</v>
      </c>
      <c r="Q574">
        <f t="shared" si="985"/>
        <v>579843.92927243304</v>
      </c>
      <c r="R574">
        <f t="shared" si="986"/>
        <v>108951229.15700106</v>
      </c>
      <c r="S574">
        <f t="shared" si="987"/>
        <v>1089.5122915700106</v>
      </c>
      <c r="T574">
        <f t="shared" si="988"/>
        <v>1.0895122915700106</v>
      </c>
    </row>
    <row r="575" spans="1:104" x14ac:dyDescent="0.25">
      <c r="A575" s="5">
        <v>44018</v>
      </c>
      <c r="B575">
        <v>0.17280999999999999</v>
      </c>
      <c r="C575">
        <v>0.18</v>
      </c>
      <c r="D575">
        <v>0.17169999999999999</v>
      </c>
      <c r="E575">
        <v>0.17904</v>
      </c>
      <c r="F575">
        <v>6394351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0.76867469879518346</v>
      </c>
      <c r="Q575">
        <f t="shared" si="985"/>
        <v>4915175.8289156798</v>
      </c>
      <c r="R575">
        <f t="shared" si="986"/>
        <v>108371385.22772864</v>
      </c>
      <c r="S575">
        <f t="shared" si="987"/>
        <v>1083.7138522772864</v>
      </c>
      <c r="T575">
        <f t="shared" si="988"/>
        <v>1.0837138522772864</v>
      </c>
    </row>
    <row r="576" spans="1:104" x14ac:dyDescent="0.25">
      <c r="A576" s="5">
        <v>44017</v>
      </c>
      <c r="B576">
        <v>0.18129999999999999</v>
      </c>
      <c r="C576">
        <v>0.18851999999999999</v>
      </c>
      <c r="D576">
        <v>0.16822000000000001</v>
      </c>
      <c r="E576">
        <v>0.17280999999999999</v>
      </c>
      <c r="F576">
        <v>10739095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-0.54778325123152838</v>
      </c>
      <c r="Q576">
        <f t="shared" si="985"/>
        <v>-5882696.3743842505</v>
      </c>
      <c r="R576">
        <f t="shared" si="986"/>
        <v>103456209.39881295</v>
      </c>
      <c r="S576">
        <f t="shared" si="987"/>
        <v>1034.5620939881294</v>
      </c>
      <c r="T576">
        <f t="shared" si="988"/>
        <v>1.0345620939881295</v>
      </c>
    </row>
    <row r="577" spans="1:20" x14ac:dyDescent="0.25">
      <c r="A577" s="5">
        <v>44016</v>
      </c>
      <c r="B577">
        <v>0.17121</v>
      </c>
      <c r="C577">
        <v>0.18584000000000001</v>
      </c>
      <c r="D577">
        <v>0.17079</v>
      </c>
      <c r="E577">
        <v>0.18129999999999999</v>
      </c>
      <c r="F577">
        <v>11148058.800000001</v>
      </c>
      <c r="G577">
        <v>0</v>
      </c>
      <c r="L577" t="s">
        <v>8</v>
      </c>
      <c r="M577" t="s">
        <v>8</v>
      </c>
      <c r="N577" t="s">
        <v>7</v>
      </c>
      <c r="P577">
        <f t="shared" si="984"/>
        <v>0.39667774086378554</v>
      </c>
      <c r="Q577">
        <f t="shared" si="985"/>
        <v>4422186.7798006441</v>
      </c>
      <c r="R577">
        <f t="shared" si="986"/>
        <v>109338905.7731972</v>
      </c>
      <c r="S577">
        <f t="shared" si="987"/>
        <v>1093.3890577319721</v>
      </c>
      <c r="T577">
        <f t="shared" si="988"/>
        <v>1.093389057731972</v>
      </c>
    </row>
    <row r="578" spans="1:20" x14ac:dyDescent="0.25">
      <c r="A578" s="5">
        <v>44015</v>
      </c>
      <c r="B578">
        <v>0.16658999999999999</v>
      </c>
      <c r="C578">
        <v>0.17460000000000001</v>
      </c>
      <c r="D578">
        <v>0.16566</v>
      </c>
      <c r="E578">
        <v>0.17155999999999999</v>
      </c>
      <c r="F578">
        <v>5158963.7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0.31991051454138397</v>
      </c>
      <c r="Q578">
        <f t="shared" si="985"/>
        <v>1650406.7317673222</v>
      </c>
      <c r="R578">
        <f t="shared" si="986"/>
        <v>104916718.99339657</v>
      </c>
      <c r="S578">
        <f t="shared" si="987"/>
        <v>1049.1671899339656</v>
      </c>
      <c r="T578">
        <f t="shared" si="988"/>
        <v>1.0491671899339656</v>
      </c>
    </row>
    <row r="579" spans="1:20" x14ac:dyDescent="0.25">
      <c r="A579" s="5">
        <v>44014</v>
      </c>
      <c r="B579">
        <v>0.1724</v>
      </c>
      <c r="C579">
        <v>0.17523</v>
      </c>
      <c r="D579">
        <v>0.16031999999999999</v>
      </c>
      <c r="E579">
        <v>0.16658999999999999</v>
      </c>
      <c r="F579">
        <v>6424783.7000000002</v>
      </c>
      <c r="G579">
        <v>0</v>
      </c>
      <c r="L579" t="s">
        <v>7</v>
      </c>
      <c r="M579" t="s">
        <v>8</v>
      </c>
      <c r="N579" t="s">
        <v>7</v>
      </c>
      <c r="P579">
        <f t="shared" si="984"/>
        <v>-0.1589537223340047</v>
      </c>
      <c r="Q579">
        <f t="shared" si="985"/>
        <v>-1021243.2843058395</v>
      </c>
      <c r="R579">
        <f t="shared" si="986"/>
        <v>103266312.26162924</v>
      </c>
      <c r="S579">
        <f t="shared" si="987"/>
        <v>1032.6631226162924</v>
      </c>
      <c r="T579">
        <f t="shared" si="988"/>
        <v>1.0326631226162923</v>
      </c>
    </row>
    <row r="580" spans="1:20" x14ac:dyDescent="0.25">
      <c r="A580" s="5">
        <v>44013</v>
      </c>
      <c r="B580">
        <v>0.16730999999999999</v>
      </c>
      <c r="C580">
        <v>0.17311000000000001</v>
      </c>
      <c r="D580">
        <v>0.16272</v>
      </c>
      <c r="E580">
        <v>0.1724</v>
      </c>
      <c r="F580">
        <v>5760490.9000000004</v>
      </c>
      <c r="G580">
        <v>0</v>
      </c>
      <c r="L580" t="s">
        <v>7</v>
      </c>
      <c r="M580" t="s">
        <v>8</v>
      </c>
      <c r="N580" t="s">
        <v>7</v>
      </c>
      <c r="P580">
        <f t="shared" si="984"/>
        <v>0.86333012512030505</v>
      </c>
      <c r="Q580">
        <f t="shared" si="985"/>
        <v>4973205.3294513794</v>
      </c>
      <c r="R580">
        <f t="shared" si="986"/>
        <v>104287555.54593508</v>
      </c>
      <c r="S580">
        <f t="shared" si="987"/>
        <v>1042.8755554593508</v>
      </c>
      <c r="T580">
        <f t="shared" si="988"/>
        <v>1.0428755554593507</v>
      </c>
    </row>
    <row r="581" spans="1:20" x14ac:dyDescent="0.25">
      <c r="A581" s="5">
        <v>44012</v>
      </c>
      <c r="B581">
        <v>0.17168</v>
      </c>
      <c r="C581">
        <v>0.17949999999999999</v>
      </c>
      <c r="D581">
        <v>0.1673</v>
      </c>
      <c r="E581">
        <v>0.16730999999999999</v>
      </c>
      <c r="F581">
        <v>9343989</v>
      </c>
      <c r="G581">
        <v>0</v>
      </c>
      <c r="L581" t="s">
        <v>8</v>
      </c>
      <c r="M581" t="s">
        <v>8</v>
      </c>
      <c r="N581" t="s">
        <v>7</v>
      </c>
      <c r="P581">
        <f t="shared" si="984"/>
        <v>-0.99836065573770782</v>
      </c>
      <c r="Q581">
        <f t="shared" si="985"/>
        <v>-9328670.9852459282</v>
      </c>
      <c r="R581">
        <f t="shared" si="986"/>
        <v>99314350.216483697</v>
      </c>
      <c r="S581">
        <f t="shared" si="987"/>
        <v>993.14350216483695</v>
      </c>
      <c r="T581">
        <f t="shared" si="988"/>
        <v>0.99314350216483693</v>
      </c>
    </row>
    <row r="582" spans="1:20" x14ac:dyDescent="0.25">
      <c r="A582" s="5">
        <v>44011</v>
      </c>
      <c r="B582">
        <v>0.15642</v>
      </c>
      <c r="C582">
        <v>0.17557</v>
      </c>
      <c r="D582">
        <v>0.15178</v>
      </c>
      <c r="E582">
        <v>0.17126</v>
      </c>
      <c r="F582">
        <v>11985289.9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0.63766288356452228</v>
      </c>
      <c r="Q582">
        <f t="shared" ref="Q582:Q645" si="990">F582*P582</f>
        <v>7642574.5179907447</v>
      </c>
      <c r="R582">
        <f t="shared" ref="R582:R645" si="991">R583+Q582</f>
        <v>108643021.20172963</v>
      </c>
      <c r="S582">
        <f t="shared" ref="S582:S645" si="992">R582/100000</f>
        <v>1086.4302120172963</v>
      </c>
      <c r="T582">
        <f t="shared" ref="T582:T645" si="993">S582/1000</f>
        <v>1.0864302120172964</v>
      </c>
    </row>
    <row r="583" spans="1:20" x14ac:dyDescent="0.25">
      <c r="A583" s="5">
        <v>44010</v>
      </c>
      <c r="B583">
        <v>0.15315999999999999</v>
      </c>
      <c r="C583">
        <v>0.15995000000000001</v>
      </c>
      <c r="D583">
        <v>0.14838000000000001</v>
      </c>
      <c r="E583">
        <v>0.15626000000000001</v>
      </c>
      <c r="F583">
        <v>4358845.9000000004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0.36214347450302509</v>
      </c>
      <c r="Q583">
        <f t="shared" si="990"/>
        <v>1578527.5990492655</v>
      </c>
      <c r="R583">
        <f t="shared" si="991"/>
        <v>101000446.68373889</v>
      </c>
      <c r="S583">
        <f t="shared" si="992"/>
        <v>1010.0044668373889</v>
      </c>
      <c r="T583">
        <f t="shared" si="993"/>
        <v>1.0100044668373889</v>
      </c>
    </row>
    <row r="584" spans="1:20" x14ac:dyDescent="0.25">
      <c r="A584" s="5">
        <v>44009</v>
      </c>
      <c r="B584">
        <v>0.16020000000000001</v>
      </c>
      <c r="C584">
        <v>0.16055</v>
      </c>
      <c r="D584">
        <v>0.14568</v>
      </c>
      <c r="E584">
        <v>0.15287999999999999</v>
      </c>
      <c r="F584">
        <v>7734641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-3.1607262945529666E-2</v>
      </c>
      <c r="Q584">
        <f t="shared" si="990"/>
        <v>-244470.83187627452</v>
      </c>
      <c r="R584">
        <f t="shared" si="991"/>
        <v>99421919.084689617</v>
      </c>
      <c r="S584">
        <f t="shared" si="992"/>
        <v>994.21919084689614</v>
      </c>
      <c r="T584">
        <f t="shared" si="993"/>
        <v>0.99421919084689614</v>
      </c>
    </row>
    <row r="585" spans="1:20" x14ac:dyDescent="0.25">
      <c r="A585" s="5">
        <v>44008</v>
      </c>
      <c r="B585">
        <v>0.16936999999999999</v>
      </c>
      <c r="C585">
        <v>0.17341999999999999</v>
      </c>
      <c r="D585">
        <v>0.15643000000000001</v>
      </c>
      <c r="E585">
        <v>0.15987999999999999</v>
      </c>
      <c r="F585">
        <v>8261094.4000000004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-0.59387875220718245</v>
      </c>
      <c r="Q585">
        <f t="shared" si="990"/>
        <v>-4906088.434137743</v>
      </c>
      <c r="R585">
        <f t="shared" si="991"/>
        <v>99666389.916565895</v>
      </c>
      <c r="S585">
        <f t="shared" si="992"/>
        <v>996.6638991656589</v>
      </c>
      <c r="T585">
        <f t="shared" si="993"/>
        <v>0.9966638991656589</v>
      </c>
    </row>
    <row r="586" spans="1:20" x14ac:dyDescent="0.25">
      <c r="A586" s="5">
        <v>44007</v>
      </c>
      <c r="B586">
        <v>0.17483000000000001</v>
      </c>
      <c r="C586">
        <v>0.17516000000000001</v>
      </c>
      <c r="D586">
        <v>0.16538</v>
      </c>
      <c r="E586">
        <v>0.16943</v>
      </c>
      <c r="F586">
        <v>5308027.0999999996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-0.17177914110429579</v>
      </c>
      <c r="Q586">
        <f t="shared" si="990"/>
        <v>-911808.33619632595</v>
      </c>
      <c r="R586">
        <f t="shared" si="991"/>
        <v>104572478.35070364</v>
      </c>
      <c r="S586">
        <f t="shared" si="992"/>
        <v>1045.7247835070364</v>
      </c>
      <c r="T586">
        <f t="shared" si="993"/>
        <v>1.0457247835070365</v>
      </c>
    </row>
    <row r="587" spans="1:20" x14ac:dyDescent="0.25">
      <c r="A587" s="5">
        <v>44006</v>
      </c>
      <c r="B587">
        <v>0.18192</v>
      </c>
      <c r="C587">
        <v>0.18795000000000001</v>
      </c>
      <c r="D587">
        <v>0.17</v>
      </c>
      <c r="E587">
        <v>0.17518</v>
      </c>
      <c r="F587">
        <v>9432525.0999999996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-0.42284122562674187</v>
      </c>
      <c r="Q587">
        <f t="shared" si="990"/>
        <v>-3988460.4740390056</v>
      </c>
      <c r="R587">
        <f t="shared" si="991"/>
        <v>105484286.68689997</v>
      </c>
      <c r="S587">
        <f t="shared" si="992"/>
        <v>1054.8428668689999</v>
      </c>
      <c r="T587">
        <f t="shared" si="993"/>
        <v>1.054842866869</v>
      </c>
    </row>
    <row r="588" spans="1:20" x14ac:dyDescent="0.25">
      <c r="A588" s="5">
        <v>44005</v>
      </c>
      <c r="B588">
        <v>0.17699000000000001</v>
      </c>
      <c r="C588">
        <v>0.19051999999999999</v>
      </c>
      <c r="D588">
        <v>0.17532</v>
      </c>
      <c r="E588">
        <v>0.18156</v>
      </c>
      <c r="F588">
        <v>12352270.4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-0.17894736842105274</v>
      </c>
      <c r="Q588">
        <f t="shared" si="990"/>
        <v>-2210406.2821052647</v>
      </c>
      <c r="R588">
        <f t="shared" si="991"/>
        <v>109472747.16093898</v>
      </c>
      <c r="S588">
        <f t="shared" si="992"/>
        <v>1094.7274716093898</v>
      </c>
      <c r="T588">
        <f t="shared" si="993"/>
        <v>1.0947274716093898</v>
      </c>
    </row>
    <row r="589" spans="1:20" x14ac:dyDescent="0.25">
      <c r="A589" s="5">
        <v>44004</v>
      </c>
      <c r="B589">
        <v>0.17052</v>
      </c>
      <c r="C589">
        <v>0.17755000000000001</v>
      </c>
      <c r="D589">
        <v>0.16968</v>
      </c>
      <c r="E589">
        <v>0.17743999999999999</v>
      </c>
      <c r="F589">
        <v>6063996.4000000004</v>
      </c>
      <c r="G589">
        <v>0</v>
      </c>
      <c r="L589" t="s">
        <v>7</v>
      </c>
      <c r="M589" t="s">
        <v>7</v>
      </c>
      <c r="N589" t="s">
        <v>7</v>
      </c>
      <c r="P589">
        <f t="shared" si="989"/>
        <v>0.97204574332909111</v>
      </c>
      <c r="Q589">
        <f t="shared" si="990"/>
        <v>5894481.8881829325</v>
      </c>
      <c r="R589">
        <f t="shared" si="991"/>
        <v>111683153.44304425</v>
      </c>
      <c r="S589">
        <f t="shared" si="992"/>
        <v>1116.8315344304424</v>
      </c>
      <c r="T589">
        <f t="shared" si="993"/>
        <v>1.1168315344304425</v>
      </c>
    </row>
    <row r="590" spans="1:20" x14ac:dyDescent="0.25">
      <c r="A590" s="5">
        <v>44003</v>
      </c>
      <c r="B590">
        <v>0.17077999999999999</v>
      </c>
      <c r="C590">
        <v>0.17544000000000001</v>
      </c>
      <c r="D590">
        <v>0.16844000000000001</v>
      </c>
      <c r="E590">
        <v>0.17002</v>
      </c>
      <c r="F590">
        <v>3658374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-0.54857142857142949</v>
      </c>
      <c r="Q590">
        <f t="shared" si="990"/>
        <v>-2006879.4514285747</v>
      </c>
      <c r="R590">
        <f t="shared" si="991"/>
        <v>105788671.55486131</v>
      </c>
      <c r="S590">
        <f t="shared" si="992"/>
        <v>1057.886715548613</v>
      </c>
      <c r="T590">
        <f t="shared" si="993"/>
        <v>1.0578867155486129</v>
      </c>
    </row>
    <row r="591" spans="1:20" x14ac:dyDescent="0.25">
      <c r="A591" s="5">
        <v>44002</v>
      </c>
      <c r="B591">
        <v>0.17211000000000001</v>
      </c>
      <c r="C591">
        <v>0.17388000000000001</v>
      </c>
      <c r="D591">
        <v>0.16700000000000001</v>
      </c>
      <c r="E591">
        <v>0.17019999999999999</v>
      </c>
      <c r="F591">
        <v>4843261.5999999996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-6.9767441860470375E-2</v>
      </c>
      <c r="Q591">
        <f t="shared" si="990"/>
        <v>-337901.97209304868</v>
      </c>
      <c r="R591">
        <f t="shared" si="991"/>
        <v>107795551.00628988</v>
      </c>
      <c r="S591">
        <f t="shared" si="992"/>
        <v>1077.9555100628988</v>
      </c>
      <c r="T591">
        <f t="shared" si="993"/>
        <v>1.0779555100628988</v>
      </c>
    </row>
    <row r="592" spans="1:20" x14ac:dyDescent="0.25">
      <c r="A592" s="5">
        <v>44001</v>
      </c>
      <c r="B592">
        <v>0.17829</v>
      </c>
      <c r="C592">
        <v>0.18021999999999999</v>
      </c>
      <c r="D592">
        <v>0.17008999999999999</v>
      </c>
      <c r="E592">
        <v>0.17215</v>
      </c>
      <c r="F592">
        <v>5933816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-0.59328726554787636</v>
      </c>
      <c r="Q592">
        <f t="shared" si="990"/>
        <v>-3520457.4689042377</v>
      </c>
      <c r="R592">
        <f t="shared" si="991"/>
        <v>108133452.97838293</v>
      </c>
      <c r="S592">
        <f t="shared" si="992"/>
        <v>1081.3345297838293</v>
      </c>
      <c r="T592">
        <f t="shared" si="993"/>
        <v>1.0813345297838293</v>
      </c>
    </row>
    <row r="593" spans="1:20" x14ac:dyDescent="0.25">
      <c r="A593" s="5">
        <v>44000</v>
      </c>
      <c r="B593">
        <v>0.17374000000000001</v>
      </c>
      <c r="C593">
        <v>0.18529999999999999</v>
      </c>
      <c r="D593">
        <v>0.17166000000000001</v>
      </c>
      <c r="E593">
        <v>0.17832999999999999</v>
      </c>
      <c r="F593">
        <v>10335677.199999999</v>
      </c>
      <c r="G593">
        <v>0</v>
      </c>
      <c r="L593" t="s">
        <v>8</v>
      </c>
      <c r="M593" t="s">
        <v>7</v>
      </c>
      <c r="N593" t="s">
        <v>7</v>
      </c>
      <c r="P593">
        <f t="shared" si="989"/>
        <v>-2.1994134897362374E-2</v>
      </c>
      <c r="Q593">
        <f t="shared" si="990"/>
        <v>-227324.2785923926</v>
      </c>
      <c r="R593">
        <f t="shared" si="991"/>
        <v>111653910.44728717</v>
      </c>
      <c r="S593">
        <f t="shared" si="992"/>
        <v>1116.5391044728717</v>
      </c>
      <c r="T593">
        <f t="shared" si="993"/>
        <v>1.1165391044728716</v>
      </c>
    </row>
    <row r="594" spans="1:20" x14ac:dyDescent="0.25">
      <c r="A594" s="5">
        <v>43999</v>
      </c>
      <c r="B594">
        <v>0.1797</v>
      </c>
      <c r="C594">
        <v>0.18</v>
      </c>
      <c r="D594">
        <v>0.16747000000000001</v>
      </c>
      <c r="E594">
        <v>0.17333999999999999</v>
      </c>
      <c r="F594">
        <v>6781686.4000000004</v>
      </c>
      <c r="G594">
        <v>0</v>
      </c>
      <c r="L594" t="s">
        <v>7</v>
      </c>
      <c r="M594" t="s">
        <v>7</v>
      </c>
      <c r="N594" t="s">
        <v>7</v>
      </c>
      <c r="P594">
        <f t="shared" si="989"/>
        <v>-6.3048683160416105E-2</v>
      </c>
      <c r="Q594">
        <f t="shared" si="990"/>
        <v>-427576.39712690294</v>
      </c>
      <c r="R594">
        <f t="shared" si="991"/>
        <v>111881234.72587956</v>
      </c>
      <c r="S594">
        <f t="shared" si="992"/>
        <v>1118.8123472587956</v>
      </c>
      <c r="T594">
        <f t="shared" si="993"/>
        <v>1.1188123472587956</v>
      </c>
    </row>
    <row r="595" spans="1:20" x14ac:dyDescent="0.25">
      <c r="A595" s="5">
        <v>43998</v>
      </c>
      <c r="B595">
        <v>0.17799999999999999</v>
      </c>
      <c r="C595">
        <v>0.18657000000000001</v>
      </c>
      <c r="D595">
        <v>0.16913</v>
      </c>
      <c r="E595">
        <v>0.18002000000000001</v>
      </c>
      <c r="F595">
        <v>10043899.300000001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0.24885321100917476</v>
      </c>
      <c r="Q595">
        <f t="shared" si="990"/>
        <v>2499456.5918578031</v>
      </c>
      <c r="R595">
        <f t="shared" si="991"/>
        <v>112308811.12300646</v>
      </c>
      <c r="S595">
        <f t="shared" si="992"/>
        <v>1123.0881112300647</v>
      </c>
      <c r="T595">
        <f t="shared" si="993"/>
        <v>1.1230881112300646</v>
      </c>
    </row>
    <row r="596" spans="1:20" x14ac:dyDescent="0.25">
      <c r="A596" s="5">
        <v>43997</v>
      </c>
      <c r="B596">
        <v>0.18032000000000001</v>
      </c>
      <c r="C596">
        <v>0.18095</v>
      </c>
      <c r="D596">
        <v>0.15870999999999999</v>
      </c>
      <c r="E596">
        <v>0.17799999999999999</v>
      </c>
      <c r="F596">
        <v>13185724.300000001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0.73471223021582677</v>
      </c>
      <c r="Q596">
        <f t="shared" si="990"/>
        <v>9687712.9074640218</v>
      </c>
      <c r="R596">
        <f t="shared" si="991"/>
        <v>109809354.53114866</v>
      </c>
      <c r="S596">
        <f t="shared" si="992"/>
        <v>1098.0935453114867</v>
      </c>
      <c r="T596">
        <f t="shared" si="993"/>
        <v>1.0980935453114866</v>
      </c>
    </row>
    <row r="597" spans="1:20" x14ac:dyDescent="0.25">
      <c r="A597" s="5">
        <v>43996</v>
      </c>
      <c r="B597">
        <v>0.19077</v>
      </c>
      <c r="C597">
        <v>0.19114</v>
      </c>
      <c r="D597">
        <v>0.17846999999999999</v>
      </c>
      <c r="E597">
        <v>0.18106</v>
      </c>
      <c r="F597">
        <v>4729353.5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-0.59116022099447418</v>
      </c>
      <c r="Q597">
        <f t="shared" si="990"/>
        <v>-2795805.66022099</v>
      </c>
      <c r="R597">
        <f t="shared" si="991"/>
        <v>100121641.62368463</v>
      </c>
      <c r="S597">
        <f t="shared" si="992"/>
        <v>1001.2164162368463</v>
      </c>
      <c r="T597">
        <f t="shared" si="993"/>
        <v>1.0012164162368462</v>
      </c>
    </row>
    <row r="598" spans="1:20" x14ac:dyDescent="0.25">
      <c r="A598" s="5">
        <v>43995</v>
      </c>
      <c r="B598">
        <v>0.1923</v>
      </c>
      <c r="C598">
        <v>0.19749</v>
      </c>
      <c r="D598">
        <v>0.18867</v>
      </c>
      <c r="E598">
        <v>0.19078000000000001</v>
      </c>
      <c r="F598">
        <v>6661018.5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-0.52154195011337823</v>
      </c>
      <c r="Q598">
        <f t="shared" si="990"/>
        <v>-3474000.5782312895</v>
      </c>
      <c r="R598">
        <f t="shared" si="991"/>
        <v>102917447.28390563</v>
      </c>
      <c r="S598">
        <f t="shared" si="992"/>
        <v>1029.1744728390563</v>
      </c>
      <c r="T598">
        <f t="shared" si="993"/>
        <v>1.0291744728390564</v>
      </c>
    </row>
    <row r="599" spans="1:20" x14ac:dyDescent="0.25">
      <c r="A599" s="5">
        <v>43994</v>
      </c>
      <c r="B599">
        <v>0.18554999999999999</v>
      </c>
      <c r="C599">
        <v>0.20355999999999999</v>
      </c>
      <c r="D599">
        <v>0.17585999999999999</v>
      </c>
      <c r="E599">
        <v>0.19258</v>
      </c>
      <c r="F599">
        <v>13444463.4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0.207220216606499</v>
      </c>
      <c r="Q599">
        <f t="shared" si="990"/>
        <v>2785964.6179061481</v>
      </c>
      <c r="R599">
        <f t="shared" si="991"/>
        <v>106391447.86213692</v>
      </c>
      <c r="S599">
        <f t="shared" si="992"/>
        <v>1063.9144786213692</v>
      </c>
      <c r="T599">
        <f t="shared" si="993"/>
        <v>1.0639144786213692</v>
      </c>
    </row>
    <row r="600" spans="1:20" x14ac:dyDescent="0.25">
      <c r="A600" s="5">
        <v>43993</v>
      </c>
      <c r="B600">
        <v>0.20660999999999999</v>
      </c>
      <c r="C600">
        <v>0.21279999999999999</v>
      </c>
      <c r="D600">
        <v>0.185</v>
      </c>
      <c r="E600">
        <v>0.18554999999999999</v>
      </c>
      <c r="F600">
        <v>15829571.800000001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-0.96043165467625935</v>
      </c>
      <c r="Q600">
        <f t="shared" si="990"/>
        <v>-15203221.836690653</v>
      </c>
      <c r="R600">
        <f t="shared" si="991"/>
        <v>103605483.24423076</v>
      </c>
      <c r="S600">
        <f t="shared" si="992"/>
        <v>1036.0548324423075</v>
      </c>
      <c r="T600">
        <f t="shared" si="993"/>
        <v>1.0360548324423076</v>
      </c>
    </row>
    <row r="601" spans="1:20" x14ac:dyDescent="0.25">
      <c r="A601" s="5">
        <v>43992</v>
      </c>
      <c r="B601">
        <v>0.20205999999999999</v>
      </c>
      <c r="C601">
        <v>0.21099999999999999</v>
      </c>
      <c r="D601">
        <v>0.19489999999999999</v>
      </c>
      <c r="E601">
        <v>0.20660999999999999</v>
      </c>
      <c r="F601">
        <v>17682681.800000001</v>
      </c>
      <c r="G601">
        <v>0</v>
      </c>
      <c r="L601" t="s">
        <v>7</v>
      </c>
      <c r="M601" t="s">
        <v>7</v>
      </c>
      <c r="N601" t="s">
        <v>8</v>
      </c>
      <c r="P601">
        <f t="shared" si="989"/>
        <v>0.45465838509316719</v>
      </c>
      <c r="Q601">
        <f t="shared" si="990"/>
        <v>8039579.5513043394</v>
      </c>
      <c r="R601">
        <f t="shared" si="991"/>
        <v>118808705.08092141</v>
      </c>
      <c r="S601">
        <f t="shared" si="992"/>
        <v>1188.0870508092141</v>
      </c>
      <c r="T601">
        <f t="shared" si="993"/>
        <v>1.1880870508092141</v>
      </c>
    </row>
    <row r="602" spans="1:20" x14ac:dyDescent="0.25">
      <c r="A602" s="5">
        <v>43991</v>
      </c>
      <c r="B602">
        <v>0.2054</v>
      </c>
      <c r="C602">
        <v>0.2117</v>
      </c>
      <c r="D602">
        <v>0.2</v>
      </c>
      <c r="E602">
        <v>0.20194999999999999</v>
      </c>
      <c r="F602">
        <v>12540936.699999999</v>
      </c>
      <c r="G602">
        <v>0</v>
      </c>
      <c r="L602" t="s">
        <v>8</v>
      </c>
      <c r="M602" t="s">
        <v>7</v>
      </c>
      <c r="N602" t="s">
        <v>8</v>
      </c>
      <c r="P602">
        <f t="shared" si="989"/>
        <v>-0.66666666666666985</v>
      </c>
      <c r="Q602">
        <f t="shared" si="990"/>
        <v>-8360624.4666667059</v>
      </c>
      <c r="R602">
        <f t="shared" si="991"/>
        <v>110769125.52961707</v>
      </c>
      <c r="S602">
        <f t="shared" si="992"/>
        <v>1107.6912552961708</v>
      </c>
      <c r="T602">
        <f t="shared" si="993"/>
        <v>1.1076912552961709</v>
      </c>
    </row>
    <row r="603" spans="1:20" x14ac:dyDescent="0.25">
      <c r="A603" s="5">
        <v>43990</v>
      </c>
      <c r="B603">
        <v>0.19705</v>
      </c>
      <c r="C603">
        <v>0.2072</v>
      </c>
      <c r="D603">
        <v>0.19320000000000001</v>
      </c>
      <c r="E603">
        <v>0.20588999999999999</v>
      </c>
      <c r="F603">
        <v>11785858.300000001</v>
      </c>
      <c r="G603">
        <v>0</v>
      </c>
      <c r="L603" t="s">
        <v>8</v>
      </c>
      <c r="M603" t="s">
        <v>7</v>
      </c>
      <c r="N603" t="s">
        <v>8</v>
      </c>
      <c r="P603">
        <f t="shared" si="989"/>
        <v>0.81285714285714183</v>
      </c>
      <c r="Q603">
        <f t="shared" si="990"/>
        <v>9580219.1038571317</v>
      </c>
      <c r="R603">
        <f t="shared" si="991"/>
        <v>119129749.99628378</v>
      </c>
      <c r="S603">
        <f t="shared" si="992"/>
        <v>1191.2974999628379</v>
      </c>
      <c r="T603">
        <f t="shared" si="993"/>
        <v>1.1912974999628378</v>
      </c>
    </row>
    <row r="604" spans="1:20" x14ac:dyDescent="0.25">
      <c r="A604" s="5">
        <v>43989</v>
      </c>
      <c r="B604">
        <v>0.20147999999999999</v>
      </c>
      <c r="C604">
        <v>0.20208000000000001</v>
      </c>
      <c r="D604">
        <v>0.191</v>
      </c>
      <c r="E604">
        <v>0.19703999999999999</v>
      </c>
      <c r="F604">
        <v>5753826.2999999998</v>
      </c>
      <c r="G604">
        <v>0</v>
      </c>
      <c r="L604" t="s">
        <v>7</v>
      </c>
      <c r="M604" t="s">
        <v>7</v>
      </c>
      <c r="N604" t="s">
        <v>8</v>
      </c>
      <c r="P604">
        <f t="shared" si="989"/>
        <v>9.0252707581224959E-2</v>
      </c>
      <c r="Q604">
        <f t="shared" si="990"/>
        <v>519298.40252706152</v>
      </c>
      <c r="R604">
        <f t="shared" si="991"/>
        <v>109549530.89242665</v>
      </c>
      <c r="S604">
        <f t="shared" si="992"/>
        <v>1095.4953089242665</v>
      </c>
      <c r="T604">
        <f t="shared" si="993"/>
        <v>1.0954953089242665</v>
      </c>
    </row>
    <row r="605" spans="1:20" x14ac:dyDescent="0.25">
      <c r="A605" s="5">
        <v>43988</v>
      </c>
      <c r="B605">
        <v>0.20121</v>
      </c>
      <c r="C605">
        <v>0.20735000000000001</v>
      </c>
      <c r="D605">
        <v>0.19711999999999999</v>
      </c>
      <c r="E605">
        <v>0.20127</v>
      </c>
      <c r="F605">
        <v>7872203.5999999996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-0.18866080156402582</v>
      </c>
      <c r="Q605">
        <f t="shared" si="990"/>
        <v>-1485176.2412512095</v>
      </c>
      <c r="R605">
        <f t="shared" si="991"/>
        <v>109030232.48989959</v>
      </c>
      <c r="S605">
        <f t="shared" si="992"/>
        <v>1090.3023248989959</v>
      </c>
      <c r="T605">
        <f t="shared" si="993"/>
        <v>1.090302324898996</v>
      </c>
    </row>
    <row r="606" spans="1:20" x14ac:dyDescent="0.25">
      <c r="A606" s="5">
        <v>43987</v>
      </c>
      <c r="B606">
        <v>0.19878000000000001</v>
      </c>
      <c r="C606">
        <v>0.20580000000000001</v>
      </c>
      <c r="D606">
        <v>0.1918</v>
      </c>
      <c r="E606">
        <v>0.2016</v>
      </c>
      <c r="F606">
        <v>9645788.8000000007</v>
      </c>
      <c r="G606">
        <v>0</v>
      </c>
      <c r="L606" t="s">
        <v>7</v>
      </c>
      <c r="M606" t="s">
        <v>7</v>
      </c>
      <c r="N606" t="s">
        <v>8</v>
      </c>
      <c r="P606">
        <f t="shared" si="989"/>
        <v>0.39999999999999919</v>
      </c>
      <c r="Q606">
        <f t="shared" si="990"/>
        <v>3858315.5199999926</v>
      </c>
      <c r="R606">
        <f t="shared" si="991"/>
        <v>110515408.73115081</v>
      </c>
      <c r="S606">
        <f t="shared" si="992"/>
        <v>1105.154087311508</v>
      </c>
      <c r="T606">
        <f t="shared" si="993"/>
        <v>1.105154087311508</v>
      </c>
    </row>
    <row r="607" spans="1:20" x14ac:dyDescent="0.25">
      <c r="A607" s="5">
        <v>43986</v>
      </c>
      <c r="B607">
        <v>0.19882</v>
      </c>
      <c r="C607">
        <v>0.20533999999999999</v>
      </c>
      <c r="D607">
        <v>0.1933</v>
      </c>
      <c r="E607">
        <v>0.19949</v>
      </c>
      <c r="F607">
        <v>6893559</v>
      </c>
      <c r="G607">
        <v>0</v>
      </c>
      <c r="L607" t="s">
        <v>8</v>
      </c>
      <c r="M607" t="s">
        <v>7</v>
      </c>
      <c r="N607" t="s">
        <v>8</v>
      </c>
      <c r="P607">
        <f t="shared" si="989"/>
        <v>2.82392026578079E-2</v>
      </c>
      <c r="Q607">
        <f t="shared" si="990"/>
        <v>194668.60963455556</v>
      </c>
      <c r="R607">
        <f t="shared" si="991"/>
        <v>106657093.21115081</v>
      </c>
      <c r="S607">
        <f t="shared" si="992"/>
        <v>1066.570932111508</v>
      </c>
      <c r="T607">
        <f t="shared" si="993"/>
        <v>1.066570932111508</v>
      </c>
    </row>
    <row r="608" spans="1:20" x14ac:dyDescent="0.25">
      <c r="A608" s="5">
        <v>43985</v>
      </c>
      <c r="B608">
        <v>0.19872000000000001</v>
      </c>
      <c r="C608">
        <v>0.19922999999999999</v>
      </c>
      <c r="D608">
        <v>0.19006000000000001</v>
      </c>
      <c r="E608">
        <v>0.19882</v>
      </c>
      <c r="F608">
        <v>7888769</v>
      </c>
      <c r="G608">
        <v>0</v>
      </c>
      <c r="L608" t="s">
        <v>7</v>
      </c>
      <c r="M608" t="s">
        <v>7</v>
      </c>
      <c r="N608" t="s">
        <v>8</v>
      </c>
      <c r="P608">
        <f t="shared" si="989"/>
        <v>0.9105779716466752</v>
      </c>
      <c r="Q608">
        <f t="shared" si="990"/>
        <v>7183339.2748091705</v>
      </c>
      <c r="R608">
        <f t="shared" si="991"/>
        <v>106462424.60151626</v>
      </c>
      <c r="S608">
        <f t="shared" si="992"/>
        <v>1064.6242460151627</v>
      </c>
      <c r="T608">
        <f t="shared" si="993"/>
        <v>1.0646242460151627</v>
      </c>
    </row>
    <row r="609" spans="1:20" x14ac:dyDescent="0.25">
      <c r="A609" s="5">
        <v>43984</v>
      </c>
      <c r="B609">
        <v>0.20837</v>
      </c>
      <c r="C609">
        <v>0.21079999999999999</v>
      </c>
      <c r="D609">
        <v>0.1898</v>
      </c>
      <c r="E609">
        <v>0.19803999999999999</v>
      </c>
      <c r="F609">
        <v>18371852.899999999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-0.21523809523809515</v>
      </c>
      <c r="Q609">
        <f t="shared" si="990"/>
        <v>-3954322.6241904739</v>
      </c>
      <c r="R609">
        <f t="shared" si="991"/>
        <v>99279085.326707095</v>
      </c>
      <c r="S609">
        <f t="shared" si="992"/>
        <v>992.79085326707093</v>
      </c>
      <c r="T609">
        <f t="shared" si="993"/>
        <v>0.99279085326707095</v>
      </c>
    </row>
    <row r="610" spans="1:20" x14ac:dyDescent="0.25">
      <c r="A610" s="5">
        <v>43983</v>
      </c>
      <c r="B610">
        <v>0.20684</v>
      </c>
      <c r="C610">
        <v>0.21940999999999999</v>
      </c>
      <c r="D610">
        <v>0.20301</v>
      </c>
      <c r="E610">
        <v>0.20784</v>
      </c>
      <c r="F610">
        <v>16431255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-0.41097560975609737</v>
      </c>
      <c r="Q610">
        <f t="shared" si="990"/>
        <v>-6752845.0426829234</v>
      </c>
      <c r="R610">
        <f t="shared" si="991"/>
        <v>103233407.95089757</v>
      </c>
      <c r="S610">
        <f t="shared" si="992"/>
        <v>1032.3340795089757</v>
      </c>
      <c r="T610">
        <f t="shared" si="993"/>
        <v>1.0323340795089757</v>
      </c>
    </row>
    <row r="611" spans="1:20" x14ac:dyDescent="0.25">
      <c r="A611" s="5">
        <v>43982</v>
      </c>
      <c r="B611">
        <v>0.20255999999999999</v>
      </c>
      <c r="C611">
        <v>0.216</v>
      </c>
      <c r="D611">
        <v>0.19883999999999999</v>
      </c>
      <c r="E611">
        <v>0.20685000000000001</v>
      </c>
      <c r="F611">
        <v>17702552.399999999</v>
      </c>
      <c r="G611">
        <v>0</v>
      </c>
      <c r="L611" t="s">
        <v>8</v>
      </c>
      <c r="M611" t="s">
        <v>7</v>
      </c>
      <c r="N611" t="s">
        <v>8</v>
      </c>
      <c r="P611">
        <f t="shared" si="989"/>
        <v>-6.6433566433564906E-2</v>
      </c>
      <c r="Q611">
        <f t="shared" si="990"/>
        <v>-1176043.6909090637</v>
      </c>
      <c r="R611">
        <f t="shared" si="991"/>
        <v>109986252.99358051</v>
      </c>
      <c r="S611">
        <f t="shared" si="992"/>
        <v>1099.862529935805</v>
      </c>
      <c r="T611">
        <f t="shared" si="993"/>
        <v>1.0998625299358049</v>
      </c>
    </row>
    <row r="612" spans="1:20" x14ac:dyDescent="0.25">
      <c r="A612" s="5">
        <v>43981</v>
      </c>
      <c r="B612">
        <v>0.20193</v>
      </c>
      <c r="C612">
        <v>0.21099000000000001</v>
      </c>
      <c r="D612">
        <v>0.1983</v>
      </c>
      <c r="E612">
        <v>0.20269000000000001</v>
      </c>
      <c r="F612">
        <v>12887086.4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-0.30811662726556299</v>
      </c>
      <c r="Q612">
        <f t="shared" si="990"/>
        <v>-3970725.5968479062</v>
      </c>
      <c r="R612">
        <f t="shared" si="991"/>
        <v>111162296.68448956</v>
      </c>
      <c r="S612">
        <f t="shared" si="992"/>
        <v>1111.6229668448957</v>
      </c>
      <c r="T612">
        <f t="shared" si="993"/>
        <v>1.1116229668448958</v>
      </c>
    </row>
    <row r="613" spans="1:20" x14ac:dyDescent="0.25">
      <c r="A613" s="5">
        <v>43980</v>
      </c>
      <c r="B613">
        <v>0.20543</v>
      </c>
      <c r="C613">
        <v>0.215</v>
      </c>
      <c r="D613">
        <v>0.19702</v>
      </c>
      <c r="E613">
        <v>0.20202000000000001</v>
      </c>
      <c r="F613">
        <v>16050216.699999999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-0.44382647385984364</v>
      </c>
      <c r="Q613">
        <f t="shared" si="990"/>
        <v>-7123511.0826473758</v>
      </c>
      <c r="R613">
        <f t="shared" si="991"/>
        <v>115133022.28133747</v>
      </c>
      <c r="S613">
        <f t="shared" si="992"/>
        <v>1151.3302228133748</v>
      </c>
      <c r="T613">
        <f t="shared" si="993"/>
        <v>1.1513302228133748</v>
      </c>
    </row>
    <row r="614" spans="1:20" x14ac:dyDescent="0.25">
      <c r="A614" s="5">
        <v>43979</v>
      </c>
      <c r="B614">
        <v>0.21307000000000001</v>
      </c>
      <c r="C614">
        <v>0.23219999999999999</v>
      </c>
      <c r="D614">
        <v>0.20174</v>
      </c>
      <c r="E614">
        <v>0.20497000000000001</v>
      </c>
      <c r="F614">
        <v>29802049.5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-0.78791858174655205</v>
      </c>
      <c r="Q614">
        <f t="shared" si="990"/>
        <v>-23481588.575180542</v>
      </c>
      <c r="R614">
        <f t="shared" si="991"/>
        <v>122256533.36398484</v>
      </c>
      <c r="S614">
        <f t="shared" si="992"/>
        <v>1222.5653336398484</v>
      </c>
      <c r="T614">
        <f t="shared" si="993"/>
        <v>1.2225653336398483</v>
      </c>
    </row>
    <row r="615" spans="1:20" x14ac:dyDescent="0.25">
      <c r="A615" s="5">
        <v>43978</v>
      </c>
      <c r="B615">
        <v>0.18640000000000001</v>
      </c>
      <c r="C615">
        <v>0.23694000000000001</v>
      </c>
      <c r="D615">
        <v>0.17802999999999999</v>
      </c>
      <c r="E615">
        <v>0.21381</v>
      </c>
      <c r="F615">
        <v>49586133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0.21473434051943627</v>
      </c>
      <c r="Q615">
        <f t="shared" si="990"/>
        <v>10647845.568664055</v>
      </c>
      <c r="R615">
        <f t="shared" si="991"/>
        <v>145738121.93916538</v>
      </c>
      <c r="S615">
        <f t="shared" si="992"/>
        <v>1457.3812193916538</v>
      </c>
      <c r="T615">
        <f t="shared" si="993"/>
        <v>1.4573812193916538</v>
      </c>
    </row>
    <row r="616" spans="1:20" x14ac:dyDescent="0.25">
      <c r="A616" s="5">
        <v>43977</v>
      </c>
      <c r="B616">
        <v>0.18673000000000001</v>
      </c>
      <c r="C616">
        <v>0.21</v>
      </c>
      <c r="D616">
        <v>0.18190999999999999</v>
      </c>
      <c r="E616">
        <v>0.18640000000000001</v>
      </c>
      <c r="F616">
        <v>26167559.699999999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-0.68031327874688352</v>
      </c>
      <c r="Q616">
        <f t="shared" si="990"/>
        <v>-17802138.336311813</v>
      </c>
      <c r="R616">
        <f t="shared" si="991"/>
        <v>135090276.37050134</v>
      </c>
      <c r="S616">
        <f t="shared" si="992"/>
        <v>1350.9027637050133</v>
      </c>
      <c r="T616">
        <f t="shared" si="993"/>
        <v>1.3509027637050133</v>
      </c>
    </row>
    <row r="617" spans="1:20" x14ac:dyDescent="0.25">
      <c r="A617" s="5">
        <v>43976</v>
      </c>
      <c r="B617">
        <v>0.16500000000000001</v>
      </c>
      <c r="C617">
        <v>0.19400000000000001</v>
      </c>
      <c r="D617">
        <v>0.16391</v>
      </c>
      <c r="E617">
        <v>0.18673000000000001</v>
      </c>
      <c r="F617">
        <v>21974575.800000001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0.51678298438019288</v>
      </c>
      <c r="Q617">
        <f t="shared" si="990"/>
        <v>11356086.862412766</v>
      </c>
      <c r="R617">
        <f t="shared" si="991"/>
        <v>152892414.70681316</v>
      </c>
      <c r="S617">
        <f t="shared" si="992"/>
        <v>1528.9241470681316</v>
      </c>
      <c r="T617">
        <f t="shared" si="993"/>
        <v>1.5289241470681316</v>
      </c>
    </row>
    <row r="618" spans="1:20" x14ac:dyDescent="0.25">
      <c r="A618" s="5">
        <v>43975</v>
      </c>
      <c r="B618">
        <v>0.17676</v>
      </c>
      <c r="C618">
        <v>0.17699999999999999</v>
      </c>
      <c r="D618">
        <v>0.16433</v>
      </c>
      <c r="E618">
        <v>0.16500999999999999</v>
      </c>
      <c r="F618">
        <v>14611778.300000001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-0.89265982636148589</v>
      </c>
      <c r="Q618">
        <f t="shared" si="990"/>
        <v>-13043347.480110528</v>
      </c>
      <c r="R618">
        <f t="shared" si="991"/>
        <v>141536327.84440041</v>
      </c>
      <c r="S618">
        <f t="shared" si="992"/>
        <v>1415.363278444004</v>
      </c>
      <c r="T618">
        <f t="shared" si="993"/>
        <v>1.415363278444004</v>
      </c>
    </row>
    <row r="619" spans="1:20" x14ac:dyDescent="0.25">
      <c r="A619" s="5">
        <v>43974</v>
      </c>
      <c r="B619">
        <v>0.1719</v>
      </c>
      <c r="C619">
        <v>0.17885999999999999</v>
      </c>
      <c r="D619">
        <v>0.17076</v>
      </c>
      <c r="E619">
        <v>0.17679</v>
      </c>
      <c r="F619">
        <v>9904119.8000000007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0.48888888888889148</v>
      </c>
      <c r="Q619">
        <f t="shared" si="990"/>
        <v>4842014.1244444707</v>
      </c>
      <c r="R619">
        <f t="shared" si="991"/>
        <v>154579675.32451093</v>
      </c>
      <c r="S619">
        <f t="shared" si="992"/>
        <v>1545.7967532451094</v>
      </c>
      <c r="T619">
        <f t="shared" si="993"/>
        <v>1.5457967532451093</v>
      </c>
    </row>
    <row r="620" spans="1:20" x14ac:dyDescent="0.25">
      <c r="A620" s="5">
        <v>43973</v>
      </c>
      <c r="B620">
        <v>0.17757000000000001</v>
      </c>
      <c r="C620">
        <v>0.17899999999999999</v>
      </c>
      <c r="D620">
        <v>0.16550000000000001</v>
      </c>
      <c r="E620">
        <v>0.17229</v>
      </c>
      <c r="F620">
        <v>14591068.6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5.9259259259256914E-3</v>
      </c>
      <c r="Q620">
        <f t="shared" si="990"/>
        <v>86465.59170370028</v>
      </c>
      <c r="R620">
        <f t="shared" si="991"/>
        <v>149737661.20006645</v>
      </c>
      <c r="S620">
        <f t="shared" si="992"/>
        <v>1497.3766120006644</v>
      </c>
      <c r="T620">
        <f t="shared" si="993"/>
        <v>1.4973766120006644</v>
      </c>
    </row>
    <row r="621" spans="1:20" x14ac:dyDescent="0.25">
      <c r="A621" s="5">
        <v>43972</v>
      </c>
      <c r="B621">
        <v>0.17049</v>
      </c>
      <c r="C621">
        <v>0.187</v>
      </c>
      <c r="D621">
        <v>0.16389999999999999</v>
      </c>
      <c r="E621">
        <v>0.17818999999999999</v>
      </c>
      <c r="F621">
        <v>34090185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0.23722943722943649</v>
      </c>
      <c r="Q621">
        <f t="shared" si="990"/>
        <v>8087195.4025973771</v>
      </c>
      <c r="R621">
        <f t="shared" si="991"/>
        <v>149651195.60836273</v>
      </c>
      <c r="S621">
        <f t="shared" si="992"/>
        <v>1496.5119560836274</v>
      </c>
      <c r="T621">
        <f t="shared" si="993"/>
        <v>1.4965119560836273</v>
      </c>
    </row>
    <row r="622" spans="1:20" x14ac:dyDescent="0.25">
      <c r="A622" s="5">
        <v>43971</v>
      </c>
      <c r="B622">
        <v>0.16600999999999999</v>
      </c>
      <c r="C622">
        <v>0.17366999999999999</v>
      </c>
      <c r="D622">
        <v>0.15601999999999999</v>
      </c>
      <c r="E622">
        <v>0.17050000000000001</v>
      </c>
      <c r="F622">
        <v>15150991.300000001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0.64079320113314686</v>
      </c>
      <c r="Q622">
        <f t="shared" si="990"/>
        <v>9708652.2154674586</v>
      </c>
      <c r="R622">
        <f t="shared" si="991"/>
        <v>141564000.20576537</v>
      </c>
      <c r="S622">
        <f t="shared" si="992"/>
        <v>1415.6400020576536</v>
      </c>
      <c r="T622">
        <f t="shared" si="993"/>
        <v>1.4156400020576536</v>
      </c>
    </row>
    <row r="623" spans="1:20" x14ac:dyDescent="0.25">
      <c r="A623" s="5">
        <v>43970</v>
      </c>
      <c r="B623">
        <v>0.15862000000000001</v>
      </c>
      <c r="C623">
        <v>0.16800000000000001</v>
      </c>
      <c r="D623">
        <v>0.15679999999999999</v>
      </c>
      <c r="E623">
        <v>0.16572999999999999</v>
      </c>
      <c r="F623">
        <v>8796313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0.59464285714285381</v>
      </c>
      <c r="Q623">
        <f t="shared" si="990"/>
        <v>5230664.6946428278</v>
      </c>
      <c r="R623">
        <f t="shared" si="991"/>
        <v>131855347.9902979</v>
      </c>
      <c r="S623">
        <f t="shared" si="992"/>
        <v>1318.553479902979</v>
      </c>
      <c r="T623">
        <f t="shared" si="993"/>
        <v>1.318553479902979</v>
      </c>
    </row>
    <row r="624" spans="1:20" x14ac:dyDescent="0.25">
      <c r="A624" s="5">
        <v>43969</v>
      </c>
      <c r="B624">
        <v>0.16241</v>
      </c>
      <c r="C624">
        <v>0.16370000000000001</v>
      </c>
      <c r="D624">
        <v>0.15559000000000001</v>
      </c>
      <c r="E624">
        <v>0.15862999999999999</v>
      </c>
      <c r="F624">
        <v>6303895.7000000002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-0.25030826140567575</v>
      </c>
      <c r="Q624">
        <f t="shared" si="990"/>
        <v>-1577917.1727497154</v>
      </c>
      <c r="R624">
        <f t="shared" si="991"/>
        <v>126624683.29565507</v>
      </c>
      <c r="S624">
        <f t="shared" si="992"/>
        <v>1266.2468329565506</v>
      </c>
      <c r="T624">
        <f t="shared" si="993"/>
        <v>1.2662468329565506</v>
      </c>
    </row>
    <row r="625" spans="1:20" x14ac:dyDescent="0.25">
      <c r="A625" s="5">
        <v>43968</v>
      </c>
      <c r="B625">
        <v>0.16214999999999999</v>
      </c>
      <c r="C625">
        <v>0.16608000000000001</v>
      </c>
      <c r="D625">
        <v>0.158</v>
      </c>
      <c r="E625">
        <v>0.16216</v>
      </c>
      <c r="F625">
        <v>9360002.0999999996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2.9702970297028477E-2</v>
      </c>
      <c r="Q625">
        <f t="shared" si="990"/>
        <v>278019.86435642414</v>
      </c>
      <c r="R625">
        <f t="shared" si="991"/>
        <v>128202600.46840478</v>
      </c>
      <c r="S625">
        <f t="shared" si="992"/>
        <v>1282.0260046840478</v>
      </c>
      <c r="T625">
        <f t="shared" si="993"/>
        <v>1.2820260046840479</v>
      </c>
    </row>
    <row r="626" spans="1:20" x14ac:dyDescent="0.25">
      <c r="A626" s="5">
        <v>43967</v>
      </c>
      <c r="B626">
        <v>0.16284000000000001</v>
      </c>
      <c r="C626">
        <v>0.17199999999999999</v>
      </c>
      <c r="D626">
        <v>0.16113</v>
      </c>
      <c r="E626">
        <v>0.16156999999999999</v>
      </c>
      <c r="F626">
        <v>8444239.0999999996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-0.91904323827046985</v>
      </c>
      <c r="Q626">
        <f t="shared" si="990"/>
        <v>-7760620.8471941175</v>
      </c>
      <c r="R626">
        <f t="shared" si="991"/>
        <v>127924580.60404836</v>
      </c>
      <c r="S626">
        <f t="shared" si="992"/>
        <v>1279.2458060404836</v>
      </c>
      <c r="T626">
        <f t="shared" si="993"/>
        <v>1.2792458060404837</v>
      </c>
    </row>
    <row r="627" spans="1:20" x14ac:dyDescent="0.25">
      <c r="A627" s="5">
        <v>43966</v>
      </c>
      <c r="B627">
        <v>0.16264000000000001</v>
      </c>
      <c r="C627">
        <v>0.17</v>
      </c>
      <c r="D627">
        <v>0.15301999999999999</v>
      </c>
      <c r="E627">
        <v>0.16284000000000001</v>
      </c>
      <c r="F627">
        <v>15368242.5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0.15665488810365252</v>
      </c>
      <c r="Q627">
        <f t="shared" si="990"/>
        <v>2407510.3091872972</v>
      </c>
      <c r="R627">
        <f t="shared" si="991"/>
        <v>135685201.45124248</v>
      </c>
      <c r="S627">
        <f t="shared" si="992"/>
        <v>1356.8520145124248</v>
      </c>
      <c r="T627">
        <f t="shared" si="993"/>
        <v>1.3568520145124248</v>
      </c>
    </row>
    <row r="628" spans="1:20" x14ac:dyDescent="0.25">
      <c r="A628" s="5">
        <v>43965</v>
      </c>
      <c r="B628">
        <v>0.16181000000000001</v>
      </c>
      <c r="C628">
        <v>0.16500000000000001</v>
      </c>
      <c r="D628">
        <v>0.15612000000000001</v>
      </c>
      <c r="E628">
        <v>0.16216</v>
      </c>
      <c r="F628">
        <v>11209775.4</v>
      </c>
      <c r="G628">
        <v>0</v>
      </c>
      <c r="L628" t="s">
        <v>7</v>
      </c>
      <c r="M628" t="s">
        <v>8</v>
      </c>
      <c r="N628" t="s">
        <v>8</v>
      </c>
      <c r="P628">
        <f t="shared" si="989"/>
        <v>0.36036036036035823</v>
      </c>
      <c r="Q628">
        <f t="shared" si="990"/>
        <v>4039558.7027026792</v>
      </c>
      <c r="R628">
        <f t="shared" si="991"/>
        <v>133277691.14205517</v>
      </c>
      <c r="S628">
        <f t="shared" si="992"/>
        <v>1332.7769114205516</v>
      </c>
      <c r="T628">
        <f t="shared" si="993"/>
        <v>1.3327769114205517</v>
      </c>
    </row>
    <row r="629" spans="1:20" x14ac:dyDescent="0.25">
      <c r="A629" s="5">
        <v>43964</v>
      </c>
      <c r="B629">
        <v>0.16292000000000001</v>
      </c>
      <c r="C629">
        <v>0.17605999999999999</v>
      </c>
      <c r="D629">
        <v>0.15939</v>
      </c>
      <c r="E629">
        <v>0.1613</v>
      </c>
      <c r="F629">
        <v>18021794.100000001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-0.77084583083383373</v>
      </c>
      <c r="Q629">
        <f t="shared" si="990"/>
        <v>-13892024.846130785</v>
      </c>
      <c r="R629">
        <f t="shared" si="991"/>
        <v>129238132.43935248</v>
      </c>
      <c r="S629">
        <f t="shared" si="992"/>
        <v>1292.3813243935249</v>
      </c>
      <c r="T629">
        <f t="shared" si="993"/>
        <v>1.2923813243935249</v>
      </c>
    </row>
    <row r="630" spans="1:20" x14ac:dyDescent="0.25">
      <c r="A630" s="5">
        <v>43963</v>
      </c>
      <c r="B630">
        <v>0.14829999999999999</v>
      </c>
      <c r="C630">
        <v>0.16545000000000001</v>
      </c>
      <c r="D630">
        <v>0.14449999999999999</v>
      </c>
      <c r="E630">
        <v>0.16300999999999999</v>
      </c>
      <c r="F630">
        <v>21751603.199999999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0.76706443914080924</v>
      </c>
      <c r="Q630">
        <f t="shared" si="990"/>
        <v>16684881.30902143</v>
      </c>
      <c r="R630">
        <f t="shared" si="991"/>
        <v>143130157.28548327</v>
      </c>
      <c r="S630">
        <f t="shared" si="992"/>
        <v>1431.3015728548328</v>
      </c>
      <c r="T630">
        <f t="shared" si="993"/>
        <v>1.4313015728548328</v>
      </c>
    </row>
    <row r="631" spans="1:20" x14ac:dyDescent="0.25">
      <c r="A631" s="5">
        <v>43962</v>
      </c>
      <c r="B631">
        <v>0.1426</v>
      </c>
      <c r="C631">
        <v>0.1527</v>
      </c>
      <c r="D631">
        <v>0.13</v>
      </c>
      <c r="E631">
        <v>0.14798</v>
      </c>
      <c r="F631">
        <v>17836765.800000001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0.5841409691629954</v>
      </c>
      <c r="Q631">
        <f t="shared" si="990"/>
        <v>10419185.661145372</v>
      </c>
      <c r="R631">
        <f t="shared" si="991"/>
        <v>126445275.97646184</v>
      </c>
      <c r="S631">
        <f t="shared" si="992"/>
        <v>1264.4527597646183</v>
      </c>
      <c r="T631">
        <f t="shared" si="993"/>
        <v>1.2644527597646182</v>
      </c>
    </row>
    <row r="632" spans="1:20" x14ac:dyDescent="0.25">
      <c r="A632" s="5">
        <v>43961</v>
      </c>
      <c r="B632">
        <v>0.14505000000000001</v>
      </c>
      <c r="C632">
        <v>0.14505000000000001</v>
      </c>
      <c r="D632">
        <v>0.12692999999999999</v>
      </c>
      <c r="E632">
        <v>0.14216000000000001</v>
      </c>
      <c r="F632">
        <v>13716669.699999999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0.68101545253863138</v>
      </c>
      <c r="Q632">
        <f t="shared" si="990"/>
        <v>9341264.0230684318</v>
      </c>
      <c r="R632">
        <f t="shared" si="991"/>
        <v>116026090.31531647</v>
      </c>
      <c r="S632">
        <f t="shared" si="992"/>
        <v>1160.2609031531647</v>
      </c>
      <c r="T632">
        <f t="shared" si="993"/>
        <v>1.1602609031531648</v>
      </c>
    </row>
    <row r="633" spans="1:20" x14ac:dyDescent="0.25">
      <c r="A633" s="5">
        <v>43960</v>
      </c>
      <c r="B633">
        <v>0.14363000000000001</v>
      </c>
      <c r="C633">
        <v>0.15</v>
      </c>
      <c r="D633">
        <v>0.14291000000000001</v>
      </c>
      <c r="E633">
        <v>0.14505999999999999</v>
      </c>
      <c r="F633">
        <v>6528418.0999999996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-0.393511988716505</v>
      </c>
      <c r="Q633">
        <f t="shared" si="990"/>
        <v>-2569010.7897038269</v>
      </c>
      <c r="R633">
        <f t="shared" si="991"/>
        <v>106684826.29224804</v>
      </c>
      <c r="S633">
        <f t="shared" si="992"/>
        <v>1066.8482629224804</v>
      </c>
      <c r="T633">
        <f t="shared" si="993"/>
        <v>1.0668482629224805</v>
      </c>
    </row>
    <row r="634" spans="1:20" x14ac:dyDescent="0.25">
      <c r="A634" s="5">
        <v>43959</v>
      </c>
      <c r="B634">
        <v>0.14172000000000001</v>
      </c>
      <c r="C634">
        <v>0.14849999999999999</v>
      </c>
      <c r="D634">
        <v>0.13900000000000001</v>
      </c>
      <c r="E634">
        <v>0.14369000000000001</v>
      </c>
      <c r="F634">
        <v>11104783.4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-1.2631578947366471E-2</v>
      </c>
      <c r="Q634">
        <f t="shared" si="990"/>
        <v>-140270.94821050466</v>
      </c>
      <c r="R634">
        <f t="shared" si="991"/>
        <v>109253837.08195187</v>
      </c>
      <c r="S634">
        <f t="shared" si="992"/>
        <v>1092.5383708195186</v>
      </c>
      <c r="T634">
        <f t="shared" si="993"/>
        <v>1.0925383708195187</v>
      </c>
    </row>
    <row r="635" spans="1:20" x14ac:dyDescent="0.25">
      <c r="A635" s="5">
        <v>43958</v>
      </c>
      <c r="B635">
        <v>0.14138000000000001</v>
      </c>
      <c r="C635">
        <v>0.14849999999999999</v>
      </c>
      <c r="D635">
        <v>0.13730999999999999</v>
      </c>
      <c r="E635">
        <v>0.14238999999999999</v>
      </c>
      <c r="F635">
        <v>12179890.300000001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-9.2046470062556091E-2</v>
      </c>
      <c r="Q635">
        <f t="shared" si="990"/>
        <v>-1121115.9078641674</v>
      </c>
      <c r="R635">
        <f t="shared" si="991"/>
        <v>109394108.03016238</v>
      </c>
      <c r="S635">
        <f t="shared" si="992"/>
        <v>1093.9410803016237</v>
      </c>
      <c r="T635">
        <f t="shared" si="993"/>
        <v>1.0939410803016238</v>
      </c>
    </row>
    <row r="636" spans="1:20" x14ac:dyDescent="0.25">
      <c r="A636" s="5">
        <v>43957</v>
      </c>
      <c r="B636">
        <v>0.14541000000000001</v>
      </c>
      <c r="C636">
        <v>0.15620999999999999</v>
      </c>
      <c r="D636">
        <v>0.13943</v>
      </c>
      <c r="E636">
        <v>0.14136000000000001</v>
      </c>
      <c r="F636">
        <v>17305995.899999999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-0.76996424314660117</v>
      </c>
      <c r="Q636">
        <f t="shared" si="990"/>
        <v>-13324998.035041682</v>
      </c>
      <c r="R636">
        <f t="shared" si="991"/>
        <v>110515223.93802655</v>
      </c>
      <c r="S636">
        <f t="shared" si="992"/>
        <v>1105.1522393802654</v>
      </c>
      <c r="T636">
        <f t="shared" si="993"/>
        <v>1.1051522393802655</v>
      </c>
    </row>
    <row r="637" spans="1:20" x14ac:dyDescent="0.25">
      <c r="A637" s="5">
        <v>43956</v>
      </c>
      <c r="B637">
        <v>0.13603999999999999</v>
      </c>
      <c r="C637">
        <v>0.14671999999999999</v>
      </c>
      <c r="D637">
        <v>0.13433999999999999</v>
      </c>
      <c r="E637">
        <v>0.14571000000000001</v>
      </c>
      <c r="F637">
        <v>14145499.5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0.83683360258481698</v>
      </c>
      <c r="Q637">
        <f t="shared" si="990"/>
        <v>11837429.306946727</v>
      </c>
      <c r="R637">
        <f t="shared" si="991"/>
        <v>123840221.97306822</v>
      </c>
      <c r="S637">
        <f t="shared" si="992"/>
        <v>1238.4022197306822</v>
      </c>
      <c r="T637">
        <f t="shared" si="993"/>
        <v>1.2384022197306821</v>
      </c>
    </row>
    <row r="638" spans="1:20" x14ac:dyDescent="0.25">
      <c r="A638" s="5">
        <v>43955</v>
      </c>
      <c r="B638">
        <v>0.13582</v>
      </c>
      <c r="C638">
        <v>0.13904</v>
      </c>
      <c r="D638">
        <v>0.124</v>
      </c>
      <c r="E638">
        <v>0.13653000000000001</v>
      </c>
      <c r="F638">
        <v>10650455.300000001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0.66622340425532112</v>
      </c>
      <c r="Q638">
        <f t="shared" si="990"/>
        <v>7095582.5868351283</v>
      </c>
      <c r="R638">
        <f t="shared" si="991"/>
        <v>112002792.6661215</v>
      </c>
      <c r="S638">
        <f t="shared" si="992"/>
        <v>1120.0279266612149</v>
      </c>
      <c r="T638">
        <f t="shared" si="993"/>
        <v>1.120027926661215</v>
      </c>
    </row>
    <row r="639" spans="1:20" x14ac:dyDescent="0.25">
      <c r="A639" s="5">
        <v>43954</v>
      </c>
      <c r="B639">
        <v>0.14391000000000001</v>
      </c>
      <c r="C639">
        <v>0.14446999999999999</v>
      </c>
      <c r="D639">
        <v>0.13147</v>
      </c>
      <c r="E639">
        <v>0.13582</v>
      </c>
      <c r="F639">
        <v>8048301.9000000004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-0.33076923076923104</v>
      </c>
      <c r="Q639">
        <f t="shared" si="990"/>
        <v>-2662130.6284615407</v>
      </c>
      <c r="R639">
        <f t="shared" si="991"/>
        <v>104907210.07928637</v>
      </c>
      <c r="S639">
        <f t="shared" si="992"/>
        <v>1049.0721007928637</v>
      </c>
      <c r="T639">
        <f t="shared" si="993"/>
        <v>1.0490721007928636</v>
      </c>
    </row>
    <row r="640" spans="1:20" x14ac:dyDescent="0.25">
      <c r="A640" s="5">
        <v>43953</v>
      </c>
      <c r="B640">
        <v>0.14041000000000001</v>
      </c>
      <c r="C640">
        <v>0.14646000000000001</v>
      </c>
      <c r="D640">
        <v>0.13803000000000001</v>
      </c>
      <c r="E640">
        <v>0.14384</v>
      </c>
      <c r="F640">
        <v>13587873.800000001</v>
      </c>
      <c r="G640">
        <v>0</v>
      </c>
      <c r="L640" t="s">
        <v>8</v>
      </c>
      <c r="M640" t="s">
        <v>7</v>
      </c>
      <c r="N640" t="s">
        <v>8</v>
      </c>
      <c r="P640">
        <f t="shared" si="989"/>
        <v>0.37841043890865639</v>
      </c>
      <c r="Q640">
        <f t="shared" si="990"/>
        <v>5141793.288493433</v>
      </c>
      <c r="R640">
        <f t="shared" si="991"/>
        <v>107569340.70774791</v>
      </c>
      <c r="S640">
        <f t="shared" si="992"/>
        <v>1075.6934070774792</v>
      </c>
      <c r="T640">
        <f t="shared" si="993"/>
        <v>1.0756934070774791</v>
      </c>
    </row>
    <row r="641" spans="1:20" x14ac:dyDescent="0.25">
      <c r="A641" s="5">
        <v>43952</v>
      </c>
      <c r="B641">
        <v>0.13668</v>
      </c>
      <c r="C641">
        <v>0.14419999999999999</v>
      </c>
      <c r="D641">
        <v>0.13589000000000001</v>
      </c>
      <c r="E641">
        <v>0.14096</v>
      </c>
      <c r="F641">
        <v>13407091</v>
      </c>
      <c r="G641">
        <v>0</v>
      </c>
      <c r="L641" t="s">
        <v>8</v>
      </c>
      <c r="M641" t="s">
        <v>7</v>
      </c>
      <c r="N641" t="s">
        <v>8</v>
      </c>
      <c r="P641">
        <f t="shared" si="989"/>
        <v>0.22021660649819516</v>
      </c>
      <c r="Q641">
        <f t="shared" si="990"/>
        <v>2952464.0830324939</v>
      </c>
      <c r="R641">
        <f t="shared" si="991"/>
        <v>102427547.41925447</v>
      </c>
      <c r="S641">
        <f t="shared" si="992"/>
        <v>1024.2754741925446</v>
      </c>
      <c r="T641">
        <f t="shared" si="993"/>
        <v>1.0242754741925446</v>
      </c>
    </row>
    <row r="642" spans="1:20" x14ac:dyDescent="0.25">
      <c r="A642" s="5">
        <v>43951</v>
      </c>
      <c r="B642">
        <v>0.14321</v>
      </c>
      <c r="C642">
        <v>0.14487</v>
      </c>
      <c r="D642">
        <v>0.12859999999999999</v>
      </c>
      <c r="E642">
        <v>0.13668</v>
      </c>
      <c r="F642">
        <v>20425373.100000001</v>
      </c>
      <c r="G642">
        <v>0</v>
      </c>
      <c r="L642" t="s">
        <v>7</v>
      </c>
      <c r="M642" t="s">
        <v>7</v>
      </c>
      <c r="N642" t="s">
        <v>8</v>
      </c>
      <c r="P642">
        <f t="shared" si="989"/>
        <v>-6.7609096496618892E-3</v>
      </c>
      <c r="Q642">
        <f t="shared" si="990"/>
        <v>-138094.1020897344</v>
      </c>
      <c r="R642">
        <f t="shared" si="991"/>
        <v>99475083.336221978</v>
      </c>
      <c r="S642">
        <f t="shared" si="992"/>
        <v>994.75083336221974</v>
      </c>
      <c r="T642">
        <f t="shared" si="993"/>
        <v>0.9947508333622197</v>
      </c>
    </row>
    <row r="643" spans="1:20" x14ac:dyDescent="0.25">
      <c r="A643" s="5">
        <v>43950</v>
      </c>
      <c r="B643">
        <v>0.13905999999999999</v>
      </c>
      <c r="C643">
        <v>0.14652999999999999</v>
      </c>
      <c r="D643">
        <v>0.13900999999999999</v>
      </c>
      <c r="E643">
        <v>0.14302999999999999</v>
      </c>
      <c r="F643">
        <v>15769716.300000001</v>
      </c>
      <c r="G643">
        <v>0</v>
      </c>
      <c r="L643" t="s">
        <v>8</v>
      </c>
      <c r="M643" t="s">
        <v>7</v>
      </c>
      <c r="N643" t="s">
        <v>8</v>
      </c>
      <c r="P643">
        <f t="shared" si="989"/>
        <v>6.9148936170211797E-2</v>
      </c>
      <c r="Q643">
        <f t="shared" si="990"/>
        <v>1090459.1058510486</v>
      </c>
      <c r="R643">
        <f t="shared" si="991"/>
        <v>99613177.438311711</v>
      </c>
      <c r="S643">
        <f t="shared" si="992"/>
        <v>996.13177438311709</v>
      </c>
      <c r="T643">
        <f t="shared" si="993"/>
        <v>0.99613177438311706</v>
      </c>
    </row>
    <row r="644" spans="1:20" x14ac:dyDescent="0.25">
      <c r="A644" s="5">
        <v>43949</v>
      </c>
      <c r="B644">
        <v>0.13758000000000001</v>
      </c>
      <c r="C644">
        <v>0.14426</v>
      </c>
      <c r="D644">
        <v>0.13009999999999999</v>
      </c>
      <c r="E644">
        <v>0.13897999999999999</v>
      </c>
      <c r="F644">
        <v>14443828.800000001</v>
      </c>
      <c r="G644">
        <v>0</v>
      </c>
      <c r="L644" t="s">
        <v>8</v>
      </c>
      <c r="M644" t="s">
        <v>7</v>
      </c>
      <c r="N644" t="s">
        <v>8</v>
      </c>
      <c r="P644">
        <f t="shared" si="989"/>
        <v>0.25423728813559254</v>
      </c>
      <c r="Q644">
        <f t="shared" si="990"/>
        <v>3672159.8644067701</v>
      </c>
      <c r="R644">
        <f t="shared" si="991"/>
        <v>98522718.332460657</v>
      </c>
      <c r="S644">
        <f t="shared" si="992"/>
        <v>985.22718332460659</v>
      </c>
      <c r="T644">
        <f t="shared" si="993"/>
        <v>0.98522718332460657</v>
      </c>
    </row>
    <row r="645" spans="1:20" x14ac:dyDescent="0.25">
      <c r="A645" s="5">
        <v>43948</v>
      </c>
      <c r="B645">
        <v>0.14157</v>
      </c>
      <c r="C645">
        <v>0.15223</v>
      </c>
      <c r="D645">
        <v>0.12847</v>
      </c>
      <c r="E645">
        <v>0.13678999999999999</v>
      </c>
      <c r="F645">
        <v>26084615.100000001</v>
      </c>
      <c r="G645">
        <v>0</v>
      </c>
      <c r="L645" t="s">
        <v>7</v>
      </c>
      <c r="M645" t="s">
        <v>7</v>
      </c>
      <c r="N645" t="s">
        <v>8</v>
      </c>
      <c r="P645">
        <f t="shared" si="989"/>
        <v>-0.29966329966330024</v>
      </c>
      <c r="Q645">
        <f t="shared" si="990"/>
        <v>-7816601.8313131472</v>
      </c>
      <c r="R645">
        <f t="shared" si="991"/>
        <v>94850558.468053892</v>
      </c>
      <c r="S645">
        <f t="shared" si="992"/>
        <v>948.50558468053896</v>
      </c>
      <c r="T645">
        <f t="shared" si="993"/>
        <v>0.94850558468053892</v>
      </c>
    </row>
    <row r="646" spans="1:20" x14ac:dyDescent="0.25">
      <c r="A646" s="5">
        <v>43947</v>
      </c>
      <c r="B646">
        <v>0.14888999999999999</v>
      </c>
      <c r="C646">
        <v>0.15878999999999999</v>
      </c>
      <c r="D646">
        <v>0.13779</v>
      </c>
      <c r="E646">
        <v>0.14149</v>
      </c>
      <c r="F646">
        <v>25165270.399999999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-0.64761904761904665</v>
      </c>
      <c r="Q646">
        <f t="shared" ref="Q646:Q709" si="995">F646*P646</f>
        <v>-16297508.449523784</v>
      </c>
      <c r="R646">
        <f t="shared" ref="R646:R709" si="996">R647+Q646</f>
        <v>102667160.29936704</v>
      </c>
      <c r="S646">
        <f t="shared" ref="S646:S709" si="997">R646/100000</f>
        <v>1026.6716029936704</v>
      </c>
      <c r="T646">
        <f t="shared" ref="T646:T709" si="998">S646/1000</f>
        <v>1.0266716029936704</v>
      </c>
    </row>
    <row r="647" spans="1:20" x14ac:dyDescent="0.25">
      <c r="A647" s="5">
        <v>43946</v>
      </c>
      <c r="B647">
        <v>0.13048999999999999</v>
      </c>
      <c r="C647">
        <v>0.15708</v>
      </c>
      <c r="D647">
        <v>0.12717000000000001</v>
      </c>
      <c r="E647">
        <v>0.14888999999999999</v>
      </c>
      <c r="F647">
        <v>31120938.199999999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0.4523570712136406</v>
      </c>
      <c r="Q647">
        <f t="shared" si="995"/>
        <v>14077776.457572708</v>
      </c>
      <c r="R647">
        <f t="shared" si="996"/>
        <v>118964668.74889083</v>
      </c>
      <c r="S647">
        <f t="shared" si="997"/>
        <v>1189.6466874889084</v>
      </c>
      <c r="T647">
        <f t="shared" si="998"/>
        <v>1.1896466874889084</v>
      </c>
    </row>
    <row r="648" spans="1:20" x14ac:dyDescent="0.25">
      <c r="A648" s="5">
        <v>43945</v>
      </c>
      <c r="B648">
        <v>0.12095</v>
      </c>
      <c r="C648">
        <v>0.13195000000000001</v>
      </c>
      <c r="D648">
        <v>0.12033000000000001</v>
      </c>
      <c r="E648">
        <v>0.13048999999999999</v>
      </c>
      <c r="F648">
        <v>7887256.7999999998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0.74870912220309538</v>
      </c>
      <c r="Q648">
        <f t="shared" si="995"/>
        <v>5905261.1153183952</v>
      </c>
      <c r="R648">
        <f t="shared" si="996"/>
        <v>104886892.29131812</v>
      </c>
      <c r="S648">
        <f t="shared" si="997"/>
        <v>1048.8689229131812</v>
      </c>
      <c r="T648">
        <f t="shared" si="998"/>
        <v>1.0488689229131811</v>
      </c>
    </row>
    <row r="649" spans="1:20" x14ac:dyDescent="0.25">
      <c r="A649" s="5">
        <v>43944</v>
      </c>
      <c r="B649">
        <v>0.11294999999999999</v>
      </c>
      <c r="C649">
        <v>0.12482</v>
      </c>
      <c r="D649">
        <v>0.11123</v>
      </c>
      <c r="E649">
        <v>0.12095</v>
      </c>
      <c r="F649">
        <v>11417852.800000001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0.43046357615894082</v>
      </c>
      <c r="Q649">
        <f t="shared" si="995"/>
        <v>4914969.7483443758</v>
      </c>
      <c r="R649">
        <f t="shared" si="996"/>
        <v>98981631.175999731</v>
      </c>
      <c r="S649">
        <f t="shared" si="997"/>
        <v>989.81631175999735</v>
      </c>
      <c r="T649">
        <f t="shared" si="998"/>
        <v>0.9898163117599974</v>
      </c>
    </row>
    <row r="650" spans="1:20" x14ac:dyDescent="0.25">
      <c r="A650" s="5">
        <v>43943</v>
      </c>
      <c r="B650">
        <v>0.10696</v>
      </c>
      <c r="C650">
        <v>0.11704000000000001</v>
      </c>
      <c r="D650">
        <v>0.10539999999999999</v>
      </c>
      <c r="E650">
        <v>0.11294999999999999</v>
      </c>
      <c r="F650">
        <v>13207226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0.29725085910652815</v>
      </c>
      <c r="Q650">
        <f t="shared" si="995"/>
        <v>3925859.2749140756</v>
      </c>
      <c r="R650">
        <f t="shared" si="996"/>
        <v>94066661.427655354</v>
      </c>
      <c r="S650">
        <f t="shared" si="997"/>
        <v>940.66661427655356</v>
      </c>
      <c r="T650">
        <f t="shared" si="998"/>
        <v>0.94066661427655351</v>
      </c>
    </row>
    <row r="651" spans="1:20" x14ac:dyDescent="0.25">
      <c r="A651" s="5">
        <v>43942</v>
      </c>
      <c r="B651">
        <v>9.7309999999999994E-2</v>
      </c>
      <c r="C651">
        <v>0.114</v>
      </c>
      <c r="D651">
        <v>9.6729999999999997E-2</v>
      </c>
      <c r="E651">
        <v>0.10725999999999999</v>
      </c>
      <c r="F651">
        <v>25106990.600000001</v>
      </c>
      <c r="G651">
        <v>0</v>
      </c>
      <c r="L651" t="s">
        <v>8</v>
      </c>
      <c r="M651" t="s">
        <v>8</v>
      </c>
      <c r="N651" t="s">
        <v>8</v>
      </c>
      <c r="P651">
        <f t="shared" si="994"/>
        <v>0.21945570353213587</v>
      </c>
      <c r="Q651">
        <f t="shared" si="995"/>
        <v>5509872.2856977219</v>
      </c>
      <c r="R651">
        <f t="shared" si="996"/>
        <v>90140802.152741283</v>
      </c>
      <c r="S651">
        <f t="shared" si="997"/>
        <v>901.40802152741287</v>
      </c>
      <c r="T651">
        <f t="shared" si="998"/>
        <v>0.90140802152741284</v>
      </c>
    </row>
    <row r="652" spans="1:20" x14ac:dyDescent="0.25">
      <c r="A652" s="5">
        <v>43941</v>
      </c>
      <c r="B652">
        <v>9.9019999999999997E-2</v>
      </c>
      <c r="C652">
        <v>0.1095</v>
      </c>
      <c r="D652">
        <v>9.5579999999999998E-2</v>
      </c>
      <c r="E652">
        <v>9.7629999999999995E-2</v>
      </c>
      <c r="F652">
        <v>13230378.1</v>
      </c>
      <c r="G652">
        <v>0</v>
      </c>
      <c r="L652" t="s">
        <v>8</v>
      </c>
      <c r="M652" t="s">
        <v>8</v>
      </c>
      <c r="N652" t="s">
        <v>8</v>
      </c>
      <c r="P652">
        <f t="shared" si="994"/>
        <v>-0.7054597701149431</v>
      </c>
      <c r="Q652">
        <f t="shared" si="995"/>
        <v>-9333499.4929597769</v>
      </c>
      <c r="R652">
        <f t="shared" si="996"/>
        <v>84630929.867043555</v>
      </c>
      <c r="S652">
        <f t="shared" si="997"/>
        <v>846.30929867043551</v>
      </c>
      <c r="T652">
        <f t="shared" si="998"/>
        <v>0.84630929867043547</v>
      </c>
    </row>
    <row r="653" spans="1:20" x14ac:dyDescent="0.25">
      <c r="A653" s="5">
        <v>43940</v>
      </c>
      <c r="B653">
        <v>0.10438</v>
      </c>
      <c r="C653">
        <v>0.10705000000000001</v>
      </c>
      <c r="D653">
        <v>9.8500000000000004E-2</v>
      </c>
      <c r="E653">
        <v>9.9299999999999999E-2</v>
      </c>
      <c r="F653">
        <v>8847802.8000000007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-0.81286549707602462</v>
      </c>
      <c r="Q653">
        <f t="shared" si="995"/>
        <v>-7192073.6210526433</v>
      </c>
      <c r="R653">
        <f t="shared" si="996"/>
        <v>93964429.360003337</v>
      </c>
      <c r="S653">
        <f t="shared" si="997"/>
        <v>939.64429360003339</v>
      </c>
      <c r="T653">
        <f t="shared" si="998"/>
        <v>0.93964429360003343</v>
      </c>
    </row>
    <row r="654" spans="1:20" x14ac:dyDescent="0.25">
      <c r="A654" s="5">
        <v>43939</v>
      </c>
      <c r="B654">
        <v>9.4089999999999993E-2</v>
      </c>
      <c r="C654">
        <v>0.10541</v>
      </c>
      <c r="D654">
        <v>9.3810000000000004E-2</v>
      </c>
      <c r="E654">
        <v>0.10438</v>
      </c>
      <c r="F654">
        <v>7763975.9000000004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0.82241379310344775</v>
      </c>
      <c r="Q654">
        <f t="shared" si="995"/>
        <v>6385200.8694827547</v>
      </c>
      <c r="R654">
        <f t="shared" si="996"/>
        <v>101156502.98105597</v>
      </c>
      <c r="S654">
        <f t="shared" si="997"/>
        <v>1011.5650298105597</v>
      </c>
      <c r="T654">
        <f t="shared" si="998"/>
        <v>1.0115650298105598</v>
      </c>
    </row>
    <row r="655" spans="1:20" x14ac:dyDescent="0.25">
      <c r="A655" s="5">
        <v>43938</v>
      </c>
      <c r="B655">
        <v>9.6259999999999998E-2</v>
      </c>
      <c r="C655">
        <v>9.758E-2</v>
      </c>
      <c r="D655">
        <v>9.3710000000000002E-2</v>
      </c>
      <c r="E655">
        <v>9.4E-2</v>
      </c>
      <c r="F655">
        <v>3035426.2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-0.85012919896640893</v>
      </c>
      <c r="Q655">
        <f t="shared" si="995"/>
        <v>-2580504.4439276508</v>
      </c>
      <c r="R655">
        <f t="shared" si="996"/>
        <v>94771302.111573219</v>
      </c>
      <c r="S655">
        <f t="shared" si="997"/>
        <v>947.7130211157322</v>
      </c>
      <c r="T655">
        <f t="shared" si="998"/>
        <v>0.94771302111573219</v>
      </c>
    </row>
    <row r="656" spans="1:20" x14ac:dyDescent="0.25">
      <c r="A656" s="5">
        <v>43937</v>
      </c>
      <c r="B656">
        <v>9.1950000000000004E-2</v>
      </c>
      <c r="C656">
        <v>9.7430000000000003E-2</v>
      </c>
      <c r="D656">
        <v>8.7220000000000006E-2</v>
      </c>
      <c r="E656">
        <v>9.6210000000000004E-2</v>
      </c>
      <c r="F656">
        <v>8875366.0999999996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0.76101860920666031</v>
      </c>
      <c r="Q656">
        <f t="shared" si="995"/>
        <v>6754318.7656219406</v>
      </c>
      <c r="R656">
        <f t="shared" si="996"/>
        <v>97351806.555500865</v>
      </c>
      <c r="S656">
        <f t="shared" si="997"/>
        <v>973.51806555500866</v>
      </c>
      <c r="T656">
        <f t="shared" si="998"/>
        <v>0.97351806555500864</v>
      </c>
    </row>
    <row r="657" spans="1:20" x14ac:dyDescent="0.25">
      <c r="A657" s="5">
        <v>43936</v>
      </c>
      <c r="B657">
        <v>9.06E-2</v>
      </c>
      <c r="C657">
        <v>9.8330000000000001E-2</v>
      </c>
      <c r="D657">
        <v>8.9660000000000004E-2</v>
      </c>
      <c r="E657">
        <v>9.2270000000000005E-2</v>
      </c>
      <c r="F657">
        <v>13191980.800000001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-0.3979238754325255</v>
      </c>
      <c r="Q657">
        <f t="shared" si="995"/>
        <v>-5249404.1245674687</v>
      </c>
      <c r="R657">
        <f t="shared" si="996"/>
        <v>90597487.78987892</v>
      </c>
      <c r="S657">
        <f t="shared" si="997"/>
        <v>905.97487789878915</v>
      </c>
      <c r="T657">
        <f t="shared" si="998"/>
        <v>0.90597487789878917</v>
      </c>
    </row>
    <row r="658" spans="1:20" x14ac:dyDescent="0.25">
      <c r="A658" s="5">
        <v>43935</v>
      </c>
      <c r="B658">
        <v>8.9599999999999999E-2</v>
      </c>
      <c r="C658">
        <v>9.2759999999999995E-2</v>
      </c>
      <c r="D658">
        <v>8.8260000000000005E-2</v>
      </c>
      <c r="E658">
        <v>9.103E-2</v>
      </c>
      <c r="F658">
        <v>2696507.4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0.23111111111111146</v>
      </c>
      <c r="Q658">
        <f t="shared" si="995"/>
        <v>623192.8213333342</v>
      </c>
      <c r="R658">
        <f t="shared" si="996"/>
        <v>95846891.914446384</v>
      </c>
      <c r="S658">
        <f t="shared" si="997"/>
        <v>958.46891914446383</v>
      </c>
      <c r="T658">
        <f t="shared" si="998"/>
        <v>0.95846891914446386</v>
      </c>
    </row>
    <row r="659" spans="1:20" x14ac:dyDescent="0.25">
      <c r="A659" s="5">
        <v>43934</v>
      </c>
      <c r="B659">
        <v>8.7510000000000004E-2</v>
      </c>
      <c r="C659">
        <v>9.0590000000000004E-2</v>
      </c>
      <c r="D659">
        <v>8.251E-2</v>
      </c>
      <c r="E659">
        <v>8.9599999999999999E-2</v>
      </c>
      <c r="F659">
        <v>4298296.5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0.75495049504950384</v>
      </c>
      <c r="Q659">
        <f t="shared" si="995"/>
        <v>3245001.0705445497</v>
      </c>
      <c r="R659">
        <f t="shared" si="996"/>
        <v>95223699.09311305</v>
      </c>
      <c r="S659">
        <f t="shared" si="997"/>
        <v>952.23699093113055</v>
      </c>
      <c r="T659">
        <f t="shared" si="998"/>
        <v>0.95223699093113057</v>
      </c>
    </row>
    <row r="660" spans="1:20" x14ac:dyDescent="0.25">
      <c r="A660" s="5">
        <v>43933</v>
      </c>
      <c r="B660">
        <v>8.7260000000000004E-2</v>
      </c>
      <c r="C660">
        <v>9.2600000000000002E-2</v>
      </c>
      <c r="D660">
        <v>8.4989999999999996E-2</v>
      </c>
      <c r="E660">
        <v>8.8029999999999997E-2</v>
      </c>
      <c r="F660">
        <v>3088480.2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-0.20105124835742477</v>
      </c>
      <c r="Q660">
        <f t="shared" si="995"/>
        <v>-620942.79973718897</v>
      </c>
      <c r="R660">
        <f t="shared" si="996"/>
        <v>91978698.022568494</v>
      </c>
      <c r="S660">
        <f t="shared" si="997"/>
        <v>919.78698022568494</v>
      </c>
      <c r="T660">
        <f t="shared" si="998"/>
        <v>0.91978698022568495</v>
      </c>
    </row>
    <row r="661" spans="1:20" x14ac:dyDescent="0.25">
      <c r="A661" s="5">
        <v>43932</v>
      </c>
      <c r="B661">
        <v>8.7770000000000001E-2</v>
      </c>
      <c r="C661">
        <v>9.1899999999999996E-2</v>
      </c>
      <c r="D661">
        <v>8.5419999999999996E-2</v>
      </c>
      <c r="E661">
        <v>8.727E-2</v>
      </c>
      <c r="F661">
        <v>3879579.3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-0.42901234567901098</v>
      </c>
      <c r="Q661">
        <f t="shared" si="995"/>
        <v>-1664387.4157407354</v>
      </c>
      <c r="R661">
        <f t="shared" si="996"/>
        <v>92599640.822305679</v>
      </c>
      <c r="S661">
        <f t="shared" si="997"/>
        <v>925.99640822305685</v>
      </c>
      <c r="T661">
        <f t="shared" si="998"/>
        <v>0.92599640822305684</v>
      </c>
    </row>
    <row r="662" spans="1:20" x14ac:dyDescent="0.25">
      <c r="A662" s="5">
        <v>43931</v>
      </c>
      <c r="B662">
        <v>9.7220000000000001E-2</v>
      </c>
      <c r="C662">
        <v>9.7430000000000003E-2</v>
      </c>
      <c r="D662">
        <v>8.2570000000000005E-2</v>
      </c>
      <c r="E662">
        <v>8.7770000000000001E-2</v>
      </c>
      <c r="F662">
        <v>6352369.2000000002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-0.30013458950201927</v>
      </c>
      <c r="Q662">
        <f t="shared" si="995"/>
        <v>-1906565.7222072706</v>
      </c>
      <c r="R662">
        <f t="shared" si="996"/>
        <v>94264028.238046408</v>
      </c>
      <c r="S662">
        <f t="shared" si="997"/>
        <v>942.6402823804641</v>
      </c>
      <c r="T662">
        <f t="shared" si="998"/>
        <v>0.94264028238046405</v>
      </c>
    </row>
    <row r="663" spans="1:20" x14ac:dyDescent="0.25">
      <c r="A663" s="5">
        <v>43930</v>
      </c>
      <c r="B663">
        <v>9.7110000000000002E-2</v>
      </c>
      <c r="C663">
        <v>9.7799999999999998E-2</v>
      </c>
      <c r="D663">
        <v>9.2399999999999996E-2</v>
      </c>
      <c r="E663">
        <v>9.7430000000000003E-2</v>
      </c>
      <c r="F663">
        <v>4973771.5999999996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0.86296296296296471</v>
      </c>
      <c r="Q663">
        <f t="shared" si="995"/>
        <v>4292180.6770370454</v>
      </c>
      <c r="R663">
        <f t="shared" si="996"/>
        <v>96170593.960253671</v>
      </c>
      <c r="S663">
        <f t="shared" si="997"/>
        <v>961.70593960253666</v>
      </c>
      <c r="T663">
        <f t="shared" si="998"/>
        <v>0.9617059396025367</v>
      </c>
    </row>
    <row r="664" spans="1:20" x14ac:dyDescent="0.25">
      <c r="A664" s="5">
        <v>43929</v>
      </c>
      <c r="B664">
        <v>9.5100000000000004E-2</v>
      </c>
      <c r="C664">
        <v>9.8970000000000002E-2</v>
      </c>
      <c r="D664">
        <v>9.3299999999999994E-2</v>
      </c>
      <c r="E664">
        <v>9.7479999999999997E-2</v>
      </c>
      <c r="F664">
        <v>5617498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0.47442680776014001</v>
      </c>
      <c r="Q664">
        <f t="shared" si="995"/>
        <v>2665091.6437389711</v>
      </c>
      <c r="R664">
        <f t="shared" si="996"/>
        <v>91878413.283216625</v>
      </c>
      <c r="S664">
        <f t="shared" si="997"/>
        <v>918.78413283216628</v>
      </c>
      <c r="T664">
        <f t="shared" si="998"/>
        <v>0.91878413283216631</v>
      </c>
    </row>
    <row r="665" spans="1:20" x14ac:dyDescent="0.25">
      <c r="A665" s="5">
        <v>43928</v>
      </c>
      <c r="B665">
        <v>9.9159999999999998E-2</v>
      </c>
      <c r="C665">
        <v>0.10067</v>
      </c>
      <c r="D665">
        <v>9.3679999999999999E-2</v>
      </c>
      <c r="E665">
        <v>9.5100000000000004E-2</v>
      </c>
      <c r="F665">
        <v>8136472.5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-0.59370529327610722</v>
      </c>
      <c r="Q665">
        <f t="shared" si="995"/>
        <v>-4830666.7918454809</v>
      </c>
      <c r="R665">
        <f t="shared" si="996"/>
        <v>89213321.639477655</v>
      </c>
      <c r="S665">
        <f t="shared" si="997"/>
        <v>892.13321639477658</v>
      </c>
      <c r="T665">
        <f t="shared" si="998"/>
        <v>0.89213321639477661</v>
      </c>
    </row>
    <row r="666" spans="1:20" x14ac:dyDescent="0.25">
      <c r="A666" s="5">
        <v>43927</v>
      </c>
      <c r="B666">
        <v>9.3539999999999998E-2</v>
      </c>
      <c r="C666">
        <v>0.10045999999999999</v>
      </c>
      <c r="D666">
        <v>9.3350000000000002E-2</v>
      </c>
      <c r="E666">
        <v>9.9000000000000005E-2</v>
      </c>
      <c r="F666">
        <v>7318250.5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0.58931082981716154</v>
      </c>
      <c r="Q666">
        <f t="shared" si="995"/>
        <v>4312724.2749648569</v>
      </c>
      <c r="R666">
        <f t="shared" si="996"/>
        <v>94043988.431323141</v>
      </c>
      <c r="S666">
        <f t="shared" si="997"/>
        <v>940.43988431323146</v>
      </c>
      <c r="T666">
        <f t="shared" si="998"/>
        <v>0.94043988431323144</v>
      </c>
    </row>
    <row r="667" spans="1:20" x14ac:dyDescent="0.25">
      <c r="A667" s="5">
        <v>43926</v>
      </c>
      <c r="B667">
        <v>9.7430000000000003E-2</v>
      </c>
      <c r="C667">
        <v>9.9989999999999996E-2</v>
      </c>
      <c r="D667">
        <v>9.2160000000000006E-2</v>
      </c>
      <c r="E667">
        <v>9.3350000000000002E-2</v>
      </c>
      <c r="F667">
        <v>6947816.7000000002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-0.69604086845466207</v>
      </c>
      <c r="Q667">
        <f t="shared" si="995"/>
        <v>-4835964.3697318044</v>
      </c>
      <c r="R667">
        <f t="shared" si="996"/>
        <v>89731264.156358287</v>
      </c>
      <c r="S667">
        <f t="shared" si="997"/>
        <v>897.31264156358282</v>
      </c>
      <c r="T667">
        <f t="shared" si="998"/>
        <v>0.89731264156358281</v>
      </c>
    </row>
    <row r="668" spans="1:20" x14ac:dyDescent="0.25">
      <c r="A668" s="5">
        <v>43925</v>
      </c>
      <c r="B668">
        <v>9.0329999999999994E-2</v>
      </c>
      <c r="C668">
        <v>9.819E-2</v>
      </c>
      <c r="D668">
        <v>8.9319999999999997E-2</v>
      </c>
      <c r="E668">
        <v>9.7439999999999999E-2</v>
      </c>
      <c r="F668">
        <v>6156505.4000000004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0.83089064261555801</v>
      </c>
      <c r="Q668">
        <f t="shared" si="995"/>
        <v>5115382.7280721534</v>
      </c>
      <c r="R668">
        <f t="shared" si="996"/>
        <v>94567228.526090086</v>
      </c>
      <c r="S668">
        <f t="shared" si="997"/>
        <v>945.67228526090082</v>
      </c>
      <c r="T668">
        <f t="shared" si="998"/>
        <v>0.94567228526090086</v>
      </c>
    </row>
    <row r="669" spans="1:20" x14ac:dyDescent="0.25">
      <c r="A669" s="5">
        <v>43924</v>
      </c>
      <c r="B669">
        <v>9.1749999999999998E-2</v>
      </c>
      <c r="C669">
        <v>9.4670000000000004E-2</v>
      </c>
      <c r="D669">
        <v>8.4129999999999996E-2</v>
      </c>
      <c r="E669">
        <v>9.0090000000000003E-2</v>
      </c>
      <c r="F669">
        <v>6139503.2000000002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0.13092979127134774</v>
      </c>
      <c r="Q669">
        <f t="shared" si="995"/>
        <v>803843.87248577154</v>
      </c>
      <c r="R669">
        <f t="shared" si="996"/>
        <v>89451845.798017934</v>
      </c>
      <c r="S669">
        <f t="shared" si="997"/>
        <v>894.51845798017939</v>
      </c>
      <c r="T669">
        <f t="shared" si="998"/>
        <v>0.89451845798017937</v>
      </c>
    </row>
    <row r="670" spans="1:20" x14ac:dyDescent="0.25">
      <c r="A670" s="5">
        <v>43923</v>
      </c>
      <c r="B670">
        <v>9.2920000000000003E-2</v>
      </c>
      <c r="C670">
        <v>9.6680000000000002E-2</v>
      </c>
      <c r="D670">
        <v>8.931E-2</v>
      </c>
      <c r="E670">
        <v>9.1920000000000002E-2</v>
      </c>
      <c r="F670">
        <v>7912116.5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-0.2917232021709632</v>
      </c>
      <c r="Q670">
        <f t="shared" si="995"/>
        <v>-2308147.9613297139</v>
      </c>
      <c r="R670">
        <f t="shared" si="996"/>
        <v>88648001.925532162</v>
      </c>
      <c r="S670">
        <f t="shared" si="997"/>
        <v>886.48001925532162</v>
      </c>
      <c r="T670">
        <f t="shared" si="998"/>
        <v>0.88648001925532161</v>
      </c>
    </row>
    <row r="671" spans="1:20" x14ac:dyDescent="0.25">
      <c r="A671" s="5">
        <v>43922</v>
      </c>
      <c r="B671">
        <v>9.2710000000000001E-2</v>
      </c>
      <c r="C671">
        <v>9.3310000000000004E-2</v>
      </c>
      <c r="D671">
        <v>8.5089999999999999E-2</v>
      </c>
      <c r="E671">
        <v>9.2920000000000003E-2</v>
      </c>
      <c r="F671">
        <v>7975978.7999999998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0.90510948905109456</v>
      </c>
      <c r="Q671">
        <f t="shared" si="995"/>
        <v>7219134.0963503625</v>
      </c>
      <c r="R671">
        <f t="shared" si="996"/>
        <v>90956149.886861876</v>
      </c>
      <c r="S671">
        <f t="shared" si="997"/>
        <v>909.56149886861874</v>
      </c>
      <c r="T671">
        <f t="shared" si="998"/>
        <v>0.9095614988686187</v>
      </c>
    </row>
    <row r="672" spans="1:20" x14ac:dyDescent="0.25">
      <c r="A672" s="5">
        <v>43921</v>
      </c>
      <c r="B672">
        <v>9.2679999999999998E-2</v>
      </c>
      <c r="C672">
        <v>9.64E-2</v>
      </c>
      <c r="D672">
        <v>9.1009999999999994E-2</v>
      </c>
      <c r="E672">
        <v>9.3039999999999998E-2</v>
      </c>
      <c r="F672">
        <v>6759892.2999999998</v>
      </c>
      <c r="G672">
        <v>0</v>
      </c>
      <c r="L672" t="s">
        <v>7</v>
      </c>
      <c r="M672" t="s">
        <v>8</v>
      </c>
      <c r="N672" t="s">
        <v>8</v>
      </c>
      <c r="P672">
        <f t="shared" si="994"/>
        <v>-0.24675324675324609</v>
      </c>
      <c r="Q672">
        <f t="shared" si="995"/>
        <v>-1668025.3727272681</v>
      </c>
      <c r="R672">
        <f t="shared" si="996"/>
        <v>83737015.790511519</v>
      </c>
      <c r="S672">
        <f t="shared" si="997"/>
        <v>837.37015790511521</v>
      </c>
      <c r="T672">
        <f t="shared" si="998"/>
        <v>0.83737015790511515</v>
      </c>
    </row>
    <row r="673" spans="1:20" x14ac:dyDescent="0.25">
      <c r="A673" s="5">
        <v>43920</v>
      </c>
      <c r="B673">
        <v>8.2040000000000002E-2</v>
      </c>
      <c r="C673">
        <v>9.8000000000000004E-2</v>
      </c>
      <c r="D673">
        <v>8.1019999999999995E-2</v>
      </c>
      <c r="E673">
        <v>9.2799999999999994E-2</v>
      </c>
      <c r="F673">
        <v>16859359.300000001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0.38751472320376829</v>
      </c>
      <c r="Q673">
        <f t="shared" si="995"/>
        <v>6533249.9525323771</v>
      </c>
      <c r="R673">
        <f t="shared" si="996"/>
        <v>85405041.163238794</v>
      </c>
      <c r="S673">
        <f t="shared" si="997"/>
        <v>854.05041163238798</v>
      </c>
      <c r="T673">
        <f t="shared" si="998"/>
        <v>0.85405041163238793</v>
      </c>
    </row>
    <row r="674" spans="1:20" x14ac:dyDescent="0.25">
      <c r="A674" s="5">
        <v>43919</v>
      </c>
      <c r="B674">
        <v>8.5860000000000006E-2</v>
      </c>
      <c r="C674">
        <v>9.0310000000000001E-2</v>
      </c>
      <c r="D674">
        <v>8.0820000000000003E-2</v>
      </c>
      <c r="E674">
        <v>8.165E-2</v>
      </c>
      <c r="F674">
        <v>12908257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-0.82507903055848308</v>
      </c>
      <c r="Q674">
        <f t="shared" si="995"/>
        <v>-10650332.171759753</v>
      </c>
      <c r="R674">
        <f t="shared" si="996"/>
        <v>78871791.210706413</v>
      </c>
      <c r="S674">
        <f t="shared" si="997"/>
        <v>788.71791210706408</v>
      </c>
      <c r="T674">
        <f t="shared" si="998"/>
        <v>0.7887179121070641</v>
      </c>
    </row>
    <row r="675" spans="1:20" x14ac:dyDescent="0.25">
      <c r="A675" s="5">
        <v>43918</v>
      </c>
      <c r="B675">
        <v>8.2409999999999997E-2</v>
      </c>
      <c r="C675">
        <v>0.09</v>
      </c>
      <c r="D675">
        <v>7.6499999999999999E-2</v>
      </c>
      <c r="E675">
        <v>8.5849999999999996E-2</v>
      </c>
      <c r="F675">
        <v>11001757.800000001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0.38518518518518496</v>
      </c>
      <c r="Q675">
        <f t="shared" si="995"/>
        <v>4237714.1155555537</v>
      </c>
      <c r="R675">
        <f t="shared" si="996"/>
        <v>89522123.382466167</v>
      </c>
      <c r="S675">
        <f t="shared" si="997"/>
        <v>895.22123382466168</v>
      </c>
      <c r="T675">
        <f t="shared" si="998"/>
        <v>0.89522123382466168</v>
      </c>
    </row>
    <row r="676" spans="1:20" x14ac:dyDescent="0.25">
      <c r="A676" s="5">
        <v>43917</v>
      </c>
      <c r="B676">
        <v>9.2539999999999997E-2</v>
      </c>
      <c r="C676">
        <v>9.3140000000000001E-2</v>
      </c>
      <c r="D676">
        <v>8.2000000000000003E-2</v>
      </c>
      <c r="E676">
        <v>8.2809999999999995E-2</v>
      </c>
      <c r="F676">
        <v>10419713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-0.85457809694793685</v>
      </c>
      <c r="Q676">
        <f t="shared" si="995"/>
        <v>-8904458.5062836781</v>
      </c>
      <c r="R676">
        <f t="shared" si="996"/>
        <v>85284409.266910613</v>
      </c>
      <c r="S676">
        <f t="shared" si="997"/>
        <v>852.84409266910609</v>
      </c>
      <c r="T676">
        <f t="shared" si="998"/>
        <v>0.8528440926691061</v>
      </c>
    </row>
    <row r="677" spans="1:20" x14ac:dyDescent="0.25">
      <c r="A677" s="5">
        <v>43916</v>
      </c>
      <c r="B677">
        <v>8.133E-2</v>
      </c>
      <c r="C677">
        <v>9.5990000000000006E-2</v>
      </c>
      <c r="D677">
        <v>7.9409999999999994E-2</v>
      </c>
      <c r="E677">
        <v>9.2920000000000003E-2</v>
      </c>
      <c r="F677">
        <v>31053290.899999999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0.62967430639324473</v>
      </c>
      <c r="Q677">
        <f t="shared" si="995"/>
        <v>19553459.408685159</v>
      </c>
      <c r="R677">
        <f t="shared" si="996"/>
        <v>94188867.773194283</v>
      </c>
      <c r="S677">
        <f t="shared" si="997"/>
        <v>941.88867773194283</v>
      </c>
      <c r="T677">
        <f t="shared" si="998"/>
        <v>0.94188867773194285</v>
      </c>
    </row>
    <row r="678" spans="1:20" x14ac:dyDescent="0.25">
      <c r="A678" s="5">
        <v>43915</v>
      </c>
      <c r="B678">
        <v>8.1939999999999999E-2</v>
      </c>
      <c r="C678">
        <v>8.2409999999999997E-2</v>
      </c>
      <c r="D678">
        <v>7.5069999999999998E-2</v>
      </c>
      <c r="E678">
        <v>8.1320000000000003E-2</v>
      </c>
      <c r="F678">
        <v>8072061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0.70299727520436139</v>
      </c>
      <c r="Q678">
        <f t="shared" si="995"/>
        <v>5674636.8882833924</v>
      </c>
      <c r="R678">
        <f t="shared" si="996"/>
        <v>74635408.364509121</v>
      </c>
      <c r="S678">
        <f t="shared" si="997"/>
        <v>746.35408364509124</v>
      </c>
      <c r="T678">
        <f t="shared" si="998"/>
        <v>0.74635408364509126</v>
      </c>
    </row>
    <row r="679" spans="1:20" x14ac:dyDescent="0.25">
      <c r="A679" s="5">
        <v>43914</v>
      </c>
      <c r="B679">
        <v>7.4499999999999997E-2</v>
      </c>
      <c r="C679">
        <v>8.4870000000000001E-2</v>
      </c>
      <c r="D679">
        <v>7.2289999999999993E-2</v>
      </c>
      <c r="E679">
        <v>8.2320000000000004E-2</v>
      </c>
      <c r="F679">
        <v>9674240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0.5945945945945954</v>
      </c>
      <c r="Q679">
        <f t="shared" si="995"/>
        <v>5752250.8108108183</v>
      </c>
      <c r="R679">
        <f t="shared" si="996"/>
        <v>68960771.476225734</v>
      </c>
      <c r="S679">
        <f t="shared" si="997"/>
        <v>689.60771476225739</v>
      </c>
      <c r="T679">
        <f t="shared" si="998"/>
        <v>0.68960771476225735</v>
      </c>
    </row>
    <row r="680" spans="1:20" x14ac:dyDescent="0.25">
      <c r="A680" s="5">
        <v>43913</v>
      </c>
      <c r="B680">
        <v>7.0000000000000007E-2</v>
      </c>
      <c r="C680">
        <v>7.4749999999999997E-2</v>
      </c>
      <c r="D680">
        <v>6.4519999999999994E-2</v>
      </c>
      <c r="E680">
        <v>7.4499999999999997E-2</v>
      </c>
      <c r="F680">
        <v>10196244.5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0.9511241446725317</v>
      </c>
      <c r="Q680">
        <f t="shared" si="995"/>
        <v>9697894.3289345056</v>
      </c>
      <c r="R680">
        <f t="shared" si="996"/>
        <v>63208520.665414922</v>
      </c>
      <c r="S680">
        <f t="shared" si="997"/>
        <v>632.08520665414926</v>
      </c>
      <c r="T680">
        <f t="shared" si="998"/>
        <v>0.63208520665414925</v>
      </c>
    </row>
    <row r="681" spans="1:20" x14ac:dyDescent="0.25">
      <c r="A681" s="5">
        <v>43912</v>
      </c>
      <c r="B681">
        <v>7.6689999999999994E-2</v>
      </c>
      <c r="C681">
        <v>7.9310000000000005E-2</v>
      </c>
      <c r="D681">
        <v>6.991E-2</v>
      </c>
      <c r="E681">
        <v>7.0000000000000007E-2</v>
      </c>
      <c r="F681">
        <v>8543413.6999999993</v>
      </c>
      <c r="G681">
        <v>0</v>
      </c>
      <c r="L681" t="s">
        <v>8</v>
      </c>
      <c r="M681" t="s">
        <v>7</v>
      </c>
      <c r="N681" t="s">
        <v>8</v>
      </c>
      <c r="P681">
        <f t="shared" si="994"/>
        <v>-0.98085106382978582</v>
      </c>
      <c r="Q681">
        <f t="shared" si="995"/>
        <v>-8379816.4163829656</v>
      </c>
      <c r="R681">
        <f t="shared" si="996"/>
        <v>53510626.336480416</v>
      </c>
      <c r="S681">
        <f t="shared" si="997"/>
        <v>535.10626336480414</v>
      </c>
      <c r="T681">
        <f t="shared" si="998"/>
        <v>0.53510626336480416</v>
      </c>
    </row>
    <row r="682" spans="1:20" x14ac:dyDescent="0.25">
      <c r="A682" s="5">
        <v>43911</v>
      </c>
      <c r="B682">
        <v>7.4880000000000002E-2</v>
      </c>
      <c r="C682">
        <v>8.1809999999999994E-2</v>
      </c>
      <c r="D682">
        <v>6.9250000000000006E-2</v>
      </c>
      <c r="E682">
        <v>7.671E-2</v>
      </c>
      <c r="F682">
        <v>10825239.9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0.18789808917197479</v>
      </c>
      <c r="Q682">
        <f t="shared" si="995"/>
        <v>2034041.8920382194</v>
      </c>
      <c r="R682">
        <f t="shared" si="996"/>
        <v>61890442.752863385</v>
      </c>
      <c r="S682">
        <f t="shared" si="997"/>
        <v>618.90442752863385</v>
      </c>
      <c r="T682">
        <f t="shared" si="998"/>
        <v>0.61890442752863384</v>
      </c>
    </row>
    <row r="683" spans="1:20" x14ac:dyDescent="0.25">
      <c r="A683" s="5">
        <v>43910</v>
      </c>
      <c r="B683">
        <v>7.3999999999999996E-2</v>
      </c>
      <c r="C683">
        <v>8.6999999999999994E-2</v>
      </c>
      <c r="D683">
        <v>6.6979999999999998E-2</v>
      </c>
      <c r="E683">
        <v>7.4880000000000002E-2</v>
      </c>
      <c r="F683">
        <v>29887267.600000001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-0.2107892107892102</v>
      </c>
      <c r="Q683">
        <f t="shared" si="995"/>
        <v>-6299913.5500499327</v>
      </c>
      <c r="R683">
        <f t="shared" si="996"/>
        <v>59856400.860825166</v>
      </c>
      <c r="S683">
        <f t="shared" si="997"/>
        <v>598.5640086082517</v>
      </c>
      <c r="T683">
        <f t="shared" si="998"/>
        <v>0.59856400860825165</v>
      </c>
    </row>
    <row r="684" spans="1:20" x14ac:dyDescent="0.25">
      <c r="A684" s="5">
        <v>43909</v>
      </c>
      <c r="B684">
        <v>5.2080000000000001E-2</v>
      </c>
      <c r="C684">
        <v>7.8E-2</v>
      </c>
      <c r="D684">
        <v>5.1999999999999998E-2</v>
      </c>
      <c r="E684">
        <v>7.392E-2</v>
      </c>
      <c r="F684">
        <v>69745030.400000006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0.68615384615384611</v>
      </c>
      <c r="Q684">
        <f t="shared" si="995"/>
        <v>47855820.859076925</v>
      </c>
      <c r="R684">
        <f t="shared" si="996"/>
        <v>66156314.410875097</v>
      </c>
      <c r="S684">
        <f t="shared" si="997"/>
        <v>661.56314410875098</v>
      </c>
      <c r="T684">
        <f t="shared" si="998"/>
        <v>0.66156314410875094</v>
      </c>
    </row>
    <row r="685" spans="1:20" x14ac:dyDescent="0.25">
      <c r="A685" s="5">
        <v>43908</v>
      </c>
      <c r="B685">
        <v>5.16E-2</v>
      </c>
      <c r="C685">
        <v>5.2780000000000001E-2</v>
      </c>
      <c r="D685">
        <v>4.6879999999999998E-2</v>
      </c>
      <c r="E685">
        <v>5.1950000000000003E-2</v>
      </c>
      <c r="F685">
        <v>7646601.7000000002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0.71864406779661116</v>
      </c>
      <c r="Q685">
        <f t="shared" si="995"/>
        <v>5495184.9505084828</v>
      </c>
      <c r="R685">
        <f t="shared" si="996"/>
        <v>18300493.551798172</v>
      </c>
      <c r="S685">
        <f t="shared" si="997"/>
        <v>183.00493551798172</v>
      </c>
      <c r="T685">
        <f t="shared" si="998"/>
        <v>0.18300493551798172</v>
      </c>
    </row>
    <row r="686" spans="1:20" x14ac:dyDescent="0.25">
      <c r="A686" s="5">
        <v>43907</v>
      </c>
      <c r="B686">
        <v>4.5990000000000003E-2</v>
      </c>
      <c r="C686">
        <v>5.246E-2</v>
      </c>
      <c r="D686">
        <v>4.5019999999999998E-2</v>
      </c>
      <c r="E686">
        <v>5.1069999999999997E-2</v>
      </c>
      <c r="F686">
        <v>6522507.5999999996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0.62634408602150482</v>
      </c>
      <c r="Q686">
        <f t="shared" si="995"/>
        <v>4085334.0612903186</v>
      </c>
      <c r="R686">
        <f t="shared" si="996"/>
        <v>12805308.601289691</v>
      </c>
      <c r="S686">
        <f t="shared" si="997"/>
        <v>128.05308601289693</v>
      </c>
      <c r="T686">
        <f t="shared" si="998"/>
        <v>0.12805308601289692</v>
      </c>
    </row>
    <row r="687" spans="1:20" x14ac:dyDescent="0.25">
      <c r="A687" s="5">
        <v>43906</v>
      </c>
      <c r="B687">
        <v>5.0840000000000003E-2</v>
      </c>
      <c r="C687">
        <v>5.2310000000000002E-2</v>
      </c>
      <c r="D687">
        <v>4.0579999999999998E-2</v>
      </c>
      <c r="E687">
        <v>4.598E-2</v>
      </c>
      <c r="F687">
        <v>12048534.9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-7.9283887468030681E-2</v>
      </c>
      <c r="Q687">
        <f t="shared" si="995"/>
        <v>-955254.68516624032</v>
      </c>
      <c r="R687">
        <f t="shared" si="996"/>
        <v>8719974.5399993733</v>
      </c>
      <c r="S687">
        <f t="shared" si="997"/>
        <v>87.199745399993731</v>
      </c>
      <c r="T687">
        <f t="shared" si="998"/>
        <v>8.7199745399993728E-2</v>
      </c>
    </row>
    <row r="688" spans="1:20" x14ac:dyDescent="0.25">
      <c r="A688" s="5">
        <v>43905</v>
      </c>
      <c r="B688">
        <v>4.897E-2</v>
      </c>
      <c r="C688">
        <v>5.7700000000000001E-2</v>
      </c>
      <c r="D688">
        <v>4.8959999999999997E-2</v>
      </c>
      <c r="E688">
        <v>5.0470000000000001E-2</v>
      </c>
      <c r="F688">
        <v>9698831.5999999996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-0.65446224256292829</v>
      </c>
      <c r="Q688">
        <f t="shared" si="995"/>
        <v>-6347519.079176194</v>
      </c>
      <c r="R688">
        <f t="shared" si="996"/>
        <v>9675229.225165613</v>
      </c>
      <c r="S688">
        <f t="shared" si="997"/>
        <v>96.752292251656129</v>
      </c>
      <c r="T688">
        <f t="shared" si="998"/>
        <v>9.675229225165613E-2</v>
      </c>
    </row>
    <row r="689" spans="1:20" x14ac:dyDescent="0.25">
      <c r="A689" s="5">
        <v>43904</v>
      </c>
      <c r="B689">
        <v>4.938E-2</v>
      </c>
      <c r="C689">
        <v>5.2549999999999999E-2</v>
      </c>
      <c r="D689">
        <v>4.6249999999999999E-2</v>
      </c>
      <c r="E689">
        <v>4.9489999999999999E-2</v>
      </c>
      <c r="F689">
        <v>14533016.199999999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2.8571428571428508E-2</v>
      </c>
      <c r="Q689">
        <f t="shared" si="995"/>
        <v>415229.03428571334</v>
      </c>
      <c r="R689">
        <f t="shared" si="996"/>
        <v>16022748.304341808</v>
      </c>
      <c r="S689">
        <f t="shared" si="997"/>
        <v>160.22748304341809</v>
      </c>
      <c r="T689">
        <f t="shared" si="998"/>
        <v>0.16022748304341808</v>
      </c>
    </row>
    <row r="690" spans="1:20" x14ac:dyDescent="0.25">
      <c r="A690" s="5">
        <v>43903</v>
      </c>
      <c r="B690">
        <v>4.2590000000000003E-2</v>
      </c>
      <c r="C690">
        <v>5.7410000000000003E-2</v>
      </c>
      <c r="D690">
        <v>3.2230000000000002E-2</v>
      </c>
      <c r="E690">
        <v>4.9340000000000002E-2</v>
      </c>
      <c r="F690">
        <v>21907223.699999999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0.35901509134233517</v>
      </c>
      <c r="Q690">
        <f t="shared" si="995"/>
        <v>7865023.9177124696</v>
      </c>
      <c r="R690">
        <f t="shared" si="996"/>
        <v>15607519.270056095</v>
      </c>
      <c r="S690">
        <f t="shared" si="997"/>
        <v>156.07519270056096</v>
      </c>
      <c r="T690">
        <f t="shared" si="998"/>
        <v>0.15607519270056097</v>
      </c>
    </row>
    <row r="691" spans="1:20" x14ac:dyDescent="0.25">
      <c r="A691" s="5">
        <v>43902</v>
      </c>
      <c r="B691">
        <v>8.3320000000000005E-2</v>
      </c>
      <c r="C691">
        <v>8.3860000000000004E-2</v>
      </c>
      <c r="D691">
        <v>0.04</v>
      </c>
      <c r="E691">
        <v>4.2619999999999998E-2</v>
      </c>
      <c r="F691">
        <v>20836865.699999999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-0.88052895576835399</v>
      </c>
      <c r="Q691">
        <f t="shared" si="995"/>
        <v>-18347463.596306432</v>
      </c>
      <c r="R691">
        <f t="shared" si="996"/>
        <v>7742495.3523436263</v>
      </c>
      <c r="S691">
        <f t="shared" si="997"/>
        <v>77.424953523436258</v>
      </c>
      <c r="T691">
        <f t="shared" si="998"/>
        <v>7.7424953523436257E-2</v>
      </c>
    </row>
    <row r="692" spans="1:20" x14ac:dyDescent="0.25">
      <c r="A692" s="5">
        <v>43901</v>
      </c>
      <c r="B692">
        <v>8.7900000000000006E-2</v>
      </c>
      <c r="C692">
        <v>9.1219999999999996E-2</v>
      </c>
      <c r="D692">
        <v>7.7549999999999994E-2</v>
      </c>
      <c r="E692">
        <v>8.3000000000000004E-2</v>
      </c>
      <c r="F692">
        <v>8132815.4000000004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-0.20263350402340749</v>
      </c>
      <c r="Q692">
        <f t="shared" si="995"/>
        <v>-1647980.8820775305</v>
      </c>
      <c r="R692">
        <f t="shared" si="996"/>
        <v>26089958.948650058</v>
      </c>
      <c r="S692">
        <f t="shared" si="997"/>
        <v>260.89958948650059</v>
      </c>
      <c r="T692">
        <f t="shared" si="998"/>
        <v>0.2608995894865006</v>
      </c>
    </row>
    <row r="693" spans="1:20" x14ac:dyDescent="0.25">
      <c r="A693" s="5">
        <v>43900</v>
      </c>
      <c r="B693">
        <v>8.7309999999999999E-2</v>
      </c>
      <c r="C693">
        <v>9.264E-2</v>
      </c>
      <c r="D693">
        <v>8.4909999999999999E-2</v>
      </c>
      <c r="E693">
        <v>8.7970000000000007E-2</v>
      </c>
      <c r="F693">
        <v>6803620.4000000004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-0.20827943078913147</v>
      </c>
      <c r="Q693">
        <f t="shared" si="995"/>
        <v>-1417054.1842173231</v>
      </c>
      <c r="R693">
        <f t="shared" si="996"/>
        <v>27737939.830727588</v>
      </c>
      <c r="S693">
        <f t="shared" si="997"/>
        <v>277.37939830727589</v>
      </c>
      <c r="T693">
        <f t="shared" si="998"/>
        <v>0.27737939830727587</v>
      </c>
    </row>
    <row r="694" spans="1:20" x14ac:dyDescent="0.25">
      <c r="A694" s="5">
        <v>43899</v>
      </c>
      <c r="B694">
        <v>8.6569999999999994E-2</v>
      </c>
      <c r="C694">
        <v>9.0399999999999994E-2</v>
      </c>
      <c r="D694">
        <v>8.0019999999999994E-2</v>
      </c>
      <c r="E694">
        <v>8.745E-2</v>
      </c>
      <c r="F694">
        <v>8127643.0999999996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0.43159922928709166</v>
      </c>
      <c r="Q694">
        <f t="shared" si="995"/>
        <v>3507884.4978805482</v>
      </c>
      <c r="R694">
        <f t="shared" si="996"/>
        <v>29154994.014944911</v>
      </c>
      <c r="S694">
        <f t="shared" si="997"/>
        <v>291.54994014944913</v>
      </c>
      <c r="T694">
        <f t="shared" si="998"/>
        <v>0.29154994014944913</v>
      </c>
    </row>
    <row r="695" spans="1:20" x14ac:dyDescent="0.25">
      <c r="A695" s="5">
        <v>43898</v>
      </c>
      <c r="B695">
        <v>0.105</v>
      </c>
      <c r="C695">
        <v>0.10511</v>
      </c>
      <c r="D695">
        <v>8.4989999999999996E-2</v>
      </c>
      <c r="E695">
        <v>8.6809999999999998E-2</v>
      </c>
      <c r="F695">
        <v>8000391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-0.81908548707753459</v>
      </c>
      <c r="Q695">
        <f t="shared" si="995"/>
        <v>-6553004.1590457242</v>
      </c>
      <c r="R695">
        <f t="shared" si="996"/>
        <v>25647109.517064363</v>
      </c>
      <c r="S695">
        <f t="shared" si="997"/>
        <v>256.47109517064365</v>
      </c>
      <c r="T695">
        <f t="shared" si="998"/>
        <v>0.25647109517064365</v>
      </c>
    </row>
    <row r="696" spans="1:20" x14ac:dyDescent="0.25">
      <c r="A696" s="5">
        <v>43897</v>
      </c>
      <c r="B696">
        <v>0.11273</v>
      </c>
      <c r="C696">
        <v>0.11401</v>
      </c>
      <c r="D696">
        <v>0.10306999999999999</v>
      </c>
      <c r="E696">
        <v>0.10512000000000001</v>
      </c>
      <c r="F696">
        <v>5436431.4000000004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-0.62522851919561073</v>
      </c>
      <c r="Q696">
        <f t="shared" si="995"/>
        <v>-3399011.9539305214</v>
      </c>
      <c r="R696">
        <f t="shared" si="996"/>
        <v>32200113.676110089</v>
      </c>
      <c r="S696">
        <f t="shared" si="997"/>
        <v>322.0011367611009</v>
      </c>
      <c r="T696">
        <f t="shared" si="998"/>
        <v>0.32200113676110087</v>
      </c>
    </row>
    <row r="697" spans="1:20" x14ac:dyDescent="0.25">
      <c r="A697" s="5">
        <v>43896</v>
      </c>
      <c r="B697">
        <v>0.11015</v>
      </c>
      <c r="C697">
        <v>0.1143</v>
      </c>
      <c r="D697">
        <v>0.10556</v>
      </c>
      <c r="E697">
        <v>0.11242000000000001</v>
      </c>
      <c r="F697">
        <v>6636658.7000000002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0.56979405034325092</v>
      </c>
      <c r="Q697">
        <f t="shared" si="995"/>
        <v>3781528.6414187741</v>
      </c>
      <c r="R697">
        <f t="shared" si="996"/>
        <v>35599125.630040608</v>
      </c>
      <c r="S697">
        <f t="shared" si="997"/>
        <v>355.99125630040606</v>
      </c>
      <c r="T697">
        <f t="shared" si="998"/>
        <v>0.35599125630040607</v>
      </c>
    </row>
    <row r="698" spans="1:20" x14ac:dyDescent="0.25">
      <c r="A698" s="5">
        <v>43895</v>
      </c>
      <c r="B698">
        <v>0.1056</v>
      </c>
      <c r="C698">
        <v>0.11430999999999999</v>
      </c>
      <c r="D698">
        <v>0.10534</v>
      </c>
      <c r="E698">
        <v>0.11015999999999999</v>
      </c>
      <c r="F698">
        <v>5903954.4000000004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7.4693422519508432E-2</v>
      </c>
      <c r="Q698">
        <f t="shared" si="995"/>
        <v>440986.56053511094</v>
      </c>
      <c r="R698">
        <f t="shared" si="996"/>
        <v>31817596.988621835</v>
      </c>
      <c r="S698">
        <f t="shared" si="997"/>
        <v>318.17596988621835</v>
      </c>
      <c r="T698">
        <f t="shared" si="998"/>
        <v>0.31817596988621838</v>
      </c>
    </row>
    <row r="699" spans="1:20" x14ac:dyDescent="0.25">
      <c r="A699" s="5">
        <v>43894</v>
      </c>
      <c r="B699">
        <v>0.10725999999999999</v>
      </c>
      <c r="C699">
        <v>0.10917</v>
      </c>
      <c r="D699">
        <v>0.10304000000000001</v>
      </c>
      <c r="E699">
        <v>0.10496</v>
      </c>
      <c r="F699">
        <v>6271693.2000000002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-0.37357259380098135</v>
      </c>
      <c r="Q699">
        <f t="shared" si="995"/>
        <v>-2342932.6962479767</v>
      </c>
      <c r="R699">
        <f t="shared" si="996"/>
        <v>31376610.428086724</v>
      </c>
      <c r="S699">
        <f t="shared" si="997"/>
        <v>313.76610428086724</v>
      </c>
      <c r="T699">
        <f t="shared" si="998"/>
        <v>0.31376610428086726</v>
      </c>
    </row>
    <row r="700" spans="1:20" x14ac:dyDescent="0.25">
      <c r="A700" s="5">
        <v>43893</v>
      </c>
      <c r="B700">
        <v>0.10842</v>
      </c>
      <c r="C700">
        <v>0.11260000000000001</v>
      </c>
      <c r="D700">
        <v>0.10460999999999999</v>
      </c>
      <c r="E700">
        <v>0.10725999999999999</v>
      </c>
      <c r="F700">
        <v>6503040.7999999998</v>
      </c>
      <c r="G700">
        <v>0</v>
      </c>
      <c r="L700" t="s">
        <v>7</v>
      </c>
      <c r="M700" t="s">
        <v>8</v>
      </c>
      <c r="N700" t="s">
        <v>7</v>
      </c>
      <c r="P700">
        <f t="shared" si="994"/>
        <v>-0.33667083854818625</v>
      </c>
      <c r="Q700">
        <f t="shared" si="995"/>
        <v>-2189384.1992490678</v>
      </c>
      <c r="R700">
        <f t="shared" si="996"/>
        <v>33719543.1243347</v>
      </c>
      <c r="S700">
        <f t="shared" si="997"/>
        <v>337.195431243347</v>
      </c>
      <c r="T700">
        <f t="shared" si="998"/>
        <v>0.337195431243347</v>
      </c>
    </row>
    <row r="701" spans="1:20" x14ac:dyDescent="0.25">
      <c r="A701" s="5">
        <v>43892</v>
      </c>
      <c r="B701">
        <v>0.10081</v>
      </c>
      <c r="C701">
        <v>0.11260000000000001</v>
      </c>
      <c r="D701">
        <v>9.9989999999999996E-2</v>
      </c>
      <c r="E701">
        <v>0.10868999999999999</v>
      </c>
      <c r="F701">
        <v>8607956.0999999996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0.37985725614591476</v>
      </c>
      <c r="Q701">
        <f t="shared" si="995"/>
        <v>3269794.5851704893</v>
      </c>
      <c r="R701">
        <f t="shared" si="996"/>
        <v>35908927.323583767</v>
      </c>
      <c r="S701">
        <f t="shared" si="997"/>
        <v>359.08927323583765</v>
      </c>
      <c r="T701">
        <f t="shared" si="998"/>
        <v>0.35908927323583767</v>
      </c>
    </row>
    <row r="702" spans="1:20" x14ac:dyDescent="0.25">
      <c r="A702" s="5">
        <v>43891</v>
      </c>
      <c r="B702">
        <v>9.6600000000000005E-2</v>
      </c>
      <c r="C702">
        <v>0.107</v>
      </c>
      <c r="D702">
        <v>9.6149999999999999E-2</v>
      </c>
      <c r="E702">
        <v>0.10094</v>
      </c>
      <c r="F702">
        <v>8036146.2000000002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-0.11705069124423903</v>
      </c>
      <c r="Q702">
        <f t="shared" si="995"/>
        <v>-940636.46764976473</v>
      </c>
      <c r="R702">
        <f t="shared" si="996"/>
        <v>32639132.738413274</v>
      </c>
      <c r="S702">
        <f t="shared" si="997"/>
        <v>326.39132738413275</v>
      </c>
      <c r="T702">
        <f t="shared" si="998"/>
        <v>0.32639132738413273</v>
      </c>
    </row>
    <row r="703" spans="1:20" x14ac:dyDescent="0.25">
      <c r="A703" s="5">
        <v>43890</v>
      </c>
      <c r="B703">
        <v>0.10075000000000001</v>
      </c>
      <c r="C703">
        <v>0.10321</v>
      </c>
      <c r="D703">
        <v>9.5769999999999994E-2</v>
      </c>
      <c r="E703">
        <v>9.5930000000000001E-2</v>
      </c>
      <c r="F703">
        <v>3220907.7</v>
      </c>
      <c r="G703">
        <v>0</v>
      </c>
      <c r="L703" t="s">
        <v>7</v>
      </c>
      <c r="M703" t="s">
        <v>8</v>
      </c>
      <c r="N703" t="s">
        <v>7</v>
      </c>
      <c r="P703">
        <f t="shared" si="994"/>
        <v>-0.956989247311826</v>
      </c>
      <c r="Q703">
        <f t="shared" si="995"/>
        <v>-3082374.0354838646</v>
      </c>
      <c r="R703">
        <f t="shared" si="996"/>
        <v>33579769.20606304</v>
      </c>
      <c r="S703">
        <f t="shared" si="997"/>
        <v>335.79769206063037</v>
      </c>
      <c r="T703">
        <f t="shared" si="998"/>
        <v>0.33579769206063037</v>
      </c>
    </row>
    <row r="704" spans="1:20" x14ac:dyDescent="0.25">
      <c r="A704" s="5">
        <v>43889</v>
      </c>
      <c r="B704">
        <v>0.10124</v>
      </c>
      <c r="C704">
        <v>0.10919</v>
      </c>
      <c r="D704">
        <v>9.3579999999999997E-2</v>
      </c>
      <c r="E704">
        <v>0.10033</v>
      </c>
      <c r="F704">
        <v>8617782.8000000007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-0.13516976297245273</v>
      </c>
      <c r="Q704">
        <f t="shared" si="995"/>
        <v>-1164863.6584240801</v>
      </c>
      <c r="R704">
        <f t="shared" si="996"/>
        <v>36662143.241546907</v>
      </c>
      <c r="S704">
        <f t="shared" si="997"/>
        <v>366.62143241546909</v>
      </c>
      <c r="T704">
        <f t="shared" si="998"/>
        <v>0.36662143241546907</v>
      </c>
    </row>
    <row r="705" spans="1:20" x14ac:dyDescent="0.25">
      <c r="A705" s="5">
        <v>43888</v>
      </c>
      <c r="B705">
        <v>9.6500000000000002E-2</v>
      </c>
      <c r="C705">
        <v>0.10696</v>
      </c>
      <c r="D705">
        <v>8.9039999999999994E-2</v>
      </c>
      <c r="E705">
        <v>0.10124</v>
      </c>
      <c r="F705">
        <v>11138827.699999999</v>
      </c>
      <c r="G705">
        <v>0</v>
      </c>
      <c r="L705" t="s">
        <v>7</v>
      </c>
      <c r="M705" t="s">
        <v>8</v>
      </c>
      <c r="N705" t="s">
        <v>7</v>
      </c>
      <c r="P705">
        <f t="shared" si="994"/>
        <v>0.36160714285714274</v>
      </c>
      <c r="Q705">
        <f t="shared" si="995"/>
        <v>4027879.6593749984</v>
      </c>
      <c r="R705">
        <f t="shared" si="996"/>
        <v>37827006.899970986</v>
      </c>
      <c r="S705">
        <f t="shared" si="997"/>
        <v>378.27006899970985</v>
      </c>
      <c r="T705">
        <f t="shared" si="998"/>
        <v>0.37827006899970983</v>
      </c>
    </row>
    <row r="706" spans="1:20" x14ac:dyDescent="0.25">
      <c r="A706" s="5">
        <v>43887</v>
      </c>
      <c r="B706">
        <v>0.10914</v>
      </c>
      <c r="C706">
        <v>0.11037</v>
      </c>
      <c r="D706">
        <v>9.06E-2</v>
      </c>
      <c r="E706">
        <v>9.6930000000000002E-2</v>
      </c>
      <c r="F706">
        <v>13315704.6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-0.35963581183611498</v>
      </c>
      <c r="Q706">
        <f t="shared" si="995"/>
        <v>-4788804.2339908909</v>
      </c>
      <c r="R706">
        <f t="shared" si="996"/>
        <v>33799127.240595989</v>
      </c>
      <c r="S706">
        <f t="shared" si="997"/>
        <v>337.99127240595988</v>
      </c>
      <c r="T706">
        <f t="shared" si="998"/>
        <v>0.33799127240595989</v>
      </c>
    </row>
    <row r="707" spans="1:20" x14ac:dyDescent="0.25">
      <c r="A707" s="5">
        <v>43886</v>
      </c>
      <c r="B707">
        <v>0.12218</v>
      </c>
      <c r="C707">
        <v>0.12675</v>
      </c>
      <c r="D707">
        <v>0.10909000000000001</v>
      </c>
      <c r="E707">
        <v>0.10971</v>
      </c>
      <c r="F707">
        <v>9410841.6999999993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-0.92978482446206168</v>
      </c>
      <c r="Q707">
        <f t="shared" si="995"/>
        <v>-8750057.7980747502</v>
      </c>
      <c r="R707">
        <f t="shared" si="996"/>
        <v>38587931.474586882</v>
      </c>
      <c r="S707">
        <f t="shared" si="997"/>
        <v>385.87931474586884</v>
      </c>
      <c r="T707">
        <f t="shared" si="998"/>
        <v>0.38587931474586884</v>
      </c>
    </row>
    <row r="708" spans="1:20" x14ac:dyDescent="0.25">
      <c r="A708" s="5">
        <v>43885</v>
      </c>
      <c r="B708">
        <v>0.13100000000000001</v>
      </c>
      <c r="C708">
        <v>0.13300000000000001</v>
      </c>
      <c r="D708">
        <v>0.11513</v>
      </c>
      <c r="E708">
        <v>0.12218999999999999</v>
      </c>
      <c r="F708">
        <v>6308222.2000000002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-0.20984890878567514</v>
      </c>
      <c r="Q708">
        <f t="shared" si="995"/>
        <v>-1323773.545047571</v>
      </c>
      <c r="R708">
        <f t="shared" si="996"/>
        <v>47337989.272661634</v>
      </c>
      <c r="S708">
        <f t="shared" si="997"/>
        <v>473.37989272661633</v>
      </c>
      <c r="T708">
        <f t="shared" si="998"/>
        <v>0.47337989272661635</v>
      </c>
    </row>
    <row r="709" spans="1:20" x14ac:dyDescent="0.25">
      <c r="A709" s="5">
        <v>43884</v>
      </c>
      <c r="B709">
        <v>0.12441000000000001</v>
      </c>
      <c r="C709">
        <v>0.13389000000000001</v>
      </c>
      <c r="D709">
        <v>0.12416000000000001</v>
      </c>
      <c r="E709">
        <v>0.13120000000000001</v>
      </c>
      <c r="F709">
        <v>7060081.2000000002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0.44707091469681454</v>
      </c>
      <c r="Q709">
        <f t="shared" si="995"/>
        <v>3156356.9599177842</v>
      </c>
      <c r="R709">
        <f t="shared" si="996"/>
        <v>48661762.817709208</v>
      </c>
      <c r="S709">
        <f t="shared" si="997"/>
        <v>486.61762817709206</v>
      </c>
      <c r="T709">
        <f t="shared" si="998"/>
        <v>0.48661762817709203</v>
      </c>
    </row>
    <row r="710" spans="1:20" x14ac:dyDescent="0.25">
      <c r="A710" s="5">
        <v>43883</v>
      </c>
      <c r="B710">
        <v>0.12778999999999999</v>
      </c>
      <c r="C710">
        <v>0.12826000000000001</v>
      </c>
      <c r="D710">
        <v>0.12141</v>
      </c>
      <c r="E710">
        <v>0.12428</v>
      </c>
      <c r="F710">
        <v>4953259.7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-0.16204379562043975</v>
      </c>
      <c r="Q710">
        <f t="shared" ref="Q710:Q766" si="1000">F710*P710</f>
        <v>-802645.00248176069</v>
      </c>
      <c r="R710">
        <f t="shared" ref="R710:R766" si="1001">R711+Q710</f>
        <v>45505405.857791424</v>
      </c>
      <c r="S710">
        <f t="shared" ref="S710:S766" si="1002">R710/100000</f>
        <v>455.05405857791425</v>
      </c>
      <c r="T710">
        <f t="shared" ref="T710:T766" si="1003">S710/1000</f>
        <v>0.45505405857791426</v>
      </c>
    </row>
    <row r="711" spans="1:20" x14ac:dyDescent="0.25">
      <c r="A711" s="5">
        <v>43882</v>
      </c>
      <c r="B711">
        <v>0.1321</v>
      </c>
      <c r="C711">
        <v>0.13691999999999999</v>
      </c>
      <c r="D711">
        <v>0.12525</v>
      </c>
      <c r="E711">
        <v>0.1278</v>
      </c>
      <c r="F711">
        <v>8287536.2999999998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-0.56298200514138819</v>
      </c>
      <c r="Q711">
        <f t="shared" si="1000"/>
        <v>-4665733.8038560413</v>
      </c>
      <c r="R711">
        <f t="shared" si="1001"/>
        <v>46308050.860273182</v>
      </c>
      <c r="S711">
        <f t="shared" si="1002"/>
        <v>463.08050860273181</v>
      </c>
      <c r="T711">
        <f t="shared" si="1003"/>
        <v>0.46308050860273181</v>
      </c>
    </row>
    <row r="712" spans="1:20" x14ac:dyDescent="0.25">
      <c r="A712" s="5">
        <v>43881</v>
      </c>
      <c r="B712">
        <v>0.13538</v>
      </c>
      <c r="C712">
        <v>0.14132</v>
      </c>
      <c r="D712">
        <v>0.12565000000000001</v>
      </c>
      <c r="E712">
        <v>0.1321</v>
      </c>
      <c r="F712">
        <v>11657848.5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-0.17677089980855293</v>
      </c>
      <c r="Q712">
        <f t="shared" si="1000"/>
        <v>-2060768.369176789</v>
      </c>
      <c r="R712">
        <f t="shared" si="1001"/>
        <v>50973784.664129227</v>
      </c>
      <c r="S712">
        <f t="shared" si="1002"/>
        <v>509.73784664129226</v>
      </c>
      <c r="T712">
        <f t="shared" si="1003"/>
        <v>0.50973784664129229</v>
      </c>
    </row>
    <row r="713" spans="1:20" x14ac:dyDescent="0.25">
      <c r="A713" s="5">
        <v>43880</v>
      </c>
      <c r="B713">
        <v>0.1404</v>
      </c>
      <c r="C713">
        <v>0.16599</v>
      </c>
      <c r="D713">
        <v>0.13131999999999999</v>
      </c>
      <c r="E713">
        <v>0.13558000000000001</v>
      </c>
      <c r="F713">
        <v>31378280.199999999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-0.75425439861551702</v>
      </c>
      <c r="Q713">
        <f t="shared" si="1000"/>
        <v>-23667205.861840185</v>
      </c>
      <c r="R713">
        <f t="shared" si="1001"/>
        <v>53034553.033306018</v>
      </c>
      <c r="S713">
        <f t="shared" si="1002"/>
        <v>530.3455303330602</v>
      </c>
      <c r="T713">
        <f t="shared" si="1003"/>
        <v>0.5303455303330602</v>
      </c>
    </row>
    <row r="714" spans="1:20" x14ac:dyDescent="0.25">
      <c r="A714" s="5">
        <v>43879</v>
      </c>
      <c r="B714">
        <v>0.13694999999999999</v>
      </c>
      <c r="C714">
        <v>0.14631</v>
      </c>
      <c r="D714">
        <v>0.13020000000000001</v>
      </c>
      <c r="E714">
        <v>0.13991999999999999</v>
      </c>
      <c r="F714">
        <v>31808386.699999999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0.20670391061452359</v>
      </c>
      <c r="Q714">
        <f t="shared" si="1000"/>
        <v>6574917.9212290011</v>
      </c>
      <c r="R714">
        <f t="shared" si="1001"/>
        <v>76701758.895146206</v>
      </c>
      <c r="S714">
        <f t="shared" si="1002"/>
        <v>767.01758895146202</v>
      </c>
      <c r="T714">
        <f t="shared" si="1003"/>
        <v>0.76701758895146199</v>
      </c>
    </row>
    <row r="715" spans="1:20" x14ac:dyDescent="0.25">
      <c r="A715" s="5">
        <v>43878</v>
      </c>
      <c r="B715">
        <v>0.12343</v>
      </c>
      <c r="C715">
        <v>0.15789</v>
      </c>
      <c r="D715">
        <v>0.10942</v>
      </c>
      <c r="E715">
        <v>0.13694000000000001</v>
      </c>
      <c r="F715">
        <v>26662441.699999999</v>
      </c>
      <c r="G715">
        <v>0</v>
      </c>
      <c r="L715" t="s">
        <v>8</v>
      </c>
      <c r="M715" t="s">
        <v>8</v>
      </c>
      <c r="N715" t="s">
        <v>8</v>
      </c>
      <c r="P715">
        <f t="shared" si="999"/>
        <v>0.1355477615019601</v>
      </c>
      <c r="Q715">
        <f t="shared" si="1000"/>
        <v>3614034.2886115154</v>
      </c>
      <c r="R715">
        <f t="shared" si="1001"/>
        <v>70126840.973917201</v>
      </c>
      <c r="S715">
        <f t="shared" si="1002"/>
        <v>701.26840973917206</v>
      </c>
      <c r="T715">
        <f t="shared" si="1003"/>
        <v>0.70126840973917204</v>
      </c>
    </row>
    <row r="716" spans="1:20" x14ac:dyDescent="0.25">
      <c r="A716" s="5">
        <v>43877</v>
      </c>
      <c r="B716">
        <v>0.13231999999999999</v>
      </c>
      <c r="C716">
        <v>0.13678000000000001</v>
      </c>
      <c r="D716">
        <v>0.10988000000000001</v>
      </c>
      <c r="E716">
        <v>0.12425</v>
      </c>
      <c r="F716">
        <v>14951817.199999999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6.8401486988846835E-2</v>
      </c>
      <c r="Q716">
        <f t="shared" si="1000"/>
        <v>1022726.5296654162</v>
      </c>
      <c r="R716">
        <f t="shared" si="1001"/>
        <v>66512806.685305685</v>
      </c>
      <c r="S716">
        <f t="shared" si="1002"/>
        <v>665.12806685305679</v>
      </c>
      <c r="T716">
        <f t="shared" si="1003"/>
        <v>0.66512806685305681</v>
      </c>
    </row>
    <row r="717" spans="1:20" x14ac:dyDescent="0.25">
      <c r="A717" s="5">
        <v>43876</v>
      </c>
      <c r="B717">
        <v>0.14399999999999999</v>
      </c>
      <c r="C717">
        <v>0.15373999999999999</v>
      </c>
      <c r="D717">
        <v>0.13055</v>
      </c>
      <c r="E717">
        <v>0.13284000000000001</v>
      </c>
      <c r="F717">
        <v>12657681.4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-0.80250107805088267</v>
      </c>
      <c r="Q717">
        <f t="shared" si="1000"/>
        <v>-10157802.969124606</v>
      </c>
      <c r="R717">
        <f t="shared" si="1001"/>
        <v>65490080.155640267</v>
      </c>
      <c r="S717">
        <f t="shared" si="1002"/>
        <v>654.90080155640271</v>
      </c>
      <c r="T717">
        <f t="shared" si="1003"/>
        <v>0.65490080155640273</v>
      </c>
    </row>
    <row r="718" spans="1:20" x14ac:dyDescent="0.25">
      <c r="A718" s="5">
        <v>43875</v>
      </c>
      <c r="B718">
        <v>0.13586000000000001</v>
      </c>
      <c r="C718">
        <v>0.14499000000000001</v>
      </c>
      <c r="D718">
        <v>0.13422999999999999</v>
      </c>
      <c r="E718">
        <v>0.14399999999999999</v>
      </c>
      <c r="F718">
        <v>7413723.9000000004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0.81598513011152107</v>
      </c>
      <c r="Q718">
        <f t="shared" si="1000"/>
        <v>6049488.4611523934</v>
      </c>
      <c r="R718">
        <f t="shared" si="1001"/>
        <v>75647883.124764875</v>
      </c>
      <c r="S718">
        <f t="shared" si="1002"/>
        <v>756.47883124764871</v>
      </c>
      <c r="T718">
        <f t="shared" si="1003"/>
        <v>0.7564788312476487</v>
      </c>
    </row>
    <row r="719" spans="1:20" x14ac:dyDescent="0.25">
      <c r="A719" s="5">
        <v>43874</v>
      </c>
      <c r="B719">
        <v>0.14157</v>
      </c>
      <c r="C719">
        <v>0.14326</v>
      </c>
      <c r="D719">
        <v>0.1313</v>
      </c>
      <c r="E719">
        <v>0.13586000000000001</v>
      </c>
      <c r="F719">
        <v>10052945.199999999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-0.23745819397993159</v>
      </c>
      <c r="Q719">
        <f t="shared" si="1000"/>
        <v>-2387154.211371222</v>
      </c>
      <c r="R719">
        <f t="shared" si="1001"/>
        <v>69598394.663612485</v>
      </c>
      <c r="S719">
        <f t="shared" si="1002"/>
        <v>695.98394663612487</v>
      </c>
      <c r="T719">
        <f t="shared" si="1003"/>
        <v>0.69598394663612484</v>
      </c>
    </row>
    <row r="720" spans="1:20" x14ac:dyDescent="0.25">
      <c r="A720" s="5">
        <v>43873</v>
      </c>
      <c r="B720">
        <v>0.13872999999999999</v>
      </c>
      <c r="C720">
        <v>0.14898</v>
      </c>
      <c r="D720">
        <v>0.13819999999999999</v>
      </c>
      <c r="E720">
        <v>0.14127000000000001</v>
      </c>
      <c r="F720">
        <v>12461822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-0.43042671614099931</v>
      </c>
      <c r="Q720">
        <f t="shared" si="1000"/>
        <v>-5363901.1205936605</v>
      </c>
      <c r="R720">
        <f t="shared" si="1001"/>
        <v>71985548.874983713</v>
      </c>
      <c r="S720">
        <f t="shared" si="1002"/>
        <v>719.85548874983715</v>
      </c>
      <c r="T720">
        <f t="shared" si="1003"/>
        <v>0.71985548874983718</v>
      </c>
    </row>
    <row r="721" spans="1:20" x14ac:dyDescent="0.25">
      <c r="A721" s="5">
        <v>43872</v>
      </c>
      <c r="B721">
        <v>0.14074999999999999</v>
      </c>
      <c r="C721">
        <v>0.14099999999999999</v>
      </c>
      <c r="D721">
        <v>0.13345000000000001</v>
      </c>
      <c r="E721">
        <v>0.13850999999999999</v>
      </c>
      <c r="F721">
        <v>8311954</v>
      </c>
      <c r="G721">
        <v>0</v>
      </c>
      <c r="L721" t="s">
        <v>8</v>
      </c>
      <c r="M721" t="s">
        <v>7</v>
      </c>
      <c r="N721" t="s">
        <v>8</v>
      </c>
      <c r="P721">
        <f t="shared" si="999"/>
        <v>0.3403973509933772</v>
      </c>
      <c r="Q721">
        <f t="shared" si="1000"/>
        <v>2829367.1231788057</v>
      </c>
      <c r="R721">
        <f t="shared" si="1001"/>
        <v>77349449.99557738</v>
      </c>
      <c r="S721">
        <f t="shared" si="1002"/>
        <v>773.49449995577379</v>
      </c>
      <c r="T721">
        <f t="shared" si="1003"/>
        <v>0.7734944999557738</v>
      </c>
    </row>
    <row r="722" spans="1:20" x14ac:dyDescent="0.25">
      <c r="A722" s="5">
        <v>43871</v>
      </c>
      <c r="B722">
        <v>0.13394</v>
      </c>
      <c r="C722">
        <v>0.14199999999999999</v>
      </c>
      <c r="D722">
        <v>0.12676999999999999</v>
      </c>
      <c r="E722">
        <v>0.14051</v>
      </c>
      <c r="F722">
        <v>10282585.5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0.80433355219960712</v>
      </c>
      <c r="Q722">
        <f t="shared" si="1000"/>
        <v>8270628.5210111728</v>
      </c>
      <c r="R722">
        <f t="shared" si="1001"/>
        <v>74520082.87239857</v>
      </c>
      <c r="S722">
        <f t="shared" si="1002"/>
        <v>745.20082872398575</v>
      </c>
      <c r="T722">
        <f t="shared" si="1003"/>
        <v>0.74520082872398574</v>
      </c>
    </row>
    <row r="723" spans="1:20" x14ac:dyDescent="0.25">
      <c r="A723" s="5">
        <v>43870</v>
      </c>
      <c r="B723">
        <v>0.12809000000000001</v>
      </c>
      <c r="C723">
        <v>0.14199999999999999</v>
      </c>
      <c r="D723">
        <v>0.11907</v>
      </c>
      <c r="E723">
        <v>0.13361999999999999</v>
      </c>
      <c r="F723">
        <v>14756341.800000001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0.269079808111644</v>
      </c>
      <c r="Q723">
        <f t="shared" si="1000"/>
        <v>3970633.6199738318</v>
      </c>
      <c r="R723">
        <f t="shared" si="1001"/>
        <v>66249454.351387404</v>
      </c>
      <c r="S723">
        <f t="shared" si="1002"/>
        <v>662.49454351387408</v>
      </c>
      <c r="T723">
        <f t="shared" si="1003"/>
        <v>0.66249454351387405</v>
      </c>
    </row>
    <row r="724" spans="1:20" x14ac:dyDescent="0.25">
      <c r="A724" s="5">
        <v>43869</v>
      </c>
      <c r="B724">
        <v>0.13094</v>
      </c>
      <c r="C724">
        <v>0.13900000000000001</v>
      </c>
      <c r="D724">
        <v>0.12</v>
      </c>
      <c r="E724">
        <v>0.1283</v>
      </c>
      <c r="F724">
        <v>10849369.699999999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-0.1263157894736848</v>
      </c>
      <c r="Q724">
        <f t="shared" si="1000"/>
        <v>-1370446.6989473747</v>
      </c>
      <c r="R724">
        <f t="shared" si="1001"/>
        <v>62278820.731413573</v>
      </c>
      <c r="S724">
        <f t="shared" si="1002"/>
        <v>622.78820731413578</v>
      </c>
      <c r="T724">
        <f t="shared" si="1003"/>
        <v>0.62278820731413576</v>
      </c>
    </row>
    <row r="725" spans="1:20" x14ac:dyDescent="0.25">
      <c r="A725" s="5">
        <v>43868</v>
      </c>
      <c r="B725">
        <v>0.13730000000000001</v>
      </c>
      <c r="C725">
        <v>0.14238999999999999</v>
      </c>
      <c r="D725">
        <v>0.12579000000000001</v>
      </c>
      <c r="E725">
        <v>0.13106000000000001</v>
      </c>
      <c r="F725">
        <v>10578604.6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-0.36506024096385487</v>
      </c>
      <c r="Q725">
        <f t="shared" si="1000"/>
        <v>-3861827.9443373433</v>
      </c>
      <c r="R725">
        <f t="shared" si="1001"/>
        <v>63649267.430360951</v>
      </c>
      <c r="S725">
        <f t="shared" si="1002"/>
        <v>636.49267430360953</v>
      </c>
      <c r="T725">
        <f t="shared" si="1003"/>
        <v>0.63649267430360956</v>
      </c>
    </row>
    <row r="726" spans="1:20" x14ac:dyDescent="0.25">
      <c r="A726" s="5">
        <v>43867</v>
      </c>
      <c r="B726">
        <v>0.13421</v>
      </c>
      <c r="C726">
        <v>0.14080000000000001</v>
      </c>
      <c r="D726">
        <v>0.12787000000000001</v>
      </c>
      <c r="E726">
        <v>0.13725999999999999</v>
      </c>
      <c r="F726">
        <v>15709771.199999999</v>
      </c>
      <c r="G726">
        <v>0</v>
      </c>
      <c r="L726" t="s">
        <v>7</v>
      </c>
      <c r="M726" t="s">
        <v>7</v>
      </c>
      <c r="N726" t="s">
        <v>8</v>
      </c>
      <c r="P726">
        <f t="shared" si="999"/>
        <v>0.45243619489558917</v>
      </c>
      <c r="Q726">
        <f t="shared" si="1000"/>
        <v>7107669.1044083135</v>
      </c>
      <c r="R726">
        <f t="shared" si="1001"/>
        <v>67511095.374698296</v>
      </c>
      <c r="S726">
        <f t="shared" si="1002"/>
        <v>675.110953746983</v>
      </c>
      <c r="T726">
        <f t="shared" si="1003"/>
        <v>0.67511095374698304</v>
      </c>
    </row>
    <row r="727" spans="1:20" x14ac:dyDescent="0.25">
      <c r="A727" s="5">
        <v>43866</v>
      </c>
      <c r="B727">
        <v>0.14682999999999999</v>
      </c>
      <c r="C727">
        <v>0.1535</v>
      </c>
      <c r="D727">
        <v>0.12157</v>
      </c>
      <c r="E727">
        <v>0.13421</v>
      </c>
      <c r="F727">
        <v>31606307.399999999</v>
      </c>
      <c r="G727">
        <v>0</v>
      </c>
      <c r="L727" t="s">
        <v>8</v>
      </c>
      <c r="M727" t="s">
        <v>7</v>
      </c>
      <c r="N727" t="s">
        <v>8</v>
      </c>
      <c r="P727">
        <f t="shared" si="999"/>
        <v>-0.20826808643908559</v>
      </c>
      <c r="Q727">
        <f t="shared" si="1000"/>
        <v>-6582585.1616035104</v>
      </c>
      <c r="R727">
        <f t="shared" si="1001"/>
        <v>60403426.270289987</v>
      </c>
      <c r="S727">
        <f t="shared" si="1002"/>
        <v>604.03426270289992</v>
      </c>
      <c r="T727">
        <f t="shared" si="1003"/>
        <v>0.60403426270289995</v>
      </c>
    </row>
    <row r="728" spans="1:20" x14ac:dyDescent="0.25">
      <c r="A728" s="5">
        <v>43865</v>
      </c>
      <c r="B728">
        <v>0.11572</v>
      </c>
      <c r="C728">
        <v>0.152</v>
      </c>
      <c r="D728">
        <v>0.11315</v>
      </c>
      <c r="E728">
        <v>0.1469</v>
      </c>
      <c r="F728">
        <v>45344668.200000003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0.73745173745173775</v>
      </c>
      <c r="Q728">
        <f t="shared" si="1000"/>
        <v>33439504.348262563</v>
      </c>
      <c r="R728">
        <f t="shared" si="1001"/>
        <v>66986011.431893498</v>
      </c>
      <c r="S728">
        <f t="shared" si="1002"/>
        <v>669.86011431893496</v>
      </c>
      <c r="T728">
        <f t="shared" si="1003"/>
        <v>0.669860114318935</v>
      </c>
    </row>
    <row r="729" spans="1:20" x14ac:dyDescent="0.25">
      <c r="A729" s="5">
        <v>43864</v>
      </c>
      <c r="B729">
        <v>0.1123</v>
      </c>
      <c r="C729">
        <v>0.11798</v>
      </c>
      <c r="D729">
        <v>0.10766000000000001</v>
      </c>
      <c r="E729">
        <v>0.11619</v>
      </c>
      <c r="F729">
        <v>9841833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0.65310077519379828</v>
      </c>
      <c r="Q729">
        <f t="shared" si="1000"/>
        <v>6427708.7616279051</v>
      </c>
      <c r="R729">
        <f t="shared" si="1001"/>
        <v>33546507.083630931</v>
      </c>
      <c r="S729">
        <f t="shared" si="1002"/>
        <v>335.46507083630928</v>
      </c>
      <c r="T729">
        <f t="shared" si="1003"/>
        <v>0.33546507083630928</v>
      </c>
    </row>
    <row r="730" spans="1:20" x14ac:dyDescent="0.25">
      <c r="A730" s="5">
        <v>43863</v>
      </c>
      <c r="B730">
        <v>0.10481</v>
      </c>
      <c r="C730">
        <v>0.11583</v>
      </c>
      <c r="D730">
        <v>9.801E-2</v>
      </c>
      <c r="E730">
        <v>0.1123</v>
      </c>
      <c r="F730">
        <v>11098870.5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0.60381593714926995</v>
      </c>
      <c r="Q730">
        <f t="shared" si="1000"/>
        <v>6701674.8922558865</v>
      </c>
      <c r="R730">
        <f t="shared" si="1001"/>
        <v>27118798.322003026</v>
      </c>
      <c r="S730">
        <f t="shared" si="1002"/>
        <v>271.18798322003028</v>
      </c>
      <c r="T730">
        <f t="shared" si="1003"/>
        <v>0.27118798322003029</v>
      </c>
    </row>
    <row r="731" spans="1:20" x14ac:dyDescent="0.25">
      <c r="A731" s="5">
        <v>43862</v>
      </c>
      <c r="B731">
        <v>9.5979999999999996E-2</v>
      </c>
      <c r="C731">
        <v>0.1089</v>
      </c>
      <c r="D731">
        <v>9.5210000000000003E-2</v>
      </c>
      <c r="E731">
        <v>0.10476000000000001</v>
      </c>
      <c r="F731">
        <v>7649628.4000000004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0.39517896274653136</v>
      </c>
      <c r="Q731">
        <f t="shared" si="1000"/>
        <v>3022972.2165084085</v>
      </c>
      <c r="R731">
        <f t="shared" si="1001"/>
        <v>20417123.429747138</v>
      </c>
      <c r="S731">
        <f t="shared" si="1002"/>
        <v>204.17123429747139</v>
      </c>
      <c r="T731">
        <f t="shared" si="1003"/>
        <v>0.20417123429747139</v>
      </c>
    </row>
    <row r="732" spans="1:20" x14ac:dyDescent="0.25">
      <c r="A732" s="5">
        <v>43861</v>
      </c>
      <c r="B732">
        <v>0.10059999999999999</v>
      </c>
      <c r="C732">
        <v>0.10306999999999999</v>
      </c>
      <c r="D732">
        <v>9.3530000000000002E-2</v>
      </c>
      <c r="E732">
        <v>9.5310000000000006E-2</v>
      </c>
      <c r="F732">
        <v>7000483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-0.62683438155136162</v>
      </c>
      <c r="Q732">
        <f t="shared" si="1000"/>
        <v>-4388143.4318658207</v>
      </c>
      <c r="R732">
        <f t="shared" si="1001"/>
        <v>17394151.213238731</v>
      </c>
      <c r="S732">
        <f t="shared" si="1002"/>
        <v>173.94151213238732</v>
      </c>
      <c r="T732">
        <f t="shared" si="1003"/>
        <v>0.17394151213238732</v>
      </c>
    </row>
    <row r="733" spans="1:20" x14ac:dyDescent="0.25">
      <c r="A733" s="5">
        <v>43860</v>
      </c>
      <c r="B733">
        <v>8.9800000000000005E-2</v>
      </c>
      <c r="C733">
        <v>0.10150000000000001</v>
      </c>
      <c r="D733">
        <v>8.8459999999999997E-2</v>
      </c>
      <c r="E733">
        <v>0.10059999999999999</v>
      </c>
      <c r="F733">
        <v>9956818.9000000004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0.86196319018404732</v>
      </c>
      <c r="Q733">
        <f t="shared" si="1000"/>
        <v>8582411.3831288163</v>
      </c>
      <c r="R733">
        <f t="shared" si="1001"/>
        <v>21782294.64510455</v>
      </c>
      <c r="S733">
        <f t="shared" si="1002"/>
        <v>217.82294645104551</v>
      </c>
      <c r="T733">
        <f t="shared" si="1003"/>
        <v>0.21782294645104552</v>
      </c>
    </row>
    <row r="734" spans="1:20" x14ac:dyDescent="0.25">
      <c r="A734" s="5">
        <v>43859</v>
      </c>
      <c r="B734">
        <v>8.8230000000000003E-2</v>
      </c>
      <c r="C734">
        <v>9.1999999999999998E-2</v>
      </c>
      <c r="D734">
        <v>8.7559999999999999E-2</v>
      </c>
      <c r="E734">
        <v>8.9779999999999999E-2</v>
      </c>
      <c r="F734">
        <v>4762618.5999999996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0</v>
      </c>
      <c r="Q734">
        <f t="shared" si="1000"/>
        <v>0</v>
      </c>
      <c r="R734">
        <f t="shared" si="1001"/>
        <v>13199883.261975735</v>
      </c>
      <c r="S734">
        <f t="shared" si="1002"/>
        <v>131.99883261975737</v>
      </c>
      <c r="T734">
        <f t="shared" si="1003"/>
        <v>0.13199883261975737</v>
      </c>
    </row>
    <row r="735" spans="1:20" x14ac:dyDescent="0.25">
      <c r="A735" s="5">
        <v>43858</v>
      </c>
      <c r="B735">
        <v>9.0249999999999997E-2</v>
      </c>
      <c r="C735">
        <v>9.0649999999999994E-2</v>
      </c>
      <c r="D735">
        <v>8.6449999999999999E-2</v>
      </c>
      <c r="E735">
        <v>8.8109999999999994E-2</v>
      </c>
      <c r="F735">
        <v>6109868</v>
      </c>
      <c r="G735">
        <v>0</v>
      </c>
      <c r="L735" t="s">
        <v>8</v>
      </c>
      <c r="M735" t="s">
        <v>8</v>
      </c>
      <c r="N735" t="s">
        <v>7</v>
      </c>
      <c r="P735">
        <f t="shared" si="999"/>
        <v>-0.20952380952381114</v>
      </c>
      <c r="Q735">
        <f t="shared" si="1000"/>
        <v>-1280162.8190476289</v>
      </c>
      <c r="R735">
        <f t="shared" si="1001"/>
        <v>13199883.261975735</v>
      </c>
      <c r="S735">
        <f t="shared" si="1002"/>
        <v>131.99883261975737</v>
      </c>
      <c r="T735">
        <f t="shared" si="1003"/>
        <v>0.13199883261975737</v>
      </c>
    </row>
    <row r="736" spans="1:20" x14ac:dyDescent="0.25">
      <c r="A736" s="5">
        <v>43857</v>
      </c>
      <c r="B736">
        <v>8.7410000000000002E-2</v>
      </c>
      <c r="C736">
        <v>9.0660000000000004E-2</v>
      </c>
      <c r="D736">
        <v>8.6480000000000001E-2</v>
      </c>
      <c r="E736">
        <v>9.0260000000000007E-2</v>
      </c>
      <c r="F736">
        <v>5293086.2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0.80861244019138889</v>
      </c>
      <c r="Q736">
        <f t="shared" si="1000"/>
        <v>4280055.3483253662</v>
      </c>
      <c r="R736">
        <f t="shared" si="1001"/>
        <v>14480046.081023365</v>
      </c>
      <c r="S736">
        <f t="shared" si="1002"/>
        <v>144.80046081023366</v>
      </c>
      <c r="T736">
        <f t="shared" si="1003"/>
        <v>0.14480046081023365</v>
      </c>
    </row>
    <row r="737" spans="1:20" x14ac:dyDescent="0.25">
      <c r="A737" s="5">
        <v>43856</v>
      </c>
      <c r="B737">
        <v>8.7999999999999995E-2</v>
      </c>
      <c r="C737">
        <v>9.1810000000000003E-2</v>
      </c>
      <c r="D737">
        <v>8.6029999999999995E-2</v>
      </c>
      <c r="E737">
        <v>8.7410000000000002E-2</v>
      </c>
      <c r="F737">
        <v>5765657.7000000002</v>
      </c>
      <c r="G737">
        <v>0</v>
      </c>
      <c r="L737" t="s">
        <v>8</v>
      </c>
      <c r="M737" t="s">
        <v>8</v>
      </c>
      <c r="N737" t="s">
        <v>7</v>
      </c>
      <c r="P737">
        <f t="shared" si="999"/>
        <v>-0.52249134948096732</v>
      </c>
      <c r="Q737">
        <f t="shared" si="1000"/>
        <v>-3012506.2723183301</v>
      </c>
      <c r="R737">
        <f t="shared" si="1001"/>
        <v>10199990.732697999</v>
      </c>
      <c r="S737">
        <f t="shared" si="1002"/>
        <v>101.99990732697999</v>
      </c>
      <c r="T737">
        <f t="shared" si="1003"/>
        <v>0.10199990732698</v>
      </c>
    </row>
    <row r="738" spans="1:20" x14ac:dyDescent="0.25">
      <c r="A738" s="5">
        <v>43855</v>
      </c>
      <c r="B738">
        <v>8.5099999999999995E-2</v>
      </c>
      <c r="C738">
        <v>8.8489999999999999E-2</v>
      </c>
      <c r="D738">
        <v>8.2659999999999997E-2</v>
      </c>
      <c r="E738">
        <v>8.8200000000000001E-2</v>
      </c>
      <c r="F738">
        <v>5201092.9000000004</v>
      </c>
      <c r="G738">
        <v>0</v>
      </c>
      <c r="L738" t="s">
        <v>8</v>
      </c>
      <c r="M738" t="s">
        <v>8</v>
      </c>
      <c r="N738" t="s">
        <v>7</v>
      </c>
      <c r="P738">
        <f t="shared" si="999"/>
        <v>0.90051457975986327</v>
      </c>
      <c r="Q738">
        <f t="shared" si="1000"/>
        <v>4683659.987135509</v>
      </c>
      <c r="R738">
        <f t="shared" si="1001"/>
        <v>13212497.005016329</v>
      </c>
      <c r="S738">
        <f t="shared" si="1002"/>
        <v>132.12497005016328</v>
      </c>
      <c r="T738">
        <f t="shared" si="1003"/>
        <v>0.13212497005016327</v>
      </c>
    </row>
    <row r="739" spans="1:20" x14ac:dyDescent="0.25">
      <c r="A739" s="5">
        <v>43854</v>
      </c>
      <c r="B739">
        <v>8.6709999999999995E-2</v>
      </c>
      <c r="C739">
        <v>9.1490000000000002E-2</v>
      </c>
      <c r="D739">
        <v>8.2199999999999995E-2</v>
      </c>
      <c r="E739">
        <v>8.5150000000000003E-2</v>
      </c>
      <c r="F739">
        <v>16081540.199999999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-0.36490850376749062</v>
      </c>
      <c r="Q739">
        <f t="shared" si="1000"/>
        <v>-5868290.7726587513</v>
      </c>
      <c r="R739">
        <f t="shared" si="1001"/>
        <v>8528837.0178808197</v>
      </c>
      <c r="S739">
        <f t="shared" si="1002"/>
        <v>85.288370178808194</v>
      </c>
      <c r="T739">
        <f t="shared" si="1003"/>
        <v>8.5288370178808193E-2</v>
      </c>
    </row>
    <row r="740" spans="1:20" x14ac:dyDescent="0.25">
      <c r="A740" s="5">
        <v>43853</v>
      </c>
      <c r="B740">
        <v>7.8189999999999996E-2</v>
      </c>
      <c r="C740">
        <v>9.2490000000000003E-2</v>
      </c>
      <c r="D740">
        <v>7.714E-2</v>
      </c>
      <c r="E740">
        <v>8.6559999999999998E-2</v>
      </c>
      <c r="F740">
        <v>35786353.799999997</v>
      </c>
      <c r="G740">
        <v>0</v>
      </c>
      <c r="L740" t="s">
        <v>8</v>
      </c>
      <c r="M740" t="s">
        <v>8</v>
      </c>
      <c r="N740" t="s">
        <v>7</v>
      </c>
      <c r="P740">
        <f t="shared" si="999"/>
        <v>0.22736156351791481</v>
      </c>
      <c r="Q740">
        <f t="shared" si="1000"/>
        <v>8136441.3525732718</v>
      </c>
      <c r="R740">
        <f t="shared" si="1001"/>
        <v>14397127.790539572</v>
      </c>
      <c r="S740">
        <f t="shared" si="1002"/>
        <v>143.97127790539571</v>
      </c>
      <c r="T740">
        <f t="shared" si="1003"/>
        <v>0.14397127790539571</v>
      </c>
    </row>
    <row r="741" spans="1:20" x14ac:dyDescent="0.25">
      <c r="A741" s="5">
        <v>43852</v>
      </c>
      <c r="B741">
        <v>7.6590000000000005E-2</v>
      </c>
      <c r="C741">
        <v>7.8170000000000003E-2</v>
      </c>
      <c r="D741">
        <v>7.5310000000000002E-2</v>
      </c>
      <c r="E741">
        <v>7.8149999999999997E-2</v>
      </c>
      <c r="F741">
        <v>2217474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0.98601398601398171</v>
      </c>
      <c r="Q741">
        <f t="shared" si="1000"/>
        <v>2186460.3776223683</v>
      </c>
      <c r="R741">
        <f t="shared" si="1001"/>
        <v>6260686.4379663002</v>
      </c>
      <c r="S741">
        <f t="shared" si="1002"/>
        <v>62.606864379663001</v>
      </c>
      <c r="T741">
        <f t="shared" si="1003"/>
        <v>6.2606864379663008E-2</v>
      </c>
    </row>
    <row r="742" spans="1:20" x14ac:dyDescent="0.25">
      <c r="A742" s="5">
        <v>43851</v>
      </c>
      <c r="B742">
        <v>7.5850000000000001E-2</v>
      </c>
      <c r="C742">
        <v>7.7210000000000001E-2</v>
      </c>
      <c r="D742">
        <v>7.4950000000000003E-2</v>
      </c>
      <c r="E742">
        <v>7.6609999999999998E-2</v>
      </c>
      <c r="F742">
        <v>2698505.5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0.46902654867256299</v>
      </c>
      <c r="Q742">
        <f t="shared" si="1000"/>
        <v>1265670.7212389288</v>
      </c>
      <c r="R742">
        <f t="shared" si="1001"/>
        <v>4074226.0603439324</v>
      </c>
      <c r="S742">
        <f t="shared" si="1002"/>
        <v>40.742260603439327</v>
      </c>
      <c r="T742">
        <f t="shared" si="1003"/>
        <v>4.0742260603439329E-2</v>
      </c>
    </row>
    <row r="743" spans="1:20" x14ac:dyDescent="0.25">
      <c r="A743" s="5">
        <v>43850</v>
      </c>
      <c r="B743">
        <v>7.3940000000000006E-2</v>
      </c>
      <c r="C743">
        <v>7.7700000000000005E-2</v>
      </c>
      <c r="D743">
        <v>7.3150000000000007E-2</v>
      </c>
      <c r="E743">
        <v>7.5800000000000006E-2</v>
      </c>
      <c r="F743">
        <v>3459405.9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0.16483516483516503</v>
      </c>
      <c r="Q743">
        <f t="shared" si="1000"/>
        <v>570231.74175824237</v>
      </c>
      <c r="R743">
        <f t="shared" si="1001"/>
        <v>2808555.3391050035</v>
      </c>
      <c r="S743">
        <f t="shared" si="1002"/>
        <v>28.085553391050034</v>
      </c>
      <c r="T743">
        <f t="shared" si="1003"/>
        <v>2.8085553391050035E-2</v>
      </c>
    </row>
    <row r="744" spans="1:20" x14ac:dyDescent="0.25">
      <c r="A744" s="5">
        <v>43849</v>
      </c>
      <c r="B744">
        <v>7.7210000000000001E-2</v>
      </c>
      <c r="C744">
        <v>7.7600000000000002E-2</v>
      </c>
      <c r="D744">
        <v>7.2919999999999999E-2</v>
      </c>
      <c r="E744">
        <v>7.3609999999999995E-2</v>
      </c>
      <c r="F744">
        <v>6192907.5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-0.70512820512820695</v>
      </c>
      <c r="Q744">
        <f t="shared" si="1000"/>
        <v>-4366793.7500000112</v>
      </c>
      <c r="R744">
        <f t="shared" si="1001"/>
        <v>2238323.5973467613</v>
      </c>
      <c r="S744">
        <f t="shared" si="1002"/>
        <v>22.383235973467613</v>
      </c>
      <c r="T744">
        <f t="shared" si="1003"/>
        <v>2.2383235973467613E-2</v>
      </c>
    </row>
    <row r="745" spans="1:20" x14ac:dyDescent="0.25">
      <c r="A745" s="5">
        <v>43848</v>
      </c>
      <c r="B745">
        <v>8.0390000000000003E-2</v>
      </c>
      <c r="C745">
        <v>8.2000000000000003E-2</v>
      </c>
      <c r="D745">
        <v>7.6219999999999996E-2</v>
      </c>
      <c r="E745">
        <v>7.7210000000000001E-2</v>
      </c>
      <c r="F745">
        <v>4589834.3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-0.65743944636678076</v>
      </c>
      <c r="Q745">
        <f t="shared" si="1000"/>
        <v>-3017538.1211072607</v>
      </c>
      <c r="R745">
        <f t="shared" si="1001"/>
        <v>6605117.3473467724</v>
      </c>
      <c r="S745">
        <f t="shared" si="1002"/>
        <v>66.051173473467728</v>
      </c>
      <c r="T745">
        <f t="shared" si="1003"/>
        <v>6.6051173473467728E-2</v>
      </c>
    </row>
    <row r="746" spans="1:20" x14ac:dyDescent="0.25">
      <c r="A746" s="5">
        <v>43847</v>
      </c>
      <c r="B746">
        <v>8.1309999999999993E-2</v>
      </c>
      <c r="C746">
        <v>8.3000000000000004E-2</v>
      </c>
      <c r="D746">
        <v>7.5590000000000004E-2</v>
      </c>
      <c r="E746">
        <v>8.0390000000000003E-2</v>
      </c>
      <c r="F746">
        <v>16626538.800000001</v>
      </c>
      <c r="G746">
        <v>0</v>
      </c>
      <c r="L746" t="s">
        <v>7</v>
      </c>
      <c r="M746" t="s">
        <v>8</v>
      </c>
      <c r="N746" t="s">
        <v>7</v>
      </c>
      <c r="P746">
        <f t="shared" si="999"/>
        <v>0.29554655870445312</v>
      </c>
      <c r="Q746">
        <f t="shared" si="1000"/>
        <v>4913916.3255060678</v>
      </c>
      <c r="R746">
        <f t="shared" si="1001"/>
        <v>9622655.4684540331</v>
      </c>
      <c r="S746">
        <f t="shared" si="1002"/>
        <v>96.226554684540332</v>
      </c>
      <c r="T746">
        <f t="shared" si="1003"/>
        <v>9.6226554684540333E-2</v>
      </c>
    </row>
    <row r="747" spans="1:20" x14ac:dyDescent="0.25">
      <c r="A747" s="5">
        <v>43846</v>
      </c>
      <c r="B747">
        <v>7.6450000000000004E-2</v>
      </c>
      <c r="C747">
        <v>8.4779999999999994E-2</v>
      </c>
      <c r="D747">
        <v>7.4249999999999997E-2</v>
      </c>
      <c r="E747">
        <v>8.1309999999999993E-2</v>
      </c>
      <c r="F747">
        <v>14049868.9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0.34093067426400731</v>
      </c>
      <c r="Q747">
        <f t="shared" si="1000"/>
        <v>4790031.2773979064</v>
      </c>
      <c r="R747">
        <f t="shared" si="1001"/>
        <v>4708739.1429479662</v>
      </c>
      <c r="S747">
        <f t="shared" si="1002"/>
        <v>47.087391429479659</v>
      </c>
      <c r="T747">
        <f t="shared" si="1003"/>
        <v>4.7087391429479659E-2</v>
      </c>
    </row>
    <row r="748" spans="1:20" x14ac:dyDescent="0.25">
      <c r="A748" s="5">
        <v>43845</v>
      </c>
      <c r="B748">
        <v>7.2099999999999997E-2</v>
      </c>
      <c r="C748">
        <v>7.9000000000000001E-2</v>
      </c>
      <c r="D748">
        <v>7.1690000000000004E-2</v>
      </c>
      <c r="E748">
        <v>7.5999999999999998E-2</v>
      </c>
      <c r="F748">
        <v>13158564.6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0.17920656634746815</v>
      </c>
      <c r="Q748">
        <f t="shared" si="1000"/>
        <v>2358101.1800273457</v>
      </c>
      <c r="R748">
        <f t="shared" si="1001"/>
        <v>-81292.134449939709</v>
      </c>
      <c r="S748">
        <f t="shared" si="1002"/>
        <v>-0.81292134449939712</v>
      </c>
      <c r="T748">
        <f t="shared" si="1003"/>
        <v>-8.1292134449939709E-4</v>
      </c>
    </row>
    <row r="749" spans="1:20" x14ac:dyDescent="0.25">
      <c r="A749" s="5">
        <v>43844</v>
      </c>
      <c r="B749">
        <v>7.17E-2</v>
      </c>
      <c r="C749">
        <v>7.3499999999999996E-2</v>
      </c>
      <c r="D749">
        <v>6.9500000000000006E-2</v>
      </c>
      <c r="E749">
        <v>7.2529999999999997E-2</v>
      </c>
      <c r="F749">
        <v>11191925.300000001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0.51499999999999946</v>
      </c>
      <c r="Q749">
        <f t="shared" si="1000"/>
        <v>5763841.5294999946</v>
      </c>
      <c r="R749">
        <f t="shared" si="1001"/>
        <v>-2439393.3144772854</v>
      </c>
      <c r="S749">
        <f t="shared" si="1002"/>
        <v>-24.393933144772852</v>
      </c>
      <c r="T749">
        <f t="shared" si="1003"/>
        <v>-2.4393933144772853E-2</v>
      </c>
    </row>
    <row r="750" spans="1:20" x14ac:dyDescent="0.25">
      <c r="A750" s="5">
        <v>43843</v>
      </c>
      <c r="B750">
        <v>7.2410000000000002E-2</v>
      </c>
      <c r="C750">
        <v>7.2840000000000002E-2</v>
      </c>
      <c r="D750">
        <v>7.1099999999999997E-2</v>
      </c>
      <c r="E750">
        <v>7.1739999999999998E-2</v>
      </c>
      <c r="F750">
        <v>1978087.1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-0.26436781609195437</v>
      </c>
      <c r="Q750">
        <f t="shared" si="1000"/>
        <v>-522942.56666666735</v>
      </c>
      <c r="R750">
        <f t="shared" si="1001"/>
        <v>-8203234.84397728</v>
      </c>
      <c r="S750">
        <f t="shared" si="1002"/>
        <v>-82.032348439772804</v>
      </c>
      <c r="T750">
        <f t="shared" si="1003"/>
        <v>-8.2032348439772806E-2</v>
      </c>
    </row>
    <row r="751" spans="1:20" x14ac:dyDescent="0.25">
      <c r="A751" s="5">
        <v>43842</v>
      </c>
      <c r="B751">
        <v>7.1749999999999994E-2</v>
      </c>
      <c r="C751">
        <v>7.3190000000000005E-2</v>
      </c>
      <c r="D751">
        <v>7.1550000000000002E-2</v>
      </c>
      <c r="E751">
        <v>7.2139999999999996E-2</v>
      </c>
      <c r="F751">
        <v>2293552.5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-0.28048780487805808</v>
      </c>
      <c r="Q751">
        <f t="shared" si="1000"/>
        <v>-643313.50609758229</v>
      </c>
      <c r="R751">
        <f t="shared" si="1001"/>
        <v>-7680292.2773106126</v>
      </c>
      <c r="S751">
        <f t="shared" si="1002"/>
        <v>-76.802922773106133</v>
      </c>
      <c r="T751">
        <f t="shared" si="1003"/>
        <v>-7.680292277310613E-2</v>
      </c>
    </row>
    <row r="752" spans="1:20" x14ac:dyDescent="0.25">
      <c r="A752" s="5">
        <v>43841</v>
      </c>
      <c r="B752">
        <v>7.2330000000000005E-2</v>
      </c>
      <c r="C752">
        <v>7.5600000000000001E-2</v>
      </c>
      <c r="D752">
        <v>7.1749999999999994E-2</v>
      </c>
      <c r="E752">
        <v>7.2099999999999997E-2</v>
      </c>
      <c r="F752">
        <v>5030844.5999999996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-0.8181818181818169</v>
      </c>
      <c r="Q752">
        <f t="shared" si="1000"/>
        <v>-4116145.581818175</v>
      </c>
      <c r="R752">
        <f t="shared" si="1001"/>
        <v>-7036978.7712130304</v>
      </c>
      <c r="S752">
        <f t="shared" si="1002"/>
        <v>-70.369787712130304</v>
      </c>
      <c r="T752">
        <f t="shared" si="1003"/>
        <v>-7.0369787712130302E-2</v>
      </c>
    </row>
    <row r="753" spans="1:20" x14ac:dyDescent="0.25">
      <c r="A753" s="5">
        <v>43840</v>
      </c>
      <c r="B753">
        <v>7.1910000000000002E-2</v>
      </c>
      <c r="C753">
        <v>7.3270000000000002E-2</v>
      </c>
      <c r="D753">
        <v>7.0330000000000004E-2</v>
      </c>
      <c r="E753">
        <v>7.2999999999999995E-2</v>
      </c>
      <c r="F753">
        <v>3817574.9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0.81632653061224048</v>
      </c>
      <c r="Q753">
        <f t="shared" si="1000"/>
        <v>3116387.6734693707</v>
      </c>
      <c r="R753">
        <f t="shared" si="1001"/>
        <v>-2920833.1893948554</v>
      </c>
      <c r="S753">
        <f t="shared" si="1002"/>
        <v>-29.208331893948554</v>
      </c>
      <c r="T753">
        <f t="shared" si="1003"/>
        <v>-2.9208331893948555E-2</v>
      </c>
    </row>
    <row r="754" spans="1:20" x14ac:dyDescent="0.25">
      <c r="A754" s="5">
        <v>43839</v>
      </c>
      <c r="B754">
        <v>7.4999999999999997E-2</v>
      </c>
      <c r="C754">
        <v>7.5439999999999993E-2</v>
      </c>
      <c r="D754">
        <v>7.0999999999999994E-2</v>
      </c>
      <c r="E754">
        <v>7.1929999999999994E-2</v>
      </c>
      <c r="F754">
        <v>4488411.5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-0.58108108108108092</v>
      </c>
      <c r="Q754">
        <f t="shared" si="1000"/>
        <v>-2608131.006756756</v>
      </c>
      <c r="R754">
        <f t="shared" si="1001"/>
        <v>-6037220.8628642261</v>
      </c>
      <c r="S754">
        <f t="shared" si="1002"/>
        <v>-60.372208628642262</v>
      </c>
      <c r="T754">
        <f t="shared" si="1003"/>
        <v>-6.037220862864226E-2</v>
      </c>
    </row>
    <row r="755" spans="1:20" x14ac:dyDescent="0.25">
      <c r="A755" s="5">
        <v>43838</v>
      </c>
      <c r="B755">
        <v>7.2999999999999995E-2</v>
      </c>
      <c r="C755">
        <v>7.6240000000000002E-2</v>
      </c>
      <c r="D755">
        <v>7.1239999999999998E-2</v>
      </c>
      <c r="E755">
        <v>7.5399999999999995E-2</v>
      </c>
      <c r="F755">
        <v>7457836.9000000004</v>
      </c>
      <c r="G755">
        <v>0</v>
      </c>
      <c r="L755" t="s">
        <v>8</v>
      </c>
      <c r="M755" t="s">
        <v>7</v>
      </c>
      <c r="N755" t="s">
        <v>7</v>
      </c>
      <c r="P755">
        <f t="shared" si="999"/>
        <v>0.66399999999999737</v>
      </c>
      <c r="Q755">
        <f t="shared" si="1000"/>
        <v>4952003.7015999807</v>
      </c>
      <c r="R755">
        <f t="shared" si="1001"/>
        <v>-3429089.8561074706</v>
      </c>
      <c r="S755">
        <f t="shared" si="1002"/>
        <v>-34.290898561074705</v>
      </c>
      <c r="T755">
        <f t="shared" si="1003"/>
        <v>-3.4290898561074708E-2</v>
      </c>
    </row>
    <row r="756" spans="1:20" x14ac:dyDescent="0.25">
      <c r="A756" s="5">
        <v>43837</v>
      </c>
      <c r="B756">
        <v>7.5800000000000006E-2</v>
      </c>
      <c r="C756">
        <v>7.5999999999999998E-2</v>
      </c>
      <c r="D756">
        <v>7.1360000000000007E-2</v>
      </c>
      <c r="E756">
        <v>7.2999999999999995E-2</v>
      </c>
      <c r="F756">
        <v>6517893.7999999998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-0.29310344827586565</v>
      </c>
      <c r="Q756">
        <f t="shared" si="1000"/>
        <v>-1910417.1482758853</v>
      </c>
      <c r="R756">
        <f t="shared" si="1001"/>
        <v>-8381093.5577074513</v>
      </c>
      <c r="S756">
        <f t="shared" si="1002"/>
        <v>-83.810935577074517</v>
      </c>
      <c r="T756">
        <f t="shared" si="1003"/>
        <v>-8.3810935577074516E-2</v>
      </c>
    </row>
    <row r="757" spans="1:20" x14ac:dyDescent="0.25">
      <c r="A757" s="5">
        <v>43836</v>
      </c>
      <c r="B757">
        <v>7.639E-2</v>
      </c>
      <c r="C757">
        <v>7.7810000000000004E-2</v>
      </c>
      <c r="D757">
        <v>7.3819999999999997E-2</v>
      </c>
      <c r="E757">
        <v>7.578E-2</v>
      </c>
      <c r="F757">
        <v>5270580.3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-1.7543859649122927E-2</v>
      </c>
      <c r="Q757">
        <f t="shared" si="1000"/>
        <v>-92466.321052632207</v>
      </c>
      <c r="R757">
        <f t="shared" si="1001"/>
        <v>-6470676.4094315665</v>
      </c>
      <c r="S757">
        <f t="shared" si="1002"/>
        <v>-64.706764094315659</v>
      </c>
      <c r="T757">
        <f t="shared" si="1003"/>
        <v>-6.4706764094315652E-2</v>
      </c>
    </row>
    <row r="758" spans="1:20" x14ac:dyDescent="0.25">
      <c r="A758" s="5">
        <v>43835</v>
      </c>
      <c r="B758">
        <v>7.6929999999999998E-2</v>
      </c>
      <c r="C758">
        <v>7.8609999999999999E-2</v>
      </c>
      <c r="D758">
        <v>7.6179999999999998E-2</v>
      </c>
      <c r="E758">
        <v>7.6369999999999993E-2</v>
      </c>
      <c r="F758">
        <v>3145558.2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-0.84362139917695833</v>
      </c>
      <c r="Q758">
        <f t="shared" si="1000"/>
        <v>-2653660.2098765546</v>
      </c>
      <c r="R758">
        <f t="shared" si="1001"/>
        <v>-6378210.0883789342</v>
      </c>
      <c r="S758">
        <f t="shared" si="1002"/>
        <v>-63.78210088378934</v>
      </c>
      <c r="T758">
        <f t="shared" si="1003"/>
        <v>-6.3782100883789342E-2</v>
      </c>
    </row>
    <row r="759" spans="1:20" x14ac:dyDescent="0.25">
      <c r="A759" s="5">
        <v>43834</v>
      </c>
      <c r="B759">
        <v>7.8439999999999996E-2</v>
      </c>
      <c r="C759">
        <v>7.9880000000000007E-2</v>
      </c>
      <c r="D759">
        <v>7.6999999999999999E-2</v>
      </c>
      <c r="E759">
        <v>7.7200000000000005E-2</v>
      </c>
      <c r="F759">
        <v>2151789.7999999998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-0.8611111111111075</v>
      </c>
      <c r="Q759">
        <f t="shared" si="1000"/>
        <v>-1852930.1055555476</v>
      </c>
      <c r="R759">
        <f t="shared" si="1001"/>
        <v>-3724549.8785023801</v>
      </c>
      <c r="S759">
        <f t="shared" si="1002"/>
        <v>-37.245498785023798</v>
      </c>
      <c r="T759">
        <f t="shared" si="1003"/>
        <v>-3.7245498785023798E-2</v>
      </c>
    </row>
    <row r="760" spans="1:20" x14ac:dyDescent="0.25">
      <c r="A760" s="5">
        <v>43833</v>
      </c>
      <c r="B760">
        <v>7.3539999999999994E-2</v>
      </c>
      <c r="C760">
        <v>7.9369999999999996E-2</v>
      </c>
      <c r="D760">
        <v>7.2249999999999995E-2</v>
      </c>
      <c r="E760">
        <v>7.8E-2</v>
      </c>
      <c r="F760">
        <v>4040323.9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0.61516853932584381</v>
      </c>
      <c r="Q760">
        <f t="shared" si="1000"/>
        <v>2485480.1519662966</v>
      </c>
      <c r="R760">
        <f t="shared" si="1001"/>
        <v>-1871619.7729468322</v>
      </c>
      <c r="S760">
        <f t="shared" si="1002"/>
        <v>-18.716197729468323</v>
      </c>
      <c r="T760">
        <f t="shared" si="1003"/>
        <v>-1.8716197729468323E-2</v>
      </c>
    </row>
    <row r="761" spans="1:20" x14ac:dyDescent="0.25">
      <c r="A761" s="5">
        <v>43832</v>
      </c>
      <c r="B761">
        <v>7.9589999999999994E-2</v>
      </c>
      <c r="C761">
        <v>8.0360000000000001E-2</v>
      </c>
      <c r="D761">
        <v>7.2260000000000005E-2</v>
      </c>
      <c r="E761">
        <v>7.3709999999999998E-2</v>
      </c>
      <c r="F761">
        <v>4880370.2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-0.64197530864197683</v>
      </c>
      <c r="Q761">
        <f t="shared" si="1000"/>
        <v>-3133077.1654321062</v>
      </c>
      <c r="R761">
        <f t="shared" si="1001"/>
        <v>-4357099.9249131288</v>
      </c>
      <c r="S761">
        <f t="shared" si="1002"/>
        <v>-43.57099924913129</v>
      </c>
      <c r="T761">
        <f t="shared" si="1003"/>
        <v>-4.3570999249131291E-2</v>
      </c>
    </row>
    <row r="762" spans="1:20" x14ac:dyDescent="0.25">
      <c r="A762" s="5">
        <v>43831</v>
      </c>
      <c r="B762">
        <v>8.0019999999999994E-2</v>
      </c>
      <c r="C762">
        <v>8.2799999999999999E-2</v>
      </c>
      <c r="D762">
        <v>7.7789999999999998E-2</v>
      </c>
      <c r="E762">
        <v>7.9630000000000006E-2</v>
      </c>
      <c r="F762">
        <v>4610792.5</v>
      </c>
      <c r="G762">
        <v>0</v>
      </c>
      <c r="P762">
        <f t="shared" si="999"/>
        <v>-0.26546906187624425</v>
      </c>
      <c r="Q762">
        <f t="shared" si="1000"/>
        <v>-1224022.7594810228</v>
      </c>
      <c r="R762">
        <f t="shared" si="1001"/>
        <v>-1224022.7594810228</v>
      </c>
      <c r="S762">
        <f t="shared" si="1002"/>
        <v>-12.240227594810229</v>
      </c>
      <c r="T762">
        <f t="shared" si="1003"/>
        <v>-1.2240227594810228E-2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F566" sqref="OF56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$A$565</v>
      </c>
      <c r="D111" s="1" t="str">
        <f>ADDRESS(C121-1,D121,1,1)</f>
        <v>$OF$565</v>
      </c>
      <c r="E111"/>
    </row>
    <row r="112" spans="1:5" x14ac:dyDescent="0.25">
      <c r="A112" s="7">
        <v>12164.144957890772</v>
      </c>
      <c r="C112" s="1" t="str">
        <f>ADDRESS(C121,1,1,1)</f>
        <v>$A$566</v>
      </c>
      <c r="D112" s="1" t="str">
        <f>ADDRESS(C121,D121-1,1,1)</f>
        <v>$OE$566</v>
      </c>
      <c r="E112"/>
    </row>
    <row r="113" spans="1:5" x14ac:dyDescent="0.25">
      <c r="A113" s="7">
        <v>11925.63231165762</v>
      </c>
      <c r="C113" s="1" t="str">
        <f>ADDRESS(C121+1,1,1,1)</f>
        <v>$A$567</v>
      </c>
      <c r="D113" s="1" t="str">
        <f>ADDRESS(C121-1,D121+1,1,1)</f>
        <v>$OG$565</v>
      </c>
    </row>
    <row r="114" spans="1:5" x14ac:dyDescent="0.25">
      <c r="A114" s="7">
        <v>11691.796383978059</v>
      </c>
      <c r="C114" s="1" t="str">
        <f>ADDRESS(C121,D121,1,1)</f>
        <v>$OF$566</v>
      </c>
      <c r="D114" s="1" t="str">
        <f>ADDRESS(C121+1,D121+1,1,1)</f>
        <v>$OG$567</v>
      </c>
    </row>
    <row r="115" spans="1:5" x14ac:dyDescent="0.25">
      <c r="A115" s="7">
        <v>11462.545474488292</v>
      </c>
      <c r="C115" s="1" t="str">
        <f>ADDRESS(C121+1,D121,1,1)</f>
        <v>$OF$567</v>
      </c>
    </row>
    <row r="116" spans="1:5" x14ac:dyDescent="0.25">
      <c r="A116" s="7">
        <v>11237.789680870874</v>
      </c>
      <c r="C116" s="1">
        <f>C117-1</f>
        <v>565</v>
      </c>
    </row>
    <row r="117" spans="1:5" x14ac:dyDescent="0.25">
      <c r="A117" s="7">
        <v>11017.440863598895</v>
      </c>
      <c r="C117" s="1">
        <f>C121</f>
        <v>566</v>
      </c>
      <c r="D117" s="1">
        <f>D121</f>
        <v>396</v>
      </c>
    </row>
    <row r="118" spans="1:5" x14ac:dyDescent="0.25">
      <c r="A118" s="7">
        <v>10801.412611371465</v>
      </c>
      <c r="C118" s="1">
        <f>C117+1</f>
        <v>567</v>
      </c>
      <c r="D118" s="1">
        <f>D117+1</f>
        <v>397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566</v>
      </c>
      <c r="D121" s="19">
        <v>396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R566</v>
      </c>
      <c r="D123" s="1" t="str">
        <f>"C"&amp;D121</f>
        <v>C396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1.5156663438979221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362" x14ac:dyDescent="0.25">
      <c r="A497" s="7">
        <v>5.9431331263054545</v>
      </c>
      <c r="B497"/>
      <c r="C497"/>
      <c r="D497"/>
      <c r="E497"/>
    </row>
    <row r="498" spans="1:362" x14ac:dyDescent="0.25">
      <c r="A498" s="7">
        <v>5.8266011042210337</v>
      </c>
      <c r="B498"/>
      <c r="C498"/>
      <c r="D498"/>
      <c r="E498"/>
    </row>
    <row r="499" spans="1:362" x14ac:dyDescent="0.25">
      <c r="A499" s="7">
        <v>5.7123540237461112</v>
      </c>
      <c r="B499"/>
      <c r="C499"/>
      <c r="D499"/>
      <c r="E499"/>
    </row>
    <row r="500" spans="1:362" x14ac:dyDescent="0.25">
      <c r="A500" s="7">
        <v>5.6003470821040304</v>
      </c>
      <c r="B500"/>
      <c r="C500"/>
      <c r="D500"/>
      <c r="E500"/>
    </row>
    <row r="501" spans="1:362" x14ac:dyDescent="0.25">
      <c r="A501" s="7">
        <v>5.4905363550039512</v>
      </c>
      <c r="B501"/>
      <c r="C501"/>
      <c r="D501"/>
      <c r="E501"/>
    </row>
    <row r="502" spans="1:362" x14ac:dyDescent="0.25">
      <c r="A502" s="7">
        <v>5.3828787794156385</v>
      </c>
      <c r="B502"/>
      <c r="C502"/>
      <c r="D502"/>
      <c r="E502"/>
    </row>
    <row r="503" spans="1:362" x14ac:dyDescent="0.25">
      <c r="A503" s="7">
        <v>5.2773321366819985</v>
      </c>
      <c r="B503"/>
      <c r="C503"/>
      <c r="D503"/>
      <c r="E503"/>
    </row>
    <row r="504" spans="1:362" x14ac:dyDescent="0.25">
      <c r="A504" s="7">
        <v>5.1738550359627435</v>
      </c>
      <c r="B504"/>
      <c r="C504"/>
      <c r="D504"/>
      <c r="E504"/>
    </row>
    <row r="505" spans="1:362" x14ac:dyDescent="0.25">
      <c r="A505" s="7">
        <v>5.07240689800269</v>
      </c>
      <c r="B505"/>
      <c r="C505"/>
      <c r="D505"/>
      <c r="E505"/>
    </row>
    <row r="506" spans="1:362" x14ac:dyDescent="0.25">
      <c r="A506" s="7">
        <v>4.9729479392183231</v>
      </c>
      <c r="B506"/>
      <c r="C506"/>
      <c r="D506"/>
      <c r="E506"/>
    </row>
    <row r="507" spans="1:362" x14ac:dyDescent="0.25">
      <c r="A507" s="7">
        <v>4.8754391560963954</v>
      </c>
      <c r="B507"/>
      <c r="C507"/>
      <c r="D507"/>
      <c r="E507"/>
    </row>
    <row r="508" spans="1:362" x14ac:dyDescent="0.25">
      <c r="A508" s="7">
        <v>4.7798423098984264</v>
      </c>
      <c r="B508"/>
      <c r="C508"/>
      <c r="D508"/>
      <c r="E508"/>
      <c r="MW508" s="27" t="s">
        <v>8</v>
      </c>
    </row>
    <row r="509" spans="1:362" x14ac:dyDescent="0.25">
      <c r="A509" s="7">
        <v>4.6861199116651235</v>
      </c>
      <c r="B509"/>
      <c r="C509"/>
      <c r="D509"/>
      <c r="E509"/>
      <c r="MW509" s="27" t="s">
        <v>8</v>
      </c>
      <c r="MX509" s="27" t="s">
        <v>7</v>
      </c>
    </row>
    <row r="510" spans="1:362" x14ac:dyDescent="0.25">
      <c r="A510" s="7">
        <v>4.5942352075148269</v>
      </c>
      <c r="B510"/>
      <c r="C510"/>
      <c r="D510"/>
      <c r="E510"/>
      <c r="MW510" s="27" t="s">
        <v>8</v>
      </c>
      <c r="MX510" s="27" t="s">
        <v>7</v>
      </c>
    </row>
    <row r="511" spans="1:362" x14ac:dyDescent="0.25">
      <c r="A511" s="7">
        <v>4.5041521642302227</v>
      </c>
      <c r="B511"/>
      <c r="C511"/>
      <c r="D511"/>
      <c r="E511"/>
      <c r="MW511" s="27" t="s">
        <v>8</v>
      </c>
      <c r="MX511" s="27" t="s">
        <v>7</v>
      </c>
    </row>
    <row r="512" spans="1:362" x14ac:dyDescent="0.25">
      <c r="A512" s="7">
        <v>4.4158354551276693</v>
      </c>
      <c r="B512"/>
      <c r="C512"/>
      <c r="D512"/>
      <c r="E512"/>
      <c r="MW512" s="27" t="s">
        <v>8</v>
      </c>
      <c r="MX512" s="27" t="s">
        <v>7</v>
      </c>
    </row>
    <row r="513" spans="1:380" x14ac:dyDescent="0.25">
      <c r="A513" s="7">
        <v>4.3292504462035977</v>
      </c>
      <c r="B513"/>
      <c r="C513"/>
      <c r="D513"/>
      <c r="E513"/>
      <c r="MW513" s="27" t="s">
        <v>8</v>
      </c>
      <c r="MX513" s="27" t="s">
        <v>7</v>
      </c>
    </row>
    <row r="514" spans="1:380" x14ac:dyDescent="0.25">
      <c r="A514" s="7">
        <v>4.2443631825525463</v>
      </c>
      <c r="B514"/>
      <c r="C514"/>
      <c r="D514"/>
      <c r="E514"/>
      <c r="MW514" s="27" t="s">
        <v>8</v>
      </c>
      <c r="MX514" s="27" t="s">
        <v>7</v>
      </c>
    </row>
    <row r="515" spans="1:380" x14ac:dyDescent="0.25">
      <c r="A515" s="7">
        <v>4.1611403750515157</v>
      </c>
      <c r="B515"/>
      <c r="C515"/>
      <c r="D515"/>
      <c r="E515"/>
      <c r="MW515" s="27" t="s">
        <v>8</v>
      </c>
      <c r="MX515" s="27" t="s">
        <v>7</v>
      </c>
    </row>
    <row r="516" spans="1:380" x14ac:dyDescent="0.25">
      <c r="A516" s="7">
        <v>4.0795493873054074</v>
      </c>
      <c r="B516"/>
      <c r="C516"/>
      <c r="D516"/>
      <c r="E516"/>
      <c r="MW516" s="27" t="s">
        <v>8</v>
      </c>
      <c r="MX516" s="27" t="s">
        <v>7</v>
      </c>
    </row>
    <row r="517" spans="1:380" x14ac:dyDescent="0.25">
      <c r="A517" s="7">
        <v>3.9995582228484383</v>
      </c>
      <c r="B517"/>
      <c r="C517"/>
      <c r="D517"/>
      <c r="E517"/>
      <c r="HY517" s="27" t="s">
        <v>8</v>
      </c>
      <c r="MW517" s="27" t="s">
        <v>8</v>
      </c>
      <c r="MX517" s="27" t="s">
        <v>7</v>
      </c>
    </row>
    <row r="518" spans="1:380" x14ac:dyDescent="0.25">
      <c r="A518" s="7">
        <v>3.9211355125965079</v>
      </c>
      <c r="B518"/>
      <c r="C518"/>
      <c r="D518"/>
      <c r="E518"/>
      <c r="HY518" s="27" t="s">
        <v>8</v>
      </c>
      <c r="HZ518" s="27" t="s">
        <v>7</v>
      </c>
      <c r="MU518" s="27" t="s">
        <v>8</v>
      </c>
      <c r="MW518" s="27" t="s">
        <v>8</v>
      </c>
      <c r="MX518" s="27" t="s">
        <v>7</v>
      </c>
      <c r="MY518" s="27" t="s">
        <v>8</v>
      </c>
      <c r="NA518" s="27" t="s">
        <v>8</v>
      </c>
    </row>
    <row r="519" spans="1:380" x14ac:dyDescent="0.25">
      <c r="A519" s="7">
        <v>3.844250502545596</v>
      </c>
      <c r="B519"/>
      <c r="C519"/>
      <c r="D519"/>
      <c r="E519"/>
      <c r="HY519" s="27" t="s">
        <v>8</v>
      </c>
      <c r="HZ519" s="27" t="s">
        <v>7</v>
      </c>
      <c r="MU519" s="27" t="s">
        <v>8</v>
      </c>
      <c r="MV519" s="27" t="s">
        <v>7</v>
      </c>
      <c r="MW519" s="27" t="s">
        <v>8</v>
      </c>
      <c r="MX519" s="27" t="s">
        <v>7</v>
      </c>
      <c r="MY519" s="27" t="s">
        <v>8</v>
      </c>
      <c r="MZ519" s="27" t="s">
        <v>7</v>
      </c>
      <c r="NA519" s="27" t="s">
        <v>8</v>
      </c>
      <c r="NB519" s="27" t="s">
        <v>7</v>
      </c>
    </row>
    <row r="520" spans="1:380" x14ac:dyDescent="0.25">
      <c r="A520" s="7">
        <v>3.7688730417113687</v>
      </c>
      <c r="B520"/>
      <c r="C520"/>
      <c r="D520"/>
      <c r="E520"/>
      <c r="HY520" s="27" t="s">
        <v>8</v>
      </c>
      <c r="HZ520" s="27" t="s">
        <v>7</v>
      </c>
      <c r="MU520" s="27" t="s">
        <v>8</v>
      </c>
      <c r="MV520" s="27" t="s">
        <v>7</v>
      </c>
      <c r="MW520" s="27" t="s">
        <v>8</v>
      </c>
      <c r="MX520" s="27" t="s">
        <v>7</v>
      </c>
      <c r="MY520" s="27" t="s">
        <v>8</v>
      </c>
      <c r="MZ520" s="27" t="s">
        <v>7</v>
      </c>
      <c r="NA520" s="27" t="s">
        <v>8</v>
      </c>
      <c r="NB520" s="27" t="s">
        <v>7</v>
      </c>
    </row>
    <row r="521" spans="1:380" x14ac:dyDescent="0.25">
      <c r="A521" s="7">
        <v>3.6949735703052635</v>
      </c>
      <c r="B521"/>
      <c r="C521"/>
      <c r="D521"/>
      <c r="E521"/>
      <c r="HY521" s="27" t="s">
        <v>8</v>
      </c>
      <c r="HZ521" s="27" t="s">
        <v>7</v>
      </c>
      <c r="MU521" s="27" t="s">
        <v>8</v>
      </c>
      <c r="MV521" s="27" t="s">
        <v>7</v>
      </c>
      <c r="MW521" s="27" t="s">
        <v>8</v>
      </c>
      <c r="MX521" s="27" t="s">
        <v>7</v>
      </c>
      <c r="MY521" s="27" t="s">
        <v>8</v>
      </c>
      <c r="MZ521" s="27" t="s">
        <v>7</v>
      </c>
      <c r="NA521" s="27" t="s">
        <v>8</v>
      </c>
      <c r="NB521" s="27" t="s">
        <v>7</v>
      </c>
    </row>
    <row r="522" spans="1:380" x14ac:dyDescent="0.25">
      <c r="A522" s="7">
        <v>3.6225231081424152</v>
      </c>
      <c r="B522"/>
      <c r="C522"/>
      <c r="D522"/>
      <c r="E522"/>
      <c r="HY522" s="27" t="s">
        <v>8</v>
      </c>
      <c r="HZ522" s="27" t="s">
        <v>7</v>
      </c>
      <c r="MO522" s="27" t="s">
        <v>8</v>
      </c>
      <c r="MU522" s="27" t="s">
        <v>8</v>
      </c>
      <c r="MV522" s="27" t="s">
        <v>7</v>
      </c>
      <c r="MW522" s="27" t="s">
        <v>8</v>
      </c>
      <c r="MX522" s="27" t="s">
        <v>7</v>
      </c>
      <c r="MZ522" s="27" t="s">
        <v>7</v>
      </c>
      <c r="NA522" s="27" t="s">
        <v>8</v>
      </c>
      <c r="NB522" s="27" t="s">
        <v>7</v>
      </c>
    </row>
    <row r="523" spans="1:380" x14ac:dyDescent="0.25">
      <c r="A523" s="7">
        <v>3.5514932432768775</v>
      </c>
      <c r="B523"/>
      <c r="C523"/>
      <c r="D523"/>
      <c r="E523"/>
      <c r="HY523" s="27" t="s">
        <v>8</v>
      </c>
      <c r="HZ523" s="27" t="s">
        <v>7</v>
      </c>
      <c r="MO523" s="27" t="s">
        <v>8</v>
      </c>
      <c r="MP523" s="27" t="s">
        <v>7</v>
      </c>
      <c r="MU523" s="27" t="s">
        <v>8</v>
      </c>
      <c r="MV523" s="27" t="s">
        <v>7</v>
      </c>
      <c r="MW523" s="27" t="s">
        <v>8</v>
      </c>
      <c r="MZ523" s="27" t="s">
        <v>7</v>
      </c>
      <c r="NA523" s="27" t="s">
        <v>8</v>
      </c>
      <c r="NB523" s="27" t="s">
        <v>7</v>
      </c>
    </row>
    <row r="524" spans="1:380" x14ac:dyDescent="0.25">
      <c r="A524" s="7">
        <v>3.4818561208596837</v>
      </c>
      <c r="B524"/>
      <c r="C524"/>
      <c r="D524"/>
      <c r="E524"/>
      <c r="HY524" s="27" t="s">
        <v>8</v>
      </c>
      <c r="HZ524" s="27" t="s">
        <v>7</v>
      </c>
      <c r="MI524" s="27" t="s">
        <v>8</v>
      </c>
      <c r="MO524" s="27" t="s">
        <v>8</v>
      </c>
      <c r="MP524" s="27" t="s">
        <v>7</v>
      </c>
      <c r="MU524" s="27" t="s">
        <v>8</v>
      </c>
      <c r="MV524" s="27" t="s">
        <v>7</v>
      </c>
      <c r="MW524" s="27" t="s">
        <v>8</v>
      </c>
      <c r="MZ524" s="27" t="s">
        <v>7</v>
      </c>
      <c r="NA524" s="27" t="s">
        <v>8</v>
      </c>
      <c r="NB524" s="27" t="s">
        <v>7</v>
      </c>
    </row>
    <row r="525" spans="1:380" x14ac:dyDescent="0.25">
      <c r="A525" s="7">
        <v>3.4135844322153761</v>
      </c>
      <c r="B525"/>
      <c r="C525"/>
      <c r="D525"/>
      <c r="E525"/>
      <c r="HY525" s="27" t="s">
        <v>8</v>
      </c>
      <c r="HZ525" s="27" t="s">
        <v>7</v>
      </c>
      <c r="MI525" s="27" t="s">
        <v>8</v>
      </c>
      <c r="MJ525" s="27" t="s">
        <v>7</v>
      </c>
      <c r="MM525" s="27" t="s">
        <v>8</v>
      </c>
      <c r="MO525" s="27" t="s">
        <v>8</v>
      </c>
      <c r="MP525" s="27" t="s">
        <v>7</v>
      </c>
      <c r="MU525" s="27" t="s">
        <v>8</v>
      </c>
      <c r="MV525" s="27" t="s">
        <v>7</v>
      </c>
      <c r="MW525" s="27" t="s">
        <v>8</v>
      </c>
      <c r="MZ525" s="27" t="s">
        <v>7</v>
      </c>
      <c r="NA525" s="27" t="s">
        <v>8</v>
      </c>
      <c r="NB525" s="27" t="s">
        <v>7</v>
      </c>
    </row>
    <row r="526" spans="1:380" x14ac:dyDescent="0.25">
      <c r="A526" s="7">
        <v>3.3466514041327216</v>
      </c>
      <c r="B526"/>
      <c r="C526"/>
      <c r="D526"/>
      <c r="E526"/>
      <c r="HY526" s="27" t="s">
        <v>8</v>
      </c>
      <c r="HZ526" s="27" t="s">
        <v>7</v>
      </c>
      <c r="MI526" s="27" t="s">
        <v>8</v>
      </c>
      <c r="MJ526" s="27" t="s">
        <v>7</v>
      </c>
      <c r="MM526" s="27" t="s">
        <v>8</v>
      </c>
      <c r="MN526" s="27" t="s">
        <v>7</v>
      </c>
      <c r="MO526" s="27" t="s">
        <v>8</v>
      </c>
      <c r="MP526" s="27" t="s">
        <v>7</v>
      </c>
      <c r="MU526" s="27" t="s">
        <v>8</v>
      </c>
      <c r="MV526" s="27" t="s">
        <v>7</v>
      </c>
      <c r="MW526" s="27" t="s">
        <v>8</v>
      </c>
      <c r="MZ526" s="27" t="s">
        <v>7</v>
      </c>
      <c r="NA526" s="27" t="s">
        <v>8</v>
      </c>
      <c r="NB526" s="27" t="s">
        <v>7</v>
      </c>
    </row>
    <row r="527" spans="1:380" x14ac:dyDescent="0.25">
      <c r="A527" s="7">
        <v>3.2810307883654133</v>
      </c>
      <c r="B527"/>
      <c r="C527"/>
      <c r="D527"/>
      <c r="E527"/>
      <c r="HY527" s="27" t="s">
        <v>8</v>
      </c>
      <c r="HZ527" s="27" t="s">
        <v>7</v>
      </c>
      <c r="MI527" s="27" t="s">
        <v>8</v>
      </c>
      <c r="MJ527" s="27" t="s">
        <v>7</v>
      </c>
      <c r="MK527" s="27" t="s">
        <v>8</v>
      </c>
      <c r="MM527" s="27" t="s">
        <v>8</v>
      </c>
      <c r="MN527" s="27" t="s">
        <v>7</v>
      </c>
      <c r="MO527" s="27" t="s">
        <v>8</v>
      </c>
      <c r="MP527" s="27" t="s">
        <v>7</v>
      </c>
      <c r="MU527" s="27" t="s">
        <v>8</v>
      </c>
      <c r="MV527" s="27" t="s">
        <v>7</v>
      </c>
      <c r="MW527" s="27" t="s">
        <v>8</v>
      </c>
      <c r="MZ527" s="27" t="s">
        <v>7</v>
      </c>
      <c r="NA527" s="27" t="s">
        <v>8</v>
      </c>
      <c r="NB527" s="27" t="s">
        <v>7</v>
      </c>
      <c r="NO527" s="27" t="s">
        <v>8</v>
      </c>
    </row>
    <row r="528" spans="1:380" x14ac:dyDescent="0.25">
      <c r="A528" s="7">
        <v>3.2166968513386403</v>
      </c>
      <c r="B528"/>
      <c r="C528"/>
      <c r="D528"/>
      <c r="E528"/>
      <c r="HY528" s="27" t="s">
        <v>8</v>
      </c>
      <c r="HZ528" s="27" t="s">
        <v>7</v>
      </c>
      <c r="IA528" s="27" t="s">
        <v>8</v>
      </c>
      <c r="IC528" s="27" t="s">
        <v>8</v>
      </c>
      <c r="MI528" s="27" t="s">
        <v>8</v>
      </c>
      <c r="MJ528" s="27" t="s">
        <v>7</v>
      </c>
      <c r="MK528" s="27" t="s">
        <v>8</v>
      </c>
      <c r="ML528" s="27" t="s">
        <v>7</v>
      </c>
      <c r="MM528" s="27" t="s">
        <v>8</v>
      </c>
      <c r="MN528" s="27" t="s">
        <v>7</v>
      </c>
      <c r="MO528" s="27" t="s">
        <v>8</v>
      </c>
      <c r="MP528" s="27" t="s">
        <v>7</v>
      </c>
      <c r="MQ528" s="27" t="s">
        <v>8</v>
      </c>
      <c r="MS528" s="27" t="s">
        <v>8</v>
      </c>
      <c r="MU528" s="27" t="s">
        <v>8</v>
      </c>
      <c r="MV528" s="27" t="s">
        <v>7</v>
      </c>
      <c r="MW528" s="27" t="s">
        <v>8</v>
      </c>
      <c r="MZ528" s="27" t="s">
        <v>7</v>
      </c>
      <c r="NB528" s="27" t="s">
        <v>7</v>
      </c>
      <c r="NO528" s="27" t="s">
        <v>8</v>
      </c>
      <c r="NP528" s="27" t="s">
        <v>7</v>
      </c>
    </row>
    <row r="529" spans="1:391" x14ac:dyDescent="0.25">
      <c r="A529" s="7">
        <v>3.1536243640574906</v>
      </c>
      <c r="B529"/>
      <c r="C529"/>
      <c r="D529"/>
      <c r="E529"/>
      <c r="HY529" s="27" t="s">
        <v>8</v>
      </c>
      <c r="HZ529" s="27" t="s">
        <v>7</v>
      </c>
      <c r="IA529" s="27" t="s">
        <v>8</v>
      </c>
      <c r="IB529" s="27" t="s">
        <v>7</v>
      </c>
      <c r="IC529" s="27" t="s">
        <v>8</v>
      </c>
      <c r="ID529" s="27" t="s">
        <v>7</v>
      </c>
      <c r="IE529" s="27" t="s">
        <v>8</v>
      </c>
      <c r="MI529" s="27" t="s">
        <v>8</v>
      </c>
      <c r="MJ529" s="27" t="s">
        <v>7</v>
      </c>
      <c r="MK529" s="27" t="s">
        <v>8</v>
      </c>
      <c r="ML529" s="27" t="s">
        <v>7</v>
      </c>
      <c r="MM529" s="27" t="s">
        <v>8</v>
      </c>
      <c r="MN529" s="27" t="s">
        <v>7</v>
      </c>
      <c r="MO529" s="27" t="s">
        <v>8</v>
      </c>
      <c r="MP529" s="27" t="s">
        <v>7</v>
      </c>
      <c r="MQ529" s="27" t="s">
        <v>8</v>
      </c>
      <c r="MR529" s="27" t="s">
        <v>7</v>
      </c>
      <c r="MS529" s="27" t="s">
        <v>8</v>
      </c>
      <c r="MT529" s="27" t="s">
        <v>7</v>
      </c>
      <c r="MU529" s="27" t="s">
        <v>8</v>
      </c>
      <c r="MV529" s="27" t="s">
        <v>7</v>
      </c>
      <c r="NB529" s="27" t="s">
        <v>7</v>
      </c>
      <c r="NO529" s="27" t="s">
        <v>8</v>
      </c>
      <c r="NP529" s="27" t="s">
        <v>7</v>
      </c>
    </row>
    <row r="530" spans="1:391" x14ac:dyDescent="0.25">
      <c r="A530" s="7">
        <v>3.0917885922132262</v>
      </c>
      <c r="B530"/>
      <c r="C530"/>
      <c r="D530"/>
      <c r="E530"/>
      <c r="HY530" s="27" t="s">
        <v>8</v>
      </c>
      <c r="HZ530" s="27" t="s">
        <v>7</v>
      </c>
      <c r="IA530" s="27" t="s">
        <v>8</v>
      </c>
      <c r="IB530" s="27" t="s">
        <v>7</v>
      </c>
      <c r="IC530" s="27" t="s">
        <v>8</v>
      </c>
      <c r="ID530" s="27" t="s">
        <v>7</v>
      </c>
      <c r="IE530" s="27" t="s">
        <v>8</v>
      </c>
      <c r="IF530" s="27" t="s">
        <v>7</v>
      </c>
      <c r="MI530" s="27" t="s">
        <v>8</v>
      </c>
      <c r="MJ530" s="27" t="s">
        <v>7</v>
      </c>
      <c r="MK530" s="27" t="s">
        <v>8</v>
      </c>
      <c r="ML530" s="27" t="s">
        <v>7</v>
      </c>
      <c r="MM530" s="27" t="s">
        <v>8</v>
      </c>
      <c r="MN530" s="27" t="s">
        <v>7</v>
      </c>
      <c r="MO530" s="27" t="s">
        <v>8</v>
      </c>
      <c r="MP530" s="27" t="s">
        <v>7</v>
      </c>
      <c r="MQ530" s="27" t="s">
        <v>8</v>
      </c>
      <c r="MR530" s="27" t="s">
        <v>7</v>
      </c>
      <c r="MS530" s="27" t="s">
        <v>8</v>
      </c>
      <c r="MT530" s="27" t="s">
        <v>7</v>
      </c>
      <c r="MU530" s="27" t="s">
        <v>8</v>
      </c>
      <c r="NB530" s="27" t="s">
        <v>7</v>
      </c>
      <c r="NC530" s="27" t="s">
        <v>8</v>
      </c>
      <c r="NO530" s="27" t="s">
        <v>8</v>
      </c>
      <c r="NP530" s="27" t="s">
        <v>7</v>
      </c>
    </row>
    <row r="531" spans="1:391" x14ac:dyDescent="0.25">
      <c r="A531" s="7">
        <v>3.0311652864835552</v>
      </c>
      <c r="B531"/>
      <c r="C531"/>
      <c r="D531"/>
      <c r="E531"/>
      <c r="HM531" s="27" t="s">
        <v>8</v>
      </c>
      <c r="HY531" s="27" t="s">
        <v>8</v>
      </c>
      <c r="HZ531" s="27" t="s">
        <v>7</v>
      </c>
      <c r="IA531" s="27" t="s">
        <v>8</v>
      </c>
      <c r="IB531" s="27" t="s">
        <v>7</v>
      </c>
      <c r="IC531" s="27" t="s">
        <v>8</v>
      </c>
      <c r="ID531" s="27" t="s">
        <v>7</v>
      </c>
      <c r="IE531" s="27" t="s">
        <v>8</v>
      </c>
      <c r="IF531" s="27" t="s">
        <v>7</v>
      </c>
      <c r="MI531" s="27" t="s">
        <v>8</v>
      </c>
      <c r="MJ531" s="27" t="s">
        <v>7</v>
      </c>
      <c r="MK531" s="27" t="s">
        <v>8</v>
      </c>
      <c r="ML531" s="27" t="s">
        <v>7</v>
      </c>
      <c r="MM531" s="27" t="s">
        <v>8</v>
      </c>
      <c r="MN531" s="27" t="s">
        <v>7</v>
      </c>
      <c r="MO531" s="27" t="s">
        <v>8</v>
      </c>
      <c r="MP531" s="27" t="s">
        <v>7</v>
      </c>
      <c r="MQ531" s="27" t="s">
        <v>8</v>
      </c>
      <c r="MR531" s="27" t="s">
        <v>7</v>
      </c>
      <c r="MS531" s="27" t="s">
        <v>8</v>
      </c>
      <c r="MT531" s="27" t="s">
        <v>7</v>
      </c>
      <c r="MU531" s="27" t="s">
        <v>8</v>
      </c>
      <c r="NB531" s="27" t="s">
        <v>7</v>
      </c>
      <c r="NC531" s="27" t="s">
        <v>8</v>
      </c>
      <c r="ND531" s="27" t="s">
        <v>7</v>
      </c>
      <c r="NO531" s="27" t="s">
        <v>8</v>
      </c>
      <c r="NP531" s="27" t="s">
        <v>7</v>
      </c>
    </row>
    <row r="532" spans="1:391" x14ac:dyDescent="0.25">
      <c r="A532" s="7">
        <v>2.9717306730230932</v>
      </c>
      <c r="B532"/>
      <c r="C532"/>
      <c r="D532"/>
      <c r="E532"/>
      <c r="HM532" s="27" t="s">
        <v>8</v>
      </c>
      <c r="HN532" s="27" t="s">
        <v>7</v>
      </c>
      <c r="HY532" s="27" t="s">
        <v>8</v>
      </c>
      <c r="HZ532" s="27" t="s">
        <v>7</v>
      </c>
      <c r="IA532" s="27" t="s">
        <v>8</v>
      </c>
      <c r="IB532" s="27" t="s">
        <v>7</v>
      </c>
      <c r="IC532" s="27" t="s">
        <v>8</v>
      </c>
      <c r="ID532" s="27" t="s">
        <v>7</v>
      </c>
      <c r="IE532" s="27" t="s">
        <v>8</v>
      </c>
      <c r="IF532" s="27" t="s">
        <v>7</v>
      </c>
      <c r="MI532" s="27" t="s">
        <v>8</v>
      </c>
      <c r="MJ532" s="27" t="s">
        <v>7</v>
      </c>
      <c r="MK532" s="27" t="s">
        <v>8</v>
      </c>
      <c r="ML532" s="27" t="s">
        <v>7</v>
      </c>
      <c r="MM532" s="27" t="s">
        <v>8</v>
      </c>
      <c r="MN532" s="27" t="s">
        <v>7</v>
      </c>
      <c r="MO532" s="27" t="s">
        <v>8</v>
      </c>
      <c r="MP532" s="27" t="s">
        <v>7</v>
      </c>
      <c r="MQ532" s="27" t="s">
        <v>8</v>
      </c>
      <c r="MR532" s="27" t="s">
        <v>7</v>
      </c>
      <c r="MT532" s="27" t="s">
        <v>7</v>
      </c>
      <c r="MU532" s="27" t="s">
        <v>8</v>
      </c>
      <c r="NB532" s="27" t="s">
        <v>7</v>
      </c>
      <c r="NC532" s="27" t="s">
        <v>8</v>
      </c>
      <c r="ND532" s="27" t="s">
        <v>7</v>
      </c>
      <c r="NE532" s="27" t="s">
        <v>8</v>
      </c>
      <c r="NM532" s="27" t="s">
        <v>8</v>
      </c>
      <c r="NO532" s="27" t="s">
        <v>8</v>
      </c>
      <c r="NP532" s="27" t="s">
        <v>7</v>
      </c>
    </row>
    <row r="533" spans="1:391" x14ac:dyDescent="0.25">
      <c r="A533" s="7">
        <v>2.9134614441402875</v>
      </c>
      <c r="B533"/>
      <c r="C533"/>
      <c r="D533"/>
      <c r="E533"/>
      <c r="HM533" s="27" t="s">
        <v>8</v>
      </c>
      <c r="HN533" s="27" t="s">
        <v>7</v>
      </c>
      <c r="HY533" s="27" t="s">
        <v>8</v>
      </c>
      <c r="HZ533" s="27" t="s">
        <v>7</v>
      </c>
      <c r="IB533" s="27" t="s">
        <v>7</v>
      </c>
      <c r="IC533" s="27" t="s">
        <v>8</v>
      </c>
      <c r="ID533" s="27" t="s">
        <v>7</v>
      </c>
      <c r="IE533" s="27" t="s">
        <v>8</v>
      </c>
      <c r="IF533" s="27" t="s">
        <v>7</v>
      </c>
      <c r="MI533" s="27" t="s">
        <v>8</v>
      </c>
      <c r="MJ533" s="27" t="s">
        <v>7</v>
      </c>
      <c r="MK533" s="27" t="s">
        <v>8</v>
      </c>
      <c r="ML533" s="27" t="s">
        <v>7</v>
      </c>
      <c r="MM533" s="27" t="s">
        <v>8</v>
      </c>
      <c r="MN533" s="27" t="s">
        <v>7</v>
      </c>
      <c r="MP533" s="27" t="s">
        <v>7</v>
      </c>
      <c r="MQ533" s="27" t="s">
        <v>8</v>
      </c>
      <c r="MT533" s="27" t="s">
        <v>7</v>
      </c>
      <c r="MU533" s="27" t="s">
        <v>8</v>
      </c>
      <c r="NB533" s="27" t="s">
        <v>7</v>
      </c>
      <c r="NC533" s="27" t="s">
        <v>8</v>
      </c>
      <c r="ND533" s="27" t="s">
        <v>7</v>
      </c>
      <c r="NE533" s="27" t="s">
        <v>8</v>
      </c>
      <c r="NF533" s="27" t="s">
        <v>7</v>
      </c>
      <c r="NM533" s="27" t="s">
        <v>8</v>
      </c>
      <c r="NN533" s="27" t="s">
        <v>7</v>
      </c>
      <c r="NO533" s="27" t="s">
        <v>8</v>
      </c>
      <c r="NP533" s="27" t="s">
        <v>7</v>
      </c>
      <c r="NQ533" s="27" t="s">
        <v>8</v>
      </c>
    </row>
    <row r="534" spans="1:391" x14ac:dyDescent="0.25">
      <c r="A534" s="7">
        <v>2.8563347491571447</v>
      </c>
      <c r="B534"/>
      <c r="C534"/>
      <c r="D534"/>
      <c r="E534"/>
      <c r="HM534" s="27" t="s">
        <v>8</v>
      </c>
      <c r="HN534" s="27" t="s">
        <v>7</v>
      </c>
      <c r="HY534" s="27" t="s">
        <v>8</v>
      </c>
      <c r="IB534" s="27" t="s">
        <v>7</v>
      </c>
      <c r="IC534" s="27" t="s">
        <v>8</v>
      </c>
      <c r="ID534" s="27" t="s">
        <v>7</v>
      </c>
      <c r="IF534" s="27" t="s">
        <v>7</v>
      </c>
      <c r="IM534" s="27" t="s">
        <v>8</v>
      </c>
      <c r="MI534" s="27" t="s">
        <v>8</v>
      </c>
      <c r="MJ534" s="27" t="s">
        <v>7</v>
      </c>
      <c r="MK534" s="27" t="s">
        <v>8</v>
      </c>
      <c r="ML534" s="27" t="s">
        <v>7</v>
      </c>
      <c r="MM534" s="27" t="s">
        <v>8</v>
      </c>
      <c r="MP534" s="27" t="s">
        <v>7</v>
      </c>
      <c r="MQ534" s="27" t="s">
        <v>8</v>
      </c>
      <c r="MT534" s="27" t="s">
        <v>7</v>
      </c>
      <c r="MU534" s="27" t="s">
        <v>8</v>
      </c>
      <c r="NB534" s="27" t="s">
        <v>7</v>
      </c>
      <c r="NC534" s="27" t="s">
        <v>8</v>
      </c>
      <c r="ND534" s="27" t="s">
        <v>7</v>
      </c>
      <c r="NE534" s="27" t="s">
        <v>8</v>
      </c>
      <c r="NF534" s="27" t="s">
        <v>7</v>
      </c>
      <c r="NM534" s="27" t="s">
        <v>8</v>
      </c>
      <c r="NN534" s="27" t="s">
        <v>7</v>
      </c>
      <c r="NO534" s="27" t="s">
        <v>8</v>
      </c>
      <c r="NP534" s="27" t="s">
        <v>7</v>
      </c>
      <c r="NQ534" s="27" t="s">
        <v>8</v>
      </c>
      <c r="NR534" s="27" t="s">
        <v>7</v>
      </c>
    </row>
    <row r="535" spans="1:391" x14ac:dyDescent="0.25">
      <c r="A535" s="7">
        <v>2.8003281854481812</v>
      </c>
      <c r="B535"/>
      <c r="C535"/>
      <c r="D535"/>
      <c r="E535"/>
      <c r="HM535" s="27" t="s">
        <v>8</v>
      </c>
      <c r="HN535" s="27" t="s">
        <v>7</v>
      </c>
      <c r="HY535" s="27" t="s">
        <v>8</v>
      </c>
      <c r="IB535" s="27" t="s">
        <v>7</v>
      </c>
      <c r="IF535" s="27" t="s">
        <v>7</v>
      </c>
      <c r="IM535" s="27" t="s">
        <v>8</v>
      </c>
      <c r="IN535" s="27" t="s">
        <v>7</v>
      </c>
      <c r="IO535" s="27" t="s">
        <v>8</v>
      </c>
      <c r="MI535" s="27" t="s">
        <v>8</v>
      </c>
      <c r="MJ535" s="27" t="s">
        <v>7</v>
      </c>
      <c r="MK535" s="27" t="s">
        <v>8</v>
      </c>
      <c r="ML535" s="27" t="s">
        <v>7</v>
      </c>
      <c r="MM535" s="27" t="s">
        <v>8</v>
      </c>
      <c r="MP535" s="27" t="s">
        <v>7</v>
      </c>
      <c r="MQ535" s="27" t="s">
        <v>8</v>
      </c>
      <c r="MT535" s="27" t="s">
        <v>7</v>
      </c>
      <c r="MU535" s="27" t="s">
        <v>8</v>
      </c>
      <c r="NB535" s="27" t="s">
        <v>7</v>
      </c>
      <c r="NC535" s="27" t="s">
        <v>8</v>
      </c>
      <c r="ND535" s="27" t="s">
        <v>7</v>
      </c>
      <c r="NE535" s="27" t="s">
        <v>8</v>
      </c>
      <c r="NF535" s="27" t="s">
        <v>7</v>
      </c>
      <c r="NM535" s="27" t="s">
        <v>8</v>
      </c>
      <c r="NN535" s="27" t="s">
        <v>7</v>
      </c>
      <c r="NP535" s="27" t="s">
        <v>7</v>
      </c>
      <c r="NQ535" s="27" t="s">
        <v>8</v>
      </c>
      <c r="NR535" s="27" t="s">
        <v>7</v>
      </c>
    </row>
    <row r="536" spans="1:391" x14ac:dyDescent="0.25">
      <c r="A536" s="7">
        <v>2.7454197896550796</v>
      </c>
      <c r="B536"/>
      <c r="C536"/>
      <c r="D536"/>
      <c r="E536"/>
      <c r="HM536" s="27" t="s">
        <v>8</v>
      </c>
      <c r="HN536" s="27" t="s">
        <v>7</v>
      </c>
      <c r="HO536" s="27" t="s">
        <v>8</v>
      </c>
      <c r="HY536" s="27" t="s">
        <v>8</v>
      </c>
      <c r="IF536" s="27" t="s">
        <v>7</v>
      </c>
      <c r="IG536" s="27" t="s">
        <v>8</v>
      </c>
      <c r="II536" s="27" t="s">
        <v>8</v>
      </c>
      <c r="IM536" s="27" t="s">
        <v>8</v>
      </c>
      <c r="IN536" s="27" t="s">
        <v>7</v>
      </c>
      <c r="IO536" s="27" t="s">
        <v>8</v>
      </c>
      <c r="IP536" s="27" t="s">
        <v>7</v>
      </c>
      <c r="MI536" s="27" t="s">
        <v>8</v>
      </c>
      <c r="MJ536" s="27" t="s">
        <v>7</v>
      </c>
      <c r="MK536" s="27" t="s">
        <v>8</v>
      </c>
      <c r="ML536" s="27" t="s">
        <v>7</v>
      </c>
      <c r="MP536" s="27" t="s">
        <v>7</v>
      </c>
      <c r="MQ536" s="27" t="s">
        <v>8</v>
      </c>
      <c r="MT536" s="27" t="s">
        <v>7</v>
      </c>
      <c r="MU536" s="27" t="s">
        <v>8</v>
      </c>
      <c r="NB536" s="27" t="s">
        <v>7</v>
      </c>
      <c r="NC536" s="27" t="s">
        <v>8</v>
      </c>
      <c r="ND536" s="27" t="s">
        <v>7</v>
      </c>
      <c r="NE536" s="27" t="s">
        <v>8</v>
      </c>
      <c r="NF536" s="27" t="s">
        <v>7</v>
      </c>
      <c r="NG536" s="27" t="s">
        <v>8</v>
      </c>
      <c r="NM536" s="27" t="s">
        <v>8</v>
      </c>
      <c r="NP536" s="27" t="s">
        <v>7</v>
      </c>
      <c r="NQ536" s="27" t="s">
        <v>8</v>
      </c>
      <c r="NR536" s="27" t="s">
        <v>7</v>
      </c>
    </row>
    <row r="537" spans="1:391" x14ac:dyDescent="0.25">
      <c r="A537" s="7">
        <v>2.6915880290736074</v>
      </c>
      <c r="B537"/>
      <c r="C537"/>
      <c r="D537"/>
      <c r="E537"/>
      <c r="HM537" s="27" t="s">
        <v>8</v>
      </c>
      <c r="HN537" s="27" t="s">
        <v>7</v>
      </c>
      <c r="HO537" s="27" t="s">
        <v>8</v>
      </c>
      <c r="HP537" s="27" t="s">
        <v>7</v>
      </c>
      <c r="HY537" s="27" t="s">
        <v>8</v>
      </c>
      <c r="IF537" s="27" t="s">
        <v>7</v>
      </c>
      <c r="IG537" s="27" t="s">
        <v>8</v>
      </c>
      <c r="IH537" s="27" t="s">
        <v>7</v>
      </c>
      <c r="II537" s="27" t="s">
        <v>8</v>
      </c>
      <c r="IJ537" s="27" t="s">
        <v>7</v>
      </c>
      <c r="IM537" s="27" t="s">
        <v>8</v>
      </c>
      <c r="IN537" s="27" t="s">
        <v>7</v>
      </c>
      <c r="IO537" s="27" t="s">
        <v>8</v>
      </c>
      <c r="IP537" s="27" t="s">
        <v>7</v>
      </c>
      <c r="IS537" s="27" t="s">
        <v>8</v>
      </c>
      <c r="MI537" s="27" t="s">
        <v>8</v>
      </c>
      <c r="MJ537" s="27" t="s">
        <v>7</v>
      </c>
      <c r="MK537" s="27" t="s">
        <v>8</v>
      </c>
      <c r="MP537" s="27" t="s">
        <v>7</v>
      </c>
      <c r="MQ537" s="27" t="s">
        <v>8</v>
      </c>
      <c r="MT537" s="27" t="s">
        <v>7</v>
      </c>
      <c r="MU537" s="27" t="s">
        <v>8</v>
      </c>
      <c r="NB537" s="27" t="s">
        <v>7</v>
      </c>
      <c r="NC537" s="27" t="s">
        <v>8</v>
      </c>
      <c r="ND537" s="27" t="s">
        <v>7</v>
      </c>
      <c r="NE537" s="27" t="s">
        <v>8</v>
      </c>
      <c r="NF537" s="27" t="s">
        <v>7</v>
      </c>
      <c r="NG537" s="27" t="s">
        <v>8</v>
      </c>
      <c r="NH537" s="27" t="s">
        <v>7</v>
      </c>
      <c r="NM537" s="27" t="s">
        <v>8</v>
      </c>
      <c r="NP537" s="27" t="s">
        <v>7</v>
      </c>
      <c r="NQ537" s="27" t="s">
        <v>8</v>
      </c>
      <c r="NR537" s="27" t="s">
        <v>7</v>
      </c>
      <c r="NS537" s="27" t="s">
        <v>8</v>
      </c>
      <c r="NW537" s="27" t="s">
        <v>8</v>
      </c>
    </row>
    <row r="538" spans="1:391" x14ac:dyDescent="0.25">
      <c r="A538" s="7">
        <v>2.6388117932094191</v>
      </c>
      <c r="B538"/>
      <c r="C538"/>
      <c r="D538"/>
      <c r="E538"/>
      <c r="HM538" s="27" t="s">
        <v>8</v>
      </c>
      <c r="HN538" s="27" t="s">
        <v>7</v>
      </c>
      <c r="HO538" s="27" t="s">
        <v>8</v>
      </c>
      <c r="HP538" s="27" t="s">
        <v>7</v>
      </c>
      <c r="HU538" s="27" t="s">
        <v>8</v>
      </c>
      <c r="HY538" s="27" t="s">
        <v>8</v>
      </c>
      <c r="IF538" s="27" t="s">
        <v>7</v>
      </c>
      <c r="IG538" s="27" t="s">
        <v>8</v>
      </c>
      <c r="IH538" s="27" t="s">
        <v>7</v>
      </c>
      <c r="II538" s="27" t="s">
        <v>8</v>
      </c>
      <c r="IJ538" s="27" t="s">
        <v>7</v>
      </c>
      <c r="IM538" s="27" t="s">
        <v>8</v>
      </c>
      <c r="IN538" s="27" t="s">
        <v>7</v>
      </c>
      <c r="IO538" s="27" t="s">
        <v>8</v>
      </c>
      <c r="IP538" s="27" t="s">
        <v>7</v>
      </c>
      <c r="IS538" s="27" t="s">
        <v>8</v>
      </c>
      <c r="IT538" s="27" t="s">
        <v>7</v>
      </c>
      <c r="MI538" s="27" t="s">
        <v>8</v>
      </c>
      <c r="MJ538" s="27" t="s">
        <v>7</v>
      </c>
      <c r="MK538" s="27" t="s">
        <v>8</v>
      </c>
      <c r="MP538" s="27" t="s">
        <v>7</v>
      </c>
      <c r="MQ538" s="27" t="s">
        <v>8</v>
      </c>
      <c r="MT538" s="27" t="s">
        <v>7</v>
      </c>
      <c r="MU538" s="27" t="s">
        <v>8</v>
      </c>
      <c r="NB538" s="27" t="s">
        <v>7</v>
      </c>
      <c r="NC538" s="27" t="s">
        <v>8</v>
      </c>
      <c r="ND538" s="27" t="s">
        <v>7</v>
      </c>
      <c r="NE538" s="27" t="s">
        <v>8</v>
      </c>
      <c r="NF538" s="27" t="s">
        <v>7</v>
      </c>
      <c r="NG538" s="27" t="s">
        <v>8</v>
      </c>
      <c r="NH538" s="27" t="s">
        <v>7</v>
      </c>
      <c r="NM538" s="27" t="s">
        <v>8</v>
      </c>
      <c r="NP538" s="27" t="s">
        <v>7</v>
      </c>
      <c r="NQ538" s="27" t="s">
        <v>8</v>
      </c>
      <c r="NR538" s="27" t="s">
        <v>7</v>
      </c>
      <c r="NS538" s="27" t="s">
        <v>8</v>
      </c>
      <c r="NT538" s="27" t="s">
        <v>7</v>
      </c>
      <c r="NW538" s="27" t="s">
        <v>8</v>
      </c>
      <c r="NX538" s="27" t="s">
        <v>7</v>
      </c>
    </row>
    <row r="539" spans="1:391" x14ac:dyDescent="0.25">
      <c r="A539" s="7">
        <v>2.5870703854994304</v>
      </c>
      <c r="B539"/>
      <c r="C539"/>
      <c r="D539"/>
      <c r="E539"/>
      <c r="HM539" s="27" t="s">
        <v>8</v>
      </c>
      <c r="HN539" s="27" t="s">
        <v>7</v>
      </c>
      <c r="HO539" s="27" t="s">
        <v>8</v>
      </c>
      <c r="HP539" s="27" t="s">
        <v>7</v>
      </c>
      <c r="HS539" s="27" t="s">
        <v>8</v>
      </c>
      <c r="HU539" s="27" t="s">
        <v>8</v>
      </c>
      <c r="HV539" s="27" t="s">
        <v>7</v>
      </c>
      <c r="HW539" s="27" t="s">
        <v>8</v>
      </c>
      <c r="HY539" s="27" t="s">
        <v>8</v>
      </c>
      <c r="IF539" s="27" t="s">
        <v>7</v>
      </c>
      <c r="IG539" s="27" t="s">
        <v>8</v>
      </c>
      <c r="IH539" s="27" t="s">
        <v>7</v>
      </c>
      <c r="II539" s="27" t="s">
        <v>8</v>
      </c>
      <c r="IJ539" s="27" t="s">
        <v>7</v>
      </c>
      <c r="IM539" s="27" t="s">
        <v>8</v>
      </c>
      <c r="IN539" s="27" t="s">
        <v>7</v>
      </c>
      <c r="IP539" s="27" t="s">
        <v>7</v>
      </c>
      <c r="IQ539" s="27" t="s">
        <v>8</v>
      </c>
      <c r="IS539" s="27" t="s">
        <v>8</v>
      </c>
      <c r="IT539" s="27" t="s">
        <v>7</v>
      </c>
      <c r="IU539" s="27" t="s">
        <v>8</v>
      </c>
      <c r="MI539" s="27" t="s">
        <v>8</v>
      </c>
      <c r="MJ539" s="27" t="s">
        <v>7</v>
      </c>
      <c r="MK539" s="27" t="s">
        <v>8</v>
      </c>
      <c r="MP539" s="27" t="s">
        <v>7</v>
      </c>
      <c r="MT539" s="27" t="s">
        <v>7</v>
      </c>
      <c r="NB539" s="27" t="s">
        <v>7</v>
      </c>
      <c r="NC539" s="27" t="s">
        <v>8</v>
      </c>
      <c r="ND539" s="27" t="s">
        <v>7</v>
      </c>
      <c r="NE539" s="27" t="s">
        <v>8</v>
      </c>
      <c r="NF539" s="27" t="s">
        <v>7</v>
      </c>
      <c r="NG539" s="27" t="s">
        <v>8</v>
      </c>
      <c r="NH539" s="27" t="s">
        <v>7</v>
      </c>
      <c r="NM539" s="27" t="s">
        <v>8</v>
      </c>
      <c r="NP539" s="27" t="s">
        <v>7</v>
      </c>
      <c r="NQ539" s="27" t="s">
        <v>8</v>
      </c>
      <c r="NR539" s="27" t="s">
        <v>7</v>
      </c>
      <c r="NS539" s="27" t="s">
        <v>8</v>
      </c>
      <c r="NT539" s="27" t="s">
        <v>7</v>
      </c>
      <c r="NW539" s="27" t="s">
        <v>8</v>
      </c>
      <c r="NX539" s="27" t="s">
        <v>7</v>
      </c>
    </row>
    <row r="540" spans="1:391" x14ac:dyDescent="0.25">
      <c r="A540" s="7">
        <v>2.53634351519552</v>
      </c>
      <c r="B540"/>
      <c r="C540"/>
      <c r="D540"/>
      <c r="E540"/>
      <c r="HM540" s="27" t="s">
        <v>8</v>
      </c>
      <c r="HN540" s="27" t="s">
        <v>7</v>
      </c>
      <c r="HO540" s="27" t="s">
        <v>8</v>
      </c>
      <c r="HP540" s="27" t="s">
        <v>7</v>
      </c>
      <c r="HQ540" s="27" t="s">
        <v>8</v>
      </c>
      <c r="HS540" s="27" t="s">
        <v>8</v>
      </c>
      <c r="HT540" s="27" t="s">
        <v>7</v>
      </c>
      <c r="HU540" s="27" t="s">
        <v>8</v>
      </c>
      <c r="HV540" s="27" t="s">
        <v>7</v>
      </c>
      <c r="HW540" s="27" t="s">
        <v>8</v>
      </c>
      <c r="HX540" s="27" t="s">
        <v>7</v>
      </c>
      <c r="HY540" s="27" t="s">
        <v>8</v>
      </c>
      <c r="IF540" s="27" t="s">
        <v>7</v>
      </c>
      <c r="IG540" s="27" t="s">
        <v>8</v>
      </c>
      <c r="IH540" s="27" t="s">
        <v>7</v>
      </c>
      <c r="II540" s="27" t="s">
        <v>8</v>
      </c>
      <c r="IJ540" s="27" t="s">
        <v>7</v>
      </c>
      <c r="IM540" s="27" t="s">
        <v>8</v>
      </c>
      <c r="IP540" s="27" t="s">
        <v>7</v>
      </c>
      <c r="IQ540" s="27" t="s">
        <v>8</v>
      </c>
      <c r="IR540" s="27" t="s">
        <v>7</v>
      </c>
      <c r="IS540" s="27" t="s">
        <v>8</v>
      </c>
      <c r="IT540" s="27" t="s">
        <v>7</v>
      </c>
      <c r="IU540" s="27" t="s">
        <v>8</v>
      </c>
      <c r="IV540" s="27" t="s">
        <v>7</v>
      </c>
      <c r="MI540" s="27" t="s">
        <v>8</v>
      </c>
      <c r="MJ540" s="27" t="s">
        <v>7</v>
      </c>
      <c r="MK540" s="27" t="s">
        <v>8</v>
      </c>
      <c r="NB540" s="27" t="s">
        <v>7</v>
      </c>
      <c r="NC540" s="27" t="s">
        <v>8</v>
      </c>
      <c r="ND540" s="27" t="s">
        <v>7</v>
      </c>
      <c r="NE540" s="27" t="s">
        <v>8</v>
      </c>
      <c r="NF540" s="27" t="s">
        <v>7</v>
      </c>
      <c r="NG540" s="27" t="s">
        <v>8</v>
      </c>
      <c r="NH540" s="27" t="s">
        <v>7</v>
      </c>
      <c r="NI540" s="27" t="s">
        <v>8</v>
      </c>
      <c r="NM540" s="27" t="s">
        <v>8</v>
      </c>
      <c r="NP540" s="27" t="s">
        <v>7</v>
      </c>
      <c r="NR540" s="27" t="s">
        <v>7</v>
      </c>
      <c r="NS540" s="27" t="s">
        <v>8</v>
      </c>
      <c r="NT540" s="27" t="s">
        <v>7</v>
      </c>
      <c r="NW540" s="27" t="s">
        <v>8</v>
      </c>
      <c r="NX540" s="27" t="s">
        <v>7</v>
      </c>
      <c r="NY540" s="27" t="s">
        <v>8</v>
      </c>
    </row>
    <row r="541" spans="1:391" x14ac:dyDescent="0.25">
      <c r="A541" s="7">
        <v>2.4866112894073726</v>
      </c>
      <c r="B541"/>
      <c r="C541"/>
      <c r="D541"/>
      <c r="E541"/>
      <c r="HM541" s="27" t="s">
        <v>8</v>
      </c>
      <c r="HN541" s="27" t="s">
        <v>7</v>
      </c>
      <c r="HO541" s="27" t="s">
        <v>8</v>
      </c>
      <c r="HP541" s="27" t="s">
        <v>7</v>
      </c>
      <c r="HQ541" s="27" t="s">
        <v>8</v>
      </c>
      <c r="HR541" s="27" t="s">
        <v>7</v>
      </c>
      <c r="HS541" s="27" t="s">
        <v>8</v>
      </c>
      <c r="HT541" s="27" t="s">
        <v>7</v>
      </c>
      <c r="HU541" s="27" t="s">
        <v>8</v>
      </c>
      <c r="HV541" s="27" t="s">
        <v>7</v>
      </c>
      <c r="HW541" s="27" t="s">
        <v>8</v>
      </c>
      <c r="HX541" s="27" t="s">
        <v>7</v>
      </c>
      <c r="HY541" s="27" t="s">
        <v>8</v>
      </c>
      <c r="IF541" s="27" t="s">
        <v>7</v>
      </c>
      <c r="IG541" s="27" t="s">
        <v>8</v>
      </c>
      <c r="IH541" s="27" t="s">
        <v>7</v>
      </c>
      <c r="II541" s="27" t="s">
        <v>8</v>
      </c>
      <c r="IJ541" s="27" t="s">
        <v>7</v>
      </c>
      <c r="IM541" s="27" t="s">
        <v>8</v>
      </c>
      <c r="IP541" s="27" t="s">
        <v>7</v>
      </c>
      <c r="IQ541" s="27" t="s">
        <v>8</v>
      </c>
      <c r="IR541" s="27" t="s">
        <v>7</v>
      </c>
      <c r="IS541" s="27" t="s">
        <v>8</v>
      </c>
      <c r="IT541" s="27" t="s">
        <v>7</v>
      </c>
      <c r="IU541" s="27" t="s">
        <v>8</v>
      </c>
      <c r="IV541" s="27" t="s">
        <v>7</v>
      </c>
      <c r="MI541" s="27" t="s">
        <v>8</v>
      </c>
      <c r="MJ541" s="27" t="s">
        <v>7</v>
      </c>
      <c r="MK541" s="27" t="s">
        <v>8</v>
      </c>
      <c r="NB541" s="27" t="s">
        <v>7</v>
      </c>
      <c r="NC541" s="27" t="s">
        <v>8</v>
      </c>
      <c r="ND541" s="27" t="s">
        <v>7</v>
      </c>
      <c r="NE541" s="27" t="s">
        <v>8</v>
      </c>
      <c r="NF541" s="27" t="s">
        <v>7</v>
      </c>
      <c r="NG541" s="27" t="s">
        <v>8</v>
      </c>
      <c r="NH541" s="27" t="s">
        <v>7</v>
      </c>
      <c r="NI541" s="27" t="s">
        <v>8</v>
      </c>
      <c r="NJ541" s="27" t="s">
        <v>7</v>
      </c>
      <c r="NK541" s="27" t="s">
        <v>8</v>
      </c>
      <c r="NM541" s="27" t="s">
        <v>8</v>
      </c>
      <c r="NR541" s="27" t="s">
        <v>7</v>
      </c>
      <c r="NS541" s="27" t="s">
        <v>8</v>
      </c>
      <c r="NT541" s="27" t="s">
        <v>7</v>
      </c>
      <c r="NW541" s="27" t="s">
        <v>8</v>
      </c>
      <c r="NX541" s="27" t="s">
        <v>7</v>
      </c>
      <c r="NY541" s="27" t="s">
        <v>8</v>
      </c>
      <c r="NZ541" s="27" t="s">
        <v>7</v>
      </c>
    </row>
    <row r="542" spans="1:391" x14ac:dyDescent="0.25">
      <c r="A542" s="7">
        <v>2.4378542053013459</v>
      </c>
      <c r="B542"/>
      <c r="C542"/>
      <c r="D542"/>
      <c r="E542"/>
      <c r="HM542" s="27" t="s">
        <v>8</v>
      </c>
      <c r="HN542" s="27" t="s">
        <v>7</v>
      </c>
      <c r="HO542" s="27" t="s">
        <v>8</v>
      </c>
      <c r="HP542" s="27" t="s">
        <v>7</v>
      </c>
      <c r="HQ542" s="27" t="s">
        <v>8</v>
      </c>
      <c r="HR542" s="27" t="s">
        <v>7</v>
      </c>
      <c r="HS542" s="27" t="s">
        <v>8</v>
      </c>
      <c r="HT542" s="27" t="s">
        <v>7</v>
      </c>
      <c r="HU542" s="27" t="s">
        <v>8</v>
      </c>
      <c r="HV542" s="27" t="s">
        <v>7</v>
      </c>
      <c r="HW542" s="27" t="s">
        <v>8</v>
      </c>
      <c r="HX542" s="27" t="s">
        <v>7</v>
      </c>
      <c r="HY542" s="27" t="s">
        <v>8</v>
      </c>
      <c r="IF542" s="27" t="s">
        <v>7</v>
      </c>
      <c r="IG542" s="27" t="s">
        <v>8</v>
      </c>
      <c r="IH542" s="27" t="s">
        <v>7</v>
      </c>
      <c r="II542" s="27" t="s">
        <v>8</v>
      </c>
      <c r="IJ542" s="27" t="s">
        <v>7</v>
      </c>
      <c r="IM542" s="27" t="s">
        <v>8</v>
      </c>
      <c r="IP542" s="27" t="s">
        <v>7</v>
      </c>
      <c r="IQ542" s="27" t="s">
        <v>8</v>
      </c>
      <c r="IR542" s="27" t="s">
        <v>7</v>
      </c>
      <c r="IT542" s="27" t="s">
        <v>7</v>
      </c>
      <c r="IU542" s="27" t="s">
        <v>8</v>
      </c>
      <c r="IV542" s="27" t="s">
        <v>7</v>
      </c>
      <c r="MI542" s="27" t="s">
        <v>8</v>
      </c>
      <c r="MJ542" s="27" t="s">
        <v>7</v>
      </c>
      <c r="MK542" s="27" t="s">
        <v>8</v>
      </c>
      <c r="NB542" s="27" t="s">
        <v>7</v>
      </c>
      <c r="NC542" s="27" t="s">
        <v>8</v>
      </c>
      <c r="ND542" s="27" t="s">
        <v>7</v>
      </c>
      <c r="NE542" s="27" t="s">
        <v>8</v>
      </c>
      <c r="NF542" s="27" t="s">
        <v>7</v>
      </c>
      <c r="NG542" s="27" t="s">
        <v>8</v>
      </c>
      <c r="NH542" s="27" t="s">
        <v>7</v>
      </c>
      <c r="NI542" s="27" t="s">
        <v>8</v>
      </c>
      <c r="NJ542" s="27" t="s">
        <v>7</v>
      </c>
      <c r="NK542" s="27" t="s">
        <v>8</v>
      </c>
      <c r="NL542" s="27" t="s">
        <v>7</v>
      </c>
      <c r="NM542" s="27" t="s">
        <v>8</v>
      </c>
      <c r="NR542" s="27" t="s">
        <v>7</v>
      </c>
      <c r="NS542" s="27" t="s">
        <v>8</v>
      </c>
      <c r="NT542" s="27" t="s">
        <v>7</v>
      </c>
      <c r="NW542" s="27" t="s">
        <v>8</v>
      </c>
      <c r="NX542" s="27" t="s">
        <v>7</v>
      </c>
      <c r="NY542" s="27" t="s">
        <v>8</v>
      </c>
      <c r="NZ542" s="27" t="s">
        <v>7</v>
      </c>
    </row>
    <row r="543" spans="1:391" x14ac:dyDescent="0.25">
      <c r="A543" s="7">
        <v>2.3900531424522997</v>
      </c>
      <c r="B543"/>
      <c r="C543"/>
      <c r="D543"/>
      <c r="E543"/>
      <c r="HM543" s="27" t="s">
        <v>8</v>
      </c>
      <c r="HN543" s="27" t="s">
        <v>7</v>
      </c>
      <c r="HO543" s="27" t="s">
        <v>8</v>
      </c>
      <c r="HP543" s="27" t="s">
        <v>7</v>
      </c>
      <c r="HQ543" s="27" t="s">
        <v>8</v>
      </c>
      <c r="HR543" s="27" t="s">
        <v>7</v>
      </c>
      <c r="HS543" s="27" t="s">
        <v>8</v>
      </c>
      <c r="HT543" s="27" t="s">
        <v>7</v>
      </c>
      <c r="HU543" s="27" t="s">
        <v>8</v>
      </c>
      <c r="HV543" s="27" t="s">
        <v>7</v>
      </c>
      <c r="HW543" s="27" t="s">
        <v>8</v>
      </c>
      <c r="HX543" s="27" t="s">
        <v>7</v>
      </c>
      <c r="HY543" s="27" t="s">
        <v>8</v>
      </c>
      <c r="IF543" s="27" t="s">
        <v>7</v>
      </c>
      <c r="IG543" s="27" t="s">
        <v>8</v>
      </c>
      <c r="IH543" s="27" t="s">
        <v>7</v>
      </c>
      <c r="II543" s="27" t="s">
        <v>8</v>
      </c>
      <c r="IJ543" s="27" t="s">
        <v>7</v>
      </c>
      <c r="IM543" s="27" t="s">
        <v>8</v>
      </c>
      <c r="IP543" s="27" t="s">
        <v>7</v>
      </c>
      <c r="IQ543" s="27" t="s">
        <v>8</v>
      </c>
      <c r="IT543" s="27" t="s">
        <v>7</v>
      </c>
      <c r="IU543" s="27" t="s">
        <v>8</v>
      </c>
      <c r="IV543" s="27" t="s">
        <v>7</v>
      </c>
      <c r="MI543" s="27" t="s">
        <v>8</v>
      </c>
      <c r="MJ543" s="27" t="s">
        <v>7</v>
      </c>
      <c r="NB543" s="27" t="s">
        <v>7</v>
      </c>
      <c r="NC543" s="27" t="s">
        <v>8</v>
      </c>
      <c r="ND543" s="27" t="s">
        <v>7</v>
      </c>
      <c r="NF543" s="27" t="s">
        <v>7</v>
      </c>
      <c r="NH543" s="27" t="s">
        <v>7</v>
      </c>
      <c r="NI543" s="27" t="s">
        <v>8</v>
      </c>
      <c r="NJ543" s="27" t="s">
        <v>7</v>
      </c>
      <c r="NK543" s="27" t="s">
        <v>8</v>
      </c>
      <c r="NL543" s="27" t="s">
        <v>7</v>
      </c>
      <c r="NM543" s="27" t="s">
        <v>8</v>
      </c>
      <c r="NR543" s="27" t="s">
        <v>7</v>
      </c>
      <c r="NS543" s="27" t="s">
        <v>8</v>
      </c>
      <c r="NT543" s="27" t="s">
        <v>7</v>
      </c>
      <c r="NW543" s="27" t="s">
        <v>8</v>
      </c>
      <c r="NX543" s="27" t="s">
        <v>7</v>
      </c>
      <c r="NY543" s="27" t="s">
        <v>8</v>
      </c>
      <c r="NZ543" s="27" t="s">
        <v>7</v>
      </c>
    </row>
    <row r="544" spans="1:391" x14ac:dyDescent="0.25">
      <c r="A544" s="7">
        <v>2.343189355345392</v>
      </c>
      <c r="B544"/>
      <c r="C544"/>
      <c r="D544"/>
      <c r="E544"/>
      <c r="HM544" s="27" t="s">
        <v>8</v>
      </c>
      <c r="HN544" s="27" t="s">
        <v>7</v>
      </c>
      <c r="HO544" s="27" t="s">
        <v>8</v>
      </c>
      <c r="HP544" s="27" t="s">
        <v>7</v>
      </c>
      <c r="HQ544" s="27" t="s">
        <v>8</v>
      </c>
      <c r="HR544" s="27" t="s">
        <v>7</v>
      </c>
      <c r="HS544" s="27" t="s">
        <v>8</v>
      </c>
      <c r="HT544" s="27" t="s">
        <v>7</v>
      </c>
      <c r="HV544" s="27" t="s">
        <v>7</v>
      </c>
      <c r="HW544" s="27" t="s">
        <v>8</v>
      </c>
      <c r="HX544" s="27" t="s">
        <v>7</v>
      </c>
      <c r="HY544" s="27" t="s">
        <v>8</v>
      </c>
      <c r="IF544" s="27" t="s">
        <v>7</v>
      </c>
      <c r="IG544" s="27" t="s">
        <v>8</v>
      </c>
      <c r="IH544" s="27" t="s">
        <v>7</v>
      </c>
      <c r="II544" s="27" t="s">
        <v>8</v>
      </c>
      <c r="IJ544" s="27" t="s">
        <v>7</v>
      </c>
      <c r="IM544" s="27" t="s">
        <v>8</v>
      </c>
      <c r="IP544" s="27" t="s">
        <v>7</v>
      </c>
      <c r="IQ544" s="27" t="s">
        <v>8</v>
      </c>
      <c r="IT544" s="27" t="s">
        <v>7</v>
      </c>
      <c r="IU544" s="27" t="s">
        <v>8</v>
      </c>
      <c r="IV544" s="27" t="s">
        <v>7</v>
      </c>
      <c r="MI544" s="27" t="s">
        <v>8</v>
      </c>
      <c r="NB544" s="27" t="s">
        <v>7</v>
      </c>
      <c r="NC544" s="27" t="s">
        <v>8</v>
      </c>
      <c r="NH544" s="27" t="s">
        <v>7</v>
      </c>
      <c r="NI544" s="27" t="s">
        <v>8</v>
      </c>
      <c r="NJ544" s="27" t="s">
        <v>7</v>
      </c>
      <c r="NK544" s="27" t="s">
        <v>8</v>
      </c>
      <c r="NL544" s="27" t="s">
        <v>7</v>
      </c>
      <c r="NM544" s="27" t="s">
        <v>8</v>
      </c>
      <c r="NR544" s="27" t="s">
        <v>7</v>
      </c>
      <c r="NS544" s="27" t="s">
        <v>8</v>
      </c>
      <c r="NT544" s="27" t="s">
        <v>7</v>
      </c>
      <c r="NU544" s="27" t="s">
        <v>8</v>
      </c>
      <c r="NW544" s="27" t="s">
        <v>8</v>
      </c>
      <c r="NX544" s="27" t="s">
        <v>7</v>
      </c>
      <c r="NZ544" s="27" t="s">
        <v>7</v>
      </c>
      <c r="OA544" s="27" t="s">
        <v>8</v>
      </c>
    </row>
    <row r="545" spans="1:396" x14ac:dyDescent="0.25">
      <c r="A545" s="7">
        <v>2.2972444660248938</v>
      </c>
      <c r="B545"/>
      <c r="C545"/>
      <c r="D545"/>
      <c r="E545"/>
      <c r="HM545" s="27" t="s">
        <v>8</v>
      </c>
      <c r="HN545" s="27" t="s">
        <v>7</v>
      </c>
      <c r="HO545" s="27" t="s">
        <v>8</v>
      </c>
      <c r="HP545" s="27" t="s">
        <v>7</v>
      </c>
      <c r="HQ545" s="27" t="s">
        <v>8</v>
      </c>
      <c r="HR545" s="27" t="s">
        <v>7</v>
      </c>
      <c r="HS545" s="27" t="s">
        <v>8</v>
      </c>
      <c r="HV545" s="27" t="s">
        <v>7</v>
      </c>
      <c r="HW545" s="27" t="s">
        <v>8</v>
      </c>
      <c r="HX545" s="27" t="s">
        <v>7</v>
      </c>
      <c r="HY545" s="27" t="s">
        <v>8</v>
      </c>
      <c r="IF545" s="27" t="s">
        <v>7</v>
      </c>
      <c r="IG545" s="27" t="s">
        <v>8</v>
      </c>
      <c r="IH545" s="27" t="s">
        <v>7</v>
      </c>
      <c r="II545" s="27" t="s">
        <v>8</v>
      </c>
      <c r="IJ545" s="27" t="s">
        <v>7</v>
      </c>
      <c r="IM545" s="27" t="s">
        <v>8</v>
      </c>
      <c r="IP545" s="27" t="s">
        <v>7</v>
      </c>
      <c r="IT545" s="27" t="s">
        <v>7</v>
      </c>
      <c r="IU545" s="27" t="s">
        <v>8</v>
      </c>
      <c r="IV545" s="27" t="s">
        <v>7</v>
      </c>
      <c r="LG545" s="27" t="s">
        <v>8</v>
      </c>
      <c r="MI545" s="27" t="s">
        <v>8</v>
      </c>
      <c r="NB545" s="27" t="s">
        <v>7</v>
      </c>
      <c r="NC545" s="27" t="s">
        <v>8</v>
      </c>
      <c r="NH545" s="27" t="s">
        <v>7</v>
      </c>
      <c r="NI545" s="27" t="s">
        <v>8</v>
      </c>
      <c r="NJ545" s="27" t="s">
        <v>7</v>
      </c>
      <c r="NK545" s="27" t="s">
        <v>8</v>
      </c>
      <c r="NL545" s="27" t="s">
        <v>7</v>
      </c>
      <c r="NM545" s="27" t="s">
        <v>8</v>
      </c>
      <c r="NR545" s="27" t="s">
        <v>7</v>
      </c>
      <c r="NS545" s="27" t="s">
        <v>8</v>
      </c>
      <c r="NT545" s="27" t="s">
        <v>7</v>
      </c>
      <c r="NU545" s="27" t="s">
        <v>8</v>
      </c>
      <c r="NV545" s="27" t="s">
        <v>7</v>
      </c>
      <c r="NW545" s="27" t="s">
        <v>8</v>
      </c>
      <c r="NZ545" s="27" t="s">
        <v>7</v>
      </c>
      <c r="OA545" s="27" t="s">
        <v>8</v>
      </c>
      <c r="OB545" s="27" t="s">
        <v>7</v>
      </c>
    </row>
    <row r="546" spans="1:396" x14ac:dyDescent="0.25">
      <c r="A546" s="7">
        <v>2.252200456887151</v>
      </c>
      <c r="B546"/>
      <c r="C546"/>
      <c r="D546"/>
      <c r="E546"/>
      <c r="HM546" s="27" t="s">
        <v>8</v>
      </c>
      <c r="HN546" s="27" t="s">
        <v>7</v>
      </c>
      <c r="HP546" s="27" t="s">
        <v>7</v>
      </c>
      <c r="HQ546" s="27" t="s">
        <v>8</v>
      </c>
      <c r="HR546" s="27" t="s">
        <v>7</v>
      </c>
      <c r="HS546" s="27" t="s">
        <v>8</v>
      </c>
      <c r="HV546" s="27" t="s">
        <v>7</v>
      </c>
      <c r="HW546" s="27" t="s">
        <v>8</v>
      </c>
      <c r="HX546" s="27" t="s">
        <v>7</v>
      </c>
      <c r="HY546" s="27" t="s">
        <v>8</v>
      </c>
      <c r="IF546" s="27" t="s">
        <v>7</v>
      </c>
      <c r="IG546" s="27" t="s">
        <v>8</v>
      </c>
      <c r="IH546" s="27" t="s">
        <v>7</v>
      </c>
      <c r="II546" s="27" t="s">
        <v>8</v>
      </c>
      <c r="IJ546" s="27" t="s">
        <v>7</v>
      </c>
      <c r="IK546" s="27" t="s">
        <v>8</v>
      </c>
      <c r="IM546" s="27" t="s">
        <v>8</v>
      </c>
      <c r="IT546" s="27" t="s">
        <v>7</v>
      </c>
      <c r="IU546" s="27" t="s">
        <v>8</v>
      </c>
      <c r="IV546" s="27" t="s">
        <v>7</v>
      </c>
      <c r="LG546" s="27" t="s">
        <v>8</v>
      </c>
      <c r="LH546" s="27" t="s">
        <v>7</v>
      </c>
      <c r="LK546" s="27" t="s">
        <v>8</v>
      </c>
      <c r="MI546" s="27" t="s">
        <v>8</v>
      </c>
      <c r="NB546" s="27" t="s">
        <v>7</v>
      </c>
      <c r="NC546" s="27" t="s">
        <v>8</v>
      </c>
      <c r="NH546" s="27" t="s">
        <v>7</v>
      </c>
      <c r="NI546" s="27" t="s">
        <v>8</v>
      </c>
      <c r="NJ546" s="27" t="s">
        <v>7</v>
      </c>
      <c r="NL546" s="27" t="s">
        <v>7</v>
      </c>
      <c r="NM546" s="27" t="s">
        <v>8</v>
      </c>
      <c r="NR546" s="27" t="s">
        <v>7</v>
      </c>
      <c r="NT546" s="27" t="s">
        <v>7</v>
      </c>
      <c r="NU546" s="27" t="s">
        <v>8</v>
      </c>
      <c r="NV546" s="27" t="s">
        <v>7</v>
      </c>
      <c r="NW546" s="27" t="s">
        <v>8</v>
      </c>
      <c r="NZ546" s="27" t="s">
        <v>7</v>
      </c>
      <c r="OA546" s="27" t="s">
        <v>8</v>
      </c>
      <c r="OB546" s="27" t="s">
        <v>7</v>
      </c>
    </row>
    <row r="547" spans="1:396" x14ac:dyDescent="0.25">
      <c r="A547" s="7">
        <v>2.208039663614854</v>
      </c>
      <c r="B547"/>
      <c r="C547"/>
      <c r="D547"/>
      <c r="E547"/>
      <c r="HK547" s="27" t="s">
        <v>8</v>
      </c>
      <c r="HM547" s="27" t="s">
        <v>8</v>
      </c>
      <c r="HP547" s="27" t="s">
        <v>7</v>
      </c>
      <c r="HQ547" s="27" t="s">
        <v>8</v>
      </c>
      <c r="HR547" s="27" t="s">
        <v>7</v>
      </c>
      <c r="HS547" s="27" t="s">
        <v>8</v>
      </c>
      <c r="HV547" s="27" t="s">
        <v>7</v>
      </c>
      <c r="HX547" s="27" t="s">
        <v>7</v>
      </c>
      <c r="HY547" s="27" t="s">
        <v>8</v>
      </c>
      <c r="IF547" s="27" t="s">
        <v>7</v>
      </c>
      <c r="IG547" s="27" t="s">
        <v>8</v>
      </c>
      <c r="IH547" s="27" t="s">
        <v>7</v>
      </c>
      <c r="II547" s="27" t="s">
        <v>8</v>
      </c>
      <c r="IJ547" s="27" t="s">
        <v>7</v>
      </c>
      <c r="IK547" s="27" t="s">
        <v>8</v>
      </c>
      <c r="IL547" s="27" t="s">
        <v>7</v>
      </c>
      <c r="IM547" s="27" t="s">
        <v>8</v>
      </c>
      <c r="IT547" s="27" t="s">
        <v>7</v>
      </c>
      <c r="IU547" s="27" t="s">
        <v>8</v>
      </c>
      <c r="IV547" s="27" t="s">
        <v>7</v>
      </c>
      <c r="LG547" s="27" t="s">
        <v>8</v>
      </c>
      <c r="LH547" s="27" t="s">
        <v>7</v>
      </c>
      <c r="LK547" s="27" t="s">
        <v>8</v>
      </c>
      <c r="LL547" s="27" t="s">
        <v>7</v>
      </c>
      <c r="MI547" s="27" t="s">
        <v>8</v>
      </c>
      <c r="NB547" s="27" t="s">
        <v>7</v>
      </c>
      <c r="NC547" s="27" t="s">
        <v>8</v>
      </c>
      <c r="NH547" s="27" t="s">
        <v>7</v>
      </c>
      <c r="NL547" s="27" t="s">
        <v>7</v>
      </c>
      <c r="NM547" s="27" t="s">
        <v>8</v>
      </c>
      <c r="NT547" s="27" t="s">
        <v>7</v>
      </c>
      <c r="NV547" s="27" t="s">
        <v>7</v>
      </c>
      <c r="NW547" s="27" t="s">
        <v>8</v>
      </c>
      <c r="NZ547" s="27" t="s">
        <v>7</v>
      </c>
      <c r="OB547" s="27" t="s">
        <v>7</v>
      </c>
    </row>
    <row r="548" spans="1:396" x14ac:dyDescent="0.25">
      <c r="A548" s="7">
        <v>2.1647447682498568</v>
      </c>
      <c r="B548"/>
      <c r="C548"/>
      <c r="D548"/>
      <c r="E548"/>
      <c r="HK548" s="27" t="s">
        <v>8</v>
      </c>
      <c r="HL548" s="27" t="s">
        <v>7</v>
      </c>
      <c r="HM548" s="27" t="s">
        <v>8</v>
      </c>
      <c r="HP548" s="27" t="s">
        <v>7</v>
      </c>
      <c r="HQ548" s="27" t="s">
        <v>8</v>
      </c>
      <c r="HR548" s="27" t="s">
        <v>7</v>
      </c>
      <c r="HS548" s="27" t="s">
        <v>8</v>
      </c>
      <c r="HX548" s="27" t="s">
        <v>7</v>
      </c>
      <c r="HY548" s="27" t="s">
        <v>8</v>
      </c>
      <c r="IF548" s="27" t="s">
        <v>7</v>
      </c>
      <c r="IH548" s="27" t="s">
        <v>7</v>
      </c>
      <c r="IJ548" s="27" t="s">
        <v>7</v>
      </c>
      <c r="IK548" s="27" t="s">
        <v>8</v>
      </c>
      <c r="IL548" s="27" t="s">
        <v>7</v>
      </c>
      <c r="IM548" s="27" t="s">
        <v>8</v>
      </c>
      <c r="IT548" s="27" t="s">
        <v>7</v>
      </c>
      <c r="IU548" s="27" t="s">
        <v>8</v>
      </c>
      <c r="IV548" s="27" t="s">
        <v>7</v>
      </c>
      <c r="IW548" s="27" t="s">
        <v>8</v>
      </c>
      <c r="LC548" s="27" t="s">
        <v>8</v>
      </c>
      <c r="LG548" s="27" t="s">
        <v>8</v>
      </c>
      <c r="LH548" s="27" t="s">
        <v>7</v>
      </c>
      <c r="LK548" s="27" t="s">
        <v>8</v>
      </c>
      <c r="LL548" s="27" t="s">
        <v>7</v>
      </c>
      <c r="MI548" s="27" t="s">
        <v>8</v>
      </c>
      <c r="NB548" s="27" t="s">
        <v>7</v>
      </c>
      <c r="NC548" s="27" t="s">
        <v>8</v>
      </c>
      <c r="NL548" s="27" t="s">
        <v>7</v>
      </c>
      <c r="NV548" s="27" t="s">
        <v>7</v>
      </c>
      <c r="NW548" s="27" t="s">
        <v>8</v>
      </c>
      <c r="OB548" s="27" t="s">
        <v>7</v>
      </c>
    </row>
    <row r="549" spans="1:396" x14ac:dyDescent="0.25">
      <c r="A549" s="7">
        <v>2.1222987924018204</v>
      </c>
      <c r="B549"/>
      <c r="C549"/>
      <c r="D549"/>
      <c r="E549"/>
      <c r="HK549" s="27" t="s">
        <v>8</v>
      </c>
      <c r="HL549" s="27" t="s">
        <v>7</v>
      </c>
      <c r="HM549" s="27" t="s">
        <v>8</v>
      </c>
      <c r="HP549" s="27" t="s">
        <v>7</v>
      </c>
      <c r="HQ549" s="27" t="s">
        <v>8</v>
      </c>
      <c r="HR549" s="27" t="s">
        <v>7</v>
      </c>
      <c r="HS549" s="27" t="s">
        <v>8</v>
      </c>
      <c r="HX549" s="27" t="s">
        <v>7</v>
      </c>
      <c r="HY549" s="27" t="s">
        <v>8</v>
      </c>
      <c r="IJ549" s="27" t="s">
        <v>7</v>
      </c>
      <c r="IK549" s="27" t="s">
        <v>8</v>
      </c>
      <c r="IL549" s="27" t="s">
        <v>7</v>
      </c>
      <c r="IM549" s="27" t="s">
        <v>8</v>
      </c>
      <c r="IT549" s="27" t="s">
        <v>7</v>
      </c>
      <c r="IU549" s="27" t="s">
        <v>8</v>
      </c>
      <c r="IV549" s="27" t="s">
        <v>7</v>
      </c>
      <c r="IW549" s="27" t="s">
        <v>8</v>
      </c>
      <c r="IX549" s="27" t="s">
        <v>7</v>
      </c>
      <c r="LC549" s="27" t="s">
        <v>8</v>
      </c>
      <c r="LD549" s="27" t="s">
        <v>7</v>
      </c>
      <c r="LG549" s="27" t="s">
        <v>8</v>
      </c>
      <c r="LH549" s="27" t="s">
        <v>7</v>
      </c>
      <c r="LI549" s="27" t="s">
        <v>8</v>
      </c>
      <c r="LK549" s="27" t="s">
        <v>8</v>
      </c>
      <c r="LL549" s="27" t="s">
        <v>7</v>
      </c>
      <c r="MI549" s="27" t="s">
        <v>8</v>
      </c>
      <c r="NB549" s="27" t="s">
        <v>7</v>
      </c>
      <c r="NC549" s="27" t="s">
        <v>8</v>
      </c>
      <c r="NV549" s="27" t="s">
        <v>7</v>
      </c>
      <c r="NW549" s="27" t="s">
        <v>8</v>
      </c>
      <c r="OB549" s="27" t="s">
        <v>7</v>
      </c>
    </row>
    <row r="550" spans="1:396" x14ac:dyDescent="0.25">
      <c r="A550" s="7">
        <v>2.0806850905900198</v>
      </c>
      <c r="B550"/>
      <c r="C550"/>
      <c r="D550"/>
      <c r="E550"/>
      <c r="HK550" s="27" t="s">
        <v>8</v>
      </c>
      <c r="HL550" s="27" t="s">
        <v>7</v>
      </c>
      <c r="HM550" s="27" t="s">
        <v>8</v>
      </c>
      <c r="HP550" s="27" t="s">
        <v>7</v>
      </c>
      <c r="HQ550" s="27" t="s">
        <v>8</v>
      </c>
      <c r="HR550" s="27" t="s">
        <v>7</v>
      </c>
      <c r="HS550" s="27" t="s">
        <v>8</v>
      </c>
      <c r="HX550" s="27" t="s">
        <v>7</v>
      </c>
      <c r="HY550" s="27" t="s">
        <v>8</v>
      </c>
      <c r="IJ550" s="27" t="s">
        <v>7</v>
      </c>
      <c r="IK550" s="27" t="s">
        <v>8</v>
      </c>
      <c r="IL550" s="27" t="s">
        <v>7</v>
      </c>
      <c r="IM550" s="27" t="s">
        <v>8</v>
      </c>
      <c r="IT550" s="27" t="s">
        <v>7</v>
      </c>
      <c r="IU550" s="27" t="s">
        <v>8</v>
      </c>
      <c r="IV550" s="27" t="s">
        <v>7</v>
      </c>
      <c r="IW550" s="27" t="s">
        <v>8</v>
      </c>
      <c r="IX550" s="27" t="s">
        <v>7</v>
      </c>
      <c r="LC550" s="27" t="s">
        <v>8</v>
      </c>
      <c r="LD550" s="27" t="s">
        <v>7</v>
      </c>
      <c r="LG550" s="27" t="s">
        <v>8</v>
      </c>
      <c r="LH550" s="27" t="s">
        <v>7</v>
      </c>
      <c r="LI550" s="27" t="s">
        <v>8</v>
      </c>
      <c r="LJ550" s="27" t="s">
        <v>7</v>
      </c>
      <c r="LK550" s="27" t="s">
        <v>8</v>
      </c>
      <c r="LL550" s="27" t="s">
        <v>7</v>
      </c>
      <c r="MI550" s="27" t="s">
        <v>8</v>
      </c>
      <c r="NB550" s="27" t="s">
        <v>7</v>
      </c>
      <c r="NC550" s="27" t="s">
        <v>8</v>
      </c>
      <c r="NV550" s="27" t="s">
        <v>7</v>
      </c>
      <c r="OB550" s="27" t="s">
        <v>7</v>
      </c>
    </row>
    <row r="551" spans="1:396" x14ac:dyDescent="0.25">
      <c r="A551" s="7">
        <v>2.0398873437157055</v>
      </c>
      <c r="B551"/>
      <c r="C551"/>
      <c r="D551"/>
      <c r="E551"/>
      <c r="HK551" s="27" t="s">
        <v>8</v>
      </c>
      <c r="HL551" s="27" t="s">
        <v>7</v>
      </c>
      <c r="HM551" s="27" t="s">
        <v>8</v>
      </c>
      <c r="HP551" s="27" t="s">
        <v>7</v>
      </c>
      <c r="HQ551" s="27" t="s">
        <v>8</v>
      </c>
      <c r="HR551" s="27" t="s">
        <v>7</v>
      </c>
      <c r="HX551" s="27" t="s">
        <v>7</v>
      </c>
      <c r="IJ551" s="27" t="s">
        <v>7</v>
      </c>
      <c r="IK551" s="27" t="s">
        <v>8</v>
      </c>
      <c r="IL551" s="27" t="s">
        <v>7</v>
      </c>
      <c r="IM551" s="27" t="s">
        <v>8</v>
      </c>
      <c r="IT551" s="27" t="s">
        <v>7</v>
      </c>
      <c r="IV551" s="27" t="s">
        <v>7</v>
      </c>
      <c r="IW551" s="27" t="s">
        <v>8</v>
      </c>
      <c r="IX551" s="27" t="s">
        <v>7</v>
      </c>
      <c r="JG551" s="27" t="s">
        <v>8</v>
      </c>
      <c r="LC551" s="27" t="s">
        <v>8</v>
      </c>
      <c r="LD551" s="27" t="s">
        <v>7</v>
      </c>
      <c r="LE551" s="27" t="s">
        <v>8</v>
      </c>
      <c r="LG551" s="27" t="s">
        <v>8</v>
      </c>
      <c r="LH551" s="27" t="s">
        <v>7</v>
      </c>
      <c r="LI551" s="27" t="s">
        <v>8</v>
      </c>
      <c r="LJ551" s="27" t="s">
        <v>7</v>
      </c>
      <c r="LK551" s="27" t="s">
        <v>8</v>
      </c>
      <c r="LL551" s="27" t="s">
        <v>7</v>
      </c>
      <c r="MI551" s="27" t="s">
        <v>8</v>
      </c>
      <c r="NB551" s="27" t="s">
        <v>7</v>
      </c>
      <c r="OB551" s="27" t="s">
        <v>7</v>
      </c>
    </row>
    <row r="552" spans="1:396" x14ac:dyDescent="0.25">
      <c r="A552" s="7">
        <v>1.9998895526624565</v>
      </c>
      <c r="B552"/>
      <c r="C552"/>
      <c r="D552"/>
      <c r="E552"/>
      <c r="HK552" s="27" t="s">
        <v>8</v>
      </c>
      <c r="HL552" s="27" t="s">
        <v>7</v>
      </c>
      <c r="HM552" s="27" t="s">
        <v>8</v>
      </c>
      <c r="HP552" s="27" t="s">
        <v>7</v>
      </c>
      <c r="IJ552" s="27" t="s">
        <v>7</v>
      </c>
      <c r="IK552" s="27" t="s">
        <v>8</v>
      </c>
      <c r="IL552" s="27" t="s">
        <v>7</v>
      </c>
      <c r="IM552" s="27" t="s">
        <v>8</v>
      </c>
      <c r="IV552" s="27" t="s">
        <v>7</v>
      </c>
      <c r="IW552" s="27" t="s">
        <v>8</v>
      </c>
      <c r="IX552" s="27" t="s">
        <v>7</v>
      </c>
      <c r="IY552" s="27" t="s">
        <v>8</v>
      </c>
      <c r="JG552" s="27" t="s">
        <v>8</v>
      </c>
      <c r="JH552" s="27" t="s">
        <v>7</v>
      </c>
      <c r="LC552" s="27" t="s">
        <v>8</v>
      </c>
      <c r="LD552" s="27" t="s">
        <v>7</v>
      </c>
      <c r="LE552" s="27" t="s">
        <v>8</v>
      </c>
      <c r="LF552" s="27" t="s">
        <v>7</v>
      </c>
      <c r="LG552" s="27" t="s">
        <v>8</v>
      </c>
      <c r="LH552" s="27" t="s">
        <v>7</v>
      </c>
      <c r="LI552" s="27" t="s">
        <v>8</v>
      </c>
      <c r="LJ552" s="27" t="s">
        <v>7</v>
      </c>
      <c r="LL552" s="27" t="s">
        <v>7</v>
      </c>
      <c r="MI552" s="27" t="s">
        <v>8</v>
      </c>
      <c r="OB552" s="27" t="s">
        <v>7</v>
      </c>
    </row>
    <row r="553" spans="1:396" x14ac:dyDescent="0.25">
      <c r="A553" s="7">
        <v>1.9606760320220162</v>
      </c>
      <c r="B553"/>
      <c r="C553"/>
      <c r="D553"/>
      <c r="E553"/>
      <c r="HK553" s="27" t="s">
        <v>8</v>
      </c>
      <c r="HL553" s="27" t="s">
        <v>7</v>
      </c>
      <c r="HM553" s="27" t="s">
        <v>8</v>
      </c>
      <c r="IJ553" s="27" t="s">
        <v>7</v>
      </c>
      <c r="IK553" s="27" t="s">
        <v>8</v>
      </c>
      <c r="IL553" s="27" t="s">
        <v>7</v>
      </c>
      <c r="IM553" s="27" t="s">
        <v>8</v>
      </c>
      <c r="IV553" s="27" t="s">
        <v>7</v>
      </c>
      <c r="IW553" s="27" t="s">
        <v>8</v>
      </c>
      <c r="IX553" s="27" t="s">
        <v>7</v>
      </c>
      <c r="IY553" s="27" t="s">
        <v>8</v>
      </c>
      <c r="IZ553" s="27" t="s">
        <v>7</v>
      </c>
      <c r="JG553" s="27" t="s">
        <v>8</v>
      </c>
      <c r="JH553" s="27" t="s">
        <v>7</v>
      </c>
      <c r="LC553" s="27" t="s">
        <v>8</v>
      </c>
      <c r="LD553" s="27" t="s">
        <v>7</v>
      </c>
      <c r="LE553" s="27" t="s">
        <v>8</v>
      </c>
      <c r="LF553" s="27" t="s">
        <v>7</v>
      </c>
      <c r="LG553" s="27" t="s">
        <v>8</v>
      </c>
      <c r="LH553" s="27" t="s">
        <v>7</v>
      </c>
      <c r="LL553" s="27" t="s">
        <v>7</v>
      </c>
      <c r="ME553" s="27" t="s">
        <v>8</v>
      </c>
      <c r="MI553" s="27" t="s">
        <v>8</v>
      </c>
      <c r="OB553" s="27" t="s">
        <v>7</v>
      </c>
    </row>
    <row r="554" spans="1:396" x14ac:dyDescent="0.25">
      <c r="A554" s="7">
        <v>1.9222314039431532</v>
      </c>
      <c r="B554"/>
      <c r="C554"/>
      <c r="D554"/>
      <c r="E554"/>
      <c r="HI554" s="27" t="s">
        <v>8</v>
      </c>
      <c r="HK554" s="27" t="s">
        <v>8</v>
      </c>
      <c r="HL554" s="27" t="s">
        <v>7</v>
      </c>
      <c r="IJ554" s="27" t="s">
        <v>7</v>
      </c>
      <c r="IK554" s="27" t="s">
        <v>8</v>
      </c>
      <c r="IL554" s="27" t="s">
        <v>7</v>
      </c>
      <c r="IV554" s="27" t="s">
        <v>7</v>
      </c>
      <c r="IW554" s="27" t="s">
        <v>8</v>
      </c>
      <c r="IX554" s="27" t="s">
        <v>7</v>
      </c>
      <c r="IY554" s="27" t="s">
        <v>8</v>
      </c>
      <c r="IZ554" s="27" t="s">
        <v>7</v>
      </c>
      <c r="JG554" s="27" t="s">
        <v>8</v>
      </c>
      <c r="JH554" s="27" t="s">
        <v>7</v>
      </c>
      <c r="LC554" s="27" t="s">
        <v>8</v>
      </c>
      <c r="LD554" s="27" t="s">
        <v>7</v>
      </c>
      <c r="LE554" s="27" t="s">
        <v>8</v>
      </c>
      <c r="LF554" s="27" t="s">
        <v>7</v>
      </c>
      <c r="LG554" s="27" t="s">
        <v>8</v>
      </c>
      <c r="LL554" s="27" t="s">
        <v>7</v>
      </c>
      <c r="ME554" s="27" t="s">
        <v>8</v>
      </c>
      <c r="MF554" s="27" t="s">
        <v>7</v>
      </c>
      <c r="MI554" s="27" t="s">
        <v>8</v>
      </c>
      <c r="OB554" s="27" t="s">
        <v>7</v>
      </c>
    </row>
    <row r="555" spans="1:396" x14ac:dyDescent="0.25">
      <c r="A555" s="7">
        <v>1.8845405921011305</v>
      </c>
      <c r="B555"/>
      <c r="C555"/>
      <c r="D555"/>
      <c r="E555"/>
      <c r="HI555" s="27" t="s">
        <v>8</v>
      </c>
      <c r="HJ555" s="27" t="s">
        <v>7</v>
      </c>
      <c r="HK555" s="27" t="s">
        <v>8</v>
      </c>
      <c r="IJ555" s="27" t="s">
        <v>7</v>
      </c>
      <c r="IK555" s="27" t="s">
        <v>8</v>
      </c>
      <c r="IV555" s="27" t="s">
        <v>7</v>
      </c>
      <c r="IX555" s="27" t="s">
        <v>7</v>
      </c>
      <c r="IY555" s="27" t="s">
        <v>8</v>
      </c>
      <c r="IZ555" s="27" t="s">
        <v>7</v>
      </c>
      <c r="JG555" s="27" t="s">
        <v>8</v>
      </c>
      <c r="JH555" s="27" t="s">
        <v>7</v>
      </c>
      <c r="LC555" s="27" t="s">
        <v>8</v>
      </c>
      <c r="LD555" s="27" t="s">
        <v>7</v>
      </c>
      <c r="LE555" s="27" t="s">
        <v>8</v>
      </c>
      <c r="LF555" s="27" t="s">
        <v>7</v>
      </c>
      <c r="LG555" s="27" t="s">
        <v>8</v>
      </c>
      <c r="LL555" s="27" t="s">
        <v>7</v>
      </c>
      <c r="ME555" s="27" t="s">
        <v>8</v>
      </c>
      <c r="MF555" s="27" t="s">
        <v>7</v>
      </c>
      <c r="MG555" s="27" t="s">
        <v>8</v>
      </c>
      <c r="MI555" s="27" t="s">
        <v>8</v>
      </c>
      <c r="OB555" s="27" t="s">
        <v>7</v>
      </c>
    </row>
    <row r="556" spans="1:396" x14ac:dyDescent="0.25">
      <c r="A556" s="7">
        <v>1.8475888157854219</v>
      </c>
      <c r="B556"/>
      <c r="C556"/>
      <c r="D556"/>
      <c r="E556"/>
      <c r="HI556" s="27" t="s">
        <v>8</v>
      </c>
      <c r="HJ556" s="27" t="s">
        <v>7</v>
      </c>
      <c r="HK556" s="27" t="s">
        <v>8</v>
      </c>
      <c r="IJ556" s="27" t="s">
        <v>7</v>
      </c>
      <c r="IK556" s="27" t="s">
        <v>8</v>
      </c>
      <c r="IX556" s="27" t="s">
        <v>7</v>
      </c>
      <c r="IY556" s="27" t="s">
        <v>8</v>
      </c>
      <c r="IZ556" s="27" t="s">
        <v>7</v>
      </c>
      <c r="JG556" s="27" t="s">
        <v>8</v>
      </c>
      <c r="JH556" s="27" t="s">
        <v>7</v>
      </c>
      <c r="LC556" s="27" t="s">
        <v>8</v>
      </c>
      <c r="LD556" s="27" t="s">
        <v>7</v>
      </c>
      <c r="LE556" s="27" t="s">
        <v>8</v>
      </c>
      <c r="LF556" s="27" t="s">
        <v>7</v>
      </c>
      <c r="LG556" s="27" t="s">
        <v>8</v>
      </c>
      <c r="LL556" s="27" t="s">
        <v>7</v>
      </c>
      <c r="LM556" s="27" t="s">
        <v>8</v>
      </c>
      <c r="ME556" s="27" t="s">
        <v>8</v>
      </c>
      <c r="MF556" s="27" t="s">
        <v>7</v>
      </c>
      <c r="MG556" s="27" t="s">
        <v>8</v>
      </c>
      <c r="MH556" s="27" t="s">
        <v>7</v>
      </c>
      <c r="MI556" s="27" t="s">
        <v>8</v>
      </c>
      <c r="OB556" s="27" t="s">
        <v>7</v>
      </c>
    </row>
    <row r="557" spans="1:396" x14ac:dyDescent="0.25">
      <c r="A557" s="7">
        <v>1.8113615841033548</v>
      </c>
      <c r="B557"/>
      <c r="C557"/>
      <c r="D557"/>
      <c r="E557"/>
      <c r="HI557" s="27" t="s">
        <v>8</v>
      </c>
      <c r="HJ557" s="27" t="s">
        <v>7</v>
      </c>
      <c r="HK557" s="27" t="s">
        <v>8</v>
      </c>
      <c r="IJ557" s="27" t="s">
        <v>7</v>
      </c>
      <c r="IK557" s="27" t="s">
        <v>8</v>
      </c>
      <c r="IX557" s="27" t="s">
        <v>7</v>
      </c>
      <c r="IY557" s="27" t="s">
        <v>8</v>
      </c>
      <c r="IZ557" s="27" t="s">
        <v>7</v>
      </c>
      <c r="JG557" s="27" t="s">
        <v>8</v>
      </c>
      <c r="JH557" s="27" t="s">
        <v>7</v>
      </c>
      <c r="LC557" s="27" t="s">
        <v>8</v>
      </c>
      <c r="LD557" s="27" t="s">
        <v>7</v>
      </c>
      <c r="LF557" s="27" t="s">
        <v>7</v>
      </c>
      <c r="LL557" s="27" t="s">
        <v>7</v>
      </c>
      <c r="LM557" s="27" t="s">
        <v>8</v>
      </c>
      <c r="LN557" s="27" t="s">
        <v>7</v>
      </c>
      <c r="ME557" s="27" t="s">
        <v>8</v>
      </c>
      <c r="MF557" s="27" t="s">
        <v>7</v>
      </c>
      <c r="MG557" s="27" t="s">
        <v>8</v>
      </c>
      <c r="MH557" s="27" t="s">
        <v>7</v>
      </c>
      <c r="MI557" s="27" t="s">
        <v>8</v>
      </c>
      <c r="OB557" s="27" t="s">
        <v>7</v>
      </c>
    </row>
    <row r="558" spans="1:396" x14ac:dyDescent="0.25">
      <c r="A558" s="7">
        <v>1.7758446902974065</v>
      </c>
      <c r="B558"/>
      <c r="C558"/>
      <c r="D558"/>
      <c r="E558"/>
      <c r="HI558" s="27" t="s">
        <v>8</v>
      </c>
      <c r="HJ558" s="27" t="s">
        <v>7</v>
      </c>
      <c r="HK558" s="27" t="s">
        <v>8</v>
      </c>
      <c r="IJ558" s="27" t="s">
        <v>7</v>
      </c>
      <c r="IK558" s="27" t="s">
        <v>8</v>
      </c>
      <c r="IX558" s="27" t="s">
        <v>7</v>
      </c>
      <c r="IY558" s="27" t="s">
        <v>8</v>
      </c>
      <c r="IZ558" s="27" t="s">
        <v>7</v>
      </c>
      <c r="JG558" s="27" t="s">
        <v>8</v>
      </c>
      <c r="JH558" s="27" t="s">
        <v>7</v>
      </c>
      <c r="LC558" s="27" t="s">
        <v>8</v>
      </c>
      <c r="LL558" s="27" t="s">
        <v>7</v>
      </c>
      <c r="LM558" s="27" t="s">
        <v>8</v>
      </c>
      <c r="LN558" s="27" t="s">
        <v>7</v>
      </c>
      <c r="LQ558" s="27" t="s">
        <v>8</v>
      </c>
      <c r="ME558" s="27" t="s">
        <v>8</v>
      </c>
      <c r="MF558" s="27" t="s">
        <v>7</v>
      </c>
      <c r="MG558" s="27" t="s">
        <v>8</v>
      </c>
      <c r="MH558" s="27" t="s">
        <v>7</v>
      </c>
      <c r="MI558" s="27" t="s">
        <v>8</v>
      </c>
      <c r="OB558" s="27" t="s">
        <v>7</v>
      </c>
    </row>
    <row r="559" spans="1:396" x14ac:dyDescent="0.25">
      <c r="A559" s="7">
        <v>1.7410242061739281</v>
      </c>
      <c r="B559"/>
      <c r="C559"/>
      <c r="D559"/>
      <c r="E559"/>
      <c r="HI559" s="27" t="s">
        <v>8</v>
      </c>
      <c r="HJ559" s="27" t="s">
        <v>7</v>
      </c>
      <c r="HK559" s="27" t="s">
        <v>8</v>
      </c>
      <c r="IJ559" s="27" t="s">
        <v>7</v>
      </c>
      <c r="IK559" s="27" t="s">
        <v>8</v>
      </c>
      <c r="IX559" s="27" t="s">
        <v>7</v>
      </c>
      <c r="IZ559" s="27" t="s">
        <v>7</v>
      </c>
      <c r="JG559" s="27" t="s">
        <v>8</v>
      </c>
      <c r="JH559" s="27" t="s">
        <v>7</v>
      </c>
      <c r="JI559" s="27" t="s">
        <v>8</v>
      </c>
      <c r="LA559" s="27" t="s">
        <v>8</v>
      </c>
      <c r="LC559" s="27" t="s">
        <v>8</v>
      </c>
      <c r="LL559" s="27" t="s">
        <v>7</v>
      </c>
      <c r="LM559" s="27" t="s">
        <v>8</v>
      </c>
      <c r="LN559" s="27" t="s">
        <v>7</v>
      </c>
      <c r="LO559" s="27" t="s">
        <v>8</v>
      </c>
      <c r="LQ559" s="27" t="s">
        <v>8</v>
      </c>
      <c r="LR559" s="27" t="s">
        <v>7</v>
      </c>
      <c r="LW559" s="27" t="s">
        <v>8</v>
      </c>
      <c r="MC559" s="27" t="s">
        <v>8</v>
      </c>
      <c r="ME559" s="27" t="s">
        <v>8</v>
      </c>
      <c r="MF559" s="27" t="s">
        <v>7</v>
      </c>
      <c r="MH559" s="27" t="s">
        <v>7</v>
      </c>
      <c r="OB559" s="27" t="s">
        <v>7</v>
      </c>
      <c r="OE559" s="27" t="s">
        <v>8</v>
      </c>
    </row>
    <row r="560" spans="1:396" x14ac:dyDescent="0.25">
      <c r="A560" s="7">
        <v>1.7068864766411058</v>
      </c>
      <c r="B560"/>
      <c r="C560"/>
      <c r="D560"/>
      <c r="E560"/>
      <c r="HI560" s="27" t="s">
        <v>8</v>
      </c>
      <c r="HJ560" s="27" t="s">
        <v>7</v>
      </c>
      <c r="HK560" s="27" t="s">
        <v>8</v>
      </c>
      <c r="IJ560" s="27" t="s">
        <v>7</v>
      </c>
      <c r="IZ560" s="27" t="s">
        <v>7</v>
      </c>
      <c r="JG560" s="27" t="s">
        <v>8</v>
      </c>
      <c r="JH560" s="27" t="s">
        <v>7</v>
      </c>
      <c r="JI560" s="27" t="s">
        <v>8</v>
      </c>
      <c r="JJ560" s="27" t="s">
        <v>7</v>
      </c>
      <c r="JK560" s="27" t="s">
        <v>8</v>
      </c>
      <c r="JM560" s="27" t="s">
        <v>8</v>
      </c>
      <c r="KY560" s="27" t="s">
        <v>8</v>
      </c>
      <c r="LA560" s="27" t="s">
        <v>8</v>
      </c>
      <c r="LB560" s="27" t="s">
        <v>7</v>
      </c>
      <c r="LC560" s="27" t="s">
        <v>8</v>
      </c>
      <c r="LL560" s="27" t="s">
        <v>7</v>
      </c>
      <c r="LM560" s="27" t="s">
        <v>8</v>
      </c>
      <c r="LN560" s="27" t="s">
        <v>7</v>
      </c>
      <c r="LO560" s="27" t="s">
        <v>8</v>
      </c>
      <c r="LP560" s="27" t="s">
        <v>7</v>
      </c>
      <c r="LQ560" s="27" t="s">
        <v>8</v>
      </c>
      <c r="LR560" s="27" t="s">
        <v>7</v>
      </c>
      <c r="LW560" s="27" t="s">
        <v>8</v>
      </c>
      <c r="LX560" s="27" t="s">
        <v>7</v>
      </c>
      <c r="LY560" s="27" t="s">
        <v>8</v>
      </c>
      <c r="MC560" s="27" t="s">
        <v>8</v>
      </c>
      <c r="MD560" s="27" t="s">
        <v>7</v>
      </c>
      <c r="ME560" s="27" t="s">
        <v>8</v>
      </c>
      <c r="OB560" s="27" t="s">
        <v>7</v>
      </c>
      <c r="OE560" s="27" t="s">
        <v>8</v>
      </c>
      <c r="OF560" s="27" t="s">
        <v>7</v>
      </c>
    </row>
    <row r="561" spans="1:396" x14ac:dyDescent="0.25">
      <c r="A561" s="7">
        <v>1.6734181143540252</v>
      </c>
      <c r="B561"/>
      <c r="C561"/>
      <c r="D561"/>
      <c r="E561"/>
      <c r="HI561" s="27" t="s">
        <v>8</v>
      </c>
      <c r="HJ561" s="27" t="s">
        <v>7</v>
      </c>
      <c r="HK561" s="27" t="s">
        <v>8</v>
      </c>
      <c r="IZ561" s="27" t="s">
        <v>7</v>
      </c>
      <c r="JG561" s="27" t="s">
        <v>8</v>
      </c>
      <c r="JH561" s="27" t="s">
        <v>7</v>
      </c>
      <c r="JI561" s="27" t="s">
        <v>8</v>
      </c>
      <c r="JJ561" s="27" t="s">
        <v>7</v>
      </c>
      <c r="JK561" s="27" t="s">
        <v>8</v>
      </c>
      <c r="JL561" s="27" t="s">
        <v>7</v>
      </c>
      <c r="JM561" s="27" t="s">
        <v>8</v>
      </c>
      <c r="JN561" s="27" t="s">
        <v>7</v>
      </c>
      <c r="KW561" s="27" t="s">
        <v>8</v>
      </c>
      <c r="KY561" s="27" t="s">
        <v>8</v>
      </c>
      <c r="KZ561" s="27" t="s">
        <v>7</v>
      </c>
      <c r="LA561" s="27" t="s">
        <v>8</v>
      </c>
      <c r="LB561" s="27" t="s">
        <v>7</v>
      </c>
      <c r="LC561" s="27" t="s">
        <v>8</v>
      </c>
      <c r="LL561" s="27" t="s">
        <v>7</v>
      </c>
      <c r="LM561" s="27" t="s">
        <v>8</v>
      </c>
      <c r="LN561" s="27" t="s">
        <v>7</v>
      </c>
      <c r="LO561" s="27" t="s">
        <v>8</v>
      </c>
      <c r="LP561" s="27" t="s">
        <v>7</v>
      </c>
      <c r="LQ561" s="27" t="s">
        <v>8</v>
      </c>
      <c r="LR561" s="27" t="s">
        <v>7</v>
      </c>
      <c r="LW561" s="27" t="s">
        <v>8</v>
      </c>
      <c r="LX561" s="27" t="s">
        <v>7</v>
      </c>
      <c r="LY561" s="27" t="s">
        <v>8</v>
      </c>
      <c r="LZ561" s="27" t="s">
        <v>7</v>
      </c>
      <c r="MC561" s="27" t="s">
        <v>8</v>
      </c>
      <c r="MD561" s="27" t="s">
        <v>7</v>
      </c>
      <c r="ME561" s="27" t="s">
        <v>8</v>
      </c>
      <c r="OB561" s="27" t="s">
        <v>7</v>
      </c>
      <c r="OC561" s="27" t="s">
        <v>8</v>
      </c>
      <c r="OE561" s="27" t="s">
        <v>8</v>
      </c>
      <c r="OF561" s="27" t="s">
        <v>7</v>
      </c>
    </row>
    <row r="562" spans="1:396" x14ac:dyDescent="0.25">
      <c r="A562" s="7">
        <v>1.6406059944647307</v>
      </c>
      <c r="B562"/>
      <c r="C562"/>
      <c r="D562"/>
      <c r="E562"/>
      <c r="HI562" s="27" t="s">
        <v>8</v>
      </c>
      <c r="HJ562" s="27" t="s">
        <v>7</v>
      </c>
      <c r="HK562" s="27" t="s">
        <v>8</v>
      </c>
      <c r="IZ562" s="27" t="s">
        <v>7</v>
      </c>
      <c r="JG562" s="27" t="s">
        <v>8</v>
      </c>
      <c r="JH562" s="27" t="s">
        <v>7</v>
      </c>
      <c r="JI562" s="27" t="s">
        <v>8</v>
      </c>
      <c r="JJ562" s="27" t="s">
        <v>7</v>
      </c>
      <c r="JK562" s="27" t="s">
        <v>8</v>
      </c>
      <c r="JL562" s="27" t="s">
        <v>7</v>
      </c>
      <c r="JM562" s="27" t="s">
        <v>8</v>
      </c>
      <c r="JN562" s="27" t="s">
        <v>7</v>
      </c>
      <c r="KW562" s="27" t="s">
        <v>8</v>
      </c>
      <c r="KX562" s="27" t="s">
        <v>7</v>
      </c>
      <c r="KY562" s="27" t="s">
        <v>8</v>
      </c>
      <c r="KZ562" s="27" t="s">
        <v>7</v>
      </c>
      <c r="LA562" s="27" t="s">
        <v>8</v>
      </c>
      <c r="LB562" s="27" t="s">
        <v>7</v>
      </c>
      <c r="LC562" s="27" t="s">
        <v>8</v>
      </c>
      <c r="LL562" s="27" t="s">
        <v>7</v>
      </c>
      <c r="LM562" s="27" t="s">
        <v>8</v>
      </c>
      <c r="LN562" s="27" t="s">
        <v>7</v>
      </c>
      <c r="LP562" s="27" t="s">
        <v>7</v>
      </c>
      <c r="LQ562" s="27" t="s">
        <v>8</v>
      </c>
      <c r="LR562" s="27" t="s">
        <v>7</v>
      </c>
      <c r="LW562" s="27" t="s">
        <v>8</v>
      </c>
      <c r="LX562" s="27" t="s">
        <v>7</v>
      </c>
      <c r="LY562" s="27" t="s">
        <v>8</v>
      </c>
      <c r="LZ562" s="27" t="s">
        <v>7</v>
      </c>
      <c r="MA562" s="27" t="s">
        <v>8</v>
      </c>
      <c r="MC562" s="27" t="s">
        <v>8</v>
      </c>
      <c r="MD562" s="27" t="s">
        <v>7</v>
      </c>
      <c r="ME562" s="27" t="s">
        <v>8</v>
      </c>
      <c r="OB562" s="27" t="s">
        <v>7</v>
      </c>
      <c r="OC562" s="27" t="s">
        <v>8</v>
      </c>
      <c r="OD562" s="27" t="s">
        <v>7</v>
      </c>
      <c r="OE562" s="27" t="s">
        <v>8</v>
      </c>
      <c r="OF562" s="27" t="s">
        <v>7</v>
      </c>
    </row>
    <row r="563" spans="1:396" x14ac:dyDescent="0.25">
      <c r="A563" s="7">
        <v>1.6084372494752261</v>
      </c>
      <c r="B563"/>
      <c r="C563"/>
      <c r="D563"/>
      <c r="E563"/>
      <c r="HI563" s="27" t="s">
        <v>8</v>
      </c>
      <c r="HJ563" s="27" t="s">
        <v>7</v>
      </c>
      <c r="HK563" s="27" t="s">
        <v>8</v>
      </c>
      <c r="IZ563" s="27" t="s">
        <v>7</v>
      </c>
      <c r="JG563" s="27" t="s">
        <v>8</v>
      </c>
      <c r="JH563" s="27" t="s">
        <v>7</v>
      </c>
      <c r="JI563" s="27" t="s">
        <v>8</v>
      </c>
      <c r="JJ563" s="27" t="s">
        <v>7</v>
      </c>
      <c r="JK563" s="27" t="s">
        <v>8</v>
      </c>
      <c r="JL563" s="27" t="s">
        <v>7</v>
      </c>
      <c r="JM563" s="27" t="s">
        <v>8</v>
      </c>
      <c r="JN563" s="27" t="s">
        <v>7</v>
      </c>
      <c r="KW563" s="27" t="s">
        <v>8</v>
      </c>
      <c r="KX563" s="27" t="s">
        <v>7</v>
      </c>
      <c r="KY563" s="27" t="s">
        <v>8</v>
      </c>
      <c r="KZ563" s="27" t="s">
        <v>7</v>
      </c>
      <c r="LB563" s="27" t="s">
        <v>7</v>
      </c>
      <c r="LC563" s="27" t="s">
        <v>8</v>
      </c>
      <c r="LL563" s="27" t="s">
        <v>7</v>
      </c>
      <c r="LM563" s="27" t="s">
        <v>8</v>
      </c>
      <c r="LP563" s="27" t="s">
        <v>7</v>
      </c>
      <c r="LQ563" s="27" t="s">
        <v>8</v>
      </c>
      <c r="LR563" s="27" t="s">
        <v>7</v>
      </c>
      <c r="LW563" s="27" t="s">
        <v>8</v>
      </c>
      <c r="LX563" s="27" t="s">
        <v>7</v>
      </c>
      <c r="LZ563" s="27" t="s">
        <v>7</v>
      </c>
      <c r="MA563" s="27" t="s">
        <v>8</v>
      </c>
      <c r="MB563" s="27" t="s">
        <v>7</v>
      </c>
      <c r="MC563" s="27" t="s">
        <v>8</v>
      </c>
      <c r="MD563" s="27" t="s">
        <v>7</v>
      </c>
      <c r="ME563" s="27" t="s">
        <v>8</v>
      </c>
      <c r="OB563" s="27" t="s">
        <v>7</v>
      </c>
      <c r="OC563" s="27" t="s">
        <v>8</v>
      </c>
      <c r="OD563" s="27" t="s">
        <v>7</v>
      </c>
      <c r="OE563" s="27" t="s">
        <v>8</v>
      </c>
      <c r="OF563" s="27" t="s">
        <v>7</v>
      </c>
    </row>
    <row r="564" spans="1:396" x14ac:dyDescent="0.25">
      <c r="A564" s="7">
        <v>1.5768992641913981</v>
      </c>
      <c r="B564"/>
      <c r="C564"/>
      <c r="D564"/>
      <c r="E564"/>
      <c r="HI564" s="27" t="s">
        <v>8</v>
      </c>
      <c r="HJ564" s="27" t="s">
        <v>7</v>
      </c>
      <c r="HK564" s="27" t="s">
        <v>8</v>
      </c>
      <c r="IZ564" s="27" t="s">
        <v>7</v>
      </c>
      <c r="JA564" s="27" t="s">
        <v>8</v>
      </c>
      <c r="JG564" s="27" t="s">
        <v>8</v>
      </c>
      <c r="JH564" s="27" t="s">
        <v>7</v>
      </c>
      <c r="JI564" s="27" t="s">
        <v>8</v>
      </c>
      <c r="JJ564" s="27" t="s">
        <v>7</v>
      </c>
      <c r="JK564" s="27" t="s">
        <v>8</v>
      </c>
      <c r="JL564" s="27" t="s">
        <v>7</v>
      </c>
      <c r="JM564" s="27" t="s">
        <v>8</v>
      </c>
      <c r="JN564" s="27" t="s">
        <v>7</v>
      </c>
      <c r="JS564" s="27" t="s">
        <v>8</v>
      </c>
      <c r="KW564" s="27" t="s">
        <v>8</v>
      </c>
      <c r="KX564" s="27" t="s">
        <v>7</v>
      </c>
      <c r="KY564" s="27" t="s">
        <v>8</v>
      </c>
      <c r="LB564" s="27" t="s">
        <v>7</v>
      </c>
      <c r="LC564" s="27" t="s">
        <v>8</v>
      </c>
      <c r="LL564" s="27" t="s">
        <v>7</v>
      </c>
      <c r="LM564" s="27" t="s">
        <v>8</v>
      </c>
      <c r="LP564" s="27" t="s">
        <v>7</v>
      </c>
      <c r="LQ564" s="27" t="s">
        <v>8</v>
      </c>
      <c r="LR564" s="27" t="s">
        <v>7</v>
      </c>
      <c r="LW564" s="27" t="s">
        <v>8</v>
      </c>
      <c r="LZ564" s="27" t="s">
        <v>7</v>
      </c>
      <c r="MA564" s="27" t="s">
        <v>8</v>
      </c>
      <c r="MB564" s="27" t="s">
        <v>7</v>
      </c>
      <c r="MC564" s="27" t="s">
        <v>8</v>
      </c>
      <c r="MD564" s="27" t="s">
        <v>7</v>
      </c>
      <c r="OB564" s="27" t="s">
        <v>7</v>
      </c>
      <c r="OC564" s="27" t="s">
        <v>8</v>
      </c>
      <c r="OD564" s="27" t="s">
        <v>7</v>
      </c>
      <c r="OE564" s="27" t="s">
        <v>8</v>
      </c>
      <c r="OF564" s="27" t="s">
        <v>7</v>
      </c>
    </row>
    <row r="565" spans="1:396" x14ac:dyDescent="0.25">
      <c r="A565" s="7">
        <v>1.5459796707758806</v>
      </c>
      <c r="B565"/>
      <c r="C565"/>
      <c r="D565"/>
      <c r="E565"/>
      <c r="HI565" s="27" t="s">
        <v>8</v>
      </c>
      <c r="HJ565" s="27" t="s">
        <v>7</v>
      </c>
      <c r="IZ565" s="27" t="s">
        <v>7</v>
      </c>
      <c r="JA565" s="27" t="s">
        <v>8</v>
      </c>
      <c r="JB565" s="27" t="s">
        <v>7</v>
      </c>
      <c r="JG565" s="27" t="s">
        <v>8</v>
      </c>
      <c r="JH565" s="27" t="s">
        <v>7</v>
      </c>
      <c r="JI565" s="27" t="s">
        <v>8</v>
      </c>
      <c r="JJ565" s="27" t="s">
        <v>7</v>
      </c>
      <c r="JK565" s="27" t="s">
        <v>8</v>
      </c>
      <c r="JL565" s="27" t="s">
        <v>7</v>
      </c>
      <c r="JN565" s="27" t="s">
        <v>7</v>
      </c>
      <c r="JS565" s="27" t="s">
        <v>8</v>
      </c>
      <c r="JT565" s="27" t="s">
        <v>7</v>
      </c>
      <c r="KU565" s="27" t="s">
        <v>8</v>
      </c>
      <c r="KW565" s="27" t="s">
        <v>8</v>
      </c>
      <c r="KX565" s="27" t="s">
        <v>7</v>
      </c>
      <c r="KY565" s="27" t="s">
        <v>8</v>
      </c>
      <c r="LB565" s="27" t="s">
        <v>7</v>
      </c>
      <c r="LC565" s="27" t="s">
        <v>8</v>
      </c>
      <c r="LL565" s="27" t="s">
        <v>7</v>
      </c>
      <c r="LM565" s="27" t="s">
        <v>8</v>
      </c>
      <c r="LP565" s="27" t="s">
        <v>7</v>
      </c>
      <c r="LQ565" s="27" t="s">
        <v>8</v>
      </c>
      <c r="LR565" s="27" t="s">
        <v>7</v>
      </c>
      <c r="LW565" s="27" t="s">
        <v>8</v>
      </c>
      <c r="LZ565" s="27" t="s">
        <v>7</v>
      </c>
      <c r="MA565" s="27" t="s">
        <v>8</v>
      </c>
      <c r="MB565" s="27" t="s">
        <v>7</v>
      </c>
      <c r="OB565" s="27" t="s">
        <v>7</v>
      </c>
      <c r="OC565" s="27" t="s">
        <v>8</v>
      </c>
      <c r="OD565" s="27" t="s">
        <v>7</v>
      </c>
      <c r="OE565" s="27" t="s">
        <v>8</v>
      </c>
      <c r="OF565" s="27" t="s">
        <v>7</v>
      </c>
    </row>
    <row r="566" spans="1:396" x14ac:dyDescent="0.25">
      <c r="A566" s="7">
        <v>1.5156663438979221</v>
      </c>
      <c r="B566"/>
      <c r="C566"/>
      <c r="D566"/>
      <c r="E566"/>
      <c r="HG566" s="27" t="s">
        <v>8</v>
      </c>
      <c r="HI566" s="27" t="s">
        <v>8</v>
      </c>
      <c r="IZ566" s="27" t="s">
        <v>7</v>
      </c>
      <c r="JA566" s="27" t="s">
        <v>8</v>
      </c>
      <c r="JB566" s="27" t="s">
        <v>7</v>
      </c>
      <c r="JG566" s="27" t="s">
        <v>8</v>
      </c>
      <c r="JH566" s="27" t="s">
        <v>7</v>
      </c>
      <c r="JI566" s="27" t="s">
        <v>8</v>
      </c>
      <c r="JJ566" s="27" t="s">
        <v>7</v>
      </c>
      <c r="JK566" s="27" t="s">
        <v>8</v>
      </c>
      <c r="JN566" s="27" t="s">
        <v>7</v>
      </c>
      <c r="JO566" s="27" t="s">
        <v>8</v>
      </c>
      <c r="JS566" s="27" t="s">
        <v>8</v>
      </c>
      <c r="JT566" s="27" t="s">
        <v>7</v>
      </c>
      <c r="JW566" s="27" t="s">
        <v>8</v>
      </c>
      <c r="KE566" s="27" t="s">
        <v>8</v>
      </c>
      <c r="KU566" s="27" t="s">
        <v>8</v>
      </c>
      <c r="KV566" s="27" t="s">
        <v>7</v>
      </c>
      <c r="KW566" s="27" t="s">
        <v>8</v>
      </c>
      <c r="KX566" s="27" t="s">
        <v>7</v>
      </c>
      <c r="KY566" s="27" t="s">
        <v>8</v>
      </c>
      <c r="LB566" s="27" t="s">
        <v>7</v>
      </c>
      <c r="LC566" s="27" t="s">
        <v>8</v>
      </c>
      <c r="LL566" s="27" t="s">
        <v>7</v>
      </c>
      <c r="LM566" s="27" t="s">
        <v>8</v>
      </c>
      <c r="LP566" s="27" t="s">
        <v>7</v>
      </c>
      <c r="LR566" s="27" t="s">
        <v>7</v>
      </c>
      <c r="LW566" s="27" t="s">
        <v>8</v>
      </c>
      <c r="LZ566" s="27" t="s">
        <v>7</v>
      </c>
      <c r="MA566" s="27" t="s">
        <v>8</v>
      </c>
      <c r="OB566" s="27" t="s">
        <v>7</v>
      </c>
      <c r="OC566" s="27" t="s">
        <v>8</v>
      </c>
      <c r="OD566" s="27" t="s">
        <v>7</v>
      </c>
      <c r="OE566" s="27" t="s">
        <v>8</v>
      </c>
      <c r="OF566" s="27" t="s">
        <v>7</v>
      </c>
    </row>
    <row r="567" spans="1:396" x14ac:dyDescent="0.25">
      <c r="A567" s="7">
        <v>1.4859473959783549</v>
      </c>
      <c r="B567"/>
      <c r="C567"/>
      <c r="D567"/>
      <c r="E567"/>
      <c r="HG567" s="27" t="s">
        <v>8</v>
      </c>
      <c r="HH567" s="27" t="s">
        <v>7</v>
      </c>
      <c r="HI567" s="27" t="s">
        <v>8</v>
      </c>
      <c r="IZ567" s="27" t="s">
        <v>7</v>
      </c>
      <c r="JA567" s="27" t="s">
        <v>8</v>
      </c>
      <c r="JB567" s="27" t="s">
        <v>7</v>
      </c>
      <c r="JG567" s="27" t="s">
        <v>8</v>
      </c>
      <c r="JH567" s="27" t="s">
        <v>7</v>
      </c>
      <c r="JI567" s="27" t="s">
        <v>8</v>
      </c>
      <c r="JJ567" s="27" t="s">
        <v>7</v>
      </c>
      <c r="JK567" s="27" t="s">
        <v>8</v>
      </c>
      <c r="JN567" s="27" t="s">
        <v>7</v>
      </c>
      <c r="JO567" s="27" t="s">
        <v>8</v>
      </c>
      <c r="JP567" s="27" t="s">
        <v>7</v>
      </c>
      <c r="JS567" s="27" t="s">
        <v>8</v>
      </c>
      <c r="JT567" s="27" t="s">
        <v>7</v>
      </c>
      <c r="JU567" s="27" t="s">
        <v>8</v>
      </c>
      <c r="JW567" s="27" t="s">
        <v>8</v>
      </c>
      <c r="JX567" s="27" t="s">
        <v>7</v>
      </c>
      <c r="KE567" s="27" t="s">
        <v>8</v>
      </c>
      <c r="KF567" s="27" t="s">
        <v>7</v>
      </c>
      <c r="KQ567" s="27" t="s">
        <v>8</v>
      </c>
      <c r="KS567" s="27" t="s">
        <v>8</v>
      </c>
      <c r="KU567" s="27" t="s">
        <v>8</v>
      </c>
      <c r="KV567" s="27" t="s">
        <v>7</v>
      </c>
      <c r="KW567" s="27" t="s">
        <v>8</v>
      </c>
      <c r="KX567" s="27" t="s">
        <v>7</v>
      </c>
      <c r="LB567" s="27" t="s">
        <v>7</v>
      </c>
      <c r="LC567" s="27" t="s">
        <v>8</v>
      </c>
      <c r="LL567" s="27" t="s">
        <v>7</v>
      </c>
      <c r="LR567" s="27" t="s">
        <v>7</v>
      </c>
      <c r="LS567" s="27" t="s">
        <v>8</v>
      </c>
      <c r="LW567" s="27" t="s">
        <v>8</v>
      </c>
      <c r="LZ567" s="27" t="s">
        <v>7</v>
      </c>
      <c r="MA567" s="27" t="s">
        <v>8</v>
      </c>
      <c r="OB567" s="27" t="s">
        <v>7</v>
      </c>
      <c r="OC567" s="27" t="s">
        <v>8</v>
      </c>
      <c r="OD567" s="27" t="s">
        <v>7</v>
      </c>
      <c r="OE567" s="27" t="s">
        <v>8</v>
      </c>
    </row>
    <row r="568" spans="1:396" x14ac:dyDescent="0.25">
      <c r="A568" s="7">
        <v>1.4568111725277988</v>
      </c>
      <c r="B568"/>
      <c r="C568"/>
      <c r="D568"/>
      <c r="E568"/>
      <c r="HG568" s="27" t="s">
        <v>8</v>
      </c>
      <c r="HH568" s="27" t="s">
        <v>7</v>
      </c>
      <c r="HI568" s="27" t="s">
        <v>8</v>
      </c>
      <c r="IZ568" s="27" t="s">
        <v>7</v>
      </c>
      <c r="JA568" s="27" t="s">
        <v>8</v>
      </c>
      <c r="JB568" s="27" t="s">
        <v>7</v>
      </c>
      <c r="JG568" s="27" t="s">
        <v>8</v>
      </c>
      <c r="JH568" s="27" t="s">
        <v>7</v>
      </c>
      <c r="JI568" s="27" t="s">
        <v>8</v>
      </c>
      <c r="JJ568" s="27" t="s">
        <v>7</v>
      </c>
      <c r="JN568" s="27" t="s">
        <v>7</v>
      </c>
      <c r="JO568" s="27" t="s">
        <v>8</v>
      </c>
      <c r="JP568" s="27" t="s">
        <v>7</v>
      </c>
      <c r="JS568" s="27" t="s">
        <v>8</v>
      </c>
      <c r="JT568" s="27" t="s">
        <v>7</v>
      </c>
      <c r="JU568" s="27" t="s">
        <v>8</v>
      </c>
      <c r="JV568" s="27" t="s">
        <v>7</v>
      </c>
      <c r="JW568" s="27" t="s">
        <v>8</v>
      </c>
      <c r="JX568" s="27" t="s">
        <v>7</v>
      </c>
      <c r="KE568" s="27" t="s">
        <v>8</v>
      </c>
      <c r="KF568" s="27" t="s">
        <v>7</v>
      </c>
      <c r="KI568" s="27" t="s">
        <v>8</v>
      </c>
      <c r="KQ568" s="27" t="s">
        <v>8</v>
      </c>
      <c r="KR568" s="27" t="s">
        <v>7</v>
      </c>
      <c r="KS568" s="27" t="s">
        <v>8</v>
      </c>
      <c r="KT568" s="27" t="s">
        <v>7</v>
      </c>
      <c r="KU568" s="27" t="s">
        <v>8</v>
      </c>
      <c r="KV568" s="27" t="s">
        <v>7</v>
      </c>
      <c r="KW568" s="27" t="s">
        <v>8</v>
      </c>
      <c r="LB568" s="27" t="s">
        <v>7</v>
      </c>
      <c r="LR568" s="27" t="s">
        <v>7</v>
      </c>
      <c r="LS568" s="27" t="s">
        <v>8</v>
      </c>
      <c r="LT568" s="27" t="s">
        <v>7</v>
      </c>
      <c r="LW568" s="27" t="s">
        <v>8</v>
      </c>
      <c r="LZ568" s="27" t="s">
        <v>7</v>
      </c>
      <c r="OB568" s="27" t="s">
        <v>7</v>
      </c>
      <c r="OC568" s="27" t="s">
        <v>8</v>
      </c>
      <c r="OD568" s="27" t="s">
        <v>7</v>
      </c>
      <c r="OE568" s="27" t="s">
        <v>8</v>
      </c>
    </row>
    <row r="569" spans="1:396" x14ac:dyDescent="0.25">
      <c r="A569" s="7">
        <v>1.4282462475762734</v>
      </c>
      <c r="B569"/>
      <c r="C569"/>
      <c r="D569"/>
      <c r="E569"/>
      <c r="HG569" s="27" t="s">
        <v>8</v>
      </c>
      <c r="HH569" s="27" t="s">
        <v>7</v>
      </c>
      <c r="HI569" s="27" t="s">
        <v>8</v>
      </c>
      <c r="IZ569" s="27" t="s">
        <v>7</v>
      </c>
      <c r="JA569" s="27" t="s">
        <v>8</v>
      </c>
      <c r="JB569" s="27" t="s">
        <v>7</v>
      </c>
      <c r="JG569" s="27" t="s">
        <v>8</v>
      </c>
      <c r="JH569" s="27" t="s">
        <v>7</v>
      </c>
      <c r="JI569" s="27" t="s">
        <v>8</v>
      </c>
      <c r="JN569" s="27" t="s">
        <v>7</v>
      </c>
      <c r="JO569" s="27" t="s">
        <v>8</v>
      </c>
      <c r="JP569" s="27" t="s">
        <v>7</v>
      </c>
      <c r="JS569" s="27" t="s">
        <v>8</v>
      </c>
      <c r="JT569" s="27" t="s">
        <v>7</v>
      </c>
      <c r="JU569" s="27" t="s">
        <v>8</v>
      </c>
      <c r="JV569" s="27" t="s">
        <v>7</v>
      </c>
      <c r="JW569" s="27" t="s">
        <v>8</v>
      </c>
      <c r="JX569" s="27" t="s">
        <v>7</v>
      </c>
      <c r="KE569" s="27" t="s">
        <v>8</v>
      </c>
      <c r="KF569" s="27" t="s">
        <v>7</v>
      </c>
      <c r="KI569" s="27" t="s">
        <v>8</v>
      </c>
      <c r="KJ569" s="27" t="s">
        <v>7</v>
      </c>
      <c r="KO569" s="27" t="s">
        <v>8</v>
      </c>
      <c r="KQ569" s="27" t="s">
        <v>8</v>
      </c>
      <c r="KR569" s="27" t="s">
        <v>7</v>
      </c>
      <c r="KS569" s="27" t="s">
        <v>8</v>
      </c>
      <c r="KT569" s="27" t="s">
        <v>7</v>
      </c>
      <c r="KU569" s="27" t="s">
        <v>8</v>
      </c>
      <c r="KV569" s="27" t="s">
        <v>7</v>
      </c>
      <c r="KW569" s="27" t="s">
        <v>8</v>
      </c>
      <c r="LR569" s="27" t="s">
        <v>7</v>
      </c>
      <c r="LS569" s="27" t="s">
        <v>8</v>
      </c>
      <c r="LT569" s="27" t="s">
        <v>7</v>
      </c>
      <c r="LW569" s="27" t="s">
        <v>8</v>
      </c>
      <c r="OB569" s="27" t="s">
        <v>7</v>
      </c>
      <c r="OC569" s="27" t="s">
        <v>8</v>
      </c>
      <c r="OD569" s="27" t="s">
        <v>7</v>
      </c>
      <c r="OE569" s="27" t="s">
        <v>8</v>
      </c>
    </row>
    <row r="570" spans="1:396" x14ac:dyDescent="0.25">
      <c r="A570" s="7">
        <v>1.4002414191924248</v>
      </c>
      <c r="B570"/>
      <c r="C570"/>
      <c r="D570"/>
      <c r="E570"/>
      <c r="HG570" s="27" t="s">
        <v>8</v>
      </c>
      <c r="HH570" s="27" t="s">
        <v>7</v>
      </c>
      <c r="HI570" s="27" t="s">
        <v>8</v>
      </c>
      <c r="IZ570" s="27" t="s">
        <v>7</v>
      </c>
      <c r="JA570" s="27" t="s">
        <v>8</v>
      </c>
      <c r="JB570" s="27" t="s">
        <v>7</v>
      </c>
      <c r="JG570" s="27" t="s">
        <v>8</v>
      </c>
      <c r="JH570" s="27" t="s">
        <v>7</v>
      </c>
      <c r="JI570" s="27" t="s">
        <v>8</v>
      </c>
      <c r="JN570" s="27" t="s">
        <v>7</v>
      </c>
      <c r="JP570" s="27" t="s">
        <v>7</v>
      </c>
      <c r="JS570" s="27" t="s">
        <v>8</v>
      </c>
      <c r="JT570" s="27" t="s">
        <v>7</v>
      </c>
      <c r="JU570" s="27" t="s">
        <v>8</v>
      </c>
      <c r="JV570" s="27" t="s">
        <v>7</v>
      </c>
      <c r="JW570" s="27" t="s">
        <v>8</v>
      </c>
      <c r="JX570" s="27" t="s">
        <v>7</v>
      </c>
      <c r="KE570" s="27" t="s">
        <v>8</v>
      </c>
      <c r="KF570" s="27" t="s">
        <v>7</v>
      </c>
      <c r="KG570" s="27" t="s">
        <v>8</v>
      </c>
      <c r="KI570" s="27" t="s">
        <v>8</v>
      </c>
      <c r="KJ570" s="27" t="s">
        <v>7</v>
      </c>
      <c r="KO570" s="27" t="s">
        <v>8</v>
      </c>
      <c r="KP570" s="27" t="s">
        <v>7</v>
      </c>
      <c r="KQ570" s="27" t="s">
        <v>8</v>
      </c>
      <c r="KR570" s="27" t="s">
        <v>7</v>
      </c>
      <c r="KS570" s="27" t="s">
        <v>8</v>
      </c>
      <c r="KT570" s="27" t="s">
        <v>7</v>
      </c>
      <c r="KU570" s="27" t="s">
        <v>8</v>
      </c>
      <c r="KV570" s="27" t="s">
        <v>7</v>
      </c>
      <c r="KW570" s="27" t="s">
        <v>8</v>
      </c>
      <c r="LR570" s="27" t="s">
        <v>7</v>
      </c>
      <c r="LS570" s="27" t="s">
        <v>8</v>
      </c>
      <c r="LT570" s="27" t="s">
        <v>7</v>
      </c>
      <c r="LU570" s="27" t="s">
        <v>8</v>
      </c>
      <c r="LW570" s="27" t="s">
        <v>8</v>
      </c>
      <c r="OB570" s="27" t="s">
        <v>7</v>
      </c>
      <c r="OC570" s="27" t="s">
        <v>8</v>
      </c>
      <c r="OD570" s="27" t="s">
        <v>7</v>
      </c>
      <c r="OE570" s="27" t="s">
        <v>8</v>
      </c>
    </row>
    <row r="571" spans="1:396" x14ac:dyDescent="0.25">
      <c r="A571" s="7">
        <v>1.3727857050906125</v>
      </c>
      <c r="B571"/>
      <c r="C571"/>
      <c r="D571"/>
      <c r="E571"/>
      <c r="HG571" s="27" t="s">
        <v>8</v>
      </c>
      <c r="HH571" s="27" t="s">
        <v>7</v>
      </c>
      <c r="HI571" s="27" t="s">
        <v>8</v>
      </c>
      <c r="IZ571" s="27" t="s">
        <v>7</v>
      </c>
      <c r="JA571" s="27" t="s">
        <v>8</v>
      </c>
      <c r="JB571" s="27" t="s">
        <v>7</v>
      </c>
      <c r="JG571" s="27" t="s">
        <v>8</v>
      </c>
      <c r="JH571" s="27" t="s">
        <v>7</v>
      </c>
      <c r="JI571" s="27" t="s">
        <v>8</v>
      </c>
      <c r="JP571" s="27" t="s">
        <v>7</v>
      </c>
      <c r="JQ571" s="27" t="s">
        <v>8</v>
      </c>
      <c r="JS571" s="27" t="s">
        <v>8</v>
      </c>
      <c r="JT571" s="27" t="s">
        <v>7</v>
      </c>
      <c r="JU571" s="27" t="s">
        <v>8</v>
      </c>
      <c r="JV571" s="27" t="s">
        <v>7</v>
      </c>
      <c r="JX571" s="27" t="s">
        <v>7</v>
      </c>
      <c r="KE571" s="27" t="s">
        <v>8</v>
      </c>
      <c r="KF571" s="27" t="s">
        <v>7</v>
      </c>
      <c r="KG571" s="27" t="s">
        <v>8</v>
      </c>
      <c r="KH571" s="27" t="s">
        <v>7</v>
      </c>
      <c r="KI571" s="27" t="s">
        <v>8</v>
      </c>
      <c r="KJ571" s="27" t="s">
        <v>7</v>
      </c>
      <c r="KM571" s="27" t="s">
        <v>8</v>
      </c>
      <c r="KO571" s="27" t="s">
        <v>8</v>
      </c>
      <c r="KP571" s="27" t="s">
        <v>7</v>
      </c>
      <c r="KQ571" s="27" t="s">
        <v>8</v>
      </c>
      <c r="KR571" s="27" t="s">
        <v>7</v>
      </c>
      <c r="KS571" s="27" t="s">
        <v>8</v>
      </c>
      <c r="KT571" s="27" t="s">
        <v>7</v>
      </c>
      <c r="KU571" s="27" t="s">
        <v>8</v>
      </c>
      <c r="KV571" s="27" t="s">
        <v>7</v>
      </c>
      <c r="LR571" s="27" t="s">
        <v>7</v>
      </c>
      <c r="LS571" s="27" t="s">
        <v>8</v>
      </c>
      <c r="LT571" s="27" t="s">
        <v>7</v>
      </c>
      <c r="LU571" s="27" t="s">
        <v>8</v>
      </c>
      <c r="LV571" s="27" t="s">
        <v>7</v>
      </c>
      <c r="LW571" s="27" t="s">
        <v>8</v>
      </c>
      <c r="OB571" s="27" t="s">
        <v>7</v>
      </c>
      <c r="OC571" s="27" t="s">
        <v>8</v>
      </c>
      <c r="OD571" s="27" t="s">
        <v>7</v>
      </c>
      <c r="OE571" s="27" t="s">
        <v>8</v>
      </c>
    </row>
    <row r="572" spans="1:396" x14ac:dyDescent="0.25">
      <c r="A572" s="7">
        <v>1.3458683383241299</v>
      </c>
      <c r="B572"/>
      <c r="C572"/>
      <c r="D572"/>
      <c r="E572"/>
      <c r="HG572" s="27" t="s">
        <v>8</v>
      </c>
      <c r="HH572" s="27" t="s">
        <v>7</v>
      </c>
      <c r="HI572" s="27" t="s">
        <v>8</v>
      </c>
      <c r="IZ572" s="27" t="s">
        <v>7</v>
      </c>
      <c r="JA572" s="27" t="s">
        <v>8</v>
      </c>
      <c r="JB572" s="27" t="s">
        <v>7</v>
      </c>
      <c r="JE572" s="27" t="s">
        <v>8</v>
      </c>
      <c r="JG572" s="27" t="s">
        <v>8</v>
      </c>
      <c r="JH572" s="27" t="s">
        <v>7</v>
      </c>
      <c r="JI572" s="27" t="s">
        <v>8</v>
      </c>
      <c r="JP572" s="27" t="s">
        <v>7</v>
      </c>
      <c r="JQ572" s="27" t="s">
        <v>8</v>
      </c>
      <c r="JR572" s="27" t="s">
        <v>7</v>
      </c>
      <c r="JS572" s="27" t="s">
        <v>8</v>
      </c>
      <c r="JT572" s="27" t="s">
        <v>7</v>
      </c>
      <c r="JU572" s="27" t="s">
        <v>8</v>
      </c>
      <c r="JX572" s="27" t="s">
        <v>7</v>
      </c>
      <c r="KE572" s="27" t="s">
        <v>8</v>
      </c>
      <c r="KF572" s="27" t="s">
        <v>7</v>
      </c>
      <c r="KG572" s="27" t="s">
        <v>8</v>
      </c>
      <c r="KH572" s="27" t="s">
        <v>7</v>
      </c>
      <c r="KI572" s="27" t="s">
        <v>8</v>
      </c>
      <c r="KJ572" s="27" t="s">
        <v>7</v>
      </c>
      <c r="KM572" s="27" t="s">
        <v>8</v>
      </c>
      <c r="KN572" s="27" t="s">
        <v>7</v>
      </c>
      <c r="KO572" s="27" t="s">
        <v>8</v>
      </c>
      <c r="KP572" s="27" t="s">
        <v>7</v>
      </c>
      <c r="KQ572" s="27" t="s">
        <v>8</v>
      </c>
      <c r="KR572" s="27" t="s">
        <v>7</v>
      </c>
      <c r="KT572" s="27" t="s">
        <v>7</v>
      </c>
      <c r="KU572" s="27" t="s">
        <v>8</v>
      </c>
      <c r="LR572" s="27" t="s">
        <v>7</v>
      </c>
      <c r="LS572" s="27" t="s">
        <v>8</v>
      </c>
      <c r="LT572" s="27" t="s">
        <v>7</v>
      </c>
      <c r="LU572" s="27" t="s">
        <v>8</v>
      </c>
      <c r="LV572" s="27" t="s">
        <v>7</v>
      </c>
      <c r="LW572" s="27" t="s">
        <v>8</v>
      </c>
      <c r="OB572" s="27" t="s">
        <v>7</v>
      </c>
      <c r="OD572" s="27" t="s">
        <v>7</v>
      </c>
    </row>
    <row r="573" spans="1:396" x14ac:dyDescent="0.25">
      <c r="A573" s="7">
        <v>1.3194787630628724</v>
      </c>
      <c r="B573"/>
      <c r="C573"/>
      <c r="D573"/>
      <c r="E573"/>
      <c r="HG573" s="27" t="s">
        <v>8</v>
      </c>
      <c r="HH573" s="27" t="s">
        <v>7</v>
      </c>
      <c r="HI573" s="27" t="s">
        <v>8</v>
      </c>
      <c r="IZ573" s="27" t="s">
        <v>7</v>
      </c>
      <c r="JA573" s="27" t="s">
        <v>8</v>
      </c>
      <c r="JB573" s="27" t="s">
        <v>7</v>
      </c>
      <c r="JE573" s="27" t="s">
        <v>8</v>
      </c>
      <c r="JF573" s="27" t="s">
        <v>7</v>
      </c>
      <c r="JG573" s="27" t="s">
        <v>8</v>
      </c>
      <c r="JH573" s="27" t="s">
        <v>7</v>
      </c>
      <c r="JI573" s="27" t="s">
        <v>8</v>
      </c>
      <c r="JP573" s="27" t="s">
        <v>7</v>
      </c>
      <c r="JQ573" s="27" t="s">
        <v>8</v>
      </c>
      <c r="JR573" s="27" t="s">
        <v>7</v>
      </c>
      <c r="JS573" s="27" t="s">
        <v>8</v>
      </c>
      <c r="JT573" s="27" t="s">
        <v>7</v>
      </c>
      <c r="JU573" s="27" t="s">
        <v>8</v>
      </c>
      <c r="JX573" s="27" t="s">
        <v>7</v>
      </c>
      <c r="KE573" s="27" t="s">
        <v>8</v>
      </c>
      <c r="KF573" s="27" t="s">
        <v>7</v>
      </c>
      <c r="KG573" s="27" t="s">
        <v>8</v>
      </c>
      <c r="KH573" s="27" t="s">
        <v>7</v>
      </c>
      <c r="KI573" s="27" t="s">
        <v>8</v>
      </c>
      <c r="KJ573" s="27" t="s">
        <v>7</v>
      </c>
      <c r="KM573" s="27" t="s">
        <v>8</v>
      </c>
      <c r="KN573" s="27" t="s">
        <v>7</v>
      </c>
      <c r="KO573" s="27" t="s">
        <v>8</v>
      </c>
      <c r="KP573" s="27" t="s">
        <v>7</v>
      </c>
      <c r="KQ573" s="27" t="s">
        <v>8</v>
      </c>
      <c r="KT573" s="27" t="s">
        <v>7</v>
      </c>
      <c r="KU573" s="27" t="s">
        <v>8</v>
      </c>
      <c r="LR573" s="27" t="s">
        <v>7</v>
      </c>
      <c r="LS573" s="27" t="s">
        <v>8</v>
      </c>
      <c r="LT573" s="27" t="s">
        <v>7</v>
      </c>
      <c r="LU573" s="27" t="s">
        <v>8</v>
      </c>
      <c r="LV573" s="27" t="s">
        <v>7</v>
      </c>
      <c r="LW573" s="27" t="s">
        <v>8</v>
      </c>
    </row>
    <row r="574" spans="1:396" x14ac:dyDescent="0.25">
      <c r="A574" s="7">
        <v>1.2936066304537963</v>
      </c>
      <c r="B574"/>
      <c r="C574"/>
      <c r="D574"/>
      <c r="E574"/>
      <c r="HG574" s="27" t="s">
        <v>8</v>
      </c>
      <c r="HH574" s="27" t="s">
        <v>7</v>
      </c>
      <c r="HI574" s="27" t="s">
        <v>8</v>
      </c>
      <c r="IZ574" s="27" t="s">
        <v>7</v>
      </c>
      <c r="JA574" s="27" t="s">
        <v>8</v>
      </c>
      <c r="JB574" s="27" t="s">
        <v>7</v>
      </c>
      <c r="JC574" s="27" t="s">
        <v>8</v>
      </c>
      <c r="JE574" s="27" t="s">
        <v>8</v>
      </c>
      <c r="JF574" s="27" t="s">
        <v>7</v>
      </c>
      <c r="JG574" s="27" t="s">
        <v>8</v>
      </c>
      <c r="JH574" s="27" t="s">
        <v>7</v>
      </c>
      <c r="JI574" s="27" t="s">
        <v>8</v>
      </c>
      <c r="JP574" s="27" t="s">
        <v>7</v>
      </c>
      <c r="JQ574" s="27" t="s">
        <v>8</v>
      </c>
      <c r="JR574" s="27" t="s">
        <v>7</v>
      </c>
      <c r="JS574" s="27" t="s">
        <v>8</v>
      </c>
      <c r="JT574" s="27" t="s">
        <v>7</v>
      </c>
      <c r="JU574" s="27" t="s">
        <v>8</v>
      </c>
      <c r="JX574" s="27" t="s">
        <v>7</v>
      </c>
      <c r="KE574" s="27" t="s">
        <v>8</v>
      </c>
      <c r="KF574" s="27" t="s">
        <v>7</v>
      </c>
      <c r="KG574" s="27" t="s">
        <v>8</v>
      </c>
      <c r="KH574" s="27" t="s">
        <v>7</v>
      </c>
      <c r="KI574" s="27" t="s">
        <v>8</v>
      </c>
      <c r="KJ574" s="27" t="s">
        <v>7</v>
      </c>
      <c r="KM574" s="27" t="s">
        <v>8</v>
      </c>
      <c r="KN574" s="27" t="s">
        <v>7</v>
      </c>
      <c r="KO574" s="27" t="s">
        <v>8</v>
      </c>
      <c r="KP574" s="27" t="s">
        <v>7</v>
      </c>
      <c r="KQ574" s="27" t="s">
        <v>8</v>
      </c>
      <c r="KT574" s="27" t="s">
        <v>7</v>
      </c>
      <c r="LR574" s="27" t="s">
        <v>7</v>
      </c>
      <c r="LS574" s="27" t="s">
        <v>8</v>
      </c>
      <c r="LT574" s="27" t="s">
        <v>7</v>
      </c>
      <c r="LU574" s="27" t="s">
        <v>8</v>
      </c>
      <c r="LV574" s="27" t="s">
        <v>7</v>
      </c>
      <c r="LW574" s="27" t="s">
        <v>8</v>
      </c>
    </row>
    <row r="575" spans="1:396" x14ac:dyDescent="0.25">
      <c r="A575" s="7">
        <v>1.2682417945625455</v>
      </c>
      <c r="B575"/>
      <c r="C575"/>
      <c r="D575"/>
      <c r="E575"/>
      <c r="HG575" s="27" t="s">
        <v>8</v>
      </c>
      <c r="HH575" s="27" t="s">
        <v>7</v>
      </c>
      <c r="HI575" s="27" t="s">
        <v>8</v>
      </c>
      <c r="IZ575" s="27" t="s">
        <v>7</v>
      </c>
      <c r="JA575" s="27" t="s">
        <v>8</v>
      </c>
      <c r="JB575" s="27" t="s">
        <v>7</v>
      </c>
      <c r="JC575" s="27" t="s">
        <v>8</v>
      </c>
      <c r="JD575" s="27" t="s">
        <v>7</v>
      </c>
      <c r="JE575" s="27" t="s">
        <v>8</v>
      </c>
      <c r="JF575" s="27" t="s">
        <v>7</v>
      </c>
      <c r="JG575" s="27" t="s">
        <v>8</v>
      </c>
      <c r="JH575" s="27" t="s">
        <v>7</v>
      </c>
      <c r="JI575" s="27" t="s">
        <v>8</v>
      </c>
      <c r="JP575" s="27" t="s">
        <v>7</v>
      </c>
      <c r="JQ575" s="27" t="s">
        <v>8</v>
      </c>
      <c r="JR575" s="27" t="s">
        <v>7</v>
      </c>
      <c r="JT575" s="27" t="s">
        <v>7</v>
      </c>
      <c r="JU575" s="27" t="s">
        <v>8</v>
      </c>
      <c r="JX575" s="27" t="s">
        <v>7</v>
      </c>
      <c r="KE575" s="27" t="s">
        <v>8</v>
      </c>
      <c r="KF575" s="27" t="s">
        <v>7</v>
      </c>
      <c r="KG575" s="27" t="s">
        <v>8</v>
      </c>
      <c r="KH575" s="27" t="s">
        <v>7</v>
      </c>
      <c r="KI575" s="27" t="s">
        <v>8</v>
      </c>
      <c r="KJ575" s="27" t="s">
        <v>7</v>
      </c>
      <c r="KM575" s="27" t="s">
        <v>8</v>
      </c>
      <c r="KN575" s="27" t="s">
        <v>7</v>
      </c>
      <c r="KO575" s="27" t="s">
        <v>8</v>
      </c>
      <c r="KP575" s="27" t="s">
        <v>7</v>
      </c>
      <c r="KQ575" s="27" t="s">
        <v>8</v>
      </c>
      <c r="LR575" s="27" t="s">
        <v>7</v>
      </c>
      <c r="LS575" s="27" t="s">
        <v>8</v>
      </c>
      <c r="LT575" s="27" t="s">
        <v>7</v>
      </c>
      <c r="LV575" s="27" t="s">
        <v>7</v>
      </c>
      <c r="LW575" s="27" t="s">
        <v>8</v>
      </c>
    </row>
    <row r="576" spans="1:396" x14ac:dyDescent="0.25">
      <c r="A576" s="7">
        <v>1.2433743083946525</v>
      </c>
      <c r="B576"/>
      <c r="C576"/>
      <c r="D576"/>
      <c r="E576"/>
      <c r="HG576" s="27" t="s">
        <v>8</v>
      </c>
      <c r="HH576" s="27" t="s">
        <v>7</v>
      </c>
      <c r="HI576" s="27" t="s">
        <v>8</v>
      </c>
      <c r="IZ576" s="27" t="s">
        <v>7</v>
      </c>
      <c r="JA576" s="27" t="s">
        <v>8</v>
      </c>
      <c r="JB576" s="27" t="s">
        <v>7</v>
      </c>
      <c r="JC576" s="27" t="s">
        <v>8</v>
      </c>
      <c r="JD576" s="27" t="s">
        <v>7</v>
      </c>
      <c r="JE576" s="27" t="s">
        <v>8</v>
      </c>
      <c r="JF576" s="27" t="s">
        <v>7</v>
      </c>
      <c r="JG576" s="27" t="s">
        <v>8</v>
      </c>
      <c r="JH576" s="27" t="s">
        <v>7</v>
      </c>
      <c r="JP576" s="27" t="s">
        <v>7</v>
      </c>
      <c r="JQ576" s="27" t="s">
        <v>8</v>
      </c>
      <c r="JT576" s="27" t="s">
        <v>7</v>
      </c>
      <c r="JU576" s="27" t="s">
        <v>8</v>
      </c>
      <c r="JX576" s="27" t="s">
        <v>7</v>
      </c>
      <c r="KA576" s="27" t="s">
        <v>8</v>
      </c>
      <c r="KE576" s="27" t="s">
        <v>8</v>
      </c>
      <c r="KF576" s="27" t="s">
        <v>7</v>
      </c>
      <c r="KG576" s="27" t="s">
        <v>8</v>
      </c>
      <c r="KH576" s="27" t="s">
        <v>7</v>
      </c>
      <c r="KI576" s="27" t="s">
        <v>8</v>
      </c>
      <c r="KJ576" s="27" t="s">
        <v>7</v>
      </c>
      <c r="KK576" s="27" t="s">
        <v>8</v>
      </c>
      <c r="KM576" s="27" t="s">
        <v>8</v>
      </c>
      <c r="KN576" s="27" t="s">
        <v>7</v>
      </c>
      <c r="KP576" s="27" t="s">
        <v>7</v>
      </c>
      <c r="LR576" s="27" t="s">
        <v>7</v>
      </c>
      <c r="LS576" s="27" t="s">
        <v>8</v>
      </c>
      <c r="LV576" s="27" t="s">
        <v>7</v>
      </c>
      <c r="LW576" s="27" t="s">
        <v>8</v>
      </c>
    </row>
    <row r="577" spans="1:335" x14ac:dyDescent="0.25">
      <c r="A577" s="7">
        <v>1.2189944199947573</v>
      </c>
      <c r="B577"/>
      <c r="C577"/>
      <c r="D577"/>
      <c r="E577"/>
      <c r="HG577" s="27" t="s">
        <v>8</v>
      </c>
      <c r="HH577" s="27" t="s">
        <v>7</v>
      </c>
      <c r="HI577" s="27" t="s">
        <v>8</v>
      </c>
      <c r="IZ577" s="27" t="s">
        <v>7</v>
      </c>
      <c r="JA577" s="27" t="s">
        <v>8</v>
      </c>
      <c r="JB577" s="27" t="s">
        <v>7</v>
      </c>
      <c r="JC577" s="27" t="s">
        <v>8</v>
      </c>
      <c r="JD577" s="27" t="s">
        <v>7</v>
      </c>
      <c r="JE577" s="27" t="s">
        <v>8</v>
      </c>
      <c r="JF577" s="27" t="s">
        <v>7</v>
      </c>
      <c r="JG577" s="27" t="s">
        <v>8</v>
      </c>
      <c r="JP577" s="27" t="s">
        <v>7</v>
      </c>
      <c r="JQ577" s="27" t="s">
        <v>8</v>
      </c>
      <c r="JT577" s="27" t="s">
        <v>7</v>
      </c>
      <c r="JU577" s="27" t="s">
        <v>8</v>
      </c>
      <c r="JX577" s="27" t="s">
        <v>7</v>
      </c>
      <c r="KA577" s="27" t="s">
        <v>8</v>
      </c>
      <c r="KB577" s="27" t="s">
        <v>7</v>
      </c>
      <c r="KE577" s="27" t="s">
        <v>8</v>
      </c>
      <c r="KF577" s="27" t="s">
        <v>7</v>
      </c>
      <c r="KG577" s="27" t="s">
        <v>8</v>
      </c>
      <c r="KH577" s="27" t="s">
        <v>7</v>
      </c>
      <c r="KI577" s="27" t="s">
        <v>8</v>
      </c>
      <c r="KJ577" s="27" t="s">
        <v>7</v>
      </c>
      <c r="KK577" s="27" t="s">
        <v>8</v>
      </c>
      <c r="KL577" s="27" t="s">
        <v>7</v>
      </c>
      <c r="KM577" s="27" t="s">
        <v>8</v>
      </c>
      <c r="LR577" s="27" t="s">
        <v>7</v>
      </c>
      <c r="LS577" s="27" t="s">
        <v>8</v>
      </c>
      <c r="LV577" s="27" t="s">
        <v>7</v>
      </c>
      <c r="LW577" s="27" t="s">
        <v>8</v>
      </c>
    </row>
    <row r="578" spans="1:335" x14ac:dyDescent="0.25">
      <c r="A578" s="7">
        <v>1.1950925686223111</v>
      </c>
      <c r="B578"/>
      <c r="C578"/>
      <c r="D578"/>
      <c r="E578"/>
      <c r="HG578" s="27" t="s">
        <v>8</v>
      </c>
      <c r="HH578" s="27" t="s">
        <v>7</v>
      </c>
      <c r="HI578" s="27" t="s">
        <v>8</v>
      </c>
      <c r="IZ578" s="27" t="s">
        <v>7</v>
      </c>
      <c r="JA578" s="27" t="s">
        <v>8</v>
      </c>
      <c r="JB578" s="27" t="s">
        <v>7</v>
      </c>
      <c r="JC578" s="27" t="s">
        <v>8</v>
      </c>
      <c r="JD578" s="27" t="s">
        <v>7</v>
      </c>
      <c r="JE578" s="27" t="s">
        <v>8</v>
      </c>
      <c r="JF578" s="27" t="s">
        <v>7</v>
      </c>
      <c r="JG578" s="27" t="s">
        <v>8</v>
      </c>
      <c r="JP578" s="27" t="s">
        <v>7</v>
      </c>
      <c r="JQ578" s="27" t="s">
        <v>8</v>
      </c>
      <c r="JT578" s="27" t="s">
        <v>7</v>
      </c>
      <c r="JU578" s="27" t="s">
        <v>8</v>
      </c>
      <c r="JX578" s="27" t="s">
        <v>7</v>
      </c>
      <c r="KA578" s="27" t="s">
        <v>8</v>
      </c>
      <c r="KB578" s="27" t="s">
        <v>7</v>
      </c>
      <c r="KC578" s="27" t="s">
        <v>8</v>
      </c>
      <c r="KE578" s="27" t="s">
        <v>8</v>
      </c>
      <c r="KF578" s="27" t="s">
        <v>7</v>
      </c>
      <c r="KG578" s="27" t="s">
        <v>8</v>
      </c>
      <c r="KH578" s="27" t="s">
        <v>7</v>
      </c>
      <c r="KI578" s="27" t="s">
        <v>8</v>
      </c>
      <c r="KJ578" s="27" t="s">
        <v>7</v>
      </c>
      <c r="KK578" s="27" t="s">
        <v>8</v>
      </c>
      <c r="KL578" s="27" t="s">
        <v>7</v>
      </c>
      <c r="KM578" s="27" t="s">
        <v>8</v>
      </c>
      <c r="LR578" s="27" t="s">
        <v>7</v>
      </c>
      <c r="LV578" s="27" t="s">
        <v>7</v>
      </c>
    </row>
    <row r="579" spans="1:335" x14ac:dyDescent="0.25">
      <c r="A579" s="7">
        <v>1.1716593810022657</v>
      </c>
      <c r="B579"/>
      <c r="C579"/>
      <c r="D579"/>
      <c r="E579"/>
      <c r="HG579" s="27" t="s">
        <v>8</v>
      </c>
      <c r="HH579" s="27" t="s">
        <v>7</v>
      </c>
      <c r="HI579" s="27" t="s">
        <v>8</v>
      </c>
      <c r="IZ579" s="27" t="s">
        <v>7</v>
      </c>
      <c r="JA579" s="27" t="s">
        <v>8</v>
      </c>
      <c r="JB579" s="27" t="s">
        <v>7</v>
      </c>
      <c r="JC579" s="27" t="s">
        <v>8</v>
      </c>
      <c r="JD579" s="27" t="s">
        <v>7</v>
      </c>
      <c r="JE579" s="27" t="s">
        <v>8</v>
      </c>
      <c r="JF579" s="27" t="s">
        <v>7</v>
      </c>
      <c r="JG579" s="27" t="s">
        <v>8</v>
      </c>
      <c r="JP579" s="27" t="s">
        <v>7</v>
      </c>
      <c r="JQ579" s="27" t="s">
        <v>8</v>
      </c>
      <c r="JT579" s="27" t="s">
        <v>7</v>
      </c>
      <c r="JX579" s="27" t="s">
        <v>7</v>
      </c>
      <c r="KA579" s="27" t="s">
        <v>8</v>
      </c>
      <c r="KB579" s="27" t="s">
        <v>7</v>
      </c>
      <c r="KC579" s="27" t="s">
        <v>8</v>
      </c>
      <c r="KD579" s="27" t="s">
        <v>7</v>
      </c>
      <c r="KE579" s="27" t="s">
        <v>8</v>
      </c>
      <c r="KF579" s="27" t="s">
        <v>7</v>
      </c>
      <c r="KG579" s="27" t="s">
        <v>8</v>
      </c>
      <c r="KH579" s="27" t="s">
        <v>7</v>
      </c>
      <c r="KI579" s="27" t="s">
        <v>8</v>
      </c>
      <c r="KJ579" s="27" t="s">
        <v>7</v>
      </c>
      <c r="KL579" s="27" t="s">
        <v>7</v>
      </c>
      <c r="KM579" s="27" t="s">
        <v>8</v>
      </c>
    </row>
    <row r="580" spans="1:335" x14ac:dyDescent="0.25">
      <c r="A580" s="7">
        <v>1.14868566764928</v>
      </c>
      <c r="B580"/>
      <c r="C580"/>
      <c r="D580"/>
      <c r="E580"/>
      <c r="HG580" s="27" t="s">
        <v>8</v>
      </c>
      <c r="HH580" s="27" t="s">
        <v>7</v>
      </c>
      <c r="HI580" s="27" t="s">
        <v>8</v>
      </c>
      <c r="IZ580" s="27" t="s">
        <v>7</v>
      </c>
      <c r="JA580" s="27" t="s">
        <v>8</v>
      </c>
      <c r="JB580" s="27" t="s">
        <v>7</v>
      </c>
      <c r="JC580" s="27" t="s">
        <v>8</v>
      </c>
      <c r="JD580" s="27" t="s">
        <v>7</v>
      </c>
      <c r="JE580" s="27" t="s">
        <v>8</v>
      </c>
      <c r="JF580" s="27" t="s">
        <v>7</v>
      </c>
      <c r="JG580" s="27" t="s">
        <v>8</v>
      </c>
      <c r="JP580" s="27" t="s">
        <v>7</v>
      </c>
      <c r="JX580" s="27" t="s">
        <v>7</v>
      </c>
      <c r="KA580" s="27" t="s">
        <v>8</v>
      </c>
      <c r="KB580" s="27" t="s">
        <v>7</v>
      </c>
      <c r="KC580" s="27" t="s">
        <v>8</v>
      </c>
      <c r="KD580" s="27" t="s">
        <v>7</v>
      </c>
      <c r="KE580" s="27" t="s">
        <v>8</v>
      </c>
      <c r="KF580" s="27" t="s">
        <v>7</v>
      </c>
      <c r="KG580" s="27" t="s">
        <v>8</v>
      </c>
      <c r="KH580" s="27" t="s">
        <v>7</v>
      </c>
      <c r="KI580" s="27" t="s">
        <v>8</v>
      </c>
      <c r="KL580" s="27" t="s">
        <v>7</v>
      </c>
      <c r="KM580" s="27" t="s">
        <v>8</v>
      </c>
    </row>
    <row r="581" spans="1:335" x14ac:dyDescent="0.25">
      <c r="A581" s="7">
        <v>1.1261624192640001</v>
      </c>
      <c r="B581"/>
      <c r="C581"/>
      <c r="D581"/>
      <c r="E581"/>
      <c r="HG581" s="27" t="s">
        <v>8</v>
      </c>
      <c r="HH581" s="27" t="s">
        <v>7</v>
      </c>
      <c r="HI581" s="27" t="s">
        <v>8</v>
      </c>
      <c r="IZ581" s="27" t="s">
        <v>7</v>
      </c>
      <c r="JA581" s="27" t="s">
        <v>8</v>
      </c>
      <c r="JB581" s="27" t="s">
        <v>7</v>
      </c>
      <c r="JC581" s="27" t="s">
        <v>8</v>
      </c>
      <c r="JD581" s="27" t="s">
        <v>7</v>
      </c>
      <c r="JE581" s="27" t="s">
        <v>8</v>
      </c>
      <c r="JF581" s="27" t="s">
        <v>7</v>
      </c>
      <c r="JG581" s="27" t="s">
        <v>8</v>
      </c>
      <c r="JX581" s="27" t="s">
        <v>7</v>
      </c>
      <c r="KA581" s="27" t="s">
        <v>8</v>
      </c>
      <c r="KB581" s="27" t="s">
        <v>7</v>
      </c>
      <c r="KC581" s="27" t="s">
        <v>8</v>
      </c>
      <c r="KD581" s="27" t="s">
        <v>7</v>
      </c>
      <c r="KE581" s="27" t="s">
        <v>8</v>
      </c>
      <c r="KF581" s="27" t="s">
        <v>7</v>
      </c>
      <c r="KH581" s="27" t="s">
        <v>7</v>
      </c>
      <c r="KL581" s="27" t="s">
        <v>7</v>
      </c>
      <c r="KM581" s="27" t="s">
        <v>8</v>
      </c>
    </row>
    <row r="582" spans="1:335" x14ac:dyDescent="0.25">
      <c r="A582" s="7">
        <v>1.1040808032</v>
      </c>
      <c r="B582"/>
      <c r="C582"/>
      <c r="D582"/>
      <c r="E582"/>
      <c r="HG582" s="27" t="s">
        <v>8</v>
      </c>
      <c r="HH582" s="27" t="s">
        <v>7</v>
      </c>
      <c r="HI582" s="27" t="s">
        <v>8</v>
      </c>
      <c r="IZ582" s="27" t="s">
        <v>7</v>
      </c>
      <c r="JA582" s="27" t="s">
        <v>8</v>
      </c>
      <c r="JB582" s="27" t="s">
        <v>7</v>
      </c>
      <c r="JC582" s="27" t="s">
        <v>8</v>
      </c>
      <c r="JD582" s="27" t="s">
        <v>7</v>
      </c>
      <c r="JE582" s="27" t="s">
        <v>8</v>
      </c>
      <c r="JF582" s="27" t="s">
        <v>7</v>
      </c>
      <c r="JX582" s="27" t="s">
        <v>7</v>
      </c>
      <c r="KA582" s="27" t="s">
        <v>8</v>
      </c>
      <c r="KB582" s="27" t="s">
        <v>7</v>
      </c>
      <c r="KC582" s="27" t="s">
        <v>8</v>
      </c>
      <c r="KD582" s="27" t="s">
        <v>7</v>
      </c>
      <c r="KE582" s="27" t="s">
        <v>8</v>
      </c>
      <c r="KL582" s="27" t="s">
        <v>7</v>
      </c>
      <c r="KM582" s="27" t="s">
        <v>8</v>
      </c>
    </row>
    <row r="583" spans="1:335" x14ac:dyDescent="0.25">
      <c r="A583" s="7">
        <v>1.08243216</v>
      </c>
      <c r="B583"/>
      <c r="C583"/>
      <c r="D583"/>
      <c r="E583"/>
      <c r="HG583" s="27" t="s">
        <v>8</v>
      </c>
      <c r="HH583" s="27" t="s">
        <v>7</v>
      </c>
      <c r="IZ583" s="27" t="s">
        <v>7</v>
      </c>
      <c r="JA583" s="27" t="s">
        <v>8</v>
      </c>
      <c r="JB583" s="27" t="s">
        <v>7</v>
      </c>
      <c r="JC583" s="27" t="s">
        <v>8</v>
      </c>
      <c r="JD583" s="27" t="s">
        <v>7</v>
      </c>
      <c r="JE583" s="27" t="s">
        <v>8</v>
      </c>
      <c r="JX583" s="27" t="s">
        <v>7</v>
      </c>
      <c r="JY583" s="27" t="s">
        <v>8</v>
      </c>
      <c r="KA583" s="27" t="s">
        <v>8</v>
      </c>
      <c r="KB583" s="27" t="s">
        <v>7</v>
      </c>
      <c r="KC583" s="27" t="s">
        <v>8</v>
      </c>
      <c r="KD583" s="27" t="s">
        <v>7</v>
      </c>
      <c r="KL583" s="27" t="s">
        <v>7</v>
      </c>
      <c r="KM583" s="27" t="s">
        <v>8</v>
      </c>
    </row>
    <row r="584" spans="1:335" x14ac:dyDescent="0.25">
      <c r="A584" s="7">
        <v>1.0612079999999999</v>
      </c>
      <c r="B584"/>
      <c r="C584"/>
      <c r="D584"/>
      <c r="E584"/>
      <c r="HG584" s="27" t="s">
        <v>8</v>
      </c>
      <c r="IZ584" s="27" t="s">
        <v>7</v>
      </c>
      <c r="JA584" s="27" t="s">
        <v>8</v>
      </c>
      <c r="JB584" s="27" t="s">
        <v>7</v>
      </c>
      <c r="JD584" s="27" t="s">
        <v>7</v>
      </c>
      <c r="JE584" s="27" t="s">
        <v>8</v>
      </c>
      <c r="JX584" s="27" t="s">
        <v>7</v>
      </c>
      <c r="JY584" s="27" t="s">
        <v>8</v>
      </c>
      <c r="JZ584" s="27" t="s">
        <v>7</v>
      </c>
      <c r="KA584" s="27" t="s">
        <v>8</v>
      </c>
      <c r="KB584" s="27" t="s">
        <v>7</v>
      </c>
      <c r="KL584" s="18" t="s">
        <v>7</v>
      </c>
      <c r="KM584" s="27" t="s">
        <v>8</v>
      </c>
    </row>
    <row r="585" spans="1:335" x14ac:dyDescent="0.25">
      <c r="A585" s="7">
        <v>1.0404</v>
      </c>
      <c r="B585"/>
      <c r="C585"/>
      <c r="D585"/>
      <c r="E585"/>
      <c r="HG585" s="27" t="s">
        <v>8</v>
      </c>
      <c r="IZ585" s="27" t="s">
        <v>7</v>
      </c>
      <c r="JA585" s="27" t="s">
        <v>8</v>
      </c>
      <c r="JD585" s="27" t="s">
        <v>7</v>
      </c>
      <c r="JE585" s="27" t="s">
        <v>8</v>
      </c>
      <c r="JX585" s="27" t="s">
        <v>7</v>
      </c>
      <c r="JY585" s="27" t="s">
        <v>8</v>
      </c>
      <c r="JZ585" s="27" t="s">
        <v>7</v>
      </c>
      <c r="KA585" s="27" t="s">
        <v>8</v>
      </c>
      <c r="KL585" s="27" t="s">
        <v>7</v>
      </c>
      <c r="KM585" s="27" t="s">
        <v>8</v>
      </c>
    </row>
    <row r="586" spans="1:335" x14ac:dyDescent="0.25">
      <c r="A586" s="7">
        <v>1.02</v>
      </c>
      <c r="B586"/>
      <c r="C586"/>
      <c r="D586"/>
      <c r="E586"/>
      <c r="HG586" s="27" t="s">
        <v>8</v>
      </c>
      <c r="IZ586" s="27" t="s">
        <v>7</v>
      </c>
      <c r="JA586" s="27" t="s">
        <v>8</v>
      </c>
      <c r="JD586" s="27" t="s">
        <v>7</v>
      </c>
      <c r="JE586" s="27" t="s">
        <v>8</v>
      </c>
      <c r="JX586" s="27" t="s">
        <v>7</v>
      </c>
      <c r="JY586" s="27" t="s">
        <v>8</v>
      </c>
      <c r="JZ586" s="27" t="s">
        <v>7</v>
      </c>
      <c r="KA586" s="27" t="s">
        <v>8</v>
      </c>
      <c r="KL586" s="27" t="s">
        <v>7</v>
      </c>
      <c r="KM586" s="27" t="s">
        <v>8</v>
      </c>
    </row>
    <row r="587" spans="1:335" x14ac:dyDescent="0.25">
      <c r="A587" s="7">
        <v>1</v>
      </c>
      <c r="B587"/>
      <c r="C587"/>
      <c r="D587"/>
      <c r="E587" s="29" t="s">
        <v>8</v>
      </c>
      <c r="HG587" s="27" t="s">
        <v>8</v>
      </c>
      <c r="IZ587" s="27" t="s">
        <v>7</v>
      </c>
      <c r="JA587" s="27" t="s">
        <v>8</v>
      </c>
      <c r="JD587" s="27" t="s">
        <v>7</v>
      </c>
      <c r="JE587" s="27" t="s">
        <v>8</v>
      </c>
      <c r="JX587" s="27" t="s">
        <v>7</v>
      </c>
      <c r="JY587" s="27" t="s">
        <v>8</v>
      </c>
      <c r="JZ587" s="27" t="s">
        <v>7</v>
      </c>
      <c r="KA587" s="27" t="s">
        <v>8</v>
      </c>
      <c r="KL587" s="27" t="s">
        <v>7</v>
      </c>
      <c r="KM587" s="27" t="s">
        <v>8</v>
      </c>
    </row>
    <row r="588" spans="1:335" x14ac:dyDescent="0.25">
      <c r="A588" s="7">
        <v>0.98039215686274506</v>
      </c>
      <c r="B588"/>
      <c r="C588"/>
      <c r="D588"/>
      <c r="E588"/>
      <c r="F588" s="27" t="s">
        <v>7</v>
      </c>
      <c r="HG588" s="27" t="s">
        <v>8</v>
      </c>
      <c r="IZ588" s="27" t="s">
        <v>7</v>
      </c>
      <c r="JA588" s="27" t="s">
        <v>8</v>
      </c>
      <c r="JD588" s="27" t="s">
        <v>7</v>
      </c>
      <c r="JE588" s="27" t="s">
        <v>8</v>
      </c>
      <c r="JX588" s="27" t="s">
        <v>7</v>
      </c>
      <c r="JY588" s="27" t="s">
        <v>8</v>
      </c>
      <c r="JZ588" s="27" t="s">
        <v>7</v>
      </c>
      <c r="KA588" s="27" t="s">
        <v>8</v>
      </c>
      <c r="KL588" s="27" t="s">
        <v>7</v>
      </c>
      <c r="KM588" s="27" t="s">
        <v>8</v>
      </c>
    </row>
    <row r="589" spans="1:335" x14ac:dyDescent="0.25">
      <c r="A589" s="7">
        <v>0.96116878123798544</v>
      </c>
      <c r="B589"/>
      <c r="C589"/>
      <c r="D589"/>
      <c r="E589"/>
      <c r="F589" s="27" t="s">
        <v>7</v>
      </c>
      <c r="HG589" s="27" t="s">
        <v>8</v>
      </c>
      <c r="IZ589" s="27" t="s">
        <v>7</v>
      </c>
      <c r="JA589" s="27" t="s">
        <v>8</v>
      </c>
      <c r="JD589" s="27" t="s">
        <v>7</v>
      </c>
      <c r="JE589" s="27" t="s">
        <v>8</v>
      </c>
      <c r="JX589" s="27" t="s">
        <v>7</v>
      </c>
      <c r="JY589" s="27" t="s">
        <v>8</v>
      </c>
      <c r="JZ589" s="27" t="s">
        <v>7</v>
      </c>
      <c r="KA589" s="27" t="s">
        <v>8</v>
      </c>
      <c r="KL589" s="27" t="s">
        <v>7</v>
      </c>
      <c r="KM589" s="27" t="s">
        <v>8</v>
      </c>
    </row>
    <row r="590" spans="1:335" x14ac:dyDescent="0.25">
      <c r="A590" s="7">
        <v>0.94232233454704462</v>
      </c>
      <c r="B590"/>
      <c r="C590"/>
      <c r="D590"/>
      <c r="E590"/>
      <c r="F590" s="27" t="s">
        <v>7</v>
      </c>
      <c r="HG590" s="27" t="s">
        <v>8</v>
      </c>
      <c r="IZ590" s="27" t="s">
        <v>7</v>
      </c>
      <c r="JA590" s="27" t="s">
        <v>8</v>
      </c>
      <c r="JD590" s="27" t="s">
        <v>7</v>
      </c>
      <c r="JE590" s="27" t="s">
        <v>8</v>
      </c>
      <c r="JX590" s="27" t="s">
        <v>7</v>
      </c>
      <c r="JY590" s="27" t="s">
        <v>8</v>
      </c>
      <c r="JZ590" s="27" t="s">
        <v>7</v>
      </c>
      <c r="KA590" s="27" t="s">
        <v>8</v>
      </c>
      <c r="KL590" s="27" t="s">
        <v>7</v>
      </c>
    </row>
    <row r="591" spans="1:335" x14ac:dyDescent="0.25">
      <c r="A591" s="7">
        <v>0.92384542602651432</v>
      </c>
      <c r="B591"/>
      <c r="C591"/>
      <c r="D591"/>
      <c r="E591"/>
      <c r="F591" s="27" t="s">
        <v>7</v>
      </c>
      <c r="HG591" s="27" t="s">
        <v>8</v>
      </c>
      <c r="IZ591" s="27" t="s">
        <v>7</v>
      </c>
      <c r="JA591" s="27" t="s">
        <v>8</v>
      </c>
      <c r="JD591" s="27" t="s">
        <v>7</v>
      </c>
      <c r="JE591" s="27" t="s">
        <v>8</v>
      </c>
      <c r="JX591" s="27" t="s">
        <v>7</v>
      </c>
      <c r="JY591" s="27" t="s">
        <v>8</v>
      </c>
      <c r="JZ591" s="27" t="s">
        <v>7</v>
      </c>
      <c r="KA591" s="27" t="s">
        <v>8</v>
      </c>
    </row>
    <row r="592" spans="1:335" x14ac:dyDescent="0.25">
      <c r="A592" s="7">
        <v>0.90573080982991594</v>
      </c>
      <c r="B592"/>
      <c r="C592"/>
      <c r="D592"/>
      <c r="E592"/>
      <c r="F592" s="27" t="s">
        <v>7</v>
      </c>
      <c r="HG592" s="27" t="s">
        <v>8</v>
      </c>
      <c r="IZ592" s="27" t="s">
        <v>7</v>
      </c>
      <c r="JA592" s="27" t="s">
        <v>8</v>
      </c>
      <c r="JD592" s="27" t="s">
        <v>7</v>
      </c>
      <c r="JE592" s="27" t="s">
        <v>8</v>
      </c>
      <c r="JX592" s="27" t="s">
        <v>7</v>
      </c>
      <c r="JY592" s="27" t="s">
        <v>8</v>
      </c>
      <c r="JZ592" s="27" t="s">
        <v>7</v>
      </c>
    </row>
    <row r="593" spans="1:285" x14ac:dyDescent="0.25">
      <c r="A593" s="7">
        <v>0.8879713821861922</v>
      </c>
      <c r="B593"/>
      <c r="C593"/>
      <c r="D593"/>
      <c r="E593"/>
      <c r="F593" s="27" t="s">
        <v>7</v>
      </c>
      <c r="HG593" s="27" t="s">
        <v>8</v>
      </c>
      <c r="IZ593" s="27" t="s">
        <v>7</v>
      </c>
      <c r="JA593" s="27" t="s">
        <v>8</v>
      </c>
      <c r="JD593" s="27" t="s">
        <v>7</v>
      </c>
      <c r="JE593" s="27" t="s">
        <v>8</v>
      </c>
      <c r="JX593" s="27" t="s">
        <v>7</v>
      </c>
      <c r="JY593" s="27" t="s">
        <v>8</v>
      </c>
    </row>
    <row r="594" spans="1:285" x14ac:dyDescent="0.25">
      <c r="A594" s="7">
        <v>0.87056017861391399</v>
      </c>
      <c r="B594"/>
      <c r="C594"/>
      <c r="D594"/>
      <c r="E594"/>
      <c r="F594" s="27" t="s">
        <v>7</v>
      </c>
      <c r="HG594" s="27" t="s">
        <v>8</v>
      </c>
      <c r="IZ594" s="27" t="s">
        <v>7</v>
      </c>
      <c r="JD594" s="27" t="s">
        <v>7</v>
      </c>
      <c r="JE594" s="27" t="s">
        <v>8</v>
      </c>
      <c r="JX594" s="27" t="s">
        <v>7</v>
      </c>
      <c r="JY594" s="27" t="s">
        <v>8</v>
      </c>
    </row>
    <row r="595" spans="1:285" x14ac:dyDescent="0.25">
      <c r="A595" s="7">
        <v>0.85349037119011173</v>
      </c>
      <c r="B595"/>
      <c r="C595"/>
      <c r="D595"/>
      <c r="E595"/>
      <c r="F595" s="27" t="s">
        <v>7</v>
      </c>
      <c r="HG595" s="27" t="s">
        <v>8</v>
      </c>
      <c r="JD595" s="27" t="s">
        <v>7</v>
      </c>
      <c r="JE595" s="27" t="s">
        <v>8</v>
      </c>
      <c r="JX595" s="27" t="s">
        <v>7</v>
      </c>
      <c r="JY595" s="27" t="s">
        <v>8</v>
      </c>
    </row>
    <row r="596" spans="1:285" x14ac:dyDescent="0.25">
      <c r="A596" s="7">
        <v>0.83675526587265858</v>
      </c>
      <c r="B596"/>
      <c r="C596"/>
      <c r="D596"/>
      <c r="E596"/>
      <c r="F596" s="27" t="s">
        <v>7</v>
      </c>
      <c r="HG596" s="27" t="s">
        <v>8</v>
      </c>
      <c r="JD596" s="27" t="s">
        <v>7</v>
      </c>
      <c r="JE596" s="27" t="s">
        <v>8</v>
      </c>
      <c r="JX596" s="27" t="s">
        <v>7</v>
      </c>
      <c r="JY596" s="27" t="s">
        <v>8</v>
      </c>
    </row>
    <row r="597" spans="1:285" x14ac:dyDescent="0.25">
      <c r="A597" s="7">
        <v>0.82034829987515545</v>
      </c>
      <c r="B597"/>
      <c r="C597"/>
      <c r="D597"/>
      <c r="E597"/>
      <c r="F597" s="27" t="s">
        <v>7</v>
      </c>
      <c r="HG597" s="27" t="s">
        <v>8</v>
      </c>
      <c r="JD597" s="27" t="s">
        <v>7</v>
      </c>
      <c r="JE597" s="27" t="s">
        <v>8</v>
      </c>
      <c r="JX597" s="27" t="s">
        <v>7</v>
      </c>
      <c r="JY597" s="27" t="s">
        <v>8</v>
      </c>
    </row>
    <row r="598" spans="1:285" x14ac:dyDescent="0.25">
      <c r="A598" s="7">
        <v>0.80426303909328967</v>
      </c>
      <c r="B598"/>
      <c r="C598"/>
      <c r="D598"/>
      <c r="E598"/>
      <c r="F598" s="27" t="s">
        <v>7</v>
      </c>
      <c r="HG598" s="27" t="s">
        <v>8</v>
      </c>
      <c r="JD598" s="27" t="s">
        <v>7</v>
      </c>
      <c r="JE598" s="27" t="s">
        <v>8</v>
      </c>
      <c r="JX598" s="27" t="s">
        <v>7</v>
      </c>
      <c r="JY598" s="27" t="s">
        <v>8</v>
      </c>
    </row>
    <row r="599" spans="1:285" x14ac:dyDescent="0.25">
      <c r="A599" s="7">
        <v>0.78849317558165644</v>
      </c>
      <c r="B599"/>
      <c r="C599"/>
      <c r="D599"/>
      <c r="E599"/>
      <c r="F599" s="27" t="s">
        <v>7</v>
      </c>
      <c r="HG599" s="27" t="s">
        <v>8</v>
      </c>
      <c r="JD599" s="27" t="s">
        <v>7</v>
      </c>
      <c r="JE599" s="27" t="s">
        <v>8</v>
      </c>
      <c r="JX599" s="27" t="s">
        <v>7</v>
      </c>
      <c r="JY599" s="27" t="s">
        <v>8</v>
      </c>
    </row>
    <row r="600" spans="1:285" x14ac:dyDescent="0.25">
      <c r="A600" s="7">
        <v>0.77303252508005538</v>
      </c>
      <c r="B600"/>
      <c r="C600"/>
      <c r="D600"/>
      <c r="E600"/>
      <c r="F600" s="27" t="s">
        <v>7</v>
      </c>
      <c r="HG600" s="27" t="s">
        <v>8</v>
      </c>
      <c r="JD600" s="27" t="s">
        <v>7</v>
      </c>
      <c r="JE600" s="27" t="s">
        <v>8</v>
      </c>
      <c r="JX600" s="27" t="s">
        <v>7</v>
      </c>
    </row>
    <row r="601" spans="1:285" x14ac:dyDescent="0.25">
      <c r="A601" s="7">
        <v>0.75787502458828959</v>
      </c>
      <c r="B601"/>
      <c r="C601"/>
      <c r="D601"/>
      <c r="E601"/>
      <c r="F601" s="27" t="s">
        <v>7</v>
      </c>
      <c r="HG601" s="27" t="s">
        <v>8</v>
      </c>
      <c r="JD601" s="27" t="s">
        <v>7</v>
      </c>
      <c r="JE601" s="27" t="s">
        <v>8</v>
      </c>
    </row>
    <row r="602" spans="1:285" x14ac:dyDescent="0.25">
      <c r="A602" s="7">
        <v>0.74301472998851925</v>
      </c>
      <c r="B602"/>
      <c r="C602"/>
      <c r="D602"/>
      <c r="E602"/>
      <c r="F602" s="27" t="s">
        <v>7</v>
      </c>
      <c r="HG602" s="27" t="s">
        <v>8</v>
      </c>
      <c r="JD602" s="27" t="s">
        <v>7</v>
      </c>
    </row>
    <row r="603" spans="1:285" x14ac:dyDescent="0.25">
      <c r="A603" s="7">
        <v>0.72844581371423456</v>
      </c>
      <c r="B603"/>
      <c r="C603"/>
      <c r="D603"/>
      <c r="E603"/>
      <c r="F603" s="27" t="s">
        <v>7</v>
      </c>
      <c r="HG603" s="27" t="s">
        <v>8</v>
      </c>
    </row>
    <row r="604" spans="1:285" x14ac:dyDescent="0.25">
      <c r="A604" s="7">
        <v>0.71416256246493581</v>
      </c>
      <c r="B604"/>
      <c r="C604"/>
      <c r="D604"/>
      <c r="E604"/>
      <c r="F604" s="27" t="s">
        <v>7</v>
      </c>
      <c r="HG604" s="27" t="s">
        <v>8</v>
      </c>
    </row>
    <row r="605" spans="1:285" x14ac:dyDescent="0.25">
      <c r="A605" s="7">
        <v>0.7001593749656233</v>
      </c>
      <c r="B605"/>
      <c r="C605"/>
      <c r="D605"/>
      <c r="E605"/>
      <c r="F605" s="27" t="s">
        <v>7</v>
      </c>
      <c r="HG605" s="27" t="s">
        <v>8</v>
      </c>
    </row>
    <row r="606" spans="1:285" x14ac:dyDescent="0.25">
      <c r="A606" s="7">
        <v>0.68643075977021883</v>
      </c>
      <c r="B606"/>
      <c r="C606"/>
      <c r="D606"/>
      <c r="E606"/>
      <c r="F606" s="27" t="s">
        <v>7</v>
      </c>
      <c r="HG606" s="27" t="s">
        <v>8</v>
      </c>
    </row>
    <row r="607" spans="1:285" x14ac:dyDescent="0.25">
      <c r="A607" s="7">
        <v>0.67297133310805768</v>
      </c>
      <c r="B607"/>
      <c r="C607"/>
      <c r="D607"/>
      <c r="E607"/>
      <c r="F607" s="27" t="s">
        <v>7</v>
      </c>
      <c r="HA607" s="27" t="s">
        <v>8</v>
      </c>
      <c r="HG607" s="27" t="s">
        <v>8</v>
      </c>
    </row>
    <row r="608" spans="1:285" x14ac:dyDescent="0.25">
      <c r="A608" s="7">
        <v>0.65977581677260566</v>
      </c>
      <c r="B608"/>
      <c r="C608"/>
      <c r="D608"/>
      <c r="E608"/>
      <c r="F608" s="27" t="s">
        <v>7</v>
      </c>
      <c r="GU608" s="27" t="s">
        <v>8</v>
      </c>
      <c r="HA608" s="27" t="s">
        <v>8</v>
      </c>
      <c r="HB608" s="27" t="s">
        <v>7</v>
      </c>
      <c r="HC608" s="27" t="s">
        <v>8</v>
      </c>
      <c r="HG608" s="27" t="s">
        <v>8</v>
      </c>
    </row>
    <row r="609" spans="1:215" x14ac:dyDescent="0.25">
      <c r="A609" s="7">
        <v>0.64683903605157422</v>
      </c>
      <c r="B609"/>
      <c r="C609"/>
      <c r="D609"/>
      <c r="E609"/>
      <c r="F609" s="27" t="s">
        <v>7</v>
      </c>
      <c r="GU609" s="27" t="s">
        <v>8</v>
      </c>
      <c r="GV609" s="27" t="s">
        <v>7</v>
      </c>
      <c r="HA609" s="27" t="s">
        <v>8</v>
      </c>
      <c r="HB609" s="27" t="s">
        <v>7</v>
      </c>
      <c r="HC609" s="27" t="s">
        <v>8</v>
      </c>
      <c r="HD609" s="27" t="s">
        <v>7</v>
      </c>
      <c r="HE609" s="27" t="s">
        <v>8</v>
      </c>
      <c r="HG609" s="27" t="s">
        <v>8</v>
      </c>
    </row>
    <row r="610" spans="1:215" x14ac:dyDescent="0.25">
      <c r="A610" s="7">
        <v>0.63415591769762181</v>
      </c>
      <c r="B610"/>
      <c r="C610"/>
      <c r="D610"/>
      <c r="E610"/>
      <c r="F610" s="27" t="s">
        <v>7</v>
      </c>
      <c r="GU610" s="27" t="s">
        <v>8</v>
      </c>
      <c r="GV610" s="27" t="s">
        <v>7</v>
      </c>
      <c r="HA610" s="27" t="s">
        <v>8</v>
      </c>
      <c r="HB610" s="27" t="s">
        <v>7</v>
      </c>
      <c r="HC610" s="27" t="s">
        <v>8</v>
      </c>
      <c r="HD610" s="27" t="s">
        <v>7</v>
      </c>
      <c r="HE610" s="27" t="s">
        <v>8</v>
      </c>
      <c r="HF610" s="27" t="s">
        <v>7</v>
      </c>
      <c r="HG610" s="27" t="s">
        <v>8</v>
      </c>
    </row>
    <row r="611" spans="1:215" x14ac:dyDescent="0.25">
      <c r="A611" s="7">
        <v>0.62172148793884496</v>
      </c>
      <c r="B611"/>
      <c r="C611"/>
      <c r="D611"/>
      <c r="E611"/>
      <c r="F611" s="27" t="s">
        <v>7</v>
      </c>
      <c r="GU611" s="27" t="s">
        <v>8</v>
      </c>
      <c r="GV611" s="27" t="s">
        <v>7</v>
      </c>
      <c r="HA611" s="27" t="s">
        <v>8</v>
      </c>
      <c r="HB611" s="27" t="s">
        <v>7</v>
      </c>
      <c r="HC611" s="27" t="s">
        <v>8</v>
      </c>
      <c r="HD611" s="27" t="s">
        <v>7</v>
      </c>
      <c r="HE611" s="27" t="s">
        <v>8</v>
      </c>
      <c r="HF611" s="27" t="s">
        <v>7</v>
      </c>
      <c r="HG611" s="27" t="s">
        <v>8</v>
      </c>
    </row>
    <row r="612" spans="1:215" x14ac:dyDescent="0.25">
      <c r="A612" s="7">
        <v>0.60953087052827937</v>
      </c>
      <c r="B612"/>
      <c r="C612"/>
      <c r="D612"/>
      <c r="E612"/>
      <c r="F612" s="27" t="s">
        <v>7</v>
      </c>
      <c r="GU612" s="27" t="s">
        <v>8</v>
      </c>
      <c r="GV612" s="27" t="s">
        <v>7</v>
      </c>
      <c r="GY612" s="27" t="s">
        <v>8</v>
      </c>
      <c r="HA612" s="27" t="s">
        <v>8</v>
      </c>
      <c r="HB612" s="27" t="s">
        <v>7</v>
      </c>
      <c r="HC612" s="27" t="s">
        <v>8</v>
      </c>
      <c r="HD612" s="27" t="s">
        <v>7</v>
      </c>
      <c r="HE612" s="27" t="s">
        <v>8</v>
      </c>
      <c r="HF612" s="27" t="s">
        <v>7</v>
      </c>
      <c r="HG612" s="27" t="s">
        <v>8</v>
      </c>
    </row>
    <row r="613" spans="1:215" x14ac:dyDescent="0.25">
      <c r="A613" s="7">
        <v>0.59757928483164646</v>
      </c>
      <c r="B613"/>
      <c r="C613"/>
      <c r="D613"/>
      <c r="E613"/>
      <c r="F613" s="27" t="s">
        <v>7</v>
      </c>
      <c r="GU613" s="27" t="s">
        <v>8</v>
      </c>
      <c r="GV613" s="27" t="s">
        <v>7</v>
      </c>
      <c r="GY613" s="27" t="s">
        <v>8</v>
      </c>
      <c r="GZ613" s="27" t="s">
        <v>7</v>
      </c>
      <c r="HA613" s="27" t="s">
        <v>8</v>
      </c>
      <c r="HB613" s="27" t="s">
        <v>7</v>
      </c>
      <c r="HC613" s="27" t="s">
        <v>8</v>
      </c>
      <c r="HD613" s="27" t="s">
        <v>7</v>
      </c>
      <c r="HE613" s="27" t="s">
        <v>8</v>
      </c>
      <c r="HF613" s="27" t="s">
        <v>7</v>
      </c>
      <c r="HG613" s="27" t="s">
        <v>8</v>
      </c>
    </row>
    <row r="614" spans="1:215" x14ac:dyDescent="0.25">
      <c r="A614" s="7">
        <v>0.58586204395259456</v>
      </c>
      <c r="B614"/>
      <c r="C614"/>
      <c r="D614"/>
      <c r="E614"/>
      <c r="F614" s="27" t="s">
        <v>7</v>
      </c>
      <c r="GU614" s="27" t="s">
        <v>8</v>
      </c>
      <c r="GV614" s="27" t="s">
        <v>7</v>
      </c>
      <c r="GW614" s="27" t="s">
        <v>8</v>
      </c>
      <c r="GY614" s="27" t="s">
        <v>8</v>
      </c>
      <c r="GZ614" s="27" t="s">
        <v>7</v>
      </c>
      <c r="HA614" s="27" t="s">
        <v>8</v>
      </c>
      <c r="HB614" s="27" t="s">
        <v>7</v>
      </c>
      <c r="HC614" s="27" t="s">
        <v>8</v>
      </c>
      <c r="HD614" s="27" t="s">
        <v>7</v>
      </c>
      <c r="HE614" s="27" t="s">
        <v>8</v>
      </c>
      <c r="HF614" s="27" t="s">
        <v>7</v>
      </c>
      <c r="HG614" s="27" t="s">
        <v>8</v>
      </c>
    </row>
    <row r="615" spans="1:215" x14ac:dyDescent="0.25">
      <c r="A615" s="7">
        <v>0.57437455289470052</v>
      </c>
      <c r="B615"/>
      <c r="C615"/>
      <c r="D615"/>
      <c r="E615"/>
      <c r="F615" s="27" t="s">
        <v>7</v>
      </c>
      <c r="GU615" s="27" t="s">
        <v>8</v>
      </c>
      <c r="GV615" s="27" t="s">
        <v>7</v>
      </c>
      <c r="GW615" s="27" t="s">
        <v>8</v>
      </c>
      <c r="GX615" s="27" t="s">
        <v>7</v>
      </c>
      <c r="GY615" s="27" t="s">
        <v>8</v>
      </c>
      <c r="GZ615" s="27" t="s">
        <v>7</v>
      </c>
      <c r="HA615" s="27" t="s">
        <v>8</v>
      </c>
      <c r="HB615" s="27" t="s">
        <v>7</v>
      </c>
      <c r="HC615" s="27" t="s">
        <v>8</v>
      </c>
      <c r="HD615" s="27" t="s">
        <v>7</v>
      </c>
      <c r="HE615" s="27" t="s">
        <v>8</v>
      </c>
      <c r="HF615" s="27" t="s">
        <v>7</v>
      </c>
      <c r="HG615" s="27" t="s">
        <v>8</v>
      </c>
    </row>
    <row r="616" spans="1:215" x14ac:dyDescent="0.25">
      <c r="A616" s="7">
        <v>0.56311230675951029</v>
      </c>
      <c r="B616"/>
      <c r="C616"/>
      <c r="D616"/>
      <c r="E616"/>
      <c r="F616" s="27" t="s">
        <v>7</v>
      </c>
      <c r="GU616" s="27" t="s">
        <v>8</v>
      </c>
      <c r="GV616" s="27" t="s">
        <v>7</v>
      </c>
      <c r="GW616" s="27" t="s">
        <v>8</v>
      </c>
      <c r="GX616" s="27" t="s">
        <v>7</v>
      </c>
      <c r="GY616" s="27" t="s">
        <v>8</v>
      </c>
      <c r="GZ616" s="27" t="s">
        <v>7</v>
      </c>
      <c r="HA616" s="27" t="s">
        <v>8</v>
      </c>
      <c r="HB616" s="27" t="s">
        <v>7</v>
      </c>
      <c r="HC616" s="27" t="s">
        <v>8</v>
      </c>
      <c r="HD616" s="27" t="s">
        <v>7</v>
      </c>
      <c r="HE616" s="27" t="s">
        <v>8</v>
      </c>
      <c r="HF616" s="27" t="s">
        <v>7</v>
      </c>
      <c r="HG616" s="27" t="s">
        <v>8</v>
      </c>
    </row>
    <row r="617" spans="1:215" x14ac:dyDescent="0.25">
      <c r="A617" s="7">
        <v>0.55207088897991208</v>
      </c>
      <c r="B617"/>
      <c r="C617"/>
      <c r="D617"/>
      <c r="E617"/>
      <c r="F617" s="27" t="s">
        <v>7</v>
      </c>
      <c r="GU617" s="27" t="s">
        <v>8</v>
      </c>
      <c r="GV617" s="27" t="s">
        <v>7</v>
      </c>
      <c r="GW617" s="27" t="s">
        <v>8</v>
      </c>
      <c r="GX617" s="27" t="s">
        <v>7</v>
      </c>
      <c r="GY617" s="27" t="s">
        <v>8</v>
      </c>
      <c r="GZ617" s="27" t="s">
        <v>7</v>
      </c>
      <c r="HA617" s="27" t="s">
        <v>8</v>
      </c>
      <c r="HB617" s="27" t="s">
        <v>7</v>
      </c>
      <c r="HC617" s="27" t="s">
        <v>8</v>
      </c>
      <c r="HD617" s="27" t="s">
        <v>7</v>
      </c>
      <c r="HE617" s="27" t="s">
        <v>8</v>
      </c>
      <c r="HF617" s="27" t="s">
        <v>7</v>
      </c>
      <c r="HG617" s="27" t="s">
        <v>8</v>
      </c>
    </row>
    <row r="618" spans="1:215" x14ac:dyDescent="0.25">
      <c r="A618" s="7">
        <v>0.54124596958814908</v>
      </c>
      <c r="B618"/>
      <c r="C618"/>
      <c r="D618"/>
      <c r="E618"/>
      <c r="F618" s="27" t="s">
        <v>7</v>
      </c>
      <c r="GU618" s="27" t="s">
        <v>8</v>
      </c>
      <c r="GV618" s="27" t="s">
        <v>7</v>
      </c>
      <c r="GW618" s="27" t="s">
        <v>8</v>
      </c>
      <c r="GX618" s="27" t="s">
        <v>7</v>
      </c>
      <c r="GY618" s="27" t="s">
        <v>8</v>
      </c>
      <c r="GZ618" s="27" t="s">
        <v>7</v>
      </c>
      <c r="HA618" s="27" t="s">
        <v>8</v>
      </c>
      <c r="HB618" s="27" t="s">
        <v>7</v>
      </c>
      <c r="HC618" s="27" t="s">
        <v>8</v>
      </c>
      <c r="HD618" s="27" t="s">
        <v>7</v>
      </c>
      <c r="HE618" s="27" t="s">
        <v>8</v>
      </c>
      <c r="HF618" s="27" t="s">
        <v>7</v>
      </c>
      <c r="HG618" s="27" t="s">
        <v>8</v>
      </c>
    </row>
    <row r="619" spans="1:215" x14ac:dyDescent="0.25">
      <c r="A619" s="7">
        <v>0.53063330351779314</v>
      </c>
      <c r="B619"/>
      <c r="C619"/>
      <c r="D619"/>
      <c r="E619"/>
      <c r="F619" s="27" t="s">
        <v>7</v>
      </c>
      <c r="GU619" s="27" t="s">
        <v>8</v>
      </c>
      <c r="GV619" s="27" t="s">
        <v>7</v>
      </c>
      <c r="GW619" s="27" t="s">
        <v>8</v>
      </c>
      <c r="GX619" s="27" t="s">
        <v>7</v>
      </c>
      <c r="GY619" s="27" t="s">
        <v>8</v>
      </c>
      <c r="GZ619" s="27" t="s">
        <v>7</v>
      </c>
      <c r="HA619" s="27" t="s">
        <v>8</v>
      </c>
      <c r="HB619" s="27" t="s">
        <v>7</v>
      </c>
      <c r="HC619" s="27" t="s">
        <v>8</v>
      </c>
      <c r="HD619" s="27" t="s">
        <v>7</v>
      </c>
      <c r="HF619" s="27" t="s">
        <v>7</v>
      </c>
      <c r="HG619" s="27" t="s">
        <v>8</v>
      </c>
    </row>
    <row r="620" spans="1:215" x14ac:dyDescent="0.25">
      <c r="A620" s="7">
        <v>0.52022872893901284</v>
      </c>
      <c r="B620"/>
      <c r="C620"/>
      <c r="D620"/>
      <c r="E620"/>
      <c r="F620" s="27" t="s">
        <v>7</v>
      </c>
      <c r="GU620" s="27" t="s">
        <v>8</v>
      </c>
      <c r="GV620" s="27" t="s">
        <v>7</v>
      </c>
      <c r="GW620" s="27" t="s">
        <v>8</v>
      </c>
      <c r="GX620" s="27" t="s">
        <v>7</v>
      </c>
      <c r="GY620" s="27" t="s">
        <v>8</v>
      </c>
      <c r="GZ620" s="27" t="s">
        <v>7</v>
      </c>
      <c r="HB620" s="27" t="s">
        <v>7</v>
      </c>
      <c r="HC620" s="27" t="s">
        <v>8</v>
      </c>
      <c r="HF620" s="27" t="s">
        <v>7</v>
      </c>
      <c r="HG620" s="27" t="s">
        <v>8</v>
      </c>
    </row>
    <row r="621" spans="1:215" x14ac:dyDescent="0.25">
      <c r="A621" s="7">
        <v>0.51002816562648323</v>
      </c>
      <c r="B621"/>
      <c r="C621"/>
      <c r="D621"/>
      <c r="E621"/>
      <c r="F621" s="27" t="s">
        <v>7</v>
      </c>
      <c r="GU621" s="27" t="s">
        <v>8</v>
      </c>
      <c r="GV621" s="27" t="s">
        <v>7</v>
      </c>
      <c r="GW621" s="27" t="s">
        <v>8</v>
      </c>
      <c r="GX621" s="27" t="s">
        <v>7</v>
      </c>
      <c r="GY621" s="27" t="s">
        <v>8</v>
      </c>
      <c r="HB621" s="27" t="s">
        <v>7</v>
      </c>
      <c r="HC621" s="27" t="s">
        <v>8</v>
      </c>
      <c r="HF621" s="27" t="s">
        <v>7</v>
      </c>
      <c r="HG621" s="27" t="s">
        <v>8</v>
      </c>
    </row>
    <row r="622" spans="1:215" x14ac:dyDescent="0.25">
      <c r="A622" s="7">
        <v>0.50002761335929735</v>
      </c>
      <c r="B622"/>
      <c r="C622"/>
      <c r="D622"/>
      <c r="E622"/>
      <c r="F622" s="27" t="s">
        <v>7</v>
      </c>
      <c r="GU622" s="27" t="s">
        <v>8</v>
      </c>
      <c r="GV622" s="27" t="s">
        <v>7</v>
      </c>
      <c r="GW622" s="27" t="s">
        <v>8</v>
      </c>
      <c r="GX622" s="27" t="s">
        <v>7</v>
      </c>
      <c r="HB622" s="27" t="s">
        <v>7</v>
      </c>
      <c r="HC622" s="27" t="s">
        <v>8</v>
      </c>
      <c r="HF622" s="27" t="s">
        <v>7</v>
      </c>
      <c r="HG622" s="27" t="s">
        <v>8</v>
      </c>
    </row>
    <row r="623" spans="1:215" x14ac:dyDescent="0.25">
      <c r="A623" s="7">
        <v>0.49022315035225228</v>
      </c>
      <c r="B623"/>
      <c r="C623"/>
      <c r="D623"/>
      <c r="E623"/>
      <c r="F623" s="27" t="s">
        <v>7</v>
      </c>
      <c r="GK623" s="27" t="s">
        <v>8</v>
      </c>
      <c r="GU623" s="27" t="s">
        <v>8</v>
      </c>
      <c r="GV623" s="27" t="s">
        <v>7</v>
      </c>
      <c r="GW623" s="27" t="s">
        <v>8</v>
      </c>
      <c r="HB623" s="27" t="s">
        <v>7</v>
      </c>
      <c r="HC623" s="27" t="s">
        <v>8</v>
      </c>
      <c r="HF623" s="27" t="s">
        <v>7</v>
      </c>
      <c r="HG623" s="27" t="s">
        <v>8</v>
      </c>
    </row>
    <row r="624" spans="1:215" x14ac:dyDescent="0.25">
      <c r="A624" s="7">
        <v>0.48061093171789437</v>
      </c>
      <c r="B624"/>
      <c r="C624"/>
      <c r="D624"/>
      <c r="E624"/>
      <c r="F624" s="27" t="s">
        <v>7</v>
      </c>
      <c r="GK624" s="27" t="s">
        <v>8</v>
      </c>
      <c r="GL624" s="27" t="s">
        <v>7</v>
      </c>
      <c r="GU624" s="27" t="s">
        <v>8</v>
      </c>
      <c r="GV624" s="27" t="s">
        <v>7</v>
      </c>
      <c r="GW624" s="27" t="s">
        <v>8</v>
      </c>
      <c r="HB624" s="27" t="s">
        <v>7</v>
      </c>
      <c r="HC624" s="27" t="s">
        <v>8</v>
      </c>
      <c r="HF624" s="27" t="s">
        <v>7</v>
      </c>
    </row>
    <row r="625" spans="1:211" x14ac:dyDescent="0.25">
      <c r="A625" s="7">
        <v>0.47118718795871994</v>
      </c>
      <c r="B625"/>
      <c r="C625"/>
      <c r="D625"/>
      <c r="E625"/>
      <c r="F625" s="27" t="s">
        <v>7</v>
      </c>
      <c r="GK625" s="27" t="s">
        <v>8</v>
      </c>
      <c r="GL625" s="27" t="s">
        <v>7</v>
      </c>
      <c r="GU625" s="27" t="s">
        <v>8</v>
      </c>
      <c r="GV625" s="27" t="s">
        <v>7</v>
      </c>
      <c r="GW625" s="27" t="s">
        <v>8</v>
      </c>
      <c r="HB625" s="27" t="s">
        <v>7</v>
      </c>
      <c r="HC625" s="27" t="s">
        <v>8</v>
      </c>
    </row>
    <row r="626" spans="1:211" x14ac:dyDescent="0.25">
      <c r="A626" s="7">
        <v>0.46194822348894116</v>
      </c>
      <c r="B626"/>
      <c r="C626"/>
      <c r="D626"/>
      <c r="E626"/>
      <c r="F626" s="27" t="s">
        <v>7</v>
      </c>
      <c r="GG626" s="27" t="s">
        <v>8</v>
      </c>
      <c r="GK626" s="27" t="s">
        <v>8</v>
      </c>
      <c r="GL626" s="27" t="s">
        <v>7</v>
      </c>
      <c r="GU626" s="27" t="s">
        <v>8</v>
      </c>
      <c r="GV626" s="27" t="s">
        <v>7</v>
      </c>
      <c r="GW626" s="27" t="s">
        <v>8</v>
      </c>
      <c r="HB626" s="27" t="s">
        <v>7</v>
      </c>
      <c r="HC626" s="27" t="s">
        <v>8</v>
      </c>
    </row>
    <row r="627" spans="1:211" x14ac:dyDescent="0.25">
      <c r="A627" s="7">
        <v>0.45289041518523643</v>
      </c>
      <c r="B627"/>
      <c r="C627"/>
      <c r="D627"/>
      <c r="E627"/>
      <c r="F627" s="27" t="s">
        <v>7</v>
      </c>
      <c r="GG627" s="27" t="s">
        <v>8</v>
      </c>
      <c r="GH627" s="27" t="s">
        <v>7</v>
      </c>
      <c r="GK627" s="27" t="s">
        <v>8</v>
      </c>
      <c r="GL627" s="27" t="s">
        <v>7</v>
      </c>
      <c r="GU627" s="27" t="s">
        <v>8</v>
      </c>
      <c r="GV627" s="27" t="s">
        <v>7</v>
      </c>
      <c r="HB627" s="27" t="s">
        <v>7</v>
      </c>
      <c r="HC627" s="27" t="s">
        <v>8</v>
      </c>
    </row>
    <row r="628" spans="1:211" x14ac:dyDescent="0.25">
      <c r="A628" s="7">
        <v>0.44401021096591808</v>
      </c>
      <c r="B628"/>
      <c r="C628"/>
      <c r="D628"/>
      <c r="E628"/>
      <c r="F628" s="27" t="s">
        <v>7</v>
      </c>
      <c r="GG628" s="27" t="s">
        <v>8</v>
      </c>
      <c r="GH628" s="27" t="s">
        <v>7</v>
      </c>
      <c r="GI628" s="27" t="s">
        <v>8</v>
      </c>
      <c r="GK628" s="27" t="s">
        <v>8</v>
      </c>
      <c r="GL628" s="27" t="s">
        <v>7</v>
      </c>
      <c r="GU628" s="27" t="s">
        <v>8</v>
      </c>
      <c r="HB628" s="27" t="s">
        <v>7</v>
      </c>
      <c r="HC628" s="27" t="s">
        <v>8</v>
      </c>
    </row>
    <row r="629" spans="1:211" x14ac:dyDescent="0.25">
      <c r="A629" s="7">
        <v>0.4353041283979589</v>
      </c>
      <c r="B629"/>
      <c r="C629"/>
      <c r="D629"/>
      <c r="E629"/>
      <c r="F629" s="27" t="s">
        <v>7</v>
      </c>
      <c r="GG629" s="27" t="s">
        <v>8</v>
      </c>
      <c r="GH629" s="27" t="s">
        <v>7</v>
      </c>
      <c r="GI629" s="27" t="s">
        <v>8</v>
      </c>
      <c r="GJ629" s="27" t="s">
        <v>7</v>
      </c>
      <c r="GK629" s="27" t="s">
        <v>8</v>
      </c>
      <c r="GL629" s="27" t="s">
        <v>7</v>
      </c>
      <c r="GU629" s="27" t="s">
        <v>8</v>
      </c>
      <c r="HB629" s="27" t="s">
        <v>7</v>
      </c>
      <c r="HC629" s="27" t="s">
        <v>8</v>
      </c>
    </row>
    <row r="630" spans="1:211" x14ac:dyDescent="0.25">
      <c r="A630" s="7">
        <v>0.4267687533313323</v>
      </c>
      <c r="B630"/>
      <c r="C630"/>
      <c r="D630"/>
      <c r="E630"/>
      <c r="F630" s="27" t="s">
        <v>7</v>
      </c>
      <c r="GG630" s="27" t="s">
        <v>8</v>
      </c>
      <c r="GH630" s="27" t="s">
        <v>7</v>
      </c>
      <c r="GI630" s="27" t="s">
        <v>8</v>
      </c>
      <c r="GJ630" s="27" t="s">
        <v>7</v>
      </c>
      <c r="GK630" s="27" t="s">
        <v>8</v>
      </c>
      <c r="GL630" s="27" t="s">
        <v>7</v>
      </c>
      <c r="GU630" s="27" t="s">
        <v>8</v>
      </c>
      <c r="HB630" s="27" t="s">
        <v>7</v>
      </c>
      <c r="HC630" s="27" t="s">
        <v>8</v>
      </c>
    </row>
    <row r="631" spans="1:211" x14ac:dyDescent="0.25">
      <c r="A631" s="7">
        <v>0.41840073856012971</v>
      </c>
      <c r="B631"/>
      <c r="C631"/>
      <c r="D631"/>
      <c r="E631"/>
      <c r="F631" s="27" t="s">
        <v>7</v>
      </c>
      <c r="GG631" s="27" t="s">
        <v>8</v>
      </c>
      <c r="GH631" s="27" t="s">
        <v>7</v>
      </c>
      <c r="GI631" s="27" t="s">
        <v>8</v>
      </c>
      <c r="GJ631" s="27" t="s">
        <v>7</v>
      </c>
      <c r="GK631" s="27" t="s">
        <v>8</v>
      </c>
      <c r="GL631" s="27" t="s">
        <v>7</v>
      </c>
      <c r="GQ631" s="27" t="s">
        <v>8</v>
      </c>
      <c r="GU631" s="27" t="s">
        <v>8</v>
      </c>
      <c r="HB631" s="27" t="s">
        <v>7</v>
      </c>
      <c r="HC631" s="27" t="s">
        <v>8</v>
      </c>
    </row>
    <row r="632" spans="1:211" x14ac:dyDescent="0.25">
      <c r="A632" s="7">
        <v>0.41019680250993112</v>
      </c>
      <c r="B632"/>
      <c r="C632"/>
      <c r="D632"/>
      <c r="E632"/>
      <c r="F632" s="27" t="s">
        <v>7</v>
      </c>
      <c r="GG632" s="27" t="s">
        <v>8</v>
      </c>
      <c r="GH632" s="27" t="s">
        <v>7</v>
      </c>
      <c r="GI632" s="27" t="s">
        <v>8</v>
      </c>
      <c r="GJ632" s="27" t="s">
        <v>7</v>
      </c>
      <c r="GK632" s="27" t="s">
        <v>8</v>
      </c>
      <c r="GL632" s="27" t="s">
        <v>7</v>
      </c>
      <c r="GQ632" s="27" t="s">
        <v>8</v>
      </c>
      <c r="GR632" s="27" t="s">
        <v>7</v>
      </c>
      <c r="GU632" s="27" t="s">
        <v>8</v>
      </c>
      <c r="HB632" s="27" t="s">
        <v>7</v>
      </c>
      <c r="HC632" s="27" t="s">
        <v>8</v>
      </c>
    </row>
    <row r="633" spans="1:211" x14ac:dyDescent="0.25">
      <c r="A633" s="7">
        <v>0.40215372795091286</v>
      </c>
      <c r="B633"/>
      <c r="C633"/>
      <c r="D633"/>
      <c r="E633"/>
      <c r="F633" s="27" t="s">
        <v>7</v>
      </c>
      <c r="GG633" s="27" t="s">
        <v>8</v>
      </c>
      <c r="GH633" s="27" t="s">
        <v>7</v>
      </c>
      <c r="GI633" s="27" t="s">
        <v>8</v>
      </c>
      <c r="GJ633" s="27" t="s">
        <v>7</v>
      </c>
      <c r="GL633" s="27" t="s">
        <v>7</v>
      </c>
      <c r="GQ633" s="27" t="s">
        <v>8</v>
      </c>
      <c r="GR633" s="27" t="s">
        <v>7</v>
      </c>
      <c r="GS633" s="27" t="s">
        <v>8</v>
      </c>
      <c r="GU633" s="27" t="s">
        <v>8</v>
      </c>
      <c r="HB633" s="27" t="s">
        <v>7</v>
      </c>
      <c r="HC633" s="27" t="s">
        <v>8</v>
      </c>
    </row>
    <row r="634" spans="1:211" x14ac:dyDescent="0.25">
      <c r="A634" s="7">
        <v>0.39426836073618904</v>
      </c>
      <c r="B634"/>
      <c r="C634"/>
      <c r="D634"/>
      <c r="E634"/>
      <c r="F634" s="27" t="s">
        <v>7</v>
      </c>
      <c r="GG634" s="27" t="s">
        <v>8</v>
      </c>
      <c r="GH634" s="27" t="s">
        <v>7</v>
      </c>
      <c r="GI634" s="27" t="s">
        <v>8</v>
      </c>
      <c r="GL634" s="27" t="s">
        <v>7</v>
      </c>
      <c r="GQ634" s="27" t="s">
        <v>8</v>
      </c>
      <c r="GR634" s="27" t="s">
        <v>7</v>
      </c>
      <c r="GS634" s="27" t="s">
        <v>8</v>
      </c>
      <c r="GT634" s="27" t="s">
        <v>7</v>
      </c>
      <c r="GU634" s="27" t="s">
        <v>8</v>
      </c>
      <c r="HB634" s="27" t="s">
        <v>7</v>
      </c>
      <c r="HC634" s="27" t="s">
        <v>8</v>
      </c>
    </row>
    <row r="635" spans="1:211" x14ac:dyDescent="0.25">
      <c r="A635" s="7">
        <v>0.38653760856489122</v>
      </c>
      <c r="B635"/>
      <c r="C635"/>
      <c r="D635"/>
      <c r="E635"/>
      <c r="F635" s="27" t="s">
        <v>7</v>
      </c>
      <c r="GG635" s="27" t="s">
        <v>8</v>
      </c>
      <c r="GH635" s="27" t="s">
        <v>7</v>
      </c>
      <c r="GI635" s="27" t="s">
        <v>8</v>
      </c>
      <c r="GL635" s="27" t="s">
        <v>7</v>
      </c>
      <c r="GQ635" s="27" t="s">
        <v>8</v>
      </c>
      <c r="GR635" s="27" t="s">
        <v>7</v>
      </c>
      <c r="GS635" s="27" t="s">
        <v>8</v>
      </c>
      <c r="GT635" s="27" t="s">
        <v>7</v>
      </c>
      <c r="GU635" s="27" t="s">
        <v>8</v>
      </c>
      <c r="HB635" s="27" t="s">
        <v>7</v>
      </c>
      <c r="HC635" s="27" t="s">
        <v>8</v>
      </c>
    </row>
    <row r="636" spans="1:211" x14ac:dyDescent="0.25">
      <c r="A636" s="7">
        <v>0.37895843976950117</v>
      </c>
      <c r="B636"/>
      <c r="C636"/>
      <c r="D636"/>
      <c r="E636"/>
      <c r="F636" s="27" t="s">
        <v>7</v>
      </c>
      <c r="GG636" s="27" t="s">
        <v>8</v>
      </c>
      <c r="GH636" s="27" t="s">
        <v>7</v>
      </c>
      <c r="GI636" s="27" t="s">
        <v>8</v>
      </c>
      <c r="GL636" s="27" t="s">
        <v>7</v>
      </c>
      <c r="GO636" s="27" t="s">
        <v>8</v>
      </c>
      <c r="GQ636" s="27" t="s">
        <v>8</v>
      </c>
      <c r="GR636" s="27" t="s">
        <v>7</v>
      </c>
      <c r="GS636" s="27" t="s">
        <v>8</v>
      </c>
      <c r="GT636" s="27" t="s">
        <v>7</v>
      </c>
      <c r="HB636" s="27" t="s">
        <v>7</v>
      </c>
      <c r="HC636" s="27" t="s">
        <v>8</v>
      </c>
    </row>
    <row r="637" spans="1:211" x14ac:dyDescent="0.25">
      <c r="A637" s="7">
        <v>0.37152788212696197</v>
      </c>
      <c r="B637"/>
      <c r="C637"/>
      <c r="D637"/>
      <c r="E637"/>
      <c r="F637" s="27" t="s">
        <v>7</v>
      </c>
      <c r="GG637" s="27" t="s">
        <v>8</v>
      </c>
      <c r="GH637" s="27" t="s">
        <v>7</v>
      </c>
      <c r="GI637" s="27" t="s">
        <v>8</v>
      </c>
      <c r="GL637" s="27" t="s">
        <v>7</v>
      </c>
      <c r="GM637" s="27" t="s">
        <v>8</v>
      </c>
      <c r="GO637" s="27" t="s">
        <v>8</v>
      </c>
      <c r="GP637" s="27" t="s">
        <v>7</v>
      </c>
      <c r="GQ637" s="27" t="s">
        <v>8</v>
      </c>
      <c r="GR637" s="27" t="s">
        <v>7</v>
      </c>
      <c r="GS637" s="27" t="s">
        <v>8</v>
      </c>
      <c r="HB637" s="27" t="s">
        <v>7</v>
      </c>
      <c r="HC637" s="27" t="s">
        <v>8</v>
      </c>
    </row>
    <row r="638" spans="1:211" x14ac:dyDescent="0.25">
      <c r="A638" s="7">
        <v>0.36424302169310002</v>
      </c>
      <c r="B638"/>
      <c r="C638"/>
      <c r="D638"/>
      <c r="E638"/>
      <c r="F638" s="27" t="s">
        <v>7</v>
      </c>
      <c r="GG638" s="27" t="s">
        <v>8</v>
      </c>
      <c r="GH638" s="27" t="s">
        <v>7</v>
      </c>
      <c r="GI638" s="27" t="s">
        <v>8</v>
      </c>
      <c r="GL638" s="27" t="s">
        <v>7</v>
      </c>
      <c r="GM638" s="27" t="s">
        <v>8</v>
      </c>
      <c r="GN638" s="27" t="s">
        <v>7</v>
      </c>
      <c r="GO638" s="27" t="s">
        <v>8</v>
      </c>
      <c r="GP638" s="27" t="s">
        <v>7</v>
      </c>
      <c r="GQ638" s="27" t="s">
        <v>8</v>
      </c>
      <c r="GR638" s="27" t="s">
        <v>7</v>
      </c>
      <c r="GS638" s="27" t="s">
        <v>8</v>
      </c>
      <c r="HB638" s="27" t="s">
        <v>7</v>
      </c>
      <c r="HC638" s="27" t="s">
        <v>8</v>
      </c>
    </row>
    <row r="639" spans="1:211" x14ac:dyDescent="0.25">
      <c r="A639" s="7">
        <v>0.35710100165990194</v>
      </c>
      <c r="B639"/>
      <c r="C639"/>
      <c r="D639"/>
      <c r="E639"/>
      <c r="F639" s="27" t="s">
        <v>7</v>
      </c>
      <c r="GG639" s="27" t="s">
        <v>8</v>
      </c>
      <c r="GH639" s="27" t="s">
        <v>7</v>
      </c>
      <c r="GI639" s="27" t="s">
        <v>8</v>
      </c>
      <c r="GL639" s="27" t="s">
        <v>7</v>
      </c>
      <c r="GM639" s="27" t="s">
        <v>8</v>
      </c>
      <c r="GN639" s="27" t="s">
        <v>7</v>
      </c>
      <c r="GO639" s="27" t="s">
        <v>8</v>
      </c>
      <c r="GP639" s="27" t="s">
        <v>7</v>
      </c>
      <c r="GQ639" s="27" t="s">
        <v>8</v>
      </c>
      <c r="GR639" s="27" t="s">
        <v>7</v>
      </c>
      <c r="HB639" s="27" t="s">
        <v>7</v>
      </c>
      <c r="HC639" s="27" t="s">
        <v>8</v>
      </c>
    </row>
    <row r="640" spans="1:211" x14ac:dyDescent="0.25">
      <c r="A640" s="7">
        <v>0.35009902123519804</v>
      </c>
      <c r="B640"/>
      <c r="C640"/>
      <c r="D640"/>
      <c r="E640"/>
      <c r="F640" s="27" t="s">
        <v>7</v>
      </c>
      <c r="GG640" s="27" t="s">
        <v>8</v>
      </c>
      <c r="GH640" s="27" t="s">
        <v>7</v>
      </c>
      <c r="GI640" s="27" t="s">
        <v>8</v>
      </c>
      <c r="GL640" s="27" t="s">
        <v>7</v>
      </c>
      <c r="GM640" s="27" t="s">
        <v>8</v>
      </c>
      <c r="GN640" s="27" t="s">
        <v>7</v>
      </c>
      <c r="GO640" s="27" t="s">
        <v>8</v>
      </c>
      <c r="GP640" s="27" t="s">
        <v>7</v>
      </c>
      <c r="GQ640" s="27" t="s">
        <v>8</v>
      </c>
      <c r="HB640" s="27" t="s">
        <v>7</v>
      </c>
    </row>
    <row r="641" spans="1:199" x14ac:dyDescent="0.25">
      <c r="A641" s="7">
        <v>0.34323433454431179</v>
      </c>
      <c r="B641"/>
      <c r="C641"/>
      <c r="D641"/>
      <c r="E641"/>
      <c r="F641" s="27" t="s">
        <v>7</v>
      </c>
      <c r="GG641" s="27" t="s">
        <v>8</v>
      </c>
      <c r="GH641" s="27" t="s">
        <v>7</v>
      </c>
      <c r="GI641" s="27" t="s">
        <v>8</v>
      </c>
      <c r="GL641" s="27" t="s">
        <v>7</v>
      </c>
      <c r="GN641" s="27" t="s">
        <v>7</v>
      </c>
      <c r="GO641" s="27" t="s">
        <v>8</v>
      </c>
      <c r="GP641" s="27" t="s">
        <v>7</v>
      </c>
      <c r="GQ641" s="27" t="s">
        <v>8</v>
      </c>
    </row>
    <row r="642" spans="1:199" x14ac:dyDescent="0.25">
      <c r="A642" s="7">
        <v>0.33650424955324681</v>
      </c>
      <c r="B642"/>
      <c r="C642"/>
      <c r="D642"/>
      <c r="E642"/>
      <c r="F642" s="27" t="s">
        <v>7</v>
      </c>
      <c r="GG642" s="27" t="s">
        <v>8</v>
      </c>
      <c r="GH642" s="27" t="s">
        <v>7</v>
      </c>
      <c r="GI642" s="27" t="s">
        <v>8</v>
      </c>
      <c r="GN642" s="27" t="s">
        <v>7</v>
      </c>
      <c r="GO642" s="27" t="s">
        <v>8</v>
      </c>
      <c r="GP642" s="27" t="s">
        <v>7</v>
      </c>
    </row>
    <row r="643" spans="1:199" x14ac:dyDescent="0.25">
      <c r="A643" s="7">
        <v>0.3299061270129871</v>
      </c>
      <c r="B643"/>
      <c r="C643"/>
      <c r="D643"/>
      <c r="E643"/>
      <c r="F643" s="27" t="s">
        <v>7</v>
      </c>
      <c r="GG643" s="27" t="s">
        <v>8</v>
      </c>
      <c r="GH643" s="27" t="s">
        <v>7</v>
      </c>
      <c r="GI643" s="27" t="s">
        <v>8</v>
      </c>
      <c r="GN643" s="27" t="s">
        <v>7</v>
      </c>
      <c r="GO643" s="27" t="s">
        <v>8</v>
      </c>
    </row>
    <row r="644" spans="1:199" x14ac:dyDescent="0.25">
      <c r="A644" s="7">
        <v>0.32343737942449713</v>
      </c>
      <c r="B644"/>
      <c r="C644"/>
      <c r="D644"/>
      <c r="E644"/>
      <c r="F644" s="27" t="s">
        <v>7</v>
      </c>
      <c r="GG644" s="27" t="s">
        <v>8</v>
      </c>
      <c r="GH644" s="27" t="s">
        <v>7</v>
      </c>
      <c r="GI644" s="27" t="s">
        <v>8</v>
      </c>
      <c r="GN644" s="27" t="s">
        <v>7</v>
      </c>
      <c r="GO644" s="27" t="s">
        <v>8</v>
      </c>
    </row>
    <row r="645" spans="1:199" x14ac:dyDescent="0.25">
      <c r="A645" s="7">
        <v>0.31709547002401678</v>
      </c>
      <c r="B645"/>
      <c r="C645"/>
      <c r="D645"/>
      <c r="E645"/>
      <c r="F645" s="27" t="s">
        <v>7</v>
      </c>
      <c r="GG645" s="27" t="s">
        <v>8</v>
      </c>
      <c r="GH645" s="27" t="s">
        <v>7</v>
      </c>
      <c r="GI645" s="27" t="s">
        <v>8</v>
      </c>
      <c r="GN645" s="27" t="s">
        <v>7</v>
      </c>
    </row>
    <row r="646" spans="1:199" x14ac:dyDescent="0.25">
      <c r="A646" s="7">
        <v>0.31087791178825175</v>
      </c>
      <c r="B646"/>
      <c r="C646"/>
      <c r="D646"/>
      <c r="E646"/>
      <c r="F646" s="27" t="s">
        <v>7</v>
      </c>
      <c r="GG646" s="27" t="s">
        <v>8</v>
      </c>
      <c r="GH646" s="27" t="s">
        <v>7</v>
      </c>
      <c r="GI646" s="27" t="s">
        <v>8</v>
      </c>
    </row>
    <row r="647" spans="1:199" x14ac:dyDescent="0.25">
      <c r="A647" s="7">
        <v>0.30478226645907036</v>
      </c>
      <c r="B647"/>
      <c r="C647"/>
      <c r="D647"/>
      <c r="E647"/>
      <c r="F647" s="27" t="s">
        <v>7</v>
      </c>
      <c r="GG647" s="27" t="s">
        <v>8</v>
      </c>
      <c r="GH647" s="27" t="s">
        <v>7</v>
      </c>
      <c r="GI647" s="27" t="s">
        <v>8</v>
      </c>
    </row>
    <row r="648" spans="1:199" x14ac:dyDescent="0.25">
      <c r="A648" s="7">
        <v>0.29880614358732388</v>
      </c>
      <c r="B648"/>
      <c r="C648"/>
      <c r="D648"/>
      <c r="E648"/>
      <c r="F648" s="27" t="s">
        <v>7</v>
      </c>
      <c r="GE648" s="27" t="s">
        <v>8</v>
      </c>
      <c r="GG648" s="27" t="s">
        <v>8</v>
      </c>
      <c r="GH648" s="27" t="s">
        <v>7</v>
      </c>
      <c r="GI648" s="27" t="s">
        <v>8</v>
      </c>
    </row>
    <row r="649" spans="1:199" x14ac:dyDescent="0.25">
      <c r="A649" s="7">
        <v>0.2929471995954156</v>
      </c>
      <c r="B649"/>
      <c r="C649"/>
      <c r="D649"/>
      <c r="E649"/>
      <c r="F649" s="27" t="s">
        <v>7</v>
      </c>
      <c r="GE649" s="27" t="s">
        <v>8</v>
      </c>
      <c r="GF649" s="27" t="s">
        <v>7</v>
      </c>
      <c r="GG649" s="27" t="s">
        <v>8</v>
      </c>
      <c r="GH649" s="27" t="s">
        <v>7</v>
      </c>
    </row>
    <row r="650" spans="1:199" x14ac:dyDescent="0.25">
      <c r="A650" s="7">
        <v>0.28720313685825055</v>
      </c>
      <c r="B650"/>
      <c r="C650"/>
      <c r="D650"/>
      <c r="E650"/>
      <c r="F650" s="27" t="s">
        <v>7</v>
      </c>
      <c r="GE650" s="27" t="s">
        <v>8</v>
      </c>
      <c r="GF650" s="27" t="s">
        <v>7</v>
      </c>
      <c r="GG650" s="27" t="s">
        <v>8</v>
      </c>
    </row>
    <row r="651" spans="1:199" x14ac:dyDescent="0.25">
      <c r="A651" s="7">
        <v>0.28157170280220645</v>
      </c>
      <c r="B651"/>
      <c r="C651"/>
      <c r="D651"/>
      <c r="E651"/>
      <c r="F651" s="27" t="s">
        <v>7</v>
      </c>
      <c r="GE651" s="27" t="s">
        <v>8</v>
      </c>
      <c r="GF651" s="27" t="s">
        <v>7</v>
      </c>
      <c r="GG651" s="27" t="s">
        <v>8</v>
      </c>
    </row>
    <row r="652" spans="1:199" x14ac:dyDescent="0.25">
      <c r="A652" s="7">
        <v>0.27605068902177105</v>
      </c>
      <c r="B652"/>
      <c r="C652"/>
      <c r="D652"/>
      <c r="E652"/>
      <c r="F652" s="27" t="s">
        <v>7</v>
      </c>
      <c r="GE652" s="27" t="s">
        <v>8</v>
      </c>
      <c r="GF652" s="27" t="s">
        <v>7</v>
      </c>
      <c r="GG652" s="27" t="s">
        <v>8</v>
      </c>
    </row>
    <row r="653" spans="1:199" x14ac:dyDescent="0.25">
      <c r="A653" s="7">
        <v>0.27063793041350104</v>
      </c>
      <c r="B653"/>
      <c r="C653"/>
      <c r="D653"/>
      <c r="E653"/>
      <c r="F653" s="27" t="s">
        <v>7</v>
      </c>
      <c r="GA653" s="27" t="s">
        <v>8</v>
      </c>
      <c r="GE653" s="27" t="s">
        <v>8</v>
      </c>
      <c r="GF653" s="27" t="s">
        <v>7</v>
      </c>
      <c r="GG653" s="27" t="s">
        <v>8</v>
      </c>
    </row>
    <row r="654" spans="1:199" x14ac:dyDescent="0.25">
      <c r="A654" s="7">
        <v>0.26533130432696184</v>
      </c>
      <c r="B654"/>
      <c r="C654"/>
      <c r="D654"/>
      <c r="E654"/>
      <c r="F654" s="27" t="s">
        <v>7</v>
      </c>
      <c r="GA654" s="27" t="s">
        <v>8</v>
      </c>
      <c r="GB654" s="27" t="s">
        <v>7</v>
      </c>
      <c r="GE654" s="27" t="s">
        <v>8</v>
      </c>
      <c r="GF654" s="27" t="s">
        <v>7</v>
      </c>
      <c r="GG654" s="27" t="s">
        <v>8</v>
      </c>
    </row>
    <row r="655" spans="1:199" x14ac:dyDescent="0.25">
      <c r="A655" s="7">
        <v>0.26012872973231554</v>
      </c>
      <c r="B655"/>
      <c r="C655"/>
      <c r="D655"/>
      <c r="E655"/>
      <c r="F655" s="27" t="s">
        <v>7</v>
      </c>
      <c r="GA655" s="27" t="s">
        <v>8</v>
      </c>
      <c r="GB655" s="27" t="s">
        <v>7</v>
      </c>
      <c r="GE655" s="27" t="s">
        <v>8</v>
      </c>
      <c r="GF655" s="27" t="s">
        <v>7</v>
      </c>
      <c r="GG655" s="27" t="s">
        <v>8</v>
      </c>
    </row>
    <row r="656" spans="1:199" x14ac:dyDescent="0.25">
      <c r="A656" s="7">
        <v>0.25502816640423093</v>
      </c>
      <c r="B656"/>
      <c r="C656"/>
      <c r="D656"/>
      <c r="E656"/>
      <c r="F656" s="27" t="s">
        <v>7</v>
      </c>
      <c r="DS656" s="27" t="s">
        <v>8</v>
      </c>
      <c r="GA656" s="27" t="s">
        <v>8</v>
      </c>
      <c r="GB656" s="27" t="s">
        <v>7</v>
      </c>
      <c r="GE656" s="27" t="s">
        <v>8</v>
      </c>
      <c r="GF656" s="27" t="s">
        <v>7</v>
      </c>
      <c r="GG656" s="27" t="s">
        <v>8</v>
      </c>
    </row>
    <row r="657" spans="1:189" x14ac:dyDescent="0.25">
      <c r="A657" s="7">
        <v>0.25002761412179503</v>
      </c>
      <c r="B657"/>
      <c r="C657"/>
      <c r="D657"/>
      <c r="E657"/>
      <c r="F657" s="27" t="s">
        <v>7</v>
      </c>
      <c r="DS657" s="27" t="s">
        <v>8</v>
      </c>
      <c r="DT657" s="27" t="s">
        <v>7</v>
      </c>
      <c r="GA657" s="27" t="s">
        <v>8</v>
      </c>
      <c r="GB657" s="27" t="s">
        <v>7</v>
      </c>
      <c r="GE657" s="27" t="s">
        <v>8</v>
      </c>
      <c r="GF657" s="27" t="s">
        <v>7</v>
      </c>
      <c r="GG657" s="27" t="s">
        <v>8</v>
      </c>
    </row>
    <row r="658" spans="1:189" x14ac:dyDescent="0.25">
      <c r="A658" s="7">
        <v>0.24512511188411276</v>
      </c>
      <c r="B658"/>
      <c r="C658"/>
      <c r="D658"/>
      <c r="E658"/>
      <c r="F658" s="27" t="s">
        <v>7</v>
      </c>
      <c r="DS658" s="27" t="s">
        <v>8</v>
      </c>
      <c r="DT658" s="27" t="s">
        <v>7</v>
      </c>
      <c r="GA658" s="27" t="s">
        <v>8</v>
      </c>
      <c r="GB658" s="27" t="s">
        <v>7</v>
      </c>
      <c r="GE658" s="27" t="s">
        <v>8</v>
      </c>
      <c r="GF658" s="27" t="s">
        <v>7</v>
      </c>
      <c r="GG658" s="27" t="s">
        <v>8</v>
      </c>
    </row>
    <row r="659" spans="1:189" x14ac:dyDescent="0.25">
      <c r="A659" s="7">
        <v>0.24031873714128701</v>
      </c>
      <c r="B659"/>
      <c r="C659"/>
      <c r="D659"/>
      <c r="E659"/>
      <c r="F659" s="27" t="s">
        <v>7</v>
      </c>
      <c r="DS659" s="27" t="s">
        <v>8</v>
      </c>
      <c r="DT659" s="27" t="s">
        <v>7</v>
      </c>
      <c r="GA659" s="27" t="s">
        <v>8</v>
      </c>
      <c r="GB659" s="27" t="s">
        <v>7</v>
      </c>
      <c r="GE659" s="27" t="s">
        <v>8</v>
      </c>
      <c r="GF659" s="27" t="s">
        <v>7</v>
      </c>
      <c r="GG659" s="27" t="s">
        <v>8</v>
      </c>
    </row>
    <row r="660" spans="1:189" x14ac:dyDescent="0.25">
      <c r="A660" s="7">
        <v>0.23560660504047748</v>
      </c>
      <c r="B660"/>
      <c r="C660"/>
      <c r="D660"/>
      <c r="E660"/>
      <c r="F660" s="27" t="s">
        <v>7</v>
      </c>
      <c r="CE660" s="27" t="s">
        <v>8</v>
      </c>
      <c r="DK660" s="27" t="s">
        <v>8</v>
      </c>
      <c r="DQ660" s="27" t="s">
        <v>8</v>
      </c>
      <c r="DS660" s="27" t="s">
        <v>8</v>
      </c>
      <c r="DT660" s="27" t="s">
        <v>7</v>
      </c>
      <c r="DU660" s="27" t="s">
        <v>8</v>
      </c>
      <c r="GA660" s="27" t="s">
        <v>8</v>
      </c>
      <c r="GB660" s="27" t="s">
        <v>7</v>
      </c>
      <c r="GE660" s="27" t="s">
        <v>8</v>
      </c>
      <c r="GF660" s="27" t="s">
        <v>7</v>
      </c>
      <c r="GG660" s="27" t="s">
        <v>8</v>
      </c>
    </row>
    <row r="661" spans="1:189" x14ac:dyDescent="0.25">
      <c r="A661" s="7">
        <v>0.23098686768674265</v>
      </c>
      <c r="B661"/>
      <c r="C661"/>
      <c r="D661"/>
      <c r="E661"/>
      <c r="F661" s="27" t="s">
        <v>7</v>
      </c>
      <c r="CE661" s="27" t="s">
        <v>8</v>
      </c>
      <c r="CF661" s="27" t="s">
        <v>7</v>
      </c>
      <c r="DK661" s="27" t="s">
        <v>8</v>
      </c>
      <c r="DL661" s="27" t="s">
        <v>7</v>
      </c>
      <c r="DQ661" s="27" t="s">
        <v>8</v>
      </c>
      <c r="DR661" s="27" t="s">
        <v>7</v>
      </c>
      <c r="DS661" s="27" t="s">
        <v>8</v>
      </c>
      <c r="DT661" s="27" t="s">
        <v>7</v>
      </c>
      <c r="DU661" s="27" t="s">
        <v>8</v>
      </c>
      <c r="DV661" s="27" t="s">
        <v>7</v>
      </c>
      <c r="GA661" s="27" t="s">
        <v>8</v>
      </c>
      <c r="GB661" s="27" t="s">
        <v>7</v>
      </c>
      <c r="GE661" s="27" t="s">
        <v>8</v>
      </c>
      <c r="GF661" s="27" t="s">
        <v>7</v>
      </c>
    </row>
    <row r="662" spans="1:189" x14ac:dyDescent="0.25">
      <c r="A662" s="7">
        <v>0.22645771341837515</v>
      </c>
      <c r="B662"/>
      <c r="C662"/>
      <c r="D662"/>
      <c r="E662"/>
      <c r="F662" s="27" t="s">
        <v>7</v>
      </c>
      <c r="CE662" s="27" t="s">
        <v>8</v>
      </c>
      <c r="CF662" s="27" t="s">
        <v>7</v>
      </c>
      <c r="DK662" s="27" t="s">
        <v>8</v>
      </c>
      <c r="DL662" s="27" t="s">
        <v>7</v>
      </c>
      <c r="DQ662" s="27" t="s">
        <v>8</v>
      </c>
      <c r="DR662" s="27" t="s">
        <v>7</v>
      </c>
      <c r="DS662" s="27" t="s">
        <v>8</v>
      </c>
      <c r="DT662" s="27" t="s">
        <v>7</v>
      </c>
      <c r="DU662" s="27" t="s">
        <v>8</v>
      </c>
      <c r="DV662" s="27" t="s">
        <v>7</v>
      </c>
      <c r="DW662" s="27" t="s">
        <v>8</v>
      </c>
      <c r="GA662" s="27" t="s">
        <v>8</v>
      </c>
      <c r="GB662" s="27" t="s">
        <v>7</v>
      </c>
      <c r="GE662" s="27" t="s">
        <v>8</v>
      </c>
    </row>
    <row r="663" spans="1:189" x14ac:dyDescent="0.25">
      <c r="A663" s="7">
        <v>0.22201736609644623</v>
      </c>
      <c r="B663"/>
      <c r="C663"/>
      <c r="D663"/>
      <c r="E663"/>
      <c r="F663" s="27" t="s">
        <v>7</v>
      </c>
      <c r="CE663" s="27" t="s">
        <v>8</v>
      </c>
      <c r="CF663" s="27" t="s">
        <v>7</v>
      </c>
      <c r="DK663" s="27" t="s">
        <v>8</v>
      </c>
      <c r="DL663" s="27" t="s">
        <v>7</v>
      </c>
      <c r="DQ663" s="27" t="s">
        <v>8</v>
      </c>
      <c r="DR663" s="27" t="s">
        <v>7</v>
      </c>
      <c r="DS663" s="27" t="s">
        <v>8</v>
      </c>
      <c r="DT663" s="27" t="s">
        <v>7</v>
      </c>
      <c r="DU663" s="27" t="s">
        <v>8</v>
      </c>
      <c r="DV663" s="27" t="s">
        <v>7</v>
      </c>
      <c r="DW663" s="27" t="s">
        <v>8</v>
      </c>
      <c r="DX663" s="27" t="s">
        <v>7</v>
      </c>
      <c r="GA663" s="27" t="s">
        <v>8</v>
      </c>
      <c r="GB663" s="27" t="s">
        <v>7</v>
      </c>
      <c r="GE663" s="27" t="s">
        <v>8</v>
      </c>
    </row>
    <row r="664" spans="1:189" x14ac:dyDescent="0.25">
      <c r="A664" s="7">
        <v>0.21766408440828061</v>
      </c>
      <c r="B664"/>
      <c r="C664"/>
      <c r="D664"/>
      <c r="E664"/>
      <c r="F664" s="27" t="s">
        <v>7</v>
      </c>
      <c r="CE664" s="27" t="s">
        <v>8</v>
      </c>
      <c r="CF664" s="27" t="s">
        <v>7</v>
      </c>
      <c r="CG664" s="27" t="s">
        <v>8</v>
      </c>
      <c r="DE664" s="27" t="s">
        <v>8</v>
      </c>
      <c r="DK664" s="27" t="s">
        <v>8</v>
      </c>
      <c r="DL664" s="27" t="s">
        <v>7</v>
      </c>
      <c r="DM664" s="27" t="s">
        <v>8</v>
      </c>
      <c r="DQ664" s="27" t="s">
        <v>8</v>
      </c>
      <c r="DR664" s="27" t="s">
        <v>7</v>
      </c>
      <c r="DS664" s="27" t="s">
        <v>8</v>
      </c>
      <c r="DT664" s="27" t="s">
        <v>7</v>
      </c>
      <c r="DU664" s="27" t="s">
        <v>8</v>
      </c>
      <c r="DV664" s="27" t="s">
        <v>7</v>
      </c>
      <c r="DW664" s="27" t="s">
        <v>8</v>
      </c>
      <c r="DX664" s="27" t="s">
        <v>7</v>
      </c>
      <c r="GA664" s="27" t="s">
        <v>8</v>
      </c>
      <c r="GB664" s="27" t="s">
        <v>7</v>
      </c>
      <c r="GE664" s="27" t="s">
        <v>8</v>
      </c>
    </row>
    <row r="665" spans="1:189" x14ac:dyDescent="0.25">
      <c r="A665" s="7">
        <v>0.21339616118458882</v>
      </c>
      <c r="B665"/>
      <c r="C665"/>
      <c r="D665"/>
      <c r="E665"/>
      <c r="F665" s="27" t="s">
        <v>7</v>
      </c>
      <c r="CE665" s="27" t="s">
        <v>8</v>
      </c>
      <c r="CF665" s="27" t="s">
        <v>7</v>
      </c>
      <c r="CG665" s="27" t="s">
        <v>8</v>
      </c>
      <c r="CH665" s="27" t="s">
        <v>7</v>
      </c>
      <c r="DE665" s="27" t="s">
        <v>8</v>
      </c>
      <c r="DF665" s="27" t="s">
        <v>7</v>
      </c>
      <c r="DK665" s="27" t="s">
        <v>8</v>
      </c>
      <c r="DL665" s="27" t="s">
        <v>7</v>
      </c>
      <c r="DM665" s="27" t="s">
        <v>8</v>
      </c>
      <c r="DN665" s="27" t="s">
        <v>7</v>
      </c>
      <c r="DO665" s="27" t="s">
        <v>8</v>
      </c>
      <c r="DQ665" s="27" t="s">
        <v>8</v>
      </c>
      <c r="DR665" s="27" t="s">
        <v>7</v>
      </c>
      <c r="DS665" s="27" t="s">
        <v>8</v>
      </c>
      <c r="DT665" s="27" t="s">
        <v>7</v>
      </c>
      <c r="DV665" s="27" t="s">
        <v>7</v>
      </c>
      <c r="DW665" s="27" t="s">
        <v>8</v>
      </c>
      <c r="DX665" s="27" t="s">
        <v>7</v>
      </c>
      <c r="GA665" s="27" t="s">
        <v>8</v>
      </c>
      <c r="GB665" s="27" t="s">
        <v>7</v>
      </c>
      <c r="GE665" s="27" t="s">
        <v>8</v>
      </c>
    </row>
    <row r="666" spans="1:189" x14ac:dyDescent="0.25">
      <c r="A666" s="7">
        <v>0.20921192272998904</v>
      </c>
      <c r="B666"/>
      <c r="C666"/>
      <c r="D666"/>
      <c r="E666"/>
      <c r="F666" s="27" t="s">
        <v>7</v>
      </c>
      <c r="CE666" s="27" t="s">
        <v>8</v>
      </c>
      <c r="CF666" s="27" t="s">
        <v>7</v>
      </c>
      <c r="CG666" s="27" t="s">
        <v>8</v>
      </c>
      <c r="CH666" s="27" t="s">
        <v>7</v>
      </c>
      <c r="CM666" s="27" t="s">
        <v>8</v>
      </c>
      <c r="DE666" s="27" t="s">
        <v>8</v>
      </c>
      <c r="DF666" s="27" t="s">
        <v>7</v>
      </c>
      <c r="DK666" s="27" t="s">
        <v>8</v>
      </c>
      <c r="DL666" s="27" t="s">
        <v>7</v>
      </c>
      <c r="DM666" s="27" t="s">
        <v>8</v>
      </c>
      <c r="DN666" s="27" t="s">
        <v>7</v>
      </c>
      <c r="DO666" s="27" t="s">
        <v>8</v>
      </c>
      <c r="DP666" s="27" t="s">
        <v>7</v>
      </c>
      <c r="DQ666" s="27" t="s">
        <v>8</v>
      </c>
      <c r="DR666" s="27" t="s">
        <v>7</v>
      </c>
      <c r="DS666" s="27" t="s">
        <v>8</v>
      </c>
      <c r="DV666" s="27" t="s">
        <v>7</v>
      </c>
      <c r="DW666" s="27" t="s">
        <v>8</v>
      </c>
      <c r="DX666" s="27" t="s">
        <v>7</v>
      </c>
      <c r="GA666" s="27" t="s">
        <v>8</v>
      </c>
      <c r="GB666" s="27" t="s">
        <v>7</v>
      </c>
      <c r="GE666" s="27" t="s">
        <v>8</v>
      </c>
    </row>
    <row r="667" spans="1:189" x14ac:dyDescent="0.25">
      <c r="A667" s="7">
        <v>0.20510972816665593</v>
      </c>
      <c r="B667"/>
      <c r="C667"/>
      <c r="D667"/>
      <c r="E667"/>
      <c r="F667" s="27" t="s">
        <v>7</v>
      </c>
      <c r="CE667" s="27" t="s">
        <v>8</v>
      </c>
      <c r="CF667" s="27" t="s">
        <v>7</v>
      </c>
      <c r="CG667" s="27" t="s">
        <v>8</v>
      </c>
      <c r="CH667" s="27" t="s">
        <v>7</v>
      </c>
      <c r="CI667" s="27" t="s">
        <v>8</v>
      </c>
      <c r="CK667" s="27" t="s">
        <v>8</v>
      </c>
      <c r="CM667" s="27" t="s">
        <v>8</v>
      </c>
      <c r="CN667" s="27" t="s">
        <v>7</v>
      </c>
      <c r="DE667" s="27" t="s">
        <v>8</v>
      </c>
      <c r="DF667" s="27" t="s">
        <v>7</v>
      </c>
      <c r="DK667" s="27" t="s">
        <v>8</v>
      </c>
      <c r="DL667" s="27" t="s">
        <v>7</v>
      </c>
      <c r="DM667" s="27" t="s">
        <v>8</v>
      </c>
      <c r="DN667" s="27" t="s">
        <v>7</v>
      </c>
      <c r="DO667" s="27" t="s">
        <v>8</v>
      </c>
      <c r="DP667" s="27" t="s">
        <v>7</v>
      </c>
      <c r="DQ667" s="27" t="s">
        <v>8</v>
      </c>
      <c r="DR667" s="27" t="s">
        <v>7</v>
      </c>
      <c r="DS667" s="27" t="s">
        <v>8</v>
      </c>
      <c r="DV667" s="27" t="s">
        <v>7</v>
      </c>
      <c r="DW667" s="27" t="s">
        <v>8</v>
      </c>
      <c r="DX667" s="27" t="s">
        <v>7</v>
      </c>
      <c r="GA667" s="27" t="s">
        <v>8</v>
      </c>
      <c r="GB667" s="27" t="s">
        <v>7</v>
      </c>
      <c r="GE667" s="27" t="s">
        <v>8</v>
      </c>
    </row>
    <row r="668" spans="1:189" x14ac:dyDescent="0.25">
      <c r="A668" s="7">
        <v>0.20108796879083912</v>
      </c>
      <c r="B668"/>
      <c r="C668"/>
      <c r="D668"/>
      <c r="E668"/>
      <c r="F668" s="27" t="s">
        <v>7</v>
      </c>
      <c r="CE668" s="27" t="s">
        <v>8</v>
      </c>
      <c r="CF668" s="27" t="s">
        <v>7</v>
      </c>
      <c r="CG668" s="27" t="s">
        <v>8</v>
      </c>
      <c r="CH668" s="27" t="s">
        <v>7</v>
      </c>
      <c r="CI668" s="27" t="s">
        <v>8</v>
      </c>
      <c r="CJ668" s="27" t="s">
        <v>7</v>
      </c>
      <c r="CK668" s="27" t="s">
        <v>8</v>
      </c>
      <c r="CL668" s="27" t="s">
        <v>7</v>
      </c>
      <c r="CM668" s="27" t="s">
        <v>8</v>
      </c>
      <c r="CN668" s="27" t="s">
        <v>7</v>
      </c>
      <c r="DE668" s="27" t="s">
        <v>8</v>
      </c>
      <c r="DF668" s="27" t="s">
        <v>7</v>
      </c>
      <c r="DK668" s="27" t="s">
        <v>8</v>
      </c>
      <c r="DL668" s="27" t="s">
        <v>7</v>
      </c>
      <c r="DM668" s="27" t="s">
        <v>8</v>
      </c>
      <c r="DN668" s="27" t="s">
        <v>7</v>
      </c>
      <c r="DP668" s="27" t="s">
        <v>7</v>
      </c>
      <c r="DQ668" s="27" t="s">
        <v>8</v>
      </c>
      <c r="DR668" s="27" t="s">
        <v>7</v>
      </c>
      <c r="DS668" s="27" t="s">
        <v>8</v>
      </c>
      <c r="DV668" s="27" t="s">
        <v>7</v>
      </c>
      <c r="DX668" s="27" t="s">
        <v>7</v>
      </c>
      <c r="GA668" s="27" t="s">
        <v>8</v>
      </c>
      <c r="GB668" s="27" t="s">
        <v>7</v>
      </c>
      <c r="GE668" s="27" t="s">
        <v>8</v>
      </c>
    </row>
    <row r="669" spans="1:189" x14ac:dyDescent="0.25">
      <c r="A669" s="7">
        <v>0.19714506744199917</v>
      </c>
      <c r="B669"/>
      <c r="C669"/>
      <c r="D669"/>
      <c r="E669"/>
      <c r="F669" s="27" t="s">
        <v>7</v>
      </c>
      <c r="CE669" s="27" t="s">
        <v>8</v>
      </c>
      <c r="CF669" s="27" t="s">
        <v>7</v>
      </c>
      <c r="CH669" s="27" t="s">
        <v>7</v>
      </c>
      <c r="CI669" s="27" t="s">
        <v>8</v>
      </c>
      <c r="CJ669" s="27" t="s">
        <v>7</v>
      </c>
      <c r="CK669" s="27" t="s">
        <v>8</v>
      </c>
      <c r="CL669" s="27" t="s">
        <v>7</v>
      </c>
      <c r="CM669" s="27" t="s">
        <v>8</v>
      </c>
      <c r="CN669" s="27" t="s">
        <v>7</v>
      </c>
      <c r="CO669" s="27" t="s">
        <v>8</v>
      </c>
      <c r="DC669" s="27" t="s">
        <v>8</v>
      </c>
      <c r="DE669" s="27" t="s">
        <v>8</v>
      </c>
      <c r="DF669" s="27" t="s">
        <v>7</v>
      </c>
      <c r="DI669" s="27" t="s">
        <v>8</v>
      </c>
      <c r="DK669" s="27" t="s">
        <v>8</v>
      </c>
      <c r="DL669" s="27" t="s">
        <v>7</v>
      </c>
      <c r="DP669" s="27" t="s">
        <v>7</v>
      </c>
      <c r="DQ669" s="27" t="s">
        <v>8</v>
      </c>
      <c r="DR669" s="27" t="s">
        <v>7</v>
      </c>
      <c r="DX669" s="27" t="s">
        <v>7</v>
      </c>
      <c r="GA669" s="27" t="s">
        <v>8</v>
      </c>
      <c r="GB669" s="27" t="s">
        <v>7</v>
      </c>
      <c r="GE669" s="27" t="s">
        <v>8</v>
      </c>
    </row>
    <row r="670" spans="1:189" x14ac:dyDescent="0.25">
      <c r="A670" s="7">
        <v>0.19327947788431293</v>
      </c>
      <c r="B670"/>
      <c r="C670"/>
      <c r="D670"/>
      <c r="E670"/>
      <c r="F670" s="27" t="s">
        <v>7</v>
      </c>
      <c r="CE670" s="27" t="s">
        <v>8</v>
      </c>
      <c r="CH670" s="27" t="s">
        <v>7</v>
      </c>
      <c r="CJ670" s="27" t="s">
        <v>7</v>
      </c>
      <c r="CL670" s="27" t="s">
        <v>7</v>
      </c>
      <c r="CN670" s="27" t="s">
        <v>7</v>
      </c>
      <c r="CO670" s="27" t="s">
        <v>8</v>
      </c>
      <c r="CP670" s="27" t="s">
        <v>7</v>
      </c>
      <c r="DA670" s="27" t="s">
        <v>8</v>
      </c>
      <c r="DC670" s="27" t="s">
        <v>8</v>
      </c>
      <c r="DD670" s="27" t="s">
        <v>7</v>
      </c>
      <c r="DE670" s="27" t="s">
        <v>8</v>
      </c>
      <c r="DF670" s="27" t="s">
        <v>7</v>
      </c>
      <c r="DI670" s="27" t="s">
        <v>8</v>
      </c>
      <c r="DJ670" s="27" t="s">
        <v>7</v>
      </c>
      <c r="DK670" s="27" t="s">
        <v>8</v>
      </c>
      <c r="DP670" s="27" t="s">
        <v>7</v>
      </c>
      <c r="DX670" s="27" t="s">
        <v>7</v>
      </c>
      <c r="GA670" s="27" t="s">
        <v>8</v>
      </c>
      <c r="GB670" s="27" t="s">
        <v>7</v>
      </c>
      <c r="GE670" s="27" t="s">
        <v>8</v>
      </c>
    </row>
    <row r="671" spans="1:189" x14ac:dyDescent="0.25">
      <c r="A671" s="7">
        <v>0.18948968420030682</v>
      </c>
      <c r="B671"/>
      <c r="C671"/>
      <c r="D671"/>
      <c r="E671"/>
      <c r="F671" s="27" t="s">
        <v>7</v>
      </c>
      <c r="CE671" s="27" t="s">
        <v>8</v>
      </c>
      <c r="CN671" s="27" t="s">
        <v>7</v>
      </c>
      <c r="CO671" s="27" t="s">
        <v>8</v>
      </c>
      <c r="CP671" s="27" t="s">
        <v>7</v>
      </c>
      <c r="CU671" s="27" t="s">
        <v>8</v>
      </c>
      <c r="DA671" s="27" t="s">
        <v>8</v>
      </c>
      <c r="DB671" s="27" t="s">
        <v>7</v>
      </c>
      <c r="DC671" s="27" t="s">
        <v>8</v>
      </c>
      <c r="DD671" s="27" t="s">
        <v>7</v>
      </c>
      <c r="DE671" s="27" t="s">
        <v>8</v>
      </c>
      <c r="DF671" s="27" t="s">
        <v>7</v>
      </c>
      <c r="DI671" s="27" t="s">
        <v>8</v>
      </c>
      <c r="DJ671" s="27" t="s">
        <v>7</v>
      </c>
      <c r="DK671" s="27" t="s">
        <v>8</v>
      </c>
      <c r="DX671" s="27" t="s">
        <v>7</v>
      </c>
      <c r="GA671" s="27" t="s">
        <v>8</v>
      </c>
      <c r="GB671" s="27" t="s">
        <v>7</v>
      </c>
      <c r="GE671" s="27" t="s">
        <v>8</v>
      </c>
    </row>
    <row r="672" spans="1:189" x14ac:dyDescent="0.25">
      <c r="A672" s="7">
        <v>0.18577420019637925</v>
      </c>
      <c r="B672"/>
      <c r="C672"/>
      <c r="D672"/>
      <c r="E672"/>
      <c r="F672" s="27" t="s">
        <v>7</v>
      </c>
      <c r="CA672" s="27" t="s">
        <v>8</v>
      </c>
      <c r="CE672" s="27" t="s">
        <v>8</v>
      </c>
      <c r="CN672" s="27" t="s">
        <v>7</v>
      </c>
      <c r="CO672" s="27" t="s">
        <v>8</v>
      </c>
      <c r="CP672" s="27" t="s">
        <v>7</v>
      </c>
      <c r="CQ672" s="27" t="s">
        <v>8</v>
      </c>
      <c r="CU672" s="27" t="s">
        <v>8</v>
      </c>
      <c r="CV672" s="27" t="s">
        <v>7</v>
      </c>
      <c r="CY672" s="27" t="s">
        <v>8</v>
      </c>
      <c r="DA672" s="27" t="s">
        <v>8</v>
      </c>
      <c r="DB672" s="27" t="s">
        <v>7</v>
      </c>
      <c r="DC672" s="27" t="s">
        <v>8</v>
      </c>
      <c r="DD672" s="27" t="s">
        <v>7</v>
      </c>
      <c r="DE672" s="27" t="s">
        <v>8</v>
      </c>
      <c r="DF672" s="27" t="s">
        <v>7</v>
      </c>
      <c r="DI672" s="27" t="s">
        <v>8</v>
      </c>
      <c r="DJ672" s="27" t="s">
        <v>7</v>
      </c>
      <c r="DX672" s="27" t="s">
        <v>7</v>
      </c>
      <c r="GA672" s="27" t="s">
        <v>8</v>
      </c>
      <c r="GB672" s="27" t="s">
        <v>7</v>
      </c>
      <c r="GE672" s="27" t="s">
        <v>8</v>
      </c>
    </row>
    <row r="673" spans="1:187" x14ac:dyDescent="0.25">
      <c r="A673" s="7">
        <v>0.18213156881997963</v>
      </c>
      <c r="B673"/>
      <c r="C673"/>
      <c r="D673"/>
      <c r="E673"/>
      <c r="F673" s="27" t="s">
        <v>7</v>
      </c>
      <c r="CA673" s="27" t="s">
        <v>8</v>
      </c>
      <c r="CB673" s="27" t="s">
        <v>7</v>
      </c>
      <c r="CE673" s="27" t="s">
        <v>8</v>
      </c>
      <c r="CN673" s="27" t="s">
        <v>7</v>
      </c>
      <c r="CO673" s="27" t="s">
        <v>8</v>
      </c>
      <c r="CP673" s="27" t="s">
        <v>7</v>
      </c>
      <c r="CQ673" s="27" t="s">
        <v>8</v>
      </c>
      <c r="CR673" s="27" t="s">
        <v>7</v>
      </c>
      <c r="CS673" s="27" t="s">
        <v>8</v>
      </c>
      <c r="CU673" s="27" t="s">
        <v>8</v>
      </c>
      <c r="CV673" s="27" t="s">
        <v>7</v>
      </c>
      <c r="CY673" s="27" t="s">
        <v>8</v>
      </c>
      <c r="CZ673" s="27" t="s">
        <v>7</v>
      </c>
      <c r="DA673" s="27" t="s">
        <v>8</v>
      </c>
      <c r="DB673" s="27" t="s">
        <v>7</v>
      </c>
      <c r="DC673" s="27" t="s">
        <v>8</v>
      </c>
      <c r="DD673" s="27" t="s">
        <v>7</v>
      </c>
      <c r="DE673" s="27" t="s">
        <v>8</v>
      </c>
      <c r="DF673" s="27" t="s">
        <v>7</v>
      </c>
      <c r="DG673" s="27" t="s">
        <v>8</v>
      </c>
      <c r="DI673" s="27" t="s">
        <v>8</v>
      </c>
      <c r="DX673" s="27" t="s">
        <v>7</v>
      </c>
      <c r="GA673" s="27" t="s">
        <v>8</v>
      </c>
      <c r="GB673" s="27" t="s">
        <v>7</v>
      </c>
      <c r="GE673" s="27" t="s">
        <v>8</v>
      </c>
    </row>
    <row r="674" spans="1:187" x14ac:dyDescent="0.25">
      <c r="A674" s="7">
        <v>0.17856036158821534</v>
      </c>
      <c r="B674"/>
      <c r="C674"/>
      <c r="D674"/>
      <c r="E674"/>
      <c r="F674" s="27" t="s">
        <v>7</v>
      </c>
      <c r="CA674" s="27" t="s">
        <v>8</v>
      </c>
      <c r="CB674" s="27" t="s">
        <v>7</v>
      </c>
      <c r="CC674" s="27" t="s">
        <v>8</v>
      </c>
      <c r="CE674" s="27" t="s">
        <v>8</v>
      </c>
      <c r="CN674" s="27" t="s">
        <v>7</v>
      </c>
      <c r="CP674" s="27" t="s">
        <v>7</v>
      </c>
      <c r="CQ674" s="27" t="s">
        <v>8</v>
      </c>
      <c r="CR674" s="27" t="s">
        <v>7</v>
      </c>
      <c r="CS674" s="27" t="s">
        <v>8</v>
      </c>
      <c r="CT674" s="27" t="s">
        <v>7</v>
      </c>
      <c r="CU674" s="27" t="s">
        <v>8</v>
      </c>
      <c r="CV674" s="27" t="s">
        <v>7</v>
      </c>
      <c r="CW674" s="27" t="s">
        <v>8</v>
      </c>
      <c r="CY674" s="27" t="s">
        <v>8</v>
      </c>
      <c r="CZ674" s="27" t="s">
        <v>7</v>
      </c>
      <c r="DA674" s="27" t="s">
        <v>8</v>
      </c>
      <c r="DB674" s="27" t="s">
        <v>7</v>
      </c>
      <c r="DC674" s="27" t="s">
        <v>8</v>
      </c>
      <c r="DD674" s="27" t="s">
        <v>7</v>
      </c>
      <c r="DE674" s="27" t="s">
        <v>8</v>
      </c>
      <c r="DF674" s="27" t="s">
        <v>7</v>
      </c>
      <c r="DG674" s="27" t="s">
        <v>8</v>
      </c>
      <c r="DH674" s="27" t="s">
        <v>7</v>
      </c>
      <c r="DI674" s="27" t="s">
        <v>8</v>
      </c>
      <c r="DX674" s="27" t="s">
        <v>7</v>
      </c>
      <c r="DY674" s="27" t="s">
        <v>8</v>
      </c>
      <c r="EC674" s="27" t="s">
        <v>8</v>
      </c>
      <c r="EK674" s="27" t="s">
        <v>8</v>
      </c>
      <c r="GA674" s="27" t="s">
        <v>8</v>
      </c>
      <c r="GB674" s="27" t="s">
        <v>7</v>
      </c>
      <c r="GC674" s="27" t="s">
        <v>8</v>
      </c>
      <c r="GE674" s="27" t="s">
        <v>8</v>
      </c>
    </row>
    <row r="675" spans="1:187" x14ac:dyDescent="0.25">
      <c r="A675" s="7">
        <v>0.17505917802766208</v>
      </c>
      <c r="B675"/>
      <c r="C675"/>
      <c r="D675"/>
      <c r="E675"/>
      <c r="F675" s="27" t="s">
        <v>7</v>
      </c>
      <c r="BW675" s="27" t="s">
        <v>8</v>
      </c>
      <c r="CA675" s="27" t="s">
        <v>8</v>
      </c>
      <c r="CB675" s="27" t="s">
        <v>7</v>
      </c>
      <c r="CC675" s="27" t="s">
        <v>8</v>
      </c>
      <c r="CD675" s="27" t="s">
        <v>7</v>
      </c>
      <c r="CE675" s="27" t="s">
        <v>8</v>
      </c>
      <c r="CP675" s="27" t="s">
        <v>7</v>
      </c>
      <c r="CQ675" s="27" t="s">
        <v>8</v>
      </c>
      <c r="CR675" s="27" t="s">
        <v>7</v>
      </c>
      <c r="CS675" s="27" t="s">
        <v>8</v>
      </c>
      <c r="CT675" s="27" t="s">
        <v>7</v>
      </c>
      <c r="CU675" s="27" t="s">
        <v>8</v>
      </c>
      <c r="CV675" s="27" t="s">
        <v>7</v>
      </c>
      <c r="CW675" s="27" t="s">
        <v>8</v>
      </c>
      <c r="CX675" s="27" t="s">
        <v>7</v>
      </c>
      <c r="CY675" s="27" t="s">
        <v>8</v>
      </c>
      <c r="CZ675" s="27" t="s">
        <v>7</v>
      </c>
      <c r="DA675" s="27" t="s">
        <v>8</v>
      </c>
      <c r="DB675" s="27" t="s">
        <v>7</v>
      </c>
      <c r="DC675" s="27" t="s">
        <v>8</v>
      </c>
      <c r="DD675" s="27" t="s">
        <v>7</v>
      </c>
      <c r="DE675" s="27" t="s">
        <v>8</v>
      </c>
      <c r="DF675" s="27" t="s">
        <v>7</v>
      </c>
      <c r="DG675" s="27" t="s">
        <v>8</v>
      </c>
      <c r="DH675" s="27" t="s">
        <v>7</v>
      </c>
      <c r="DI675" s="27" t="s">
        <v>8</v>
      </c>
      <c r="DX675" s="27" t="s">
        <v>7</v>
      </c>
      <c r="DY675" s="27" t="s">
        <v>8</v>
      </c>
      <c r="DZ675" s="27" t="s">
        <v>7</v>
      </c>
      <c r="EC675" s="27" t="s">
        <v>8</v>
      </c>
      <c r="ED675" s="27" t="s">
        <v>7</v>
      </c>
      <c r="EK675" s="27" t="s">
        <v>8</v>
      </c>
      <c r="EL675" s="27" t="s">
        <v>7</v>
      </c>
      <c r="FA675" s="27" t="s">
        <v>8</v>
      </c>
      <c r="GA675" s="27" t="s">
        <v>8</v>
      </c>
      <c r="GB675" s="27" t="s">
        <v>7</v>
      </c>
      <c r="GC675" s="27" t="s">
        <v>8</v>
      </c>
      <c r="GD675" s="27" t="s">
        <v>7</v>
      </c>
      <c r="GE675" s="27" t="s">
        <v>8</v>
      </c>
    </row>
    <row r="676" spans="1:187" x14ac:dyDescent="0.25">
      <c r="A676" s="7">
        <v>0.17162664512515888</v>
      </c>
      <c r="B676"/>
      <c r="C676"/>
      <c r="D676"/>
      <c r="E676"/>
      <c r="F676" s="27" t="s">
        <v>7</v>
      </c>
      <c r="BW676" s="27" t="s">
        <v>8</v>
      </c>
      <c r="BX676" s="27" t="s">
        <v>7</v>
      </c>
      <c r="BY676" s="27" t="s">
        <v>8</v>
      </c>
      <c r="CA676" s="27" t="s">
        <v>8</v>
      </c>
      <c r="CB676" s="27" t="s">
        <v>7</v>
      </c>
      <c r="CC676" s="27" t="s">
        <v>8</v>
      </c>
      <c r="CD676" s="27" t="s">
        <v>7</v>
      </c>
      <c r="CE676" s="27" t="s">
        <v>8</v>
      </c>
      <c r="CP676" s="27" t="s">
        <v>7</v>
      </c>
      <c r="CQ676" s="27" t="s">
        <v>8</v>
      </c>
      <c r="CR676" s="27" t="s">
        <v>7</v>
      </c>
      <c r="CS676" s="27" t="s">
        <v>8</v>
      </c>
      <c r="CT676" s="27" t="s">
        <v>7</v>
      </c>
      <c r="CU676" s="27" t="s">
        <v>8</v>
      </c>
      <c r="CV676" s="27" t="s">
        <v>7</v>
      </c>
      <c r="CW676" s="27" t="s">
        <v>8</v>
      </c>
      <c r="CX676" s="27" t="s">
        <v>7</v>
      </c>
      <c r="CY676" s="27" t="s">
        <v>8</v>
      </c>
      <c r="CZ676" s="27" t="s">
        <v>7</v>
      </c>
      <c r="DA676" s="27" t="s">
        <v>8</v>
      </c>
      <c r="DB676" s="27" t="s">
        <v>7</v>
      </c>
      <c r="DC676" s="27" t="s">
        <v>8</v>
      </c>
      <c r="DD676" s="27" t="s">
        <v>7</v>
      </c>
      <c r="DF676" s="27" t="s">
        <v>7</v>
      </c>
      <c r="DG676" s="27" t="s">
        <v>8</v>
      </c>
      <c r="DH676" s="27" t="s">
        <v>7</v>
      </c>
      <c r="DI676" s="27" t="s">
        <v>8</v>
      </c>
      <c r="DX676" s="27" t="s">
        <v>7</v>
      </c>
      <c r="DY676" s="27" t="s">
        <v>8</v>
      </c>
      <c r="DZ676" s="27" t="s">
        <v>7</v>
      </c>
      <c r="EC676" s="27" t="s">
        <v>8</v>
      </c>
      <c r="ED676" s="27" t="s">
        <v>7</v>
      </c>
      <c r="EE676" s="27" t="s">
        <v>8</v>
      </c>
      <c r="EG676" s="27" t="s">
        <v>8</v>
      </c>
      <c r="EK676" s="27" t="s">
        <v>8</v>
      </c>
      <c r="EL676" s="27" t="s">
        <v>7</v>
      </c>
      <c r="EO676" s="27" t="s">
        <v>8</v>
      </c>
      <c r="FA676" s="27" t="s">
        <v>8</v>
      </c>
      <c r="FB676" s="27" t="s">
        <v>7</v>
      </c>
      <c r="GA676" s="27" t="s">
        <v>8</v>
      </c>
      <c r="GB676" s="27" t="s">
        <v>7</v>
      </c>
      <c r="GC676" s="27" t="s">
        <v>8</v>
      </c>
      <c r="GD676" s="27" t="s">
        <v>7</v>
      </c>
      <c r="GE676" s="27" t="s">
        <v>8</v>
      </c>
    </row>
    <row r="677" spans="1:187" x14ac:dyDescent="0.25">
      <c r="A677" s="7">
        <v>0.16826141678937145</v>
      </c>
      <c r="B677"/>
      <c r="C677"/>
      <c r="D677"/>
      <c r="E677"/>
      <c r="F677" s="27" t="s">
        <v>7</v>
      </c>
      <c r="BW677" s="27" t="s">
        <v>8</v>
      </c>
      <c r="BX677" s="27" t="s">
        <v>7</v>
      </c>
      <c r="BY677" s="27" t="s">
        <v>8</v>
      </c>
      <c r="BZ677" s="27" t="s">
        <v>7</v>
      </c>
      <c r="CA677" s="27" t="s">
        <v>8</v>
      </c>
      <c r="CB677" s="27" t="s">
        <v>7</v>
      </c>
      <c r="CD677" s="27" t="s">
        <v>7</v>
      </c>
      <c r="CE677" s="27" t="s">
        <v>8</v>
      </c>
      <c r="CP677" s="27" t="s">
        <v>7</v>
      </c>
      <c r="CQ677" s="27" t="s">
        <v>8</v>
      </c>
      <c r="CR677" s="27" t="s">
        <v>7</v>
      </c>
      <c r="CT677" s="27" t="s">
        <v>7</v>
      </c>
      <c r="CV677" s="27" t="s">
        <v>7</v>
      </c>
      <c r="CW677" s="27" t="s">
        <v>8</v>
      </c>
      <c r="CX677" s="27" t="s">
        <v>7</v>
      </c>
      <c r="CY677" s="27" t="s">
        <v>8</v>
      </c>
      <c r="CZ677" s="27" t="s">
        <v>7</v>
      </c>
      <c r="DB677" s="27" t="s">
        <v>7</v>
      </c>
      <c r="DF677" s="27" t="s">
        <v>7</v>
      </c>
      <c r="DG677" s="27" t="s">
        <v>8</v>
      </c>
      <c r="DH677" s="27" t="s">
        <v>7</v>
      </c>
      <c r="DI677" s="27" t="s">
        <v>8</v>
      </c>
      <c r="DX677" s="27" t="s">
        <v>7</v>
      </c>
      <c r="DY677" s="27" t="s">
        <v>8</v>
      </c>
      <c r="DZ677" s="27" t="s">
        <v>7</v>
      </c>
      <c r="EC677" s="27" t="s">
        <v>8</v>
      </c>
      <c r="ED677" s="27" t="s">
        <v>7</v>
      </c>
      <c r="EE677" s="27" t="s">
        <v>8</v>
      </c>
      <c r="EF677" s="27" t="s">
        <v>7</v>
      </c>
      <c r="EG677" s="27" t="s">
        <v>8</v>
      </c>
      <c r="EH677" s="27" t="s">
        <v>7</v>
      </c>
      <c r="EK677" s="27" t="s">
        <v>8</v>
      </c>
      <c r="EL677" s="27" t="s">
        <v>7</v>
      </c>
      <c r="EO677" s="27" t="s">
        <v>8</v>
      </c>
      <c r="EP677" s="27" t="s">
        <v>7</v>
      </c>
      <c r="FA677" s="27" t="s">
        <v>8</v>
      </c>
      <c r="FB677" s="27" t="s">
        <v>7</v>
      </c>
      <c r="GA677" s="27" t="s">
        <v>8</v>
      </c>
      <c r="GB677" s="27" t="s">
        <v>7</v>
      </c>
      <c r="GC677" s="27" t="s">
        <v>8</v>
      </c>
      <c r="GD677" s="27" t="s">
        <v>7</v>
      </c>
      <c r="GE677" s="27" t="s">
        <v>8</v>
      </c>
    </row>
    <row r="678" spans="1:187" x14ac:dyDescent="0.25">
      <c r="A678" s="7">
        <v>0.16496217332291319</v>
      </c>
      <c r="B678"/>
      <c r="C678"/>
      <c r="D678"/>
      <c r="E678"/>
      <c r="F678" s="27" t="s">
        <v>7</v>
      </c>
      <c r="AC678" s="27" t="s">
        <v>8</v>
      </c>
      <c r="BW678" s="27" t="s">
        <v>8</v>
      </c>
      <c r="BX678" s="27" t="s">
        <v>7</v>
      </c>
      <c r="BY678" s="27" t="s">
        <v>8</v>
      </c>
      <c r="BZ678" s="27" t="s">
        <v>7</v>
      </c>
      <c r="CA678" s="27" t="s">
        <v>8</v>
      </c>
      <c r="CD678" s="27" t="s">
        <v>7</v>
      </c>
      <c r="CP678" s="27" t="s">
        <v>7</v>
      </c>
      <c r="CQ678" s="27" t="s">
        <v>8</v>
      </c>
      <c r="CV678" s="27" t="s">
        <v>7</v>
      </c>
      <c r="CW678" s="27" t="s">
        <v>8</v>
      </c>
      <c r="CX678" s="27" t="s">
        <v>7</v>
      </c>
      <c r="CY678" s="27" t="s">
        <v>8</v>
      </c>
      <c r="DF678" s="27" t="s">
        <v>7</v>
      </c>
      <c r="DG678" s="27" t="s">
        <v>8</v>
      </c>
      <c r="DH678" s="27" t="s">
        <v>7</v>
      </c>
      <c r="DX678" s="27" t="s">
        <v>7</v>
      </c>
      <c r="DY678" s="27" t="s">
        <v>8</v>
      </c>
      <c r="DZ678" s="27" t="s">
        <v>7</v>
      </c>
      <c r="EC678" s="27" t="s">
        <v>8</v>
      </c>
      <c r="ED678" s="27" t="s">
        <v>7</v>
      </c>
      <c r="EE678" s="27" t="s">
        <v>8</v>
      </c>
      <c r="EF678" s="27" t="s">
        <v>7</v>
      </c>
      <c r="EG678" s="27" t="s">
        <v>8</v>
      </c>
      <c r="EH678" s="27" t="s">
        <v>7</v>
      </c>
      <c r="EK678" s="27" t="s">
        <v>8</v>
      </c>
      <c r="EL678" s="27" t="s">
        <v>7</v>
      </c>
      <c r="EO678" s="27" t="s">
        <v>8</v>
      </c>
      <c r="EP678" s="27" t="s">
        <v>7</v>
      </c>
      <c r="FA678" s="27" t="s">
        <v>8</v>
      </c>
      <c r="FB678" s="27" t="s">
        <v>7</v>
      </c>
      <c r="FO678" s="27" t="s">
        <v>8</v>
      </c>
      <c r="GA678" s="27" t="s">
        <v>8</v>
      </c>
      <c r="GB678" s="27" t="s">
        <v>7</v>
      </c>
      <c r="GC678" s="27" t="s">
        <v>8</v>
      </c>
      <c r="GD678" s="27" t="s">
        <v>7</v>
      </c>
      <c r="GE678" s="27" t="s">
        <v>8</v>
      </c>
    </row>
    <row r="679" spans="1:187" x14ac:dyDescent="0.25">
      <c r="A679" s="7">
        <v>0.16172762090481685</v>
      </c>
      <c r="B679"/>
      <c r="C679"/>
      <c r="D679"/>
      <c r="E679"/>
      <c r="F679" s="27" t="s">
        <v>7</v>
      </c>
      <c r="AC679" s="27" t="s">
        <v>8</v>
      </c>
      <c r="AD679" s="27" t="s">
        <v>7</v>
      </c>
      <c r="BW679" s="27" t="s">
        <v>8</v>
      </c>
      <c r="BX679" s="27" t="s">
        <v>7</v>
      </c>
      <c r="BY679" s="27" t="s">
        <v>8</v>
      </c>
      <c r="BZ679" s="27" t="s">
        <v>7</v>
      </c>
      <c r="CA679" s="27" t="s">
        <v>8</v>
      </c>
      <c r="CP679" s="27" t="s">
        <v>7</v>
      </c>
      <c r="CV679" s="27" t="s">
        <v>7</v>
      </c>
      <c r="CW679" s="27" t="s">
        <v>8</v>
      </c>
      <c r="CX679" s="27" t="s">
        <v>7</v>
      </c>
      <c r="DF679" s="27" t="s">
        <v>7</v>
      </c>
      <c r="DX679" s="27" t="s">
        <v>7</v>
      </c>
      <c r="DY679" s="27" t="s">
        <v>8</v>
      </c>
      <c r="DZ679" s="27" t="s">
        <v>7</v>
      </c>
      <c r="EA679" s="27" t="s">
        <v>8</v>
      </c>
      <c r="EC679" s="27" t="s">
        <v>8</v>
      </c>
      <c r="ED679" s="27" t="s">
        <v>7</v>
      </c>
      <c r="EE679" s="27" t="s">
        <v>8</v>
      </c>
      <c r="EF679" s="27" t="s">
        <v>7</v>
      </c>
      <c r="EG679" s="27" t="s">
        <v>8</v>
      </c>
      <c r="EH679" s="27" t="s">
        <v>7</v>
      </c>
      <c r="EI679" s="27" t="s">
        <v>8</v>
      </c>
      <c r="EK679" s="27" t="s">
        <v>8</v>
      </c>
      <c r="EL679" s="27" t="s">
        <v>7</v>
      </c>
      <c r="EO679" s="27" t="s">
        <v>8</v>
      </c>
      <c r="EP679" s="27" t="s">
        <v>7</v>
      </c>
      <c r="FA679" s="27" t="s">
        <v>8</v>
      </c>
      <c r="FB679" s="27" t="s">
        <v>7</v>
      </c>
      <c r="FE679" s="27" t="s">
        <v>8</v>
      </c>
      <c r="FM679" s="27" t="s">
        <v>8</v>
      </c>
      <c r="FO679" s="27" t="s">
        <v>8</v>
      </c>
      <c r="FP679" s="27" t="s">
        <v>7</v>
      </c>
      <c r="GA679" s="27" t="s">
        <v>8</v>
      </c>
      <c r="GB679" s="27" t="s">
        <v>7</v>
      </c>
      <c r="GC679" s="27" t="s">
        <v>8</v>
      </c>
      <c r="GD679" s="27" t="s">
        <v>7</v>
      </c>
      <c r="GE679" s="27" t="s">
        <v>8</v>
      </c>
    </row>
    <row r="680" spans="1:187" x14ac:dyDescent="0.25">
      <c r="A680" s="7">
        <v>0.15855649108315376</v>
      </c>
      <c r="B680"/>
      <c r="C680"/>
      <c r="D680"/>
      <c r="E680"/>
      <c r="F680" s="27" t="s">
        <v>7</v>
      </c>
      <c r="AC680" s="27" t="s">
        <v>8</v>
      </c>
      <c r="AD680" s="27" t="s">
        <v>7</v>
      </c>
      <c r="BM680" s="27" t="s">
        <v>8</v>
      </c>
      <c r="BW680" s="27" t="s">
        <v>8</v>
      </c>
      <c r="BX680" s="27" t="s">
        <v>7</v>
      </c>
      <c r="BY680" s="27" t="s">
        <v>8</v>
      </c>
      <c r="BZ680" s="27" t="s">
        <v>7</v>
      </c>
      <c r="CV680" s="27" t="s">
        <v>7</v>
      </c>
      <c r="CW680" s="27" t="s">
        <v>8</v>
      </c>
      <c r="DX680" s="27" t="s">
        <v>7</v>
      </c>
      <c r="DY680" s="27" t="s">
        <v>8</v>
      </c>
      <c r="DZ680" s="27" t="s">
        <v>7</v>
      </c>
      <c r="EA680" s="27" t="s">
        <v>8</v>
      </c>
      <c r="EB680" s="27" t="s">
        <v>7</v>
      </c>
      <c r="EC680" s="27" t="s">
        <v>8</v>
      </c>
      <c r="ED680" s="27" t="s">
        <v>7</v>
      </c>
      <c r="EF680" s="27" t="s">
        <v>7</v>
      </c>
      <c r="EG680" s="27" t="s">
        <v>8</v>
      </c>
      <c r="EH680" s="27" t="s">
        <v>7</v>
      </c>
      <c r="EI680" s="27" t="s">
        <v>8</v>
      </c>
      <c r="EJ680" s="27" t="s">
        <v>7</v>
      </c>
      <c r="EK680" s="27" t="s">
        <v>8</v>
      </c>
      <c r="EL680" s="27" t="s">
        <v>7</v>
      </c>
      <c r="EO680" s="27" t="s">
        <v>8</v>
      </c>
      <c r="EP680" s="27" t="s">
        <v>7</v>
      </c>
      <c r="FA680" s="27" t="s">
        <v>8</v>
      </c>
      <c r="FB680" s="27" t="s">
        <v>7</v>
      </c>
      <c r="FE680" s="27" t="s">
        <v>8</v>
      </c>
      <c r="FF680" s="27" t="s">
        <v>7</v>
      </c>
      <c r="FK680" s="27" t="s">
        <v>8</v>
      </c>
      <c r="FM680" s="27" t="s">
        <v>8</v>
      </c>
      <c r="FN680" s="27" t="s">
        <v>7</v>
      </c>
      <c r="FO680" s="27" t="s">
        <v>8</v>
      </c>
      <c r="FP680" s="27" t="s">
        <v>7</v>
      </c>
      <c r="GA680" s="27" t="s">
        <v>8</v>
      </c>
      <c r="GB680" s="27" t="s">
        <v>7</v>
      </c>
      <c r="GC680" s="27" t="s">
        <v>8</v>
      </c>
      <c r="GD680" s="27" t="s">
        <v>7</v>
      </c>
    </row>
    <row r="681" spans="1:187" x14ac:dyDescent="0.25">
      <c r="A681" s="7">
        <v>0.15544754027760171</v>
      </c>
      <c r="B681"/>
      <c r="C681"/>
      <c r="D681"/>
      <c r="E681"/>
      <c r="F681" s="27" t="s">
        <v>7</v>
      </c>
      <c r="AA681" s="27" t="s">
        <v>8</v>
      </c>
      <c r="AC681" s="27" t="s">
        <v>8</v>
      </c>
      <c r="AD681" s="27" t="s">
        <v>7</v>
      </c>
      <c r="BM681" s="27" t="s">
        <v>8</v>
      </c>
      <c r="BN681" s="27" t="s">
        <v>7</v>
      </c>
      <c r="BS681" s="27" t="s">
        <v>8</v>
      </c>
      <c r="BW681" s="27" t="s">
        <v>8</v>
      </c>
      <c r="BX681" s="27" t="s">
        <v>7</v>
      </c>
      <c r="CV681" s="27" t="s">
        <v>7</v>
      </c>
      <c r="CW681" s="27" t="s">
        <v>8</v>
      </c>
      <c r="DX681" s="27" t="s">
        <v>7</v>
      </c>
      <c r="DY681" s="27" t="s">
        <v>8</v>
      </c>
      <c r="DZ681" s="27" t="s">
        <v>7</v>
      </c>
      <c r="EA681" s="27" t="s">
        <v>8</v>
      </c>
      <c r="EB681" s="27" t="s">
        <v>7</v>
      </c>
      <c r="EC681" s="27" t="s">
        <v>8</v>
      </c>
      <c r="EF681" s="27" t="s">
        <v>7</v>
      </c>
      <c r="EG681" s="27" t="s">
        <v>8</v>
      </c>
      <c r="EH681" s="27" t="s">
        <v>7</v>
      </c>
      <c r="EI681" s="27" t="s">
        <v>8</v>
      </c>
      <c r="EJ681" s="27" t="s">
        <v>7</v>
      </c>
      <c r="EK681" s="27" t="s">
        <v>8</v>
      </c>
      <c r="EL681" s="27" t="s">
        <v>7</v>
      </c>
      <c r="EM681" s="27" t="s">
        <v>8</v>
      </c>
      <c r="EO681" s="27" t="s">
        <v>8</v>
      </c>
      <c r="EP681" s="27" t="s">
        <v>7</v>
      </c>
      <c r="FA681" s="27" t="s">
        <v>8</v>
      </c>
      <c r="FB681" s="27" t="s">
        <v>7</v>
      </c>
      <c r="FE681" s="27" t="s">
        <v>8</v>
      </c>
      <c r="FF681" s="27" t="s">
        <v>7</v>
      </c>
      <c r="FG681" s="27" t="s">
        <v>8</v>
      </c>
      <c r="FK681" s="27" t="s">
        <v>8</v>
      </c>
      <c r="FL681" s="27" t="s">
        <v>7</v>
      </c>
      <c r="FM681" s="27" t="s">
        <v>8</v>
      </c>
      <c r="FN681" s="27" t="s">
        <v>7</v>
      </c>
      <c r="FO681" s="27" t="s">
        <v>8</v>
      </c>
      <c r="FP681" s="27" t="s">
        <v>7</v>
      </c>
      <c r="GA681" s="27" t="s">
        <v>8</v>
      </c>
      <c r="GB681" s="27" t="s">
        <v>7</v>
      </c>
      <c r="GC681" s="27" t="s">
        <v>8</v>
      </c>
    </row>
    <row r="682" spans="1:187" x14ac:dyDescent="0.25">
      <c r="A682" s="7">
        <v>0.15239954929176638</v>
      </c>
      <c r="B682"/>
      <c r="C682"/>
      <c r="D682"/>
      <c r="E682"/>
      <c r="F682" s="27" t="s">
        <v>7</v>
      </c>
      <c r="S682" s="27" t="s">
        <v>8</v>
      </c>
      <c r="Y682" s="27" t="s">
        <v>8</v>
      </c>
      <c r="AA682" s="27" t="s">
        <v>8</v>
      </c>
      <c r="AB682" s="27" t="s">
        <v>7</v>
      </c>
      <c r="AC682" s="27" t="s">
        <v>8</v>
      </c>
      <c r="AD682" s="27" t="s">
        <v>7</v>
      </c>
      <c r="BM682" s="27" t="s">
        <v>8</v>
      </c>
      <c r="BN682" s="27" t="s">
        <v>7</v>
      </c>
      <c r="BS682" s="27" t="s">
        <v>8</v>
      </c>
      <c r="BT682" s="27" t="s">
        <v>7</v>
      </c>
      <c r="BW682" s="27" t="s">
        <v>8</v>
      </c>
      <c r="CV682" s="27" t="s">
        <v>7</v>
      </c>
      <c r="CW682" s="27" t="s">
        <v>8</v>
      </c>
      <c r="DX682" s="27" t="s">
        <v>7</v>
      </c>
      <c r="DY682" s="27" t="s">
        <v>8</v>
      </c>
      <c r="DZ682" s="27" t="s">
        <v>7</v>
      </c>
      <c r="EA682" s="27" t="s">
        <v>8</v>
      </c>
      <c r="EB682" s="27" t="s">
        <v>7</v>
      </c>
      <c r="EC682" s="27" t="s">
        <v>8</v>
      </c>
      <c r="EF682" s="27" t="s">
        <v>7</v>
      </c>
      <c r="EH682" s="27" t="s">
        <v>7</v>
      </c>
      <c r="EI682" s="27" t="s">
        <v>8</v>
      </c>
      <c r="EJ682" s="27" t="s">
        <v>7</v>
      </c>
      <c r="EK682" s="27" t="s">
        <v>8</v>
      </c>
      <c r="EL682" s="27" t="s">
        <v>7</v>
      </c>
      <c r="EM682" s="27" t="s">
        <v>8</v>
      </c>
      <c r="EN682" s="27" t="s">
        <v>7</v>
      </c>
      <c r="EO682" s="27" t="s">
        <v>8</v>
      </c>
      <c r="EP682" s="27" t="s">
        <v>7</v>
      </c>
      <c r="EQ682" s="27" t="s">
        <v>8</v>
      </c>
      <c r="FA682" s="27" t="s">
        <v>8</v>
      </c>
      <c r="FB682" s="27" t="s">
        <v>7</v>
      </c>
      <c r="FE682" s="27" t="s">
        <v>8</v>
      </c>
      <c r="FF682" s="27" t="s">
        <v>7</v>
      </c>
      <c r="FG682" s="27" t="s">
        <v>8</v>
      </c>
      <c r="FH682" s="27" t="s">
        <v>7</v>
      </c>
      <c r="FK682" s="27" t="s">
        <v>8</v>
      </c>
      <c r="FL682" s="27" t="s">
        <v>7</v>
      </c>
      <c r="FM682" s="27" t="s">
        <v>8</v>
      </c>
      <c r="FN682" s="27" t="s">
        <v>7</v>
      </c>
      <c r="FP682" s="27" t="s">
        <v>7</v>
      </c>
      <c r="GA682" s="27" t="s">
        <v>8</v>
      </c>
      <c r="GB682" s="27" t="s">
        <v>7</v>
      </c>
      <c r="GC682" s="27" t="s">
        <v>8</v>
      </c>
    </row>
    <row r="683" spans="1:187" x14ac:dyDescent="0.25">
      <c r="A683" s="7">
        <v>0.14941132283506509</v>
      </c>
      <c r="B683"/>
      <c r="C683"/>
      <c r="D683"/>
      <c r="E683"/>
      <c r="F683" s="27" t="s">
        <v>7</v>
      </c>
      <c r="S683" s="27" t="s">
        <v>8</v>
      </c>
      <c r="T683" s="27" t="s">
        <v>7</v>
      </c>
      <c r="Y683" s="27" t="s">
        <v>8</v>
      </c>
      <c r="Z683" s="27" t="s">
        <v>7</v>
      </c>
      <c r="AA683" s="27" t="s">
        <v>8</v>
      </c>
      <c r="AB683" s="27" t="s">
        <v>7</v>
      </c>
      <c r="AC683" s="27" t="s">
        <v>8</v>
      </c>
      <c r="AD683" s="27" t="s">
        <v>7</v>
      </c>
      <c r="BM683" s="27" t="s">
        <v>8</v>
      </c>
      <c r="BN683" s="27" t="s">
        <v>7</v>
      </c>
      <c r="BS683" s="27" t="s">
        <v>8</v>
      </c>
      <c r="BT683" s="27" t="s">
        <v>7</v>
      </c>
      <c r="BU683" s="27" t="s">
        <v>8</v>
      </c>
      <c r="BW683" s="27" t="s">
        <v>8</v>
      </c>
      <c r="CV683" s="27" t="s">
        <v>7</v>
      </c>
      <c r="CW683" s="27" t="s">
        <v>8</v>
      </c>
      <c r="DX683" s="27" t="s">
        <v>7</v>
      </c>
      <c r="DZ683" s="27" t="s">
        <v>7</v>
      </c>
      <c r="EA683" s="27" t="s">
        <v>8</v>
      </c>
      <c r="EB683" s="27" t="s">
        <v>7</v>
      </c>
      <c r="EC683" s="27" t="s">
        <v>8</v>
      </c>
      <c r="EH683" s="27" t="s">
        <v>7</v>
      </c>
      <c r="EI683" s="27" t="s">
        <v>8</v>
      </c>
      <c r="EJ683" s="27" t="s">
        <v>7</v>
      </c>
      <c r="EK683" s="27" t="s">
        <v>8</v>
      </c>
      <c r="EL683" s="27" t="s">
        <v>7</v>
      </c>
      <c r="EM683" s="27" t="s">
        <v>8</v>
      </c>
      <c r="EN683" s="27" t="s">
        <v>7</v>
      </c>
      <c r="EO683" s="27" t="s">
        <v>8</v>
      </c>
      <c r="EP683" s="27" t="s">
        <v>7</v>
      </c>
      <c r="EQ683" s="27" t="s">
        <v>8</v>
      </c>
      <c r="ER683" s="27" t="s">
        <v>7</v>
      </c>
      <c r="EY683" s="27" t="s">
        <v>8</v>
      </c>
      <c r="FA683" s="27" t="s">
        <v>8</v>
      </c>
      <c r="FB683" s="27" t="s">
        <v>7</v>
      </c>
      <c r="FC683" s="27" t="s">
        <v>8</v>
      </c>
      <c r="FE683" s="27" t="s">
        <v>8</v>
      </c>
      <c r="FF683" s="27" t="s">
        <v>7</v>
      </c>
      <c r="FG683" s="27" t="s">
        <v>8</v>
      </c>
      <c r="FH683" s="27" t="s">
        <v>7</v>
      </c>
      <c r="FK683" s="27" t="s">
        <v>8</v>
      </c>
      <c r="FL683" s="27" t="s">
        <v>7</v>
      </c>
      <c r="FP683" s="27" t="s">
        <v>7</v>
      </c>
      <c r="GA683" s="27" t="s">
        <v>8</v>
      </c>
      <c r="GB683" s="27" t="s">
        <v>7</v>
      </c>
      <c r="GC683" s="27" t="s">
        <v>8</v>
      </c>
    </row>
    <row r="684" spans="1:187" x14ac:dyDescent="0.25">
      <c r="A684" s="7">
        <v>0.14648168905398537</v>
      </c>
      <c r="B684"/>
      <c r="C684"/>
      <c r="D684"/>
      <c r="E684"/>
      <c r="F684" s="27" t="s">
        <v>7</v>
      </c>
      <c r="S684" s="27" t="s">
        <v>8</v>
      </c>
      <c r="T684" s="27" t="s">
        <v>7</v>
      </c>
      <c r="W684" s="27" t="s">
        <v>8</v>
      </c>
      <c r="Y684" s="27" t="s">
        <v>8</v>
      </c>
      <c r="Z684" s="27" t="s">
        <v>7</v>
      </c>
      <c r="AA684" s="27" t="s">
        <v>8</v>
      </c>
      <c r="AB684" s="27" t="s">
        <v>7</v>
      </c>
      <c r="AC684" s="27" t="s">
        <v>8</v>
      </c>
      <c r="AD684" s="27" t="s">
        <v>7</v>
      </c>
      <c r="BM684" s="27" t="s">
        <v>8</v>
      </c>
      <c r="BN684" s="27" t="s">
        <v>7</v>
      </c>
      <c r="BO684" s="27" t="s">
        <v>8</v>
      </c>
      <c r="BS684" s="27" t="s">
        <v>8</v>
      </c>
      <c r="BT684" s="27" t="s">
        <v>7</v>
      </c>
      <c r="BU684" s="27" t="s">
        <v>8</v>
      </c>
      <c r="BV684" s="27" t="s">
        <v>7</v>
      </c>
      <c r="BW684" s="27" t="s">
        <v>8</v>
      </c>
      <c r="CV684" s="27" t="s">
        <v>7</v>
      </c>
      <c r="DZ684" s="27" t="s">
        <v>7</v>
      </c>
      <c r="EA684" s="27" t="s">
        <v>8</v>
      </c>
      <c r="EB684" s="27" t="s">
        <v>7</v>
      </c>
      <c r="EC684" s="27" t="s">
        <v>8</v>
      </c>
      <c r="EH684" s="27" t="s">
        <v>7</v>
      </c>
      <c r="EI684" s="27" t="s">
        <v>8</v>
      </c>
      <c r="EJ684" s="27" t="s">
        <v>7</v>
      </c>
      <c r="EK684" s="27" t="s">
        <v>8</v>
      </c>
      <c r="EL684" s="27" t="s">
        <v>7</v>
      </c>
      <c r="EM684" s="27" t="s">
        <v>8</v>
      </c>
      <c r="EN684" s="27" t="s">
        <v>7</v>
      </c>
      <c r="EO684" s="27" t="s">
        <v>8</v>
      </c>
      <c r="EP684" s="27" t="s">
        <v>7</v>
      </c>
      <c r="EQ684" s="27" t="s">
        <v>8</v>
      </c>
      <c r="ER684" s="27" t="s">
        <v>7</v>
      </c>
      <c r="EY684" s="27" t="s">
        <v>8</v>
      </c>
      <c r="EZ684" s="27" t="s">
        <v>7</v>
      </c>
      <c r="FA684" s="27" t="s">
        <v>8</v>
      </c>
      <c r="FB684" s="27" t="s">
        <v>7</v>
      </c>
      <c r="FC684" s="27" t="s">
        <v>8</v>
      </c>
      <c r="FD684" s="27" t="s">
        <v>7</v>
      </c>
      <c r="FE684" s="27" t="s">
        <v>8</v>
      </c>
      <c r="FF684" s="27" t="s">
        <v>7</v>
      </c>
      <c r="FG684" s="27" t="s">
        <v>8</v>
      </c>
      <c r="FH684" s="27" t="s">
        <v>7</v>
      </c>
      <c r="FK684" s="27" t="s">
        <v>8</v>
      </c>
      <c r="FP684" s="27" t="s">
        <v>7</v>
      </c>
      <c r="FQ684" s="27" t="s">
        <v>8</v>
      </c>
      <c r="FU684" s="27" t="s">
        <v>8</v>
      </c>
      <c r="FY684" s="27" t="s">
        <v>8</v>
      </c>
      <c r="GA684" s="27" t="s">
        <v>8</v>
      </c>
      <c r="GB684" s="27" t="s">
        <v>7</v>
      </c>
      <c r="GC684" s="27" t="s">
        <v>8</v>
      </c>
    </row>
    <row r="685" spans="1:187" x14ac:dyDescent="0.25">
      <c r="A685" s="7">
        <v>0.14360949907253467</v>
      </c>
      <c r="B685"/>
      <c r="C685"/>
      <c r="D685"/>
      <c r="E685"/>
      <c r="F685" s="27" t="s">
        <v>7</v>
      </c>
      <c r="S685" s="27" t="s">
        <v>8</v>
      </c>
      <c r="T685" s="27" t="s">
        <v>7</v>
      </c>
      <c r="W685" s="27" t="s">
        <v>8</v>
      </c>
      <c r="X685" s="27" t="s">
        <v>7</v>
      </c>
      <c r="Y685" s="27" t="s">
        <v>8</v>
      </c>
      <c r="Z685" s="27" t="s">
        <v>7</v>
      </c>
      <c r="AA685" s="27" t="s">
        <v>8</v>
      </c>
      <c r="AB685" s="27" t="s">
        <v>7</v>
      </c>
      <c r="AC685" s="27" t="s">
        <v>8</v>
      </c>
      <c r="AD685" s="27" t="s">
        <v>7</v>
      </c>
      <c r="BM685" s="27" t="s">
        <v>8</v>
      </c>
      <c r="BN685" s="27" t="s">
        <v>7</v>
      </c>
      <c r="BO685" s="27" t="s">
        <v>8</v>
      </c>
      <c r="BP685" s="27" t="s">
        <v>7</v>
      </c>
      <c r="BQ685" s="27" t="s">
        <v>8</v>
      </c>
      <c r="BS685" s="27" t="s">
        <v>8</v>
      </c>
      <c r="BT685" s="27" t="s">
        <v>7</v>
      </c>
      <c r="BU685" s="27" t="s">
        <v>8</v>
      </c>
      <c r="BV685" s="27" t="s">
        <v>7</v>
      </c>
      <c r="BW685" s="27" t="s">
        <v>8</v>
      </c>
      <c r="DZ685" s="27" t="s">
        <v>7</v>
      </c>
      <c r="EB685" s="27" t="s">
        <v>7</v>
      </c>
      <c r="EC685" s="27" t="s">
        <v>8</v>
      </c>
      <c r="EH685" s="27" t="s">
        <v>7</v>
      </c>
      <c r="EI685" s="27" t="s">
        <v>8</v>
      </c>
      <c r="EJ685" s="27" t="s">
        <v>7</v>
      </c>
      <c r="EL685" s="27" t="s">
        <v>7</v>
      </c>
      <c r="EN685" s="27" t="s">
        <v>7</v>
      </c>
      <c r="EO685" s="27" t="s">
        <v>8</v>
      </c>
      <c r="EP685" s="27" t="s">
        <v>7</v>
      </c>
      <c r="EQ685" s="27" t="s">
        <v>8</v>
      </c>
      <c r="ER685" s="27" t="s">
        <v>7</v>
      </c>
      <c r="EU685" s="27" t="s">
        <v>8</v>
      </c>
      <c r="EW685" s="27" t="s">
        <v>8</v>
      </c>
      <c r="EY685" s="27" t="s">
        <v>8</v>
      </c>
      <c r="EZ685" s="27" t="s">
        <v>7</v>
      </c>
      <c r="FA685" s="27" t="s">
        <v>8</v>
      </c>
      <c r="FB685" s="27" t="s">
        <v>7</v>
      </c>
      <c r="FC685" s="27" t="s">
        <v>8</v>
      </c>
      <c r="FD685" s="27" t="s">
        <v>7</v>
      </c>
      <c r="FE685" s="27" t="s">
        <v>8</v>
      </c>
      <c r="FF685" s="27" t="s">
        <v>7</v>
      </c>
      <c r="FH685" s="27" t="s">
        <v>7</v>
      </c>
      <c r="FI685" s="27" t="s">
        <v>8</v>
      </c>
      <c r="FK685" s="27" t="s">
        <v>8</v>
      </c>
      <c r="FP685" s="27" t="s">
        <v>7</v>
      </c>
      <c r="FQ685" s="27" t="s">
        <v>8</v>
      </c>
      <c r="FR685" s="27" t="s">
        <v>7</v>
      </c>
      <c r="FS685" s="27" t="s">
        <v>8</v>
      </c>
      <c r="FU685" s="27" t="s">
        <v>8</v>
      </c>
      <c r="FV685" s="27" t="s">
        <v>7</v>
      </c>
      <c r="FY685" s="27" t="s">
        <v>8</v>
      </c>
      <c r="FZ685" s="27" t="s">
        <v>7</v>
      </c>
      <c r="GA685" s="27" t="s">
        <v>8</v>
      </c>
      <c r="GB685" s="27" t="s">
        <v>7</v>
      </c>
      <c r="GC685" s="27" t="s">
        <v>8</v>
      </c>
    </row>
    <row r="686" spans="1:187" x14ac:dyDescent="0.25">
      <c r="A686" s="7">
        <v>0.14079362654170066</v>
      </c>
      <c r="B686"/>
      <c r="C686"/>
      <c r="D686"/>
      <c r="E686"/>
      <c r="F686" s="27" t="s">
        <v>7</v>
      </c>
      <c r="S686" s="27" t="s">
        <v>8</v>
      </c>
      <c r="T686" s="27" t="s">
        <v>7</v>
      </c>
      <c r="U686" s="27" t="s">
        <v>8</v>
      </c>
      <c r="W686" s="27" t="s">
        <v>8</v>
      </c>
      <c r="X686" s="27" t="s">
        <v>7</v>
      </c>
      <c r="Y686" s="27" t="s">
        <v>8</v>
      </c>
      <c r="Z686" s="27" t="s">
        <v>7</v>
      </c>
      <c r="AA686" s="27" t="s">
        <v>8</v>
      </c>
      <c r="AB686" s="27" t="s">
        <v>7</v>
      </c>
      <c r="AC686" s="27" t="s">
        <v>8</v>
      </c>
      <c r="AD686" s="27" t="s">
        <v>7</v>
      </c>
      <c r="BM686" s="27" t="s">
        <v>8</v>
      </c>
      <c r="BN686" s="27" t="s">
        <v>7</v>
      </c>
      <c r="BO686" s="27" t="s">
        <v>8</v>
      </c>
      <c r="BP686" s="27" t="s">
        <v>7</v>
      </c>
      <c r="BQ686" s="27" t="s">
        <v>8</v>
      </c>
      <c r="BR686" s="27" t="s">
        <v>7</v>
      </c>
      <c r="BS686" s="27" t="s">
        <v>8</v>
      </c>
      <c r="BT686" s="27" t="s">
        <v>7</v>
      </c>
      <c r="BU686" s="27" t="s">
        <v>8</v>
      </c>
      <c r="BV686" s="27" t="s">
        <v>7</v>
      </c>
      <c r="BW686" s="27" t="s">
        <v>8</v>
      </c>
      <c r="EB686" s="27" t="s">
        <v>7</v>
      </c>
      <c r="EC686" s="27" t="s">
        <v>8</v>
      </c>
      <c r="EH686" s="27" t="s">
        <v>7</v>
      </c>
      <c r="EN686" s="27" t="s">
        <v>7</v>
      </c>
      <c r="EP686" s="27" t="s">
        <v>7</v>
      </c>
      <c r="EQ686" s="27" t="s">
        <v>8</v>
      </c>
      <c r="ER686" s="27" t="s">
        <v>7</v>
      </c>
      <c r="ES686" s="27" t="s">
        <v>8</v>
      </c>
      <c r="EU686" s="27" t="s">
        <v>8</v>
      </c>
      <c r="EV686" s="27" t="s">
        <v>7</v>
      </c>
      <c r="EW686" s="27" t="s">
        <v>8</v>
      </c>
      <c r="EX686" s="27" t="s">
        <v>7</v>
      </c>
      <c r="EY686" s="27" t="s">
        <v>8</v>
      </c>
      <c r="EZ686" s="27" t="s">
        <v>7</v>
      </c>
      <c r="FA686" s="27" t="s">
        <v>8</v>
      </c>
      <c r="FB686" s="27" t="s">
        <v>7</v>
      </c>
      <c r="FC686" s="27" t="s">
        <v>8</v>
      </c>
      <c r="FD686" s="27" t="s">
        <v>7</v>
      </c>
      <c r="FE686" s="27" t="s">
        <v>8</v>
      </c>
      <c r="FH686" s="27" t="s">
        <v>7</v>
      </c>
      <c r="FI686" s="27" t="s">
        <v>8</v>
      </c>
      <c r="FJ686" s="27" t="s">
        <v>7</v>
      </c>
      <c r="FK686" s="27" t="s">
        <v>8</v>
      </c>
      <c r="FP686" s="27" t="s">
        <v>7</v>
      </c>
      <c r="FQ686" s="27" t="s">
        <v>8</v>
      </c>
      <c r="FR686" s="27" t="s">
        <v>7</v>
      </c>
      <c r="FS686" s="27" t="s">
        <v>8</v>
      </c>
      <c r="FT686" s="27" t="s">
        <v>7</v>
      </c>
      <c r="FU686" s="27" t="s">
        <v>8</v>
      </c>
      <c r="FV686" s="27" t="s">
        <v>7</v>
      </c>
      <c r="FY686" s="27" t="s">
        <v>8</v>
      </c>
      <c r="FZ686" s="27" t="s">
        <v>7</v>
      </c>
      <c r="GA686" s="27" t="s">
        <v>8</v>
      </c>
      <c r="GB686" s="27" t="s">
        <v>7</v>
      </c>
    </row>
    <row r="687" spans="1:187" x14ac:dyDescent="0.25">
      <c r="A687" s="7">
        <v>0.13803296719774574</v>
      </c>
      <c r="B687"/>
      <c r="C687"/>
      <c r="D687"/>
      <c r="E687"/>
      <c r="F687" s="27" t="s">
        <v>7</v>
      </c>
      <c r="S687" s="27" t="s">
        <v>8</v>
      </c>
      <c r="T687" s="27" t="s">
        <v>7</v>
      </c>
      <c r="U687" s="27" t="s">
        <v>8</v>
      </c>
      <c r="V687" s="27" t="s">
        <v>7</v>
      </c>
      <c r="W687" s="27" t="s">
        <v>8</v>
      </c>
      <c r="X687" s="27" t="s">
        <v>7</v>
      </c>
      <c r="Y687" s="27" t="s">
        <v>8</v>
      </c>
      <c r="Z687" s="27" t="s">
        <v>7</v>
      </c>
      <c r="AA687" s="27" t="s">
        <v>8</v>
      </c>
      <c r="AB687" s="27" t="s">
        <v>7</v>
      </c>
      <c r="AC687" s="27" t="s">
        <v>8</v>
      </c>
      <c r="AD687" s="27" t="s">
        <v>7</v>
      </c>
      <c r="BM687" s="27" t="s">
        <v>8</v>
      </c>
      <c r="BN687" s="27" t="s">
        <v>7</v>
      </c>
      <c r="BO687" s="27" t="s">
        <v>8</v>
      </c>
      <c r="BP687" s="27" t="s">
        <v>7</v>
      </c>
      <c r="BQ687" s="27" t="s">
        <v>8</v>
      </c>
      <c r="BR687" s="27" t="s">
        <v>7</v>
      </c>
      <c r="BS687" s="27" t="s">
        <v>8</v>
      </c>
      <c r="BT687" s="27" t="s">
        <v>7</v>
      </c>
      <c r="BV687" s="27" t="s">
        <v>7</v>
      </c>
      <c r="BW687" s="27" t="s">
        <v>8</v>
      </c>
      <c r="EB687" s="27" t="s">
        <v>7</v>
      </c>
      <c r="EP687" s="27" t="s">
        <v>7</v>
      </c>
      <c r="ER687" s="27" t="s">
        <v>7</v>
      </c>
      <c r="ES687" s="27" t="s">
        <v>8</v>
      </c>
      <c r="ET687" s="27" t="s">
        <v>7</v>
      </c>
      <c r="EU687" s="27" t="s">
        <v>8</v>
      </c>
      <c r="EV687" s="27" t="s">
        <v>7</v>
      </c>
      <c r="EW687" s="27" t="s">
        <v>8</v>
      </c>
      <c r="EX687" s="27" t="s">
        <v>7</v>
      </c>
      <c r="EY687" s="27" t="s">
        <v>8</v>
      </c>
      <c r="EZ687" s="27" t="s">
        <v>7</v>
      </c>
      <c r="FA687" s="27" t="s">
        <v>8</v>
      </c>
      <c r="FB687" s="27" t="s">
        <v>7</v>
      </c>
      <c r="FC687" s="27" t="s">
        <v>8</v>
      </c>
      <c r="FD687" s="27" t="s">
        <v>7</v>
      </c>
      <c r="FH687" s="27" t="s">
        <v>7</v>
      </c>
      <c r="FI687" s="27" t="s">
        <v>8</v>
      </c>
      <c r="FJ687" s="27" t="s">
        <v>7</v>
      </c>
      <c r="FK687" s="27" t="s">
        <v>8</v>
      </c>
      <c r="FP687" s="27" t="s">
        <v>7</v>
      </c>
      <c r="FR687" s="27" t="s">
        <v>7</v>
      </c>
      <c r="FS687" s="27" t="s">
        <v>8</v>
      </c>
      <c r="FT687" s="27" t="s">
        <v>7</v>
      </c>
      <c r="FU687" s="27" t="s">
        <v>8</v>
      </c>
      <c r="FV687" s="27" t="s">
        <v>7</v>
      </c>
      <c r="FW687" s="27" t="s">
        <v>8</v>
      </c>
      <c r="FY687" s="27" t="s">
        <v>8</v>
      </c>
      <c r="FZ687" s="27" t="s">
        <v>7</v>
      </c>
      <c r="GA687" s="27" t="s">
        <v>8</v>
      </c>
    </row>
    <row r="688" spans="1:187" x14ac:dyDescent="0.25">
      <c r="A688" s="7">
        <v>0.1353264384291625</v>
      </c>
      <c r="B688"/>
      <c r="C688"/>
      <c r="D688"/>
      <c r="E688"/>
      <c r="F688" s="27" t="s">
        <v>7</v>
      </c>
      <c r="S688" s="27" t="s">
        <v>8</v>
      </c>
      <c r="T688" s="27" t="s">
        <v>7</v>
      </c>
      <c r="U688" s="27" t="s">
        <v>8</v>
      </c>
      <c r="V688" s="27" t="s">
        <v>7</v>
      </c>
      <c r="W688" s="27" t="s">
        <v>8</v>
      </c>
      <c r="X688" s="27" t="s">
        <v>7</v>
      </c>
      <c r="Y688" s="27" t="s">
        <v>8</v>
      </c>
      <c r="Z688" s="27" t="s">
        <v>7</v>
      </c>
      <c r="AA688" s="27" t="s">
        <v>8</v>
      </c>
      <c r="AB688" s="27" t="s">
        <v>7</v>
      </c>
      <c r="AC688" s="27" t="s">
        <v>8</v>
      </c>
      <c r="AD688" s="27" t="s">
        <v>7</v>
      </c>
      <c r="AE688" s="27" t="s">
        <v>8</v>
      </c>
      <c r="BM688" s="27" t="s">
        <v>8</v>
      </c>
      <c r="BN688" s="27" t="s">
        <v>7</v>
      </c>
      <c r="BO688" s="27" t="s">
        <v>8</v>
      </c>
      <c r="BP688" s="27" t="s">
        <v>7</v>
      </c>
      <c r="BQ688" s="27" t="s">
        <v>8</v>
      </c>
      <c r="BR688" s="27" t="s">
        <v>7</v>
      </c>
      <c r="BS688" s="27" t="s">
        <v>8</v>
      </c>
      <c r="BV688" s="27" t="s">
        <v>7</v>
      </c>
      <c r="BW688" s="27" t="s">
        <v>8</v>
      </c>
      <c r="ER688" s="27" t="s">
        <v>7</v>
      </c>
      <c r="ES688" s="27" t="s">
        <v>8</v>
      </c>
      <c r="ET688" s="27" t="s">
        <v>7</v>
      </c>
      <c r="EU688" s="27" t="s">
        <v>8</v>
      </c>
      <c r="EV688" s="27" t="s">
        <v>7</v>
      </c>
      <c r="EW688" s="27" t="s">
        <v>8</v>
      </c>
      <c r="EX688" s="27" t="s">
        <v>7</v>
      </c>
      <c r="EY688" s="27" t="s">
        <v>8</v>
      </c>
      <c r="EZ688" s="27" t="s">
        <v>7</v>
      </c>
      <c r="FB688" s="27" t="s">
        <v>7</v>
      </c>
      <c r="FH688" s="27" t="s">
        <v>7</v>
      </c>
      <c r="FI688" s="27" t="s">
        <v>8</v>
      </c>
      <c r="FJ688" s="27" t="s">
        <v>7</v>
      </c>
      <c r="FR688" s="27" t="s">
        <v>7</v>
      </c>
      <c r="FS688" s="27" t="s">
        <v>8</v>
      </c>
      <c r="FT688" s="27" t="s">
        <v>7</v>
      </c>
      <c r="FV688" s="27" t="s">
        <v>7</v>
      </c>
      <c r="FW688" s="27" t="s">
        <v>8</v>
      </c>
      <c r="FX688" s="27" t="s">
        <v>7</v>
      </c>
      <c r="FY688" s="27" t="s">
        <v>8</v>
      </c>
      <c r="FZ688" s="27" t="s">
        <v>7</v>
      </c>
    </row>
    <row r="689" spans="1:181" x14ac:dyDescent="0.25">
      <c r="A689" s="7">
        <v>0.13267297885212009</v>
      </c>
      <c r="B689"/>
      <c r="C689"/>
      <c r="D689"/>
      <c r="E689"/>
      <c r="F689" s="27" t="s">
        <v>7</v>
      </c>
      <c r="S689" s="27" t="s">
        <v>8</v>
      </c>
      <c r="T689" s="27" t="s">
        <v>7</v>
      </c>
      <c r="U689" s="27" t="s">
        <v>8</v>
      </c>
      <c r="V689" s="27" t="s">
        <v>7</v>
      </c>
      <c r="W689" s="27" t="s">
        <v>8</v>
      </c>
      <c r="X689" s="27" t="s">
        <v>7</v>
      </c>
      <c r="Z689" s="27" t="s">
        <v>7</v>
      </c>
      <c r="AA689" s="27" t="s">
        <v>8</v>
      </c>
      <c r="AB689" s="27" t="s">
        <v>7</v>
      </c>
      <c r="AD689" s="27" t="s">
        <v>7</v>
      </c>
      <c r="AE689" s="27" t="s">
        <v>8</v>
      </c>
      <c r="AF689" s="27" t="s">
        <v>7</v>
      </c>
      <c r="AG689" s="27" t="s">
        <v>8</v>
      </c>
      <c r="BM689" s="27" t="s">
        <v>8</v>
      </c>
      <c r="BN689" s="27" t="s">
        <v>7</v>
      </c>
      <c r="BO689" s="27" t="s">
        <v>8</v>
      </c>
      <c r="BP689" s="27" t="s">
        <v>7</v>
      </c>
      <c r="BQ689" s="27" t="s">
        <v>8</v>
      </c>
      <c r="BR689" s="27" t="s">
        <v>7</v>
      </c>
      <c r="BS689" s="27" t="s">
        <v>8</v>
      </c>
      <c r="BV689" s="27" t="s">
        <v>7</v>
      </c>
      <c r="BW689" s="27" t="s">
        <v>8</v>
      </c>
      <c r="ER689" s="27" t="s">
        <v>7</v>
      </c>
      <c r="ET689" s="27" t="s">
        <v>7</v>
      </c>
      <c r="EU689" s="27" t="s">
        <v>8</v>
      </c>
      <c r="EV689" s="27" t="s">
        <v>7</v>
      </c>
      <c r="EW689" s="27" t="s">
        <v>8</v>
      </c>
      <c r="EX689" s="27" t="s">
        <v>7</v>
      </c>
      <c r="FH689" s="27" t="s">
        <v>7</v>
      </c>
      <c r="FR689" s="27" t="s">
        <v>7</v>
      </c>
      <c r="FS689" s="27" t="s">
        <v>8</v>
      </c>
      <c r="FV689" s="27" t="s">
        <v>7</v>
      </c>
      <c r="FW689" s="27" t="s">
        <v>8</v>
      </c>
      <c r="FX689" s="27" t="s">
        <v>7</v>
      </c>
      <c r="FY689" s="27" t="s">
        <v>8</v>
      </c>
    </row>
    <row r="690" spans="1:181" x14ac:dyDescent="0.25">
      <c r="A690" s="7">
        <v>0.13007154789423539</v>
      </c>
      <c r="B690"/>
      <c r="C690"/>
      <c r="D690"/>
      <c r="E690"/>
      <c r="F690" s="27" t="s">
        <v>7</v>
      </c>
      <c r="S690" s="27" t="s">
        <v>8</v>
      </c>
      <c r="T690" s="27" t="s">
        <v>7</v>
      </c>
      <c r="U690" s="27" t="s">
        <v>8</v>
      </c>
      <c r="V690" s="27" t="s">
        <v>7</v>
      </c>
      <c r="W690" s="27" t="s">
        <v>8</v>
      </c>
      <c r="Z690" s="27" t="s">
        <v>7</v>
      </c>
      <c r="AA690" s="27" t="s">
        <v>8</v>
      </c>
      <c r="AD690" s="27" t="s">
        <v>7</v>
      </c>
      <c r="AE690" s="27" t="s">
        <v>8</v>
      </c>
      <c r="AF690" s="27" t="s">
        <v>7</v>
      </c>
      <c r="AG690" s="27" t="s">
        <v>8</v>
      </c>
      <c r="AH690" s="27" t="s">
        <v>7</v>
      </c>
      <c r="BM690" s="27" t="s">
        <v>8</v>
      </c>
      <c r="BN690" s="27" t="s">
        <v>7</v>
      </c>
      <c r="BP690" s="27" t="s">
        <v>7</v>
      </c>
      <c r="BR690" s="27" t="s">
        <v>7</v>
      </c>
      <c r="BS690" s="27" t="s">
        <v>8</v>
      </c>
      <c r="BV690" s="27" t="s">
        <v>7</v>
      </c>
      <c r="BW690" s="27" t="s">
        <v>8</v>
      </c>
      <c r="ET690" s="27" t="s">
        <v>7</v>
      </c>
      <c r="EU690" s="27" t="s">
        <v>8</v>
      </c>
      <c r="EV690" s="27" t="s">
        <v>7</v>
      </c>
      <c r="EW690" s="27" t="s">
        <v>8</v>
      </c>
      <c r="FR690" s="27" t="s">
        <v>7</v>
      </c>
      <c r="FS690" s="27" t="s">
        <v>8</v>
      </c>
      <c r="FV690" s="27" t="s">
        <v>7</v>
      </c>
      <c r="FW690" s="27" t="s">
        <v>8</v>
      </c>
      <c r="FX690" s="27" t="s">
        <v>7</v>
      </c>
      <c r="FY690" s="27" t="s">
        <v>8</v>
      </c>
    </row>
    <row r="691" spans="1:181" x14ac:dyDescent="0.25">
      <c r="A691" s="7">
        <v>0.12752112538650529</v>
      </c>
      <c r="B691"/>
      <c r="C691"/>
      <c r="D691"/>
      <c r="E691"/>
      <c r="F691" s="27" t="s">
        <v>7</v>
      </c>
      <c r="S691" s="27" t="s">
        <v>8</v>
      </c>
      <c r="T691" s="27" t="s">
        <v>7</v>
      </c>
      <c r="U691" s="27" t="s">
        <v>8</v>
      </c>
      <c r="V691" s="27" t="s">
        <v>7</v>
      </c>
      <c r="Z691" s="27" t="s">
        <v>7</v>
      </c>
      <c r="AA691" s="27" t="s">
        <v>8</v>
      </c>
      <c r="AD691" s="27" t="s">
        <v>7</v>
      </c>
      <c r="AF691" s="27" t="s">
        <v>7</v>
      </c>
      <c r="AG691" s="27" t="s">
        <v>8</v>
      </c>
      <c r="AH691" s="27" t="s">
        <v>7</v>
      </c>
      <c r="BM691" s="27" t="s">
        <v>8</v>
      </c>
      <c r="BR691" s="27" t="s">
        <v>7</v>
      </c>
      <c r="BS691" s="27" t="s">
        <v>8</v>
      </c>
      <c r="BV691" s="27" t="s">
        <v>7</v>
      </c>
      <c r="ET691" s="27" t="s">
        <v>7</v>
      </c>
      <c r="EU691" s="27" t="s">
        <v>8</v>
      </c>
      <c r="EV691" s="27" t="s">
        <v>7</v>
      </c>
      <c r="FR691" s="27" t="s">
        <v>7</v>
      </c>
      <c r="FS691" s="27" t="s">
        <v>8</v>
      </c>
      <c r="FV691" s="27" t="s">
        <v>7</v>
      </c>
      <c r="FW691" s="27" t="s">
        <v>8</v>
      </c>
      <c r="FX691" s="27" t="s">
        <v>7</v>
      </c>
    </row>
    <row r="692" spans="1:181" x14ac:dyDescent="0.25">
      <c r="A692" s="7">
        <v>0.12502071116324048</v>
      </c>
      <c r="B692"/>
      <c r="C692"/>
      <c r="D692"/>
      <c r="E692"/>
      <c r="F692" s="27" t="s">
        <v>7</v>
      </c>
      <c r="S692" s="27" t="s">
        <v>8</v>
      </c>
      <c r="T692" s="27" t="s">
        <v>7</v>
      </c>
      <c r="U692" s="27" t="s">
        <v>8</v>
      </c>
      <c r="Z692" s="27" t="s">
        <v>7</v>
      </c>
      <c r="AA692" s="27" t="s">
        <v>8</v>
      </c>
      <c r="AF692" s="27" t="s">
        <v>7</v>
      </c>
      <c r="AG692" s="27" t="s">
        <v>8</v>
      </c>
      <c r="AH692" s="27" t="s">
        <v>7</v>
      </c>
      <c r="BM692" s="27" t="s">
        <v>8</v>
      </c>
      <c r="BR692" s="27" t="s">
        <v>7</v>
      </c>
      <c r="ET692" s="27" t="s">
        <v>7</v>
      </c>
      <c r="EU692" s="27" t="s">
        <v>8</v>
      </c>
      <c r="FR692" s="27" t="s">
        <v>7</v>
      </c>
      <c r="FS692" s="27" t="s">
        <v>8</v>
      </c>
      <c r="FV692" s="27" t="s">
        <v>7</v>
      </c>
    </row>
    <row r="693" spans="1:181" x14ac:dyDescent="0.25">
      <c r="A693" s="7">
        <v>0.1225693246698436</v>
      </c>
      <c r="B693"/>
      <c r="C693"/>
      <c r="D693"/>
      <c r="E693"/>
      <c r="F693" s="27" t="s">
        <v>7</v>
      </c>
      <c r="S693" s="27" t="s">
        <v>8</v>
      </c>
      <c r="T693" s="27" t="s">
        <v>7</v>
      </c>
      <c r="U693" s="27" t="s">
        <v>8</v>
      </c>
      <c r="Z693" s="27" t="s">
        <v>7</v>
      </c>
      <c r="AA693" s="27" t="s">
        <v>8</v>
      </c>
      <c r="AF693" s="27" t="s">
        <v>7</v>
      </c>
      <c r="AH693" s="27" t="s">
        <v>7</v>
      </c>
      <c r="BM693" s="27" t="s">
        <v>8</v>
      </c>
      <c r="ET693" s="27" t="s">
        <v>7</v>
      </c>
      <c r="EU693" s="27" t="s">
        <v>8</v>
      </c>
      <c r="FR693" s="27" t="s">
        <v>7</v>
      </c>
      <c r="FS693" s="27" t="s">
        <v>8</v>
      </c>
    </row>
    <row r="694" spans="1:181" x14ac:dyDescent="0.25">
      <c r="A694" s="7">
        <v>0.12016600457827803</v>
      </c>
      <c r="B694"/>
      <c r="C694"/>
      <c r="D694"/>
      <c r="E694"/>
      <c r="F694" s="27" t="s">
        <v>7</v>
      </c>
      <c r="S694" s="27" t="s">
        <v>8</v>
      </c>
      <c r="T694" s="27" t="s">
        <v>7</v>
      </c>
      <c r="Z694" s="27" t="s">
        <v>7</v>
      </c>
      <c r="AA694" s="27" t="s">
        <v>8</v>
      </c>
      <c r="AH694" s="27" t="s">
        <v>7</v>
      </c>
      <c r="BM694" s="27" t="s">
        <v>8</v>
      </c>
      <c r="ET694" s="27" t="s">
        <v>7</v>
      </c>
      <c r="EU694" s="27" t="s">
        <v>8</v>
      </c>
      <c r="FR694" s="27" t="s">
        <v>7</v>
      </c>
      <c r="FS694" s="27" t="s">
        <v>8</v>
      </c>
    </row>
    <row r="695" spans="1:181" x14ac:dyDescent="0.25">
      <c r="A695" s="7">
        <v>0.1178098084100765</v>
      </c>
      <c r="B695"/>
      <c r="C695"/>
      <c r="D695"/>
      <c r="E695"/>
      <c r="F695" s="27" t="s">
        <v>7</v>
      </c>
      <c r="S695" s="27" t="s">
        <v>8</v>
      </c>
      <c r="Z695" s="27" t="s">
        <v>7</v>
      </c>
      <c r="AA695" s="27" t="s">
        <v>8</v>
      </c>
      <c r="AH695" s="27" t="s">
        <v>7</v>
      </c>
      <c r="BM695" s="27" t="s">
        <v>8</v>
      </c>
      <c r="ET695" s="27" t="s">
        <v>7</v>
      </c>
      <c r="EU695" s="27" t="s">
        <v>8</v>
      </c>
      <c r="FR695" s="27" t="s">
        <v>7</v>
      </c>
      <c r="FS695" s="27" t="s">
        <v>8</v>
      </c>
    </row>
    <row r="696" spans="1:181" x14ac:dyDescent="0.25">
      <c r="A696" s="7">
        <v>0.11549981216674166</v>
      </c>
      <c r="B696"/>
      <c r="C696"/>
      <c r="D696"/>
      <c r="E696"/>
      <c r="F696" s="27" t="s">
        <v>7</v>
      </c>
      <c r="S696" s="27" t="s">
        <v>8</v>
      </c>
      <c r="Z696" s="27" t="s">
        <v>7</v>
      </c>
      <c r="AA696" s="27" t="s">
        <v>8</v>
      </c>
      <c r="AH696" s="27" t="s">
        <v>7</v>
      </c>
      <c r="BM696" s="27" t="s">
        <v>8</v>
      </c>
      <c r="ET696" s="27" t="s">
        <v>7</v>
      </c>
      <c r="EU696" s="27" t="s">
        <v>8</v>
      </c>
      <c r="FR696" s="27" t="s">
        <v>7</v>
      </c>
    </row>
    <row r="697" spans="1:181" x14ac:dyDescent="0.25">
      <c r="A697" s="7">
        <v>0.11323510996739378</v>
      </c>
      <c r="B697"/>
      <c r="C697"/>
      <c r="D697"/>
      <c r="E697"/>
      <c r="F697" s="27" t="s">
        <v>7</v>
      </c>
      <c r="S697" s="27" t="s">
        <v>8</v>
      </c>
      <c r="Z697" s="27" t="s">
        <v>7</v>
      </c>
      <c r="AA697" s="27" t="s">
        <v>8</v>
      </c>
      <c r="AH697" s="27" t="s">
        <v>7</v>
      </c>
      <c r="AM697" s="27" t="s">
        <v>8</v>
      </c>
      <c r="BM697" s="27" t="s">
        <v>8</v>
      </c>
      <c r="ET697" s="27" t="s">
        <v>7</v>
      </c>
    </row>
    <row r="698" spans="1:181" x14ac:dyDescent="0.25">
      <c r="A698" s="7">
        <v>0.11101481369352331</v>
      </c>
      <c r="B698"/>
      <c r="C698"/>
      <c r="D698"/>
      <c r="E698"/>
      <c r="F698" s="27" t="s">
        <v>7</v>
      </c>
      <c r="S698" s="27" t="s">
        <v>8</v>
      </c>
      <c r="Z698" s="27" t="s">
        <v>7</v>
      </c>
      <c r="AH698" s="27" t="s">
        <v>7</v>
      </c>
      <c r="AK698" s="27" t="s">
        <v>8</v>
      </c>
      <c r="AM698" s="27" t="s">
        <v>8</v>
      </c>
      <c r="AN698" s="27" t="s">
        <v>7</v>
      </c>
      <c r="BM698" s="27" t="s">
        <v>8</v>
      </c>
    </row>
    <row r="699" spans="1:181" x14ac:dyDescent="0.25">
      <c r="A699" s="7">
        <v>0.10883805264070913</v>
      </c>
      <c r="B699"/>
      <c r="C699"/>
      <c r="D699"/>
      <c r="E699"/>
      <c r="F699" s="27" t="s">
        <v>7</v>
      </c>
      <c r="S699" s="27" t="s">
        <v>8</v>
      </c>
      <c r="AH699" s="27" t="s">
        <v>7</v>
      </c>
      <c r="AI699" s="27" t="s">
        <v>8</v>
      </c>
      <c r="AK699" s="27" t="s">
        <v>8</v>
      </c>
      <c r="AL699" s="27" t="s">
        <v>7</v>
      </c>
      <c r="AM699" s="27" t="s">
        <v>8</v>
      </c>
      <c r="AN699" s="27" t="s">
        <v>7</v>
      </c>
      <c r="BM699" s="27" t="s">
        <v>8</v>
      </c>
    </row>
    <row r="700" spans="1:181" x14ac:dyDescent="0.25">
      <c r="A700" s="7">
        <v>0.10670397317716582</v>
      </c>
      <c r="B700"/>
      <c r="C700"/>
      <c r="D700"/>
      <c r="E700"/>
      <c r="F700" s="27" t="s">
        <v>7</v>
      </c>
      <c r="S700" s="27" t="s">
        <v>8</v>
      </c>
      <c r="AH700" s="27" t="s">
        <v>7</v>
      </c>
      <c r="AI700" s="27" t="s">
        <v>8</v>
      </c>
      <c r="AJ700" s="27" t="s">
        <v>7</v>
      </c>
      <c r="AK700" s="27" t="s">
        <v>8</v>
      </c>
      <c r="AL700" s="27" t="s">
        <v>7</v>
      </c>
      <c r="AM700" s="27" t="s">
        <v>8</v>
      </c>
      <c r="AN700" s="27" t="s">
        <v>7</v>
      </c>
      <c r="BM700" s="27" t="s">
        <v>8</v>
      </c>
    </row>
    <row r="701" spans="1:181" x14ac:dyDescent="0.25">
      <c r="A701" s="7">
        <v>0.1046117384089861</v>
      </c>
      <c r="B701"/>
      <c r="C701"/>
      <c r="D701"/>
      <c r="E701"/>
      <c r="F701" s="27" t="s">
        <v>7</v>
      </c>
      <c r="S701" s="27" t="s">
        <v>8</v>
      </c>
      <c r="AH701" s="27" t="s">
        <v>7</v>
      </c>
      <c r="AI701" s="27" t="s">
        <v>8</v>
      </c>
      <c r="AJ701" s="27" t="s">
        <v>7</v>
      </c>
      <c r="AK701" s="27" t="s">
        <v>8</v>
      </c>
      <c r="AL701" s="27" t="s">
        <v>7</v>
      </c>
      <c r="AN701" s="27" t="s">
        <v>7</v>
      </c>
      <c r="BM701" s="27" t="s">
        <v>8</v>
      </c>
    </row>
    <row r="702" spans="1:181" x14ac:dyDescent="0.25">
      <c r="A702" s="7">
        <v>0.10256052785194716</v>
      </c>
      <c r="B702"/>
      <c r="C702"/>
      <c r="D702"/>
      <c r="E702"/>
      <c r="F702" s="27" t="s">
        <v>7</v>
      </c>
      <c r="S702" s="27" t="s">
        <v>8</v>
      </c>
      <c r="AH702" s="27" t="s">
        <v>7</v>
      </c>
      <c r="AI702" s="27" t="s">
        <v>8</v>
      </c>
      <c r="AJ702" s="27" t="s">
        <v>7</v>
      </c>
      <c r="AK702" s="27" t="s">
        <v>8</v>
      </c>
      <c r="AN702" s="27" t="s">
        <v>7</v>
      </c>
      <c r="BM702" s="27" t="s">
        <v>8</v>
      </c>
    </row>
    <row r="703" spans="1:181" x14ac:dyDescent="0.25">
      <c r="A703" s="7">
        <v>0.10054953710975212</v>
      </c>
      <c r="B703"/>
      <c r="C703"/>
      <c r="D703"/>
      <c r="E703"/>
      <c r="F703" s="27" t="s">
        <v>7</v>
      </c>
      <c r="S703" s="27" t="s">
        <v>8</v>
      </c>
      <c r="AH703" s="27" t="s">
        <v>7</v>
      </c>
      <c r="AI703" s="27" t="s">
        <v>8</v>
      </c>
      <c r="AJ703" s="27" t="s">
        <v>7</v>
      </c>
      <c r="AK703" s="27" t="s">
        <v>8</v>
      </c>
      <c r="AN703" s="27" t="s">
        <v>7</v>
      </c>
      <c r="BG703" s="27" t="s">
        <v>8</v>
      </c>
      <c r="BM703" s="27" t="s">
        <v>8</v>
      </c>
    </row>
    <row r="704" spans="1:181" x14ac:dyDescent="0.25">
      <c r="A704" s="7">
        <v>9.8577977558580512E-2</v>
      </c>
      <c r="B704"/>
      <c r="C704"/>
      <c r="D704"/>
      <c r="E704"/>
      <c r="F704" s="27" t="s">
        <v>7</v>
      </c>
      <c r="S704" s="27" t="s">
        <v>8</v>
      </c>
      <c r="AH704" s="27" t="s">
        <v>7</v>
      </c>
      <c r="AI704" s="27" t="s">
        <v>8</v>
      </c>
      <c r="AJ704" s="27" t="s">
        <v>7</v>
      </c>
      <c r="AK704" s="27" t="s">
        <v>8</v>
      </c>
      <c r="AN704" s="27" t="s">
        <v>7</v>
      </c>
      <c r="BG704" s="27" t="s">
        <v>8</v>
      </c>
      <c r="BH704" s="27" t="s">
        <v>7</v>
      </c>
      <c r="BM704" s="27" t="s">
        <v>8</v>
      </c>
    </row>
    <row r="705" spans="1:65" x14ac:dyDescent="0.25">
      <c r="A705" s="7">
        <v>9.6645076037824032E-2</v>
      </c>
      <c r="B705"/>
      <c r="C705"/>
      <c r="D705"/>
      <c r="E705"/>
      <c r="F705" s="27" t="s">
        <v>7</v>
      </c>
      <c r="S705" s="27" t="s">
        <v>8</v>
      </c>
      <c r="AH705" s="27" t="s">
        <v>7</v>
      </c>
      <c r="AI705" s="27" t="s">
        <v>8</v>
      </c>
      <c r="AJ705" s="27" t="s">
        <v>7</v>
      </c>
      <c r="AN705" s="27" t="s">
        <v>7</v>
      </c>
      <c r="BC705" s="27" t="s">
        <v>8</v>
      </c>
      <c r="BE705" s="27" t="s">
        <v>8</v>
      </c>
      <c r="BG705" s="27" t="s">
        <v>8</v>
      </c>
      <c r="BH705" s="27" t="s">
        <v>7</v>
      </c>
      <c r="BK705" s="27" t="s">
        <v>8</v>
      </c>
      <c r="BM705" s="27" t="s">
        <v>8</v>
      </c>
    </row>
    <row r="706" spans="1:65" x14ac:dyDescent="0.25">
      <c r="A706" s="7">
        <v>9.4750074546886304E-2</v>
      </c>
      <c r="B706"/>
      <c r="C706"/>
      <c r="D706"/>
      <c r="E706"/>
      <c r="F706" s="27" t="s">
        <v>7</v>
      </c>
      <c r="S706" s="27" t="s">
        <v>8</v>
      </c>
      <c r="AH706" s="27" t="s">
        <v>7</v>
      </c>
      <c r="AI706" s="27" t="s">
        <v>8</v>
      </c>
      <c r="AN706" s="27" t="s">
        <v>7</v>
      </c>
      <c r="BA706" s="27" t="s">
        <v>8</v>
      </c>
      <c r="BC706" s="27" t="s">
        <v>8</v>
      </c>
      <c r="BD706" s="27" t="s">
        <v>7</v>
      </c>
      <c r="BE706" s="27" t="s">
        <v>8</v>
      </c>
      <c r="BF706" s="27" t="s">
        <v>7</v>
      </c>
      <c r="BG706" s="27" t="s">
        <v>8</v>
      </c>
      <c r="BH706" s="27" t="s">
        <v>7</v>
      </c>
      <c r="BK706" s="27" t="s">
        <v>8</v>
      </c>
      <c r="BL706" s="27" t="s">
        <v>7</v>
      </c>
      <c r="BM706" s="27" t="s">
        <v>8</v>
      </c>
    </row>
    <row r="707" spans="1:65" x14ac:dyDescent="0.25">
      <c r="A707" s="7">
        <v>9.2892229947927743E-2</v>
      </c>
      <c r="B707"/>
      <c r="C707"/>
      <c r="D707"/>
      <c r="E707"/>
      <c r="F707" s="27" t="s">
        <v>7</v>
      </c>
      <c r="S707" s="27" t="s">
        <v>8</v>
      </c>
      <c r="AH707" s="27" t="s">
        <v>7</v>
      </c>
      <c r="AI707" s="27" t="s">
        <v>8</v>
      </c>
      <c r="AN707" s="27" t="s">
        <v>7</v>
      </c>
      <c r="BA707" s="27" t="s">
        <v>8</v>
      </c>
      <c r="BB707" s="27" t="s">
        <v>7</v>
      </c>
      <c r="BC707" s="27" t="s">
        <v>8</v>
      </c>
      <c r="BD707" s="27" t="s">
        <v>7</v>
      </c>
      <c r="BE707" s="27" t="s">
        <v>8</v>
      </c>
      <c r="BF707" s="27" t="s">
        <v>7</v>
      </c>
      <c r="BG707" s="27" t="s">
        <v>8</v>
      </c>
      <c r="BH707" s="27" t="s">
        <v>7</v>
      </c>
      <c r="BK707" s="27" t="s">
        <v>8</v>
      </c>
      <c r="BL707" s="27" t="s">
        <v>7</v>
      </c>
      <c r="BM707" s="27" t="s">
        <v>8</v>
      </c>
    </row>
    <row r="708" spans="1:65" x14ac:dyDescent="0.25">
      <c r="A708" s="7">
        <v>9.1070813674438963E-2</v>
      </c>
      <c r="B708"/>
      <c r="C708"/>
      <c r="D708"/>
      <c r="E708"/>
      <c r="F708" s="27" t="s">
        <v>7</v>
      </c>
      <c r="Q708" s="27" t="s">
        <v>8</v>
      </c>
      <c r="S708" s="27" t="s">
        <v>8</v>
      </c>
      <c r="AH708" s="27" t="s">
        <v>7</v>
      </c>
      <c r="AI708" s="27" t="s">
        <v>8</v>
      </c>
      <c r="AN708" s="27" t="s">
        <v>7</v>
      </c>
      <c r="AO708" s="27" t="s">
        <v>8</v>
      </c>
      <c r="BA708" s="27" t="s">
        <v>8</v>
      </c>
      <c r="BB708" s="27" t="s">
        <v>7</v>
      </c>
      <c r="BC708" s="27" t="s">
        <v>8</v>
      </c>
      <c r="BD708" s="27" t="s">
        <v>7</v>
      </c>
      <c r="BE708" s="27" t="s">
        <v>8</v>
      </c>
      <c r="BF708" s="27" t="s">
        <v>7</v>
      </c>
      <c r="BG708" s="27" t="s">
        <v>8</v>
      </c>
      <c r="BH708" s="27" t="s">
        <v>7</v>
      </c>
      <c r="BI708" s="27" t="s">
        <v>8</v>
      </c>
      <c r="BK708" s="27" t="s">
        <v>8</v>
      </c>
      <c r="BL708" s="27" t="s">
        <v>7</v>
      </c>
      <c r="BM708" s="27" t="s">
        <v>8</v>
      </c>
    </row>
    <row r="709" spans="1:65" x14ac:dyDescent="0.25">
      <c r="A709" s="7">
        <v>8.9285111445528392E-2</v>
      </c>
      <c r="B709"/>
      <c r="C709"/>
      <c r="D709"/>
      <c r="E709"/>
      <c r="F709" s="27" t="s">
        <v>7</v>
      </c>
      <c r="Q709" s="27" t="s">
        <v>8</v>
      </c>
      <c r="R709" s="27" t="s">
        <v>7</v>
      </c>
      <c r="S709" s="27" t="s">
        <v>8</v>
      </c>
      <c r="AH709" s="27" t="s">
        <v>7</v>
      </c>
      <c r="AN709" s="27" t="s">
        <v>7</v>
      </c>
      <c r="AO709" s="27" t="s">
        <v>8</v>
      </c>
      <c r="AP709" s="27" t="s">
        <v>7</v>
      </c>
      <c r="BA709" s="27" t="s">
        <v>8</v>
      </c>
      <c r="BB709" s="27" t="s">
        <v>7</v>
      </c>
      <c r="BC709" s="27" t="s">
        <v>8</v>
      </c>
      <c r="BD709" s="27" t="s">
        <v>7</v>
      </c>
      <c r="BE709" s="27" t="s">
        <v>8</v>
      </c>
      <c r="BF709" s="27" t="s">
        <v>7</v>
      </c>
      <c r="BG709" s="27" t="s">
        <v>8</v>
      </c>
      <c r="BH709" s="27" t="s">
        <v>7</v>
      </c>
      <c r="BI709" s="27" t="s">
        <v>8</v>
      </c>
      <c r="BJ709" s="27" t="s">
        <v>7</v>
      </c>
      <c r="BK709" s="27" t="s">
        <v>8</v>
      </c>
      <c r="BL709" s="27" t="s">
        <v>7</v>
      </c>
      <c r="BM709" s="27" t="s">
        <v>8</v>
      </c>
    </row>
    <row r="710" spans="1:65" x14ac:dyDescent="0.25">
      <c r="A710" s="7">
        <v>8.7534422985812155E-2</v>
      </c>
      <c r="B710"/>
      <c r="C710"/>
      <c r="D710"/>
      <c r="E710"/>
      <c r="F710" s="27" t="s">
        <v>7</v>
      </c>
      <c r="Q710" s="27" t="s">
        <v>8</v>
      </c>
      <c r="R710" s="27" t="s">
        <v>7</v>
      </c>
      <c r="S710" s="27" t="s">
        <v>8</v>
      </c>
      <c r="AN710" s="27" t="s">
        <v>7</v>
      </c>
      <c r="AO710" s="27" t="s">
        <v>8</v>
      </c>
      <c r="AP710" s="27" t="s">
        <v>7</v>
      </c>
      <c r="BA710" s="27" t="s">
        <v>8</v>
      </c>
      <c r="BB710" s="27" t="s">
        <v>7</v>
      </c>
      <c r="BC710" s="27" t="s">
        <v>8</v>
      </c>
      <c r="BD710" s="27" t="s">
        <v>7</v>
      </c>
      <c r="BE710" s="27" t="s">
        <v>8</v>
      </c>
      <c r="BF710" s="27" t="s">
        <v>7</v>
      </c>
      <c r="BG710" s="27" t="s">
        <v>8</v>
      </c>
      <c r="BH710" s="27" t="s">
        <v>7</v>
      </c>
      <c r="BI710" s="27" t="s">
        <v>8</v>
      </c>
      <c r="BJ710" s="27" t="s">
        <v>7</v>
      </c>
      <c r="BK710" s="27" t="s">
        <v>8</v>
      </c>
      <c r="BL710" s="27" t="s">
        <v>7</v>
      </c>
    </row>
    <row r="711" spans="1:65" x14ac:dyDescent="0.25">
      <c r="A711" s="7">
        <v>8.5818061750796232E-2</v>
      </c>
      <c r="B711"/>
      <c r="C711"/>
      <c r="D711"/>
      <c r="E711"/>
      <c r="F711" s="27" t="s">
        <v>7</v>
      </c>
      <c r="Q711" s="27" t="s">
        <v>8</v>
      </c>
      <c r="R711" s="27" t="s">
        <v>7</v>
      </c>
      <c r="S711" s="27" t="s">
        <v>8</v>
      </c>
      <c r="AN711" s="27" t="s">
        <v>7</v>
      </c>
      <c r="AO711" s="27" t="s">
        <v>8</v>
      </c>
      <c r="AP711" s="27" t="s">
        <v>7</v>
      </c>
      <c r="AU711" s="27" t="s">
        <v>8</v>
      </c>
      <c r="BA711" s="27" t="s">
        <v>8</v>
      </c>
      <c r="BB711" s="27" t="s">
        <v>7</v>
      </c>
      <c r="BC711" s="27" t="s">
        <v>8</v>
      </c>
      <c r="BD711" s="27" t="s">
        <v>7</v>
      </c>
      <c r="BF711" s="27" t="s">
        <v>7</v>
      </c>
      <c r="BG711" s="27" t="s">
        <v>8</v>
      </c>
      <c r="BH711" s="27" t="s">
        <v>7</v>
      </c>
      <c r="BI711" s="27" t="s">
        <v>8</v>
      </c>
      <c r="BJ711" s="27" t="s">
        <v>7</v>
      </c>
      <c r="BK711" s="27" t="s">
        <v>8</v>
      </c>
    </row>
    <row r="712" spans="1:65" x14ac:dyDescent="0.25">
      <c r="A712" s="7">
        <v>8.4135354657643366E-2</v>
      </c>
      <c r="B712"/>
      <c r="C712"/>
      <c r="D712"/>
      <c r="E712"/>
      <c r="F712" s="27" t="s">
        <v>7</v>
      </c>
      <c r="M712" s="27" t="s">
        <v>8</v>
      </c>
      <c r="Q712" s="27" t="s">
        <v>8</v>
      </c>
      <c r="R712" s="27" t="s">
        <v>7</v>
      </c>
      <c r="S712" s="27" t="s">
        <v>8</v>
      </c>
      <c r="AN712" s="27" t="s">
        <v>7</v>
      </c>
      <c r="AO712" s="27" t="s">
        <v>8</v>
      </c>
      <c r="AP712" s="27" t="s">
        <v>7</v>
      </c>
      <c r="AU712" s="27" t="s">
        <v>8</v>
      </c>
      <c r="AV712" s="27" t="s">
        <v>7</v>
      </c>
      <c r="AY712" s="27" t="s">
        <v>8</v>
      </c>
      <c r="BA712" s="27" t="s">
        <v>8</v>
      </c>
      <c r="BB712" s="27" t="s">
        <v>7</v>
      </c>
      <c r="BC712" s="27" t="s">
        <v>8</v>
      </c>
      <c r="BF712" s="27" t="s">
        <v>7</v>
      </c>
      <c r="BH712" s="27" t="s">
        <v>7</v>
      </c>
      <c r="BJ712" s="27" t="s">
        <v>7</v>
      </c>
    </row>
    <row r="713" spans="1:65" x14ac:dyDescent="0.25">
      <c r="A713" s="7">
        <v>8.248564182121898E-2</v>
      </c>
      <c r="B713"/>
      <c r="C713"/>
      <c r="D713"/>
      <c r="E713"/>
      <c r="F713" s="27" t="s">
        <v>7</v>
      </c>
      <c r="M713" s="27" t="s">
        <v>8</v>
      </c>
      <c r="N713" s="27" t="s">
        <v>7</v>
      </c>
      <c r="Q713" s="27" t="s">
        <v>8</v>
      </c>
      <c r="R713" s="27" t="s">
        <v>7</v>
      </c>
      <c r="AN713" s="27" t="s">
        <v>7</v>
      </c>
      <c r="AO713" s="27" t="s">
        <v>8</v>
      </c>
      <c r="AP713" s="27" t="s">
        <v>7</v>
      </c>
      <c r="AU713" s="27" t="s">
        <v>8</v>
      </c>
      <c r="AV713" s="27" t="s">
        <v>7</v>
      </c>
      <c r="AY713" s="27" t="s">
        <v>8</v>
      </c>
      <c r="AZ713" s="27" t="s">
        <v>7</v>
      </c>
      <c r="BA713" s="27" t="s">
        <v>8</v>
      </c>
      <c r="BB713" s="27" t="s">
        <v>7</v>
      </c>
      <c r="BC713" s="27" t="s">
        <v>8</v>
      </c>
    </row>
    <row r="714" spans="1:65" x14ac:dyDescent="0.25">
      <c r="A714" s="7">
        <v>8.0868276295312735E-2</v>
      </c>
      <c r="B714"/>
      <c r="C714"/>
      <c r="D714"/>
      <c r="E714"/>
      <c r="F714" s="27" t="s">
        <v>7</v>
      </c>
      <c r="M714" s="27" t="s">
        <v>8</v>
      </c>
      <c r="N714" s="27" t="s">
        <v>7</v>
      </c>
      <c r="O714" s="27" t="s">
        <v>8</v>
      </c>
      <c r="Q714" s="27" t="s">
        <v>8</v>
      </c>
      <c r="AN714" s="27" t="s">
        <v>7</v>
      </c>
      <c r="AP714" s="27" t="s">
        <v>7</v>
      </c>
      <c r="AU714" s="27" t="s">
        <v>8</v>
      </c>
      <c r="AV714" s="27" t="s">
        <v>7</v>
      </c>
      <c r="AY714" s="27" t="s">
        <v>8</v>
      </c>
      <c r="AZ714" s="27" t="s">
        <v>7</v>
      </c>
      <c r="BA714" s="27" t="s">
        <v>8</v>
      </c>
      <c r="BB714" s="27" t="s">
        <v>7</v>
      </c>
      <c r="BC714" s="27" t="s">
        <v>8</v>
      </c>
    </row>
    <row r="715" spans="1:65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M715" s="27" t="s">
        <v>8</v>
      </c>
      <c r="N715" s="27" t="s">
        <v>7</v>
      </c>
      <c r="O715" s="27" t="s">
        <v>8</v>
      </c>
      <c r="P715" s="27" t="s">
        <v>7</v>
      </c>
      <c r="Q715" s="27" t="s">
        <v>8</v>
      </c>
      <c r="AP715" s="27" t="s">
        <v>7</v>
      </c>
      <c r="AU715" s="27" t="s">
        <v>8</v>
      </c>
      <c r="AV715" s="27" t="s">
        <v>7</v>
      </c>
      <c r="AW715" s="27" t="s">
        <v>8</v>
      </c>
      <c r="AY715" s="27" t="s">
        <v>8</v>
      </c>
      <c r="AZ715" s="27" t="s">
        <v>7</v>
      </c>
      <c r="BA715" s="27" t="s">
        <v>8</v>
      </c>
      <c r="BB715" s="27" t="s">
        <v>7</v>
      </c>
      <c r="BC715" s="27" t="s">
        <v>8</v>
      </c>
    </row>
    <row r="716" spans="1:65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H716" s="27" t="s">
        <v>7</v>
      </c>
      <c r="M716" s="27" t="s">
        <v>8</v>
      </c>
      <c r="N716" s="27" t="s">
        <v>7</v>
      </c>
      <c r="O716" s="27" t="s">
        <v>8</v>
      </c>
      <c r="P716" s="27" t="s">
        <v>7</v>
      </c>
      <c r="Q716" s="27" t="s">
        <v>8</v>
      </c>
      <c r="AP716" s="27" t="s">
        <v>7</v>
      </c>
      <c r="AU716" s="27" t="s">
        <v>8</v>
      </c>
      <c r="AV716" s="27" t="s">
        <v>7</v>
      </c>
      <c r="AW716" s="27" t="s">
        <v>8</v>
      </c>
      <c r="AX716" s="27" t="s">
        <v>7</v>
      </c>
      <c r="AY716" s="27" t="s">
        <v>8</v>
      </c>
      <c r="AZ716" s="27" t="s">
        <v>7</v>
      </c>
      <c r="BA716" s="27" t="s">
        <v>8</v>
      </c>
      <c r="BB716" s="27" t="s">
        <v>7</v>
      </c>
    </row>
    <row r="717" spans="1:65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H717" s="27" t="s">
        <v>7</v>
      </c>
      <c r="I717" s="27" t="s">
        <v>8</v>
      </c>
      <c r="M717" s="27" t="s">
        <v>8</v>
      </c>
      <c r="N717" s="27" t="s">
        <v>7</v>
      </c>
      <c r="P717" s="27" t="s">
        <v>7</v>
      </c>
      <c r="Q717" s="27" t="s">
        <v>8</v>
      </c>
      <c r="AP717" s="27" t="s">
        <v>7</v>
      </c>
      <c r="AU717" s="27" t="s">
        <v>8</v>
      </c>
      <c r="AV717" s="27" t="s">
        <v>7</v>
      </c>
      <c r="AW717" s="27" t="s">
        <v>8</v>
      </c>
      <c r="AX717" s="27" t="s">
        <v>7</v>
      </c>
      <c r="AY717" s="27" t="s">
        <v>8</v>
      </c>
      <c r="AZ717" s="27" t="s">
        <v>7</v>
      </c>
    </row>
    <row r="718" spans="1:65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H718" s="27" t="s">
        <v>7</v>
      </c>
      <c r="I718" s="27" t="s">
        <v>8</v>
      </c>
      <c r="J718" s="27" t="s">
        <v>7</v>
      </c>
      <c r="K718" s="27" t="s">
        <v>8</v>
      </c>
      <c r="M718" s="27" t="s">
        <v>8</v>
      </c>
      <c r="P718" s="27" t="s">
        <v>7</v>
      </c>
      <c r="Q718" s="27" t="s">
        <v>8</v>
      </c>
      <c r="AP718" s="27" t="s">
        <v>7</v>
      </c>
      <c r="AU718" s="27" t="s">
        <v>8</v>
      </c>
      <c r="AV718" s="27" t="s">
        <v>7</v>
      </c>
      <c r="AW718" s="27" t="s">
        <v>8</v>
      </c>
      <c r="AX718" s="27" t="s">
        <v>7</v>
      </c>
      <c r="AY718" s="27" t="s">
        <v>8</v>
      </c>
    </row>
    <row r="719" spans="1:65" x14ac:dyDescent="0.25">
      <c r="A719" s="7">
        <v>7.3244889378503E-2</v>
      </c>
      <c r="B719"/>
      <c r="C719"/>
      <c r="D719"/>
      <c r="E719"/>
      <c r="F719" s="27" t="s">
        <v>7</v>
      </c>
      <c r="H719" s="27" t="s">
        <v>7</v>
      </c>
      <c r="I719" s="27" t="s">
        <v>8</v>
      </c>
      <c r="J719" s="27" t="s">
        <v>7</v>
      </c>
      <c r="K719" s="27" t="s">
        <v>8</v>
      </c>
      <c r="L719" s="27" t="s">
        <v>7</v>
      </c>
      <c r="M719" s="27" t="s">
        <v>8</v>
      </c>
      <c r="P719" s="27" t="s">
        <v>7</v>
      </c>
      <c r="AP719" s="27" t="s">
        <v>7</v>
      </c>
      <c r="AU719" s="27" t="s">
        <v>8</v>
      </c>
      <c r="AV719" s="27" t="s">
        <v>7</v>
      </c>
      <c r="AW719" s="27" t="s">
        <v>8</v>
      </c>
      <c r="AX719" s="27" t="s">
        <v>7</v>
      </c>
      <c r="AY719" s="27" t="s">
        <v>8</v>
      </c>
    </row>
    <row r="720" spans="1:65" x14ac:dyDescent="0.25">
      <c r="A720" s="7">
        <v>7.1808715076963722E-2</v>
      </c>
      <c r="B720"/>
      <c r="C720"/>
      <c r="D720"/>
      <c r="E720"/>
      <c r="H720" s="27" t="s">
        <v>7</v>
      </c>
      <c r="J720" s="27" t="s">
        <v>7</v>
      </c>
      <c r="K720" s="27" t="s">
        <v>8</v>
      </c>
      <c r="L720" s="27" t="s">
        <v>7</v>
      </c>
      <c r="M720" s="27" t="s">
        <v>8</v>
      </c>
      <c r="AP720" s="27" t="s">
        <v>7</v>
      </c>
      <c r="AU720" s="27" t="s">
        <v>8</v>
      </c>
      <c r="AV720" s="27" t="s">
        <v>7</v>
      </c>
      <c r="AW720" s="27" t="s">
        <v>8</v>
      </c>
      <c r="AX720" s="27" t="s">
        <v>7</v>
      </c>
      <c r="AY720" s="27" t="s">
        <v>8</v>
      </c>
    </row>
    <row r="721" spans="1:51" x14ac:dyDescent="0.25">
      <c r="A721" s="7">
        <v>7.0400701055846782E-2</v>
      </c>
      <c r="B721"/>
      <c r="C721"/>
      <c r="D721"/>
      <c r="E721"/>
      <c r="J721" s="27" t="s">
        <v>7</v>
      </c>
      <c r="L721" s="27" t="s">
        <v>7</v>
      </c>
      <c r="AP721" s="27" t="s">
        <v>7</v>
      </c>
      <c r="AU721" s="27" t="s">
        <v>8</v>
      </c>
      <c r="AV721" s="27" t="s">
        <v>7</v>
      </c>
      <c r="AX721" s="27" t="s">
        <v>7</v>
      </c>
      <c r="AY721" s="27" t="s">
        <v>8</v>
      </c>
    </row>
    <row r="722" spans="1:51" x14ac:dyDescent="0.25">
      <c r="A722" s="7">
        <v>6.9020295152790956E-2</v>
      </c>
      <c r="B722"/>
      <c r="C722"/>
      <c r="D722"/>
      <c r="E722"/>
      <c r="AP722" s="27" t="s">
        <v>7</v>
      </c>
      <c r="AU722" s="27" t="s">
        <v>8</v>
      </c>
      <c r="AX722" s="27" t="s">
        <v>7</v>
      </c>
      <c r="AY722" s="27" t="s">
        <v>8</v>
      </c>
    </row>
    <row r="723" spans="1:51" x14ac:dyDescent="0.25">
      <c r="A723" s="7">
        <v>6.7666956032147993E-2</v>
      </c>
      <c r="B723"/>
      <c r="C723"/>
      <c r="D723"/>
      <c r="E723"/>
      <c r="AP723" s="27" t="s">
        <v>7</v>
      </c>
      <c r="AU723" s="27" t="s">
        <v>8</v>
      </c>
      <c r="AX723" s="27" t="s">
        <v>7</v>
      </c>
      <c r="AY723" s="27" t="s">
        <v>8</v>
      </c>
    </row>
    <row r="724" spans="1:51" x14ac:dyDescent="0.25">
      <c r="A724" s="7">
        <v>6.6340152972694105E-2</v>
      </c>
      <c r="B724"/>
      <c r="C724"/>
      <c r="D724"/>
      <c r="E724"/>
      <c r="AP724" s="27" t="s">
        <v>7</v>
      </c>
      <c r="AU724" s="27" t="s">
        <v>8</v>
      </c>
      <c r="AX724" s="27" t="s">
        <v>7</v>
      </c>
      <c r="AY724" s="27" t="s">
        <v>8</v>
      </c>
    </row>
    <row r="725" spans="1:51" x14ac:dyDescent="0.25">
      <c r="A725" s="7">
        <v>6.5039365659504023E-2</v>
      </c>
      <c r="B725"/>
      <c r="C725"/>
      <c r="D725"/>
      <c r="E725"/>
      <c r="AP725" s="27" t="s">
        <v>7</v>
      </c>
      <c r="AU725" s="27" t="s">
        <v>8</v>
      </c>
      <c r="AX725" s="27" t="s">
        <v>7</v>
      </c>
    </row>
    <row r="726" spans="1:51" x14ac:dyDescent="0.25">
      <c r="A726" s="7">
        <v>6.3764083979905906E-2</v>
      </c>
      <c r="B726"/>
      <c r="C726"/>
      <c r="D726"/>
      <c r="E726"/>
      <c r="AP726" s="27" t="s">
        <v>7</v>
      </c>
      <c r="AU726" s="27" t="s">
        <v>8</v>
      </c>
    </row>
    <row r="727" spans="1:51" x14ac:dyDescent="0.25">
      <c r="A727" s="7">
        <v>6.251380782343717E-2</v>
      </c>
      <c r="B727"/>
      <c r="C727"/>
      <c r="D727"/>
      <c r="E727"/>
      <c r="AP727" s="27" t="s">
        <v>7</v>
      </c>
      <c r="AU727" s="27" t="s">
        <v>8</v>
      </c>
    </row>
    <row r="728" spans="1:51" x14ac:dyDescent="0.25">
      <c r="A728" s="7">
        <v>6.1288046885722716E-2</v>
      </c>
      <c r="B728"/>
      <c r="C728"/>
      <c r="D728"/>
      <c r="E728"/>
      <c r="AP728" s="27" t="s">
        <v>7</v>
      </c>
      <c r="AU728" s="27" t="s">
        <v>8</v>
      </c>
    </row>
    <row r="729" spans="1:51" x14ac:dyDescent="0.25">
      <c r="A729" s="7">
        <v>6.0086320476198739E-2</v>
      </c>
      <c r="B729"/>
      <c r="C729"/>
      <c r="D729"/>
      <c r="E729"/>
      <c r="AP729" s="27" t="s">
        <v>7</v>
      </c>
      <c r="AU729" s="27" t="s">
        <v>8</v>
      </c>
    </row>
    <row r="730" spans="1:51" x14ac:dyDescent="0.25">
      <c r="A730" s="7">
        <v>5.8908157329606609E-2</v>
      </c>
      <c r="B730"/>
      <c r="C730"/>
      <c r="D730"/>
      <c r="E730"/>
      <c r="AP730" s="27" t="s">
        <v>7</v>
      </c>
      <c r="AU730" s="27" t="s">
        <v>8</v>
      </c>
    </row>
    <row r="731" spans="1:51" x14ac:dyDescent="0.25">
      <c r="A731" s="7">
        <v>5.7753095421182947E-2</v>
      </c>
      <c r="B731"/>
      <c r="C731"/>
      <c r="D731"/>
      <c r="E731"/>
      <c r="AP731" s="27" t="s">
        <v>7</v>
      </c>
      <c r="AU731" s="27" t="s">
        <v>8</v>
      </c>
    </row>
    <row r="732" spans="1:51" x14ac:dyDescent="0.25">
      <c r="A732" s="7">
        <v>5.6620681785473484E-2</v>
      </c>
      <c r="B732"/>
      <c r="C732"/>
      <c r="D732"/>
      <c r="E732"/>
      <c r="AP732" s="27" t="s">
        <v>7</v>
      </c>
      <c r="AQ732" s="27" t="s">
        <v>8</v>
      </c>
      <c r="AU732" s="27" t="s">
        <v>8</v>
      </c>
    </row>
    <row r="733" spans="1:51" x14ac:dyDescent="0.25">
      <c r="A733" s="7">
        <v>5.5510472338699497E-2</v>
      </c>
      <c r="B733"/>
      <c r="C733"/>
      <c r="D733"/>
      <c r="E733"/>
      <c r="AP733" s="27" t="s">
        <v>7</v>
      </c>
      <c r="AQ733" s="27" t="s">
        <v>8</v>
      </c>
      <c r="AR733" s="27" t="s">
        <v>7</v>
      </c>
      <c r="AU733" s="27" t="s">
        <v>8</v>
      </c>
    </row>
    <row r="734" spans="1:51" x14ac:dyDescent="0.25">
      <c r="A734" s="7">
        <v>5.4422031704607354E-2</v>
      </c>
      <c r="B734"/>
      <c r="C734"/>
      <c r="D734"/>
      <c r="E734"/>
      <c r="AP734" s="27" t="s">
        <v>7</v>
      </c>
      <c r="AQ734" s="27" t="s">
        <v>8</v>
      </c>
      <c r="AR734" s="27" t="s">
        <v>7</v>
      </c>
      <c r="AU734" s="27" t="s">
        <v>8</v>
      </c>
    </row>
    <row r="735" spans="1:51" x14ac:dyDescent="0.25">
      <c r="A735" s="7">
        <v>5.3354933043732705E-2</v>
      </c>
      <c r="B735"/>
      <c r="C735"/>
      <c r="D735"/>
      <c r="E735"/>
      <c r="AP735" s="27" t="s">
        <v>7</v>
      </c>
      <c r="AQ735" s="27" t="s">
        <v>8</v>
      </c>
      <c r="AR735" s="27" t="s">
        <v>7</v>
      </c>
      <c r="AU735" s="27" t="s">
        <v>8</v>
      </c>
    </row>
    <row r="736" spans="1:51" x14ac:dyDescent="0.25">
      <c r="A736" s="7">
        <v>5.2308757886012455E-2</v>
      </c>
      <c r="B736"/>
      <c r="C736"/>
      <c r="D736"/>
      <c r="E736"/>
      <c r="AP736" s="27" t="s">
        <v>7</v>
      </c>
      <c r="AQ736" s="27" t="s">
        <v>8</v>
      </c>
      <c r="AR736" s="27" t="s">
        <v>7</v>
      </c>
      <c r="AS736" s="27" t="s">
        <v>8</v>
      </c>
      <c r="AU736" s="27" t="s">
        <v>8</v>
      </c>
    </row>
    <row r="737" spans="1:47" x14ac:dyDescent="0.25">
      <c r="A737" s="7">
        <v>5.1283095966678877E-2</v>
      </c>
      <c r="B737"/>
      <c r="C737"/>
      <c r="D737"/>
      <c r="E737"/>
      <c r="AP737" s="27" t="s">
        <v>7</v>
      </c>
      <c r="AQ737" s="27" t="s">
        <v>8</v>
      </c>
      <c r="AR737" s="27" t="s">
        <v>7</v>
      </c>
      <c r="AS737" s="27" t="s">
        <v>8</v>
      </c>
      <c r="AT737" s="27" t="s">
        <v>7</v>
      </c>
      <c r="AU737" s="27" t="s">
        <v>8</v>
      </c>
    </row>
    <row r="738" spans="1:47" x14ac:dyDescent="0.25">
      <c r="A738" s="7">
        <v>5.0277545065371444E-2</v>
      </c>
      <c r="B738"/>
      <c r="C738"/>
      <c r="D738"/>
      <c r="E738"/>
      <c r="AP738" s="27" t="s">
        <v>7</v>
      </c>
      <c r="AQ738" s="27" t="s">
        <v>8</v>
      </c>
      <c r="AR738" s="27" t="s">
        <v>7</v>
      </c>
      <c r="AS738" s="27" t="s">
        <v>8</v>
      </c>
      <c r="AT738" s="27" t="s">
        <v>7</v>
      </c>
      <c r="AU738" s="27" t="s">
        <v>8</v>
      </c>
    </row>
    <row r="739" spans="1:47" x14ac:dyDescent="0.25">
      <c r="A739" s="7">
        <v>4.9291710848403378E-2</v>
      </c>
      <c r="B739"/>
      <c r="C739"/>
      <c r="D739"/>
      <c r="E739"/>
      <c r="AP739" s="27" t="s">
        <v>7</v>
      </c>
      <c r="AQ739" s="27" t="s">
        <v>8</v>
      </c>
      <c r="AR739" s="27" t="s">
        <v>7</v>
      </c>
      <c r="AS739" s="27" t="s">
        <v>8</v>
      </c>
      <c r="AT739" s="27" t="s">
        <v>7</v>
      </c>
      <c r="AU739" s="27" t="s">
        <v>8</v>
      </c>
    </row>
    <row r="740" spans="1:47" x14ac:dyDescent="0.25">
      <c r="A740" s="7">
        <v>4.8325206714120959E-2</v>
      </c>
      <c r="B740"/>
      <c r="C740"/>
      <c r="D740"/>
      <c r="E740"/>
      <c r="AP740" s="27" t="s">
        <v>7</v>
      </c>
      <c r="AQ740" s="27" t="s">
        <v>8</v>
      </c>
      <c r="AR740" s="27" t="s">
        <v>7</v>
      </c>
      <c r="AS740" s="27" t="s">
        <v>8</v>
      </c>
      <c r="AT740" s="27" t="s">
        <v>7</v>
      </c>
      <c r="AU740" s="27" t="s">
        <v>8</v>
      </c>
    </row>
    <row r="741" spans="1:47" x14ac:dyDescent="0.25">
      <c r="A741" s="7">
        <v>4.7377653641295057E-2</v>
      </c>
      <c r="B741"/>
      <c r="C741"/>
      <c r="D741"/>
      <c r="E741"/>
      <c r="AP741" s="27" t="s">
        <v>7</v>
      </c>
      <c r="AQ741" s="27" t="s">
        <v>8</v>
      </c>
      <c r="AR741" s="27" t="s">
        <v>7</v>
      </c>
      <c r="AS741" s="27" t="s">
        <v>8</v>
      </c>
      <c r="AT741" s="27" t="s">
        <v>7</v>
      </c>
    </row>
    <row r="742" spans="1:47" x14ac:dyDescent="0.25">
      <c r="A742" s="7">
        <v>4.644868004048535E-2</v>
      </c>
      <c r="B742"/>
      <c r="C742"/>
      <c r="D742"/>
      <c r="E742"/>
      <c r="AP742" s="27" t="s">
        <v>7</v>
      </c>
      <c r="AQ742" s="27" t="s">
        <v>8</v>
      </c>
      <c r="AR742" s="27" t="s">
        <v>7</v>
      </c>
      <c r="AS742" s="27" t="s">
        <v>8</v>
      </c>
    </row>
    <row r="743" spans="1:47" x14ac:dyDescent="0.25">
      <c r="A743" s="7">
        <v>4.5537921608318974E-2</v>
      </c>
      <c r="B743"/>
      <c r="C743"/>
      <c r="D743"/>
      <c r="E743"/>
      <c r="AP743" s="27" t="s">
        <v>7</v>
      </c>
      <c r="AQ743" s="27" t="s">
        <v>8</v>
      </c>
      <c r="AR743" s="27" t="s">
        <v>7</v>
      </c>
      <c r="AS743" s="27" t="s">
        <v>8</v>
      </c>
    </row>
    <row r="744" spans="1:47" x14ac:dyDescent="0.25">
      <c r="A744" s="7">
        <v>4.4645021184626446E-2</v>
      </c>
      <c r="B744"/>
      <c r="C744"/>
      <c r="D744"/>
      <c r="E744"/>
      <c r="AP744" s="27" t="s">
        <v>7</v>
      </c>
      <c r="AQ744" s="27" t="s">
        <v>8</v>
      </c>
      <c r="AR744" s="27" t="s">
        <v>7</v>
      </c>
      <c r="AS744" s="27" t="s">
        <v>8</v>
      </c>
    </row>
    <row r="745" spans="1:47" x14ac:dyDescent="0.25">
      <c r="A745" s="7">
        <v>4.3769628612378868E-2</v>
      </c>
      <c r="B745"/>
      <c r="C745"/>
      <c r="D745"/>
      <c r="E745"/>
      <c r="AP745" s="27" t="s">
        <v>7</v>
      </c>
      <c r="AQ745" s="27" t="s">
        <v>8</v>
      </c>
      <c r="AR745" s="27" t="s">
        <v>7</v>
      </c>
      <c r="AS745" s="27" t="s">
        <v>8</v>
      </c>
    </row>
    <row r="746" spans="1:47" x14ac:dyDescent="0.25">
      <c r="A746" s="7">
        <v>4.2911400600371442E-2</v>
      </c>
      <c r="B746"/>
      <c r="C746"/>
      <c r="D746"/>
      <c r="E746"/>
      <c r="AP746" s="27" t="s">
        <v>7</v>
      </c>
      <c r="AQ746" s="27" t="s">
        <v>8</v>
      </c>
      <c r="AR746" s="27" t="s">
        <v>7</v>
      </c>
      <c r="AS746" s="27" t="s">
        <v>8</v>
      </c>
    </row>
    <row r="747" spans="1:47" x14ac:dyDescent="0.25">
      <c r="A747" s="7">
        <v>4.2070000588599457E-2</v>
      </c>
      <c r="B747"/>
      <c r="C747"/>
      <c r="D747"/>
      <c r="E747"/>
      <c r="AP747" s="27" t="s">
        <v>7</v>
      </c>
      <c r="AQ747" s="27" t="s">
        <v>8</v>
      </c>
      <c r="AR747" s="27" t="s">
        <v>7</v>
      </c>
      <c r="AS747" s="27" t="s">
        <v>8</v>
      </c>
    </row>
    <row r="748" spans="1:47" x14ac:dyDescent="0.25">
      <c r="A748" s="7">
        <v>4.1245098616273977E-2</v>
      </c>
      <c r="B748"/>
      <c r="C748"/>
      <c r="D748"/>
      <c r="E748"/>
      <c r="AP748" s="27" t="s">
        <v>7</v>
      </c>
      <c r="AQ748" s="27" t="s">
        <v>8</v>
      </c>
      <c r="AR748" s="27" t="s">
        <v>7</v>
      </c>
    </row>
    <row r="749" spans="1:47" x14ac:dyDescent="0.25">
      <c r="A749" s="7">
        <v>4.043637119242547E-2</v>
      </c>
      <c r="B749"/>
      <c r="C749"/>
      <c r="D749"/>
      <c r="E749"/>
      <c r="AP749" s="27" t="s">
        <v>7</v>
      </c>
      <c r="AQ749" s="27" t="s">
        <v>8</v>
      </c>
    </row>
    <row r="750" spans="1:47" x14ac:dyDescent="0.25">
      <c r="A750" s="7">
        <v>3.9643501169044582E-2</v>
      </c>
      <c r="B750"/>
      <c r="C750"/>
      <c r="D750"/>
      <c r="E750"/>
      <c r="AP750" s="27" t="s">
        <v>7</v>
      </c>
      <c r="AQ750" s="27" t="s">
        <v>8</v>
      </c>
    </row>
    <row r="751" spans="1:47" x14ac:dyDescent="0.25">
      <c r="A751" s="7">
        <v>3.8866177616710372E-2</v>
      </c>
      <c r="B751"/>
      <c r="C751"/>
      <c r="D751"/>
      <c r="E751"/>
      <c r="AP751" s="27" t="s">
        <v>7</v>
      </c>
      <c r="AQ751" s="27" t="s">
        <v>8</v>
      </c>
    </row>
    <row r="752" spans="1:47" x14ac:dyDescent="0.25">
      <c r="A752" s="7">
        <v>3.8104095702657229E-2</v>
      </c>
      <c r="B752"/>
      <c r="C752"/>
      <c r="D752"/>
      <c r="E752"/>
      <c r="AP752" s="27" t="s">
        <v>7</v>
      </c>
      <c r="AQ752" s="27" t="s">
        <v>8</v>
      </c>
    </row>
    <row r="753" spans="1:43" x14ac:dyDescent="0.25">
      <c r="A753" s="7">
        <v>3.7356956571232579E-2</v>
      </c>
      <c r="B753"/>
      <c r="C753"/>
      <c r="D753"/>
      <c r="E753"/>
      <c r="AP753" s="27" t="s">
        <v>7</v>
      </c>
      <c r="AQ753" s="27" t="s">
        <v>8</v>
      </c>
    </row>
    <row r="754" spans="1:43" x14ac:dyDescent="0.25">
      <c r="A754" s="7">
        <v>3.6624467226698605E-2</v>
      </c>
      <c r="B754"/>
      <c r="C754"/>
      <c r="D754"/>
      <c r="E754"/>
      <c r="AP754" s="27" t="s">
        <v>7</v>
      </c>
      <c r="AQ754" s="27" t="s">
        <v>8</v>
      </c>
    </row>
    <row r="755" spans="1:43" x14ac:dyDescent="0.25">
      <c r="A755" s="7">
        <v>3.5906340418331961E-2</v>
      </c>
      <c r="B755"/>
      <c r="C755"/>
      <c r="D755"/>
      <c r="E755"/>
      <c r="AP755" s="27" t="s">
        <v>7</v>
      </c>
      <c r="AQ755" s="27" t="s">
        <v>8</v>
      </c>
    </row>
    <row r="756" spans="1:43" x14ac:dyDescent="0.25">
      <c r="A756" s="7">
        <v>3.5202294527776436E-2</v>
      </c>
      <c r="B756"/>
      <c r="C756"/>
      <c r="D756"/>
      <c r="E756"/>
      <c r="AP756" s="27" t="s">
        <v>7</v>
      </c>
      <c r="AQ756" s="27" t="s">
        <v>8</v>
      </c>
    </row>
    <row r="757" spans="1:43" x14ac:dyDescent="0.25">
      <c r="A757" s="7">
        <v>3.451205345860435E-2</v>
      </c>
      <c r="B757"/>
      <c r="C757"/>
      <c r="D757"/>
      <c r="E757"/>
      <c r="AP757" s="27" t="s">
        <v>7</v>
      </c>
      <c r="AQ757" s="27" t="s">
        <v>8</v>
      </c>
    </row>
    <row r="758" spans="1:43" x14ac:dyDescent="0.25">
      <c r="A758" s="7">
        <v>3.3835346528043479E-2</v>
      </c>
      <c r="B758"/>
      <c r="C758"/>
      <c r="D758"/>
      <c r="E758"/>
      <c r="AP758" s="27" t="s">
        <v>7</v>
      </c>
      <c r="AQ758" s="27" t="s">
        <v>8</v>
      </c>
    </row>
    <row r="759" spans="1:43" x14ac:dyDescent="0.25">
      <c r="A759" s="7">
        <v>3.3171908360826938E-2</v>
      </c>
      <c r="B759"/>
      <c r="C759"/>
      <c r="D759"/>
      <c r="E759"/>
      <c r="AP759" s="27" t="s">
        <v>7</v>
      </c>
      <c r="AQ759" s="27" t="s">
        <v>8</v>
      </c>
    </row>
    <row r="760" spans="1:43" x14ac:dyDescent="0.25">
      <c r="A760" s="7">
        <v>3.2521478785124451E-2</v>
      </c>
      <c r="B760"/>
      <c r="C760"/>
      <c r="D760"/>
      <c r="E760"/>
      <c r="AP760" s="27" t="s">
        <v>7</v>
      </c>
    </row>
    <row r="761" spans="1:43" x14ac:dyDescent="0.25">
      <c r="A761" s="7">
        <v>3.1883802730514173E-2</v>
      </c>
      <c r="B761"/>
      <c r="C761"/>
      <c r="D761"/>
      <c r="E761"/>
    </row>
    <row r="762" spans="1:43" x14ac:dyDescent="0.25">
      <c r="A762" s="7">
        <v>3.1258630127955073E-2</v>
      </c>
      <c r="B762"/>
      <c r="C762"/>
      <c r="D762"/>
      <c r="E762"/>
    </row>
    <row r="763" spans="1:43" x14ac:dyDescent="0.25">
      <c r="A763" s="7">
        <v>3.064571581172066E-2</v>
      </c>
      <c r="B763"/>
      <c r="C763"/>
      <c r="D763"/>
      <c r="E763"/>
    </row>
    <row r="764" spans="1:43" x14ac:dyDescent="0.25">
      <c r="A764" s="7">
        <v>3.0044819423255549E-2</v>
      </c>
      <c r="B764"/>
      <c r="C764"/>
      <c r="D764"/>
      <c r="E764"/>
    </row>
    <row r="765" spans="1:43" x14ac:dyDescent="0.25">
      <c r="A765" s="7">
        <v>2.9455705316917203E-2</v>
      </c>
      <c r="B765"/>
      <c r="C765"/>
      <c r="D765"/>
      <c r="E765"/>
    </row>
    <row r="766" spans="1:43" x14ac:dyDescent="0.25">
      <c r="A766" s="7">
        <v>2.8878142467565884E-2</v>
      </c>
      <c r="B766"/>
      <c r="C766"/>
      <c r="D766"/>
      <c r="E766"/>
    </row>
    <row r="767" spans="1:43" x14ac:dyDescent="0.25">
      <c r="A767" s="7">
        <v>2.8311904379966554E-2</v>
      </c>
      <c r="B767"/>
      <c r="C767"/>
      <c r="D767"/>
      <c r="E767"/>
    </row>
    <row r="768" spans="1:43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05" zoomScale="85" zoomScaleNormal="85" workbookViewId="0">
      <pane xSplit="4" topLeftCell="CW1" activePane="topRight" state="frozen"/>
      <selection activeCell="A109" sqref="A109"/>
      <selection pane="topRight" activeCell="FM229" sqref="FM22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$A$228</v>
      </c>
      <c r="D111" s="1" t="str">
        <f>ADDRESS(C121-1,D121,1,1)</f>
        <v>$FM$228</v>
      </c>
      <c r="E111"/>
    </row>
    <row r="112" spans="1:5" x14ac:dyDescent="0.25">
      <c r="A112" s="30">
        <v>515.50191262726139</v>
      </c>
      <c r="C112" s="1" t="str">
        <f>ADDRESS(C121,1,1,1)</f>
        <v>$A$229</v>
      </c>
      <c r="D112" s="1" t="str">
        <f>ADDRESS(C121,D121-1,1,1)</f>
        <v>$FL$229</v>
      </c>
      <c r="E112"/>
    </row>
    <row r="113" spans="1:5" x14ac:dyDescent="0.25">
      <c r="A113" s="30">
        <v>490.95420250215363</v>
      </c>
      <c r="C113" s="1" t="str">
        <f>ADDRESS(C121+1,1,1,1)</f>
        <v>$A$230</v>
      </c>
      <c r="D113" s="1" t="str">
        <f>ADDRESS(C121-1,D121+1,1,1)</f>
        <v>$FN$228</v>
      </c>
    </row>
    <row r="114" spans="1:5" x14ac:dyDescent="0.25">
      <c r="A114" s="30">
        <v>467.57543095443202</v>
      </c>
      <c r="C114" s="1" t="str">
        <f>ADDRESS(C121,D121,1,1)</f>
        <v>$FM$229</v>
      </c>
      <c r="D114" s="1" t="str">
        <f>ADDRESS(C121+1,D121+1,1,1)</f>
        <v>$FN$230</v>
      </c>
    </row>
    <row r="115" spans="1:5" x14ac:dyDescent="0.25">
      <c r="A115" s="30">
        <v>445.30993424231622</v>
      </c>
      <c r="C115" s="1" t="str">
        <f>ADDRESS(C121+1,D121,1,1)</f>
        <v>$FM$230</v>
      </c>
    </row>
    <row r="116" spans="1:5" x14ac:dyDescent="0.25">
      <c r="A116" s="30">
        <v>424.10469927839637</v>
      </c>
      <c r="C116" s="1">
        <f>C117-1</f>
        <v>228</v>
      </c>
    </row>
    <row r="117" spans="1:5" x14ac:dyDescent="0.25">
      <c r="A117" s="30">
        <v>403.9092374079965</v>
      </c>
      <c r="C117" s="1">
        <f>C121</f>
        <v>229</v>
      </c>
      <c r="D117" s="1">
        <f>D121</f>
        <v>169</v>
      </c>
    </row>
    <row r="118" spans="1:5" x14ac:dyDescent="0.25">
      <c r="A118" s="30">
        <v>384.6754641980919</v>
      </c>
      <c r="C118" s="1">
        <f>C117+1</f>
        <v>230</v>
      </c>
      <c r="D118" s="1">
        <f>D117+1</f>
        <v>170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229</v>
      </c>
      <c r="D121" s="19">
        <v>169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R229</v>
      </c>
      <c r="D123" s="1" t="str">
        <f>"C"&amp;D121</f>
        <v>C169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1.7103393581163142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51" x14ac:dyDescent="0.25">
      <c r="A193" s="30">
        <v>9.9059710923258422</v>
      </c>
      <c r="E193"/>
    </row>
    <row r="194" spans="1:151" x14ac:dyDescent="0.25">
      <c r="A194" s="30">
        <v>9.4342581831674686</v>
      </c>
      <c r="E194"/>
    </row>
    <row r="195" spans="1:151" x14ac:dyDescent="0.25">
      <c r="A195" s="30">
        <v>8.9850077934928265</v>
      </c>
      <c r="E195"/>
    </row>
    <row r="196" spans="1:151" x14ac:dyDescent="0.25">
      <c r="A196" s="30">
        <v>8.5571502795169767</v>
      </c>
      <c r="E196"/>
    </row>
    <row r="197" spans="1:151" x14ac:dyDescent="0.25">
      <c r="A197" s="30">
        <v>8.1496669328733109</v>
      </c>
      <c r="E197"/>
    </row>
    <row r="198" spans="1:151" x14ac:dyDescent="0.25">
      <c r="A198" s="30">
        <v>7.7615875551174378</v>
      </c>
      <c r="E198"/>
    </row>
    <row r="199" spans="1:151" x14ac:dyDescent="0.25">
      <c r="A199" s="30">
        <v>7.3919881477308929</v>
      </c>
      <c r="E199"/>
    </row>
    <row r="200" spans="1:151" x14ac:dyDescent="0.25">
      <c r="A200" s="30">
        <v>7.0399887121246598</v>
      </c>
      <c r="E200"/>
    </row>
    <row r="201" spans="1:151" x14ac:dyDescent="0.25">
      <c r="A201" s="30">
        <v>6.7047511544044376</v>
      </c>
      <c r="E201"/>
    </row>
    <row r="202" spans="1:151" x14ac:dyDescent="0.25">
      <c r="A202" s="30">
        <v>6.3854772899089882</v>
      </c>
      <c r="E202"/>
    </row>
    <row r="203" spans="1:151" x14ac:dyDescent="0.25">
      <c r="A203" s="30">
        <v>6.0814069427704647</v>
      </c>
      <c r="C203" s="7"/>
      <c r="D203"/>
      <c r="E203"/>
    </row>
    <row r="204" spans="1:151" x14ac:dyDescent="0.25">
      <c r="A204" s="30">
        <v>5.7918161359718709</v>
      </c>
      <c r="E204"/>
    </row>
    <row r="205" spans="1:151" x14ac:dyDescent="0.25">
      <c r="A205" s="30">
        <v>5.5160153675922574</v>
      </c>
      <c r="E205"/>
    </row>
    <row r="206" spans="1:151" x14ac:dyDescent="0.25">
      <c r="A206" s="30">
        <v>5.2533479691354827</v>
      </c>
      <c r="C206"/>
      <c r="D206"/>
      <c r="E206"/>
    </row>
    <row r="207" spans="1:151" x14ac:dyDescent="0.25">
      <c r="A207" s="30">
        <v>5.0031885420337927</v>
      </c>
      <c r="E207"/>
    </row>
    <row r="208" spans="1:151" x14ac:dyDescent="0.25">
      <c r="A208" s="30">
        <v>4.7649414686036122</v>
      </c>
      <c r="E208"/>
      <c r="EU208" s="31" t="s">
        <v>8</v>
      </c>
    </row>
    <row r="209" spans="1:166" x14ac:dyDescent="0.25">
      <c r="A209" s="30">
        <v>4.5380394939082018</v>
      </c>
      <c r="E209"/>
      <c r="EU209" s="27" t="s">
        <v>8</v>
      </c>
      <c r="EV209" s="31" t="s">
        <v>7</v>
      </c>
    </row>
    <row r="210" spans="1:166" x14ac:dyDescent="0.25">
      <c r="A210" s="30">
        <v>4.3219423751506678</v>
      </c>
      <c r="C210"/>
      <c r="E210"/>
      <c r="EU210" s="27" t="s">
        <v>8</v>
      </c>
      <c r="EV210" s="27" t="s">
        <v>7</v>
      </c>
      <c r="EW210" s="31"/>
    </row>
    <row r="211" spans="1:166" x14ac:dyDescent="0.25">
      <c r="A211" s="30">
        <v>4.1161355953815884</v>
      </c>
      <c r="E211"/>
      <c r="EU211" s="27" t="s">
        <v>8</v>
      </c>
      <c r="EV211" s="27" t="s">
        <v>7</v>
      </c>
      <c r="EX211" s="31"/>
    </row>
    <row r="212" spans="1:166" x14ac:dyDescent="0.25">
      <c r="A212" s="30">
        <v>3.9201291384586554</v>
      </c>
      <c r="E212"/>
      <c r="CK212" s="27" t="s">
        <v>8</v>
      </c>
      <c r="ES212" s="27" t="s">
        <v>8</v>
      </c>
      <c r="EU212" s="27" t="s">
        <v>8</v>
      </c>
      <c r="EV212" s="27" t="s">
        <v>7</v>
      </c>
      <c r="EW212" s="27" t="s">
        <v>8</v>
      </c>
      <c r="EY212" s="31"/>
    </row>
    <row r="213" spans="1:166" x14ac:dyDescent="0.25">
      <c r="A213" s="30">
        <v>3.7334563223415764</v>
      </c>
      <c r="E213"/>
      <c r="CK213" s="27" t="s">
        <v>8</v>
      </c>
      <c r="CL213" s="27" t="s">
        <v>7</v>
      </c>
      <c r="ES213" s="27" t="s">
        <v>8</v>
      </c>
      <c r="ET213" s="27" t="s">
        <v>7</v>
      </c>
      <c r="EU213" s="27" t="s">
        <v>8</v>
      </c>
      <c r="EV213" s="27" t="s">
        <v>7</v>
      </c>
      <c r="EW213" s="27" t="s">
        <v>8</v>
      </c>
      <c r="EX213" s="27" t="s">
        <v>7</v>
      </c>
      <c r="EZ213" s="31"/>
    </row>
    <row r="214" spans="1:166" x14ac:dyDescent="0.25">
      <c r="A214" s="30">
        <v>3.5556726879443583</v>
      </c>
      <c r="E214"/>
      <c r="CK214" s="27" t="s">
        <v>8</v>
      </c>
      <c r="CL214" s="27" t="s">
        <v>7</v>
      </c>
      <c r="EO214" s="27" t="s">
        <v>8</v>
      </c>
      <c r="ES214" s="27" t="s">
        <v>8</v>
      </c>
      <c r="ET214" s="27" t="s">
        <v>7</v>
      </c>
      <c r="EU214" s="27" t="s">
        <v>8</v>
      </c>
      <c r="EV214" s="27" t="s">
        <v>7</v>
      </c>
      <c r="EW214" s="27" t="s">
        <v>8</v>
      </c>
      <c r="EX214" s="27" t="s">
        <v>7</v>
      </c>
      <c r="FA214" s="31"/>
    </row>
    <row r="215" spans="1:166" x14ac:dyDescent="0.25">
      <c r="A215" s="30">
        <v>3.3863549408993889</v>
      </c>
      <c r="E215"/>
      <c r="CK215" s="27" t="s">
        <v>8</v>
      </c>
      <c r="CL215" s="27" t="s">
        <v>7</v>
      </c>
      <c r="EI215" s="27" t="s">
        <v>8</v>
      </c>
      <c r="EM215" s="27" t="s">
        <v>8</v>
      </c>
      <c r="EO215" s="27" t="s">
        <v>8</v>
      </c>
      <c r="EP215" s="27" t="s">
        <v>7</v>
      </c>
      <c r="ES215" s="27" t="s">
        <v>8</v>
      </c>
      <c r="ET215" s="27" t="s">
        <v>7</v>
      </c>
      <c r="EU215" s="27" t="s">
        <v>8</v>
      </c>
      <c r="EV215" s="27" t="s">
        <v>7</v>
      </c>
      <c r="EW215" s="27" t="s">
        <v>8</v>
      </c>
      <c r="EX215" s="27" t="s">
        <v>7</v>
      </c>
    </row>
    <row r="216" spans="1:166" x14ac:dyDescent="0.25">
      <c r="A216" s="30">
        <v>3.2250999437137038</v>
      </c>
      <c r="E216"/>
      <c r="CK216" s="27" t="s">
        <v>8</v>
      </c>
      <c r="CL216" s="27" t="s">
        <v>7</v>
      </c>
      <c r="CM216" s="27" t="s">
        <v>8</v>
      </c>
      <c r="EI216" s="27" t="s">
        <v>8</v>
      </c>
      <c r="EJ216" s="27" t="s">
        <v>7</v>
      </c>
      <c r="EK216" s="27" t="s">
        <v>8</v>
      </c>
      <c r="EM216" s="27" t="s">
        <v>8</v>
      </c>
      <c r="EN216" s="27" t="s">
        <v>7</v>
      </c>
      <c r="EO216" s="27" t="s">
        <v>8</v>
      </c>
      <c r="EP216" s="27" t="s">
        <v>7</v>
      </c>
      <c r="EQ216" s="27" t="s">
        <v>8</v>
      </c>
      <c r="ES216" s="27" t="s">
        <v>8</v>
      </c>
      <c r="ET216" s="27" t="s">
        <v>7</v>
      </c>
      <c r="EV216" s="27" t="s">
        <v>7</v>
      </c>
      <c r="EX216" s="27" t="s">
        <v>7</v>
      </c>
      <c r="FC216" s="27" t="s">
        <v>8</v>
      </c>
    </row>
    <row r="217" spans="1:166" x14ac:dyDescent="0.25">
      <c r="A217" s="30">
        <v>3.0715237559178128</v>
      </c>
      <c r="E217"/>
      <c r="CE217" s="27" t="s">
        <v>8</v>
      </c>
      <c r="CK217" s="27" t="s">
        <v>8</v>
      </c>
      <c r="CL217" s="27" t="s">
        <v>7</v>
      </c>
      <c r="CM217" s="27" t="s">
        <v>8</v>
      </c>
      <c r="CN217" s="27" t="s">
        <v>7</v>
      </c>
      <c r="EI217" s="27" t="s">
        <v>8</v>
      </c>
      <c r="EJ217" s="27" t="s">
        <v>7</v>
      </c>
      <c r="EK217" s="27" t="s">
        <v>8</v>
      </c>
      <c r="EL217" s="27" t="s">
        <v>7</v>
      </c>
      <c r="EM217" s="27" t="s">
        <v>8</v>
      </c>
      <c r="EN217" s="27" t="s">
        <v>7</v>
      </c>
      <c r="EO217" s="27" t="s">
        <v>8</v>
      </c>
      <c r="EP217" s="27" t="s">
        <v>7</v>
      </c>
      <c r="EQ217" s="27" t="s">
        <v>8</v>
      </c>
      <c r="ER217" s="27" t="s">
        <v>7</v>
      </c>
      <c r="ES217" s="27" t="s">
        <v>8</v>
      </c>
      <c r="EX217" s="27" t="s">
        <v>7</v>
      </c>
      <c r="EY217" s="27" t="s">
        <v>8</v>
      </c>
      <c r="FC217" s="27" t="s">
        <v>8</v>
      </c>
      <c r="FD217" s="27" t="s">
        <v>7</v>
      </c>
    </row>
    <row r="218" spans="1:166" x14ac:dyDescent="0.25">
      <c r="A218" s="30">
        <v>2.9252607199217264</v>
      </c>
      <c r="E218"/>
      <c r="CE218" s="27" t="s">
        <v>8</v>
      </c>
      <c r="CF218" s="27" t="s">
        <v>7</v>
      </c>
      <c r="CK218" s="27" t="s">
        <v>8</v>
      </c>
      <c r="CL218" s="27" t="s">
        <v>7</v>
      </c>
      <c r="CM218" s="27" t="s">
        <v>8</v>
      </c>
      <c r="CN218" s="27" t="s">
        <v>7</v>
      </c>
      <c r="EI218" s="27" t="s">
        <v>8</v>
      </c>
      <c r="EJ218" s="27" t="s">
        <v>7</v>
      </c>
      <c r="EK218" s="27" t="s">
        <v>8</v>
      </c>
      <c r="EL218" s="27" t="s">
        <v>7</v>
      </c>
      <c r="EM218" s="27" t="s">
        <v>8</v>
      </c>
      <c r="EN218" s="27" t="s">
        <v>7</v>
      </c>
      <c r="EP218" s="27" t="s">
        <v>7</v>
      </c>
      <c r="EQ218" s="27" t="s">
        <v>8</v>
      </c>
      <c r="ER218" s="27" t="s">
        <v>7</v>
      </c>
      <c r="ES218" s="27" t="s">
        <v>8</v>
      </c>
      <c r="EX218" s="31" t="s">
        <v>7</v>
      </c>
      <c r="EY218" s="27" t="s">
        <v>8</v>
      </c>
      <c r="EZ218" s="27" t="s">
        <v>7</v>
      </c>
      <c r="FA218" s="27" t="s">
        <v>8</v>
      </c>
      <c r="FC218" s="27" t="s">
        <v>8</v>
      </c>
      <c r="FD218" s="27" t="s">
        <v>7</v>
      </c>
      <c r="FE218" s="27" t="s">
        <v>8</v>
      </c>
    </row>
    <row r="219" spans="1:166" x14ac:dyDescent="0.25">
      <c r="A219" s="30">
        <v>2.7859625904016441</v>
      </c>
      <c r="E219"/>
      <c r="CE219" s="27" t="s">
        <v>8</v>
      </c>
      <c r="CF219" s="27" t="s">
        <v>7</v>
      </c>
      <c r="CG219" s="27" t="s">
        <v>8</v>
      </c>
      <c r="CK219" s="27" t="s">
        <v>8</v>
      </c>
      <c r="CL219" s="27" t="s">
        <v>7</v>
      </c>
      <c r="CN219" s="27" t="s">
        <v>7</v>
      </c>
      <c r="CO219" s="33" t="s">
        <v>8</v>
      </c>
      <c r="CQ219" s="33" t="s">
        <v>8</v>
      </c>
      <c r="CS219" s="33" t="s">
        <v>8</v>
      </c>
      <c r="EI219" s="27" t="s">
        <v>8</v>
      </c>
      <c r="EJ219" s="27" t="s">
        <v>7</v>
      </c>
      <c r="EK219" s="27" t="s">
        <v>8</v>
      </c>
      <c r="EL219" s="27" t="s">
        <v>7</v>
      </c>
      <c r="EP219" s="27" t="s">
        <v>7</v>
      </c>
      <c r="EQ219" s="27" t="s">
        <v>8</v>
      </c>
      <c r="ER219" s="27" t="s">
        <v>7</v>
      </c>
      <c r="ES219" s="27" t="s">
        <v>8</v>
      </c>
      <c r="EW219" s="31"/>
      <c r="EX219" s="27" t="s">
        <v>7</v>
      </c>
      <c r="EY219" s="27" t="s">
        <v>8</v>
      </c>
      <c r="EZ219" s="27" t="s">
        <v>7</v>
      </c>
      <c r="FA219" s="27" t="s">
        <v>8</v>
      </c>
      <c r="FB219" s="27" t="s">
        <v>7</v>
      </c>
      <c r="FC219" s="27" t="s">
        <v>8</v>
      </c>
      <c r="FD219" s="27" t="s">
        <v>7</v>
      </c>
      <c r="FE219" s="27" t="s">
        <v>8</v>
      </c>
      <c r="FF219" s="27" t="s">
        <v>7</v>
      </c>
    </row>
    <row r="220" spans="1:166" x14ac:dyDescent="0.25">
      <c r="A220" s="30">
        <v>2.6532977051444226</v>
      </c>
      <c r="E220"/>
      <c r="CE220" s="27" t="s">
        <v>8</v>
      </c>
      <c r="CF220" s="27" t="s">
        <v>7</v>
      </c>
      <c r="CG220" s="27" t="s">
        <v>8</v>
      </c>
      <c r="CH220" s="27" t="s">
        <v>7</v>
      </c>
      <c r="CK220" s="34" t="s">
        <v>8</v>
      </c>
      <c r="CN220" s="32" t="s">
        <v>7</v>
      </c>
      <c r="CO220" s="27" t="s">
        <v>8</v>
      </c>
      <c r="CP220" s="27" t="s">
        <v>7</v>
      </c>
      <c r="CQ220" s="27" t="s">
        <v>8</v>
      </c>
      <c r="CR220" s="27" t="s">
        <v>7</v>
      </c>
      <c r="CS220" s="27" t="s">
        <v>8</v>
      </c>
      <c r="CT220" s="27" t="s">
        <v>7</v>
      </c>
      <c r="CU220" s="27" t="s">
        <v>8</v>
      </c>
      <c r="EI220" s="27" t="s">
        <v>8</v>
      </c>
      <c r="EJ220" s="27" t="s">
        <v>7</v>
      </c>
      <c r="EK220" s="27" t="s">
        <v>8</v>
      </c>
      <c r="EP220" s="27" t="s">
        <v>7</v>
      </c>
      <c r="ER220" s="27" t="s">
        <v>7</v>
      </c>
      <c r="EV220" s="31"/>
      <c r="EX220" s="27" t="s">
        <v>7</v>
      </c>
      <c r="EY220" s="27" t="s">
        <v>8</v>
      </c>
      <c r="EZ220" s="27" t="s">
        <v>7</v>
      </c>
      <c r="FA220" s="27" t="s">
        <v>8</v>
      </c>
      <c r="FB220" s="27" t="s">
        <v>7</v>
      </c>
      <c r="FC220" s="27" t="s">
        <v>8</v>
      </c>
      <c r="FD220" s="27" t="s">
        <v>7</v>
      </c>
      <c r="FE220" s="27" t="s">
        <v>8</v>
      </c>
      <c r="FF220" s="27" t="s">
        <v>7</v>
      </c>
      <c r="FG220" s="27" t="s">
        <v>8</v>
      </c>
      <c r="FI220" s="27" t="s">
        <v>8</v>
      </c>
    </row>
    <row r="221" spans="1:166" x14ac:dyDescent="0.25">
      <c r="A221" s="30">
        <v>2.5269501953756404</v>
      </c>
      <c r="E221"/>
      <c r="CE221" s="27" t="s">
        <v>8</v>
      </c>
      <c r="CF221" s="27" t="s">
        <v>7</v>
      </c>
      <c r="CG221" s="27" t="s">
        <v>8</v>
      </c>
      <c r="CH221" s="27" t="s">
        <v>7</v>
      </c>
      <c r="CI221" s="27" t="s">
        <v>8</v>
      </c>
      <c r="CK221" s="27" t="s">
        <v>8</v>
      </c>
      <c r="CN221" s="27" t="s">
        <v>7</v>
      </c>
      <c r="CO221" s="27" t="s">
        <v>8</v>
      </c>
      <c r="CP221" s="27" t="s">
        <v>7</v>
      </c>
      <c r="CQ221" s="27" t="s">
        <v>8</v>
      </c>
      <c r="CR221" s="27" t="s">
        <v>7</v>
      </c>
      <c r="CS221" s="27" t="s">
        <v>8</v>
      </c>
      <c r="CT221" s="27" t="s">
        <v>7</v>
      </c>
      <c r="CU221" s="27" t="s">
        <v>8</v>
      </c>
      <c r="CV221" s="27" t="s">
        <v>7</v>
      </c>
      <c r="CW221" s="31" t="s">
        <v>8</v>
      </c>
      <c r="EI221" s="27" t="s">
        <v>8</v>
      </c>
      <c r="EJ221" s="27" t="s">
        <v>7</v>
      </c>
      <c r="EK221" s="27" t="s">
        <v>8</v>
      </c>
      <c r="EU221" s="31"/>
      <c r="EX221" s="27" t="s">
        <v>7</v>
      </c>
      <c r="EY221" s="27" t="s">
        <v>8</v>
      </c>
      <c r="EZ221" s="27" t="s">
        <v>7</v>
      </c>
      <c r="FA221" s="27" t="s">
        <v>8</v>
      </c>
      <c r="FB221" s="27" t="s">
        <v>7</v>
      </c>
      <c r="FC221" s="27" t="s">
        <v>8</v>
      </c>
      <c r="FD221" s="27" t="s">
        <v>7</v>
      </c>
      <c r="FF221" s="27" t="s">
        <v>7</v>
      </c>
      <c r="FG221" s="27" t="s">
        <v>8</v>
      </c>
      <c r="FH221" s="27" t="s">
        <v>7</v>
      </c>
      <c r="FI221" s="27" t="s">
        <v>8</v>
      </c>
      <c r="FJ221" s="27" t="s">
        <v>7</v>
      </c>
    </row>
    <row r="222" spans="1:166" x14ac:dyDescent="0.25">
      <c r="A222" s="30">
        <v>2.4066192336910861</v>
      </c>
      <c r="E222"/>
      <c r="CE222" s="27" t="s">
        <v>8</v>
      </c>
      <c r="CF222" s="27" t="s">
        <v>7</v>
      </c>
      <c r="CG222" s="27" t="s">
        <v>8</v>
      </c>
      <c r="CH222" s="27" t="s">
        <v>7</v>
      </c>
      <c r="CI222" s="27" t="s">
        <v>8</v>
      </c>
      <c r="CJ222" s="27" t="s">
        <v>7</v>
      </c>
      <c r="CK222" s="27" t="s">
        <v>8</v>
      </c>
      <c r="CN222" s="27" t="s">
        <v>7</v>
      </c>
      <c r="CO222" s="27" t="s">
        <v>8</v>
      </c>
      <c r="CP222" s="27" t="s">
        <v>7</v>
      </c>
      <c r="CQ222" s="27" t="s">
        <v>8</v>
      </c>
      <c r="CR222" s="27" t="s">
        <v>7</v>
      </c>
      <c r="CS222" s="27" t="s">
        <v>8</v>
      </c>
      <c r="CT222" s="27" t="s">
        <v>7</v>
      </c>
      <c r="CU222" s="27" t="s">
        <v>8</v>
      </c>
      <c r="CV222" s="27" t="s">
        <v>7</v>
      </c>
      <c r="CW222" s="27" t="s">
        <v>8</v>
      </c>
      <c r="CX222" s="31" t="s">
        <v>7</v>
      </c>
      <c r="EI222" s="27" t="s">
        <v>8</v>
      </c>
      <c r="EJ222" s="27" t="s">
        <v>7</v>
      </c>
      <c r="ET222" s="31"/>
      <c r="EX222" s="27" t="s">
        <v>7</v>
      </c>
      <c r="EY222" s="27" t="s">
        <v>8</v>
      </c>
      <c r="EZ222" s="27" t="s">
        <v>7</v>
      </c>
      <c r="FB222" s="27" t="s">
        <v>7</v>
      </c>
      <c r="FC222" s="27" t="s">
        <v>8</v>
      </c>
      <c r="FF222" s="27" t="s">
        <v>7</v>
      </c>
      <c r="FG222" s="27" t="s">
        <v>8</v>
      </c>
      <c r="FH222" s="27" t="s">
        <v>7</v>
      </c>
      <c r="FI222" s="27" t="s">
        <v>8</v>
      </c>
      <c r="FJ222" s="27" t="s">
        <v>7</v>
      </c>
    </row>
    <row r="223" spans="1:166" x14ac:dyDescent="0.25">
      <c r="A223" s="30">
        <v>2.2920183178010345</v>
      </c>
      <c r="E223"/>
      <c r="CE223" s="27" t="s">
        <v>8</v>
      </c>
      <c r="CF223" s="27" t="s">
        <v>7</v>
      </c>
      <c r="CH223" s="27" t="s">
        <v>7</v>
      </c>
      <c r="CI223" s="27" t="s">
        <v>8</v>
      </c>
      <c r="CJ223" s="27" t="s">
        <v>7</v>
      </c>
      <c r="CK223" s="27" t="s">
        <v>8</v>
      </c>
      <c r="CN223" s="27" t="s">
        <v>7</v>
      </c>
      <c r="CO223" s="27" t="s">
        <v>8</v>
      </c>
      <c r="CP223" s="27" t="s">
        <v>7</v>
      </c>
      <c r="CQ223" s="27" t="s">
        <v>8</v>
      </c>
      <c r="CR223" s="27" t="s">
        <v>7</v>
      </c>
      <c r="CS223" s="27" t="s">
        <v>8</v>
      </c>
      <c r="CT223" s="27" t="s">
        <v>7</v>
      </c>
      <c r="CV223" s="27" t="s">
        <v>7</v>
      </c>
      <c r="CW223" s="27" t="s">
        <v>8</v>
      </c>
      <c r="CX223" s="27" t="s">
        <v>7</v>
      </c>
      <c r="CY223" s="31"/>
      <c r="EA223" s="31" t="s">
        <v>8</v>
      </c>
      <c r="EI223" s="27" t="s">
        <v>8</v>
      </c>
      <c r="ES223" s="31"/>
      <c r="EX223" s="27" t="s">
        <v>7</v>
      </c>
      <c r="EY223" s="27" t="s">
        <v>8</v>
      </c>
      <c r="FB223" s="27" t="s">
        <v>7</v>
      </c>
      <c r="FC223" s="27" t="s">
        <v>8</v>
      </c>
      <c r="FF223" s="27" t="s">
        <v>7</v>
      </c>
      <c r="FH223" s="27" t="s">
        <v>7</v>
      </c>
      <c r="FI223" s="27" t="s">
        <v>8</v>
      </c>
      <c r="FJ223" s="27" t="s">
        <v>7</v>
      </c>
    </row>
    <row r="224" spans="1:166" x14ac:dyDescent="0.25">
      <c r="A224" s="30">
        <v>2.1828745883819374</v>
      </c>
      <c r="E224"/>
      <c r="CE224" s="27" t="s">
        <v>8</v>
      </c>
      <c r="CH224" s="32" t="s">
        <v>7</v>
      </c>
      <c r="CI224" s="27" t="s">
        <v>8</v>
      </c>
      <c r="CJ224" s="27" t="s">
        <v>7</v>
      </c>
      <c r="CK224" s="27" t="s">
        <v>8</v>
      </c>
      <c r="CN224" s="33" t="s">
        <v>7</v>
      </c>
      <c r="CO224" s="19"/>
      <c r="CP224" s="33" t="s">
        <v>7</v>
      </c>
      <c r="CR224" s="27" t="s">
        <v>7</v>
      </c>
      <c r="CS224" s="27" t="s">
        <v>8</v>
      </c>
      <c r="CV224" s="27" t="s">
        <v>7</v>
      </c>
      <c r="CW224" s="27" t="s">
        <v>8</v>
      </c>
      <c r="CX224" s="27" t="s">
        <v>7</v>
      </c>
      <c r="CZ224" s="31"/>
      <c r="DY224" s="27" t="s">
        <v>8</v>
      </c>
      <c r="EA224" s="27" t="s">
        <v>8</v>
      </c>
      <c r="EB224" s="31" t="s">
        <v>7</v>
      </c>
      <c r="EI224" s="27" t="s">
        <v>8</v>
      </c>
      <c r="ER224" s="31"/>
      <c r="EX224" s="27" t="s">
        <v>7</v>
      </c>
      <c r="EY224" s="27" t="s">
        <v>8</v>
      </c>
      <c r="FB224" s="27" t="s">
        <v>7</v>
      </c>
      <c r="FH224" s="27" t="s">
        <v>7</v>
      </c>
      <c r="FJ224" s="27" t="s">
        <v>7</v>
      </c>
    </row>
    <row r="225" spans="1:169" x14ac:dyDescent="0.25">
      <c r="A225" s="30">
        <v>2.0789281794113688</v>
      </c>
      <c r="E225"/>
      <c r="CE225" s="27" t="s">
        <v>8</v>
      </c>
      <c r="CH225" s="27" t="s">
        <v>7</v>
      </c>
      <c r="CI225" s="27" t="s">
        <v>8</v>
      </c>
      <c r="CJ225" s="27" t="s">
        <v>7</v>
      </c>
      <c r="CR225" s="27" t="s">
        <v>7</v>
      </c>
      <c r="CS225" s="27" t="s">
        <v>8</v>
      </c>
      <c r="CV225" s="27" t="s">
        <v>7</v>
      </c>
      <c r="CX225" s="27" t="s">
        <v>7</v>
      </c>
      <c r="DA225" s="31"/>
      <c r="DY225" s="27" t="s">
        <v>8</v>
      </c>
      <c r="DZ225" s="27" t="s">
        <v>7</v>
      </c>
      <c r="EA225" s="27" t="s">
        <v>8</v>
      </c>
      <c r="EB225" s="27" t="s">
        <v>7</v>
      </c>
      <c r="EC225" s="31"/>
      <c r="EI225" s="27" t="s">
        <v>8</v>
      </c>
      <c r="EQ225" s="31"/>
      <c r="EX225" s="27" t="s">
        <v>7</v>
      </c>
      <c r="FJ225" s="27" t="s">
        <v>7</v>
      </c>
    </row>
    <row r="226" spans="1:169" x14ac:dyDescent="0.25">
      <c r="A226" s="30">
        <v>1.9799315994393987</v>
      </c>
      <c r="E226"/>
      <c r="CE226" s="27" t="s">
        <v>8</v>
      </c>
      <c r="CH226" s="27" t="s">
        <v>7</v>
      </c>
      <c r="CR226" s="27" t="s">
        <v>7</v>
      </c>
      <c r="CS226" s="27" t="s">
        <v>8</v>
      </c>
      <c r="CX226" s="27" t="s">
        <v>7</v>
      </c>
      <c r="DB226" s="31"/>
      <c r="DE226" s="27" t="s">
        <v>8</v>
      </c>
      <c r="DY226" s="27" t="s">
        <v>8</v>
      </c>
      <c r="DZ226" s="27" t="s">
        <v>7</v>
      </c>
      <c r="EA226" s="27" t="s">
        <v>8</v>
      </c>
      <c r="EB226" s="27" t="s">
        <v>7</v>
      </c>
      <c r="ED226" s="31"/>
      <c r="EI226" s="27" t="s">
        <v>8</v>
      </c>
      <c r="EP226" s="31"/>
      <c r="FJ226" s="27" t="s">
        <v>7</v>
      </c>
    </row>
    <row r="227" spans="1:169" x14ac:dyDescent="0.25">
      <c r="A227" s="30">
        <v>1.8856491423232367</v>
      </c>
      <c r="E227"/>
      <c r="CC227" s="27" t="s">
        <v>8</v>
      </c>
      <c r="CE227" s="27" t="s">
        <v>8</v>
      </c>
      <c r="CR227" s="27" t="s">
        <v>7</v>
      </c>
      <c r="CS227" s="27" t="s">
        <v>8</v>
      </c>
      <c r="CX227" s="27" t="s">
        <v>7</v>
      </c>
      <c r="DC227" s="31"/>
      <c r="DE227" s="27" t="s">
        <v>8</v>
      </c>
      <c r="DF227" s="27" t="s">
        <v>7</v>
      </c>
      <c r="DY227" s="27" t="s">
        <v>8</v>
      </c>
      <c r="DZ227" s="27" t="s">
        <v>7</v>
      </c>
      <c r="EA227" s="27" t="s">
        <v>8</v>
      </c>
      <c r="EB227" s="27" t="s">
        <v>7</v>
      </c>
      <c r="EE227" s="31"/>
      <c r="EI227" s="27" t="s">
        <v>8</v>
      </c>
      <c r="EO227" s="31"/>
      <c r="FJ227" s="27" t="s">
        <v>7</v>
      </c>
    </row>
    <row r="228" spans="1:169" x14ac:dyDescent="0.25">
      <c r="A228" s="30">
        <v>1.7958563260221301</v>
      </c>
      <c r="C228" s="7"/>
      <c r="D228"/>
      <c r="E228"/>
      <c r="CC228" s="27" t="s">
        <v>8</v>
      </c>
      <c r="CD228" s="27" t="s">
        <v>7</v>
      </c>
      <c r="CE228" s="27" t="s">
        <v>8</v>
      </c>
      <c r="CR228" s="27" t="s">
        <v>7</v>
      </c>
      <c r="CS228" s="27" t="s">
        <v>8</v>
      </c>
      <c r="CX228" s="27" t="s">
        <v>7</v>
      </c>
      <c r="DD228" s="31"/>
      <c r="DE228" s="27" t="s">
        <v>8</v>
      </c>
      <c r="DF228" s="27" t="s">
        <v>7</v>
      </c>
      <c r="DY228" s="27" t="s">
        <v>8</v>
      </c>
      <c r="DZ228" s="27" t="s">
        <v>7</v>
      </c>
      <c r="EB228" s="27" t="s">
        <v>7</v>
      </c>
      <c r="EC228" s="27" t="s">
        <v>8</v>
      </c>
      <c r="EF228" s="31"/>
      <c r="EI228" s="27" t="s">
        <v>8</v>
      </c>
      <c r="EN228" s="31"/>
      <c r="FJ228" s="27" t="s">
        <v>7</v>
      </c>
    </row>
    <row r="229" spans="1:169" x14ac:dyDescent="0.25">
      <c r="A229" s="30">
        <v>1.7103393581163142</v>
      </c>
      <c r="E229"/>
      <c r="CC229" s="27" t="s">
        <v>8</v>
      </c>
      <c r="CD229" s="27" t="s">
        <v>7</v>
      </c>
      <c r="CE229" s="27" t="s">
        <v>8</v>
      </c>
      <c r="CR229" s="27" t="s">
        <v>7</v>
      </c>
      <c r="CX229" s="27" t="s">
        <v>7</v>
      </c>
      <c r="DE229" s="31" t="s">
        <v>8</v>
      </c>
      <c r="DF229" s="27" t="s">
        <v>7</v>
      </c>
      <c r="DG229" s="33" t="s">
        <v>8</v>
      </c>
      <c r="DI229" s="33" t="s">
        <v>8</v>
      </c>
      <c r="DW229" s="27" t="s">
        <v>8</v>
      </c>
      <c r="DY229" s="27" t="s">
        <v>8</v>
      </c>
      <c r="EB229" s="32" t="s">
        <v>7</v>
      </c>
      <c r="EC229" s="27" t="s">
        <v>8</v>
      </c>
      <c r="ED229" s="27" t="s">
        <v>7</v>
      </c>
      <c r="EG229" s="31" t="s">
        <v>8</v>
      </c>
      <c r="EI229" s="27" t="s">
        <v>8</v>
      </c>
      <c r="EM229" s="31"/>
      <c r="FJ229" s="27" t="s">
        <v>7</v>
      </c>
      <c r="FM229" s="27" t="s">
        <v>8</v>
      </c>
    </row>
    <row r="230" spans="1:169" x14ac:dyDescent="0.25">
      <c r="A230" s="30">
        <v>1.628894626777442</v>
      </c>
      <c r="E230"/>
      <c r="CC230" s="27" t="s">
        <v>8</v>
      </c>
      <c r="CD230" s="27" t="s">
        <v>7</v>
      </c>
      <c r="CE230" s="27" t="s">
        <v>8</v>
      </c>
      <c r="CX230" s="27" t="s">
        <v>7</v>
      </c>
      <c r="DE230" s="27" t="s">
        <v>8</v>
      </c>
      <c r="DF230" s="27" t="s">
        <v>7</v>
      </c>
      <c r="DG230" s="27" t="s">
        <v>8</v>
      </c>
      <c r="DH230" s="27" t="s">
        <v>7</v>
      </c>
      <c r="DI230" s="27" t="s">
        <v>8</v>
      </c>
      <c r="DJ230" s="27" t="s">
        <v>7</v>
      </c>
      <c r="DW230" s="27" t="s">
        <v>8</v>
      </c>
      <c r="DX230" s="27" t="s">
        <v>7</v>
      </c>
      <c r="DY230" s="27" t="s">
        <v>8</v>
      </c>
      <c r="EB230" s="27" t="s">
        <v>7</v>
      </c>
      <c r="EC230" s="27" t="s">
        <v>8</v>
      </c>
      <c r="ED230" s="27" t="s">
        <v>7</v>
      </c>
      <c r="EG230" s="19" t="s">
        <v>8</v>
      </c>
      <c r="EH230" s="31" t="s">
        <v>7</v>
      </c>
      <c r="EI230" s="27" t="s">
        <v>8</v>
      </c>
      <c r="EL230" s="31"/>
      <c r="FJ230" s="27" t="s">
        <v>7</v>
      </c>
      <c r="FK230" s="27" t="s">
        <v>8</v>
      </c>
      <c r="FM230" s="27" t="s">
        <v>8</v>
      </c>
    </row>
    <row r="231" spans="1:169" x14ac:dyDescent="0.25">
      <c r="A231" s="30">
        <v>1.5513282159785162</v>
      </c>
      <c r="C231"/>
      <c r="D231"/>
      <c r="E231"/>
      <c r="CC231" s="27" t="s">
        <v>8</v>
      </c>
      <c r="CD231" s="27" t="s">
        <v>7</v>
      </c>
      <c r="CX231" s="27" t="s">
        <v>7</v>
      </c>
      <c r="CY231" s="27" t="s">
        <v>8</v>
      </c>
      <c r="DE231" s="27" t="s">
        <v>8</v>
      </c>
      <c r="DF231" s="27" t="s">
        <v>7</v>
      </c>
      <c r="DG231" s="27" t="s">
        <v>8</v>
      </c>
      <c r="DH231" s="27" t="s">
        <v>7</v>
      </c>
      <c r="DI231" s="27" t="s">
        <v>8</v>
      </c>
      <c r="DJ231" s="27" t="s">
        <v>7</v>
      </c>
      <c r="DK231" s="27" t="s">
        <v>8</v>
      </c>
      <c r="DW231" s="27" t="s">
        <v>8</v>
      </c>
      <c r="DX231" s="27" t="s">
        <v>7</v>
      </c>
      <c r="DY231" s="27" t="s">
        <v>8</v>
      </c>
      <c r="EB231" s="27" t="s">
        <v>7</v>
      </c>
      <c r="EC231" s="27" t="s">
        <v>8</v>
      </c>
      <c r="ED231" s="27" t="s">
        <v>7</v>
      </c>
      <c r="EF231" s="19"/>
      <c r="EG231" s="34" t="s">
        <v>8</v>
      </c>
      <c r="EH231" s="27" t="s">
        <v>7</v>
      </c>
      <c r="EI231" s="27" t="s">
        <v>8</v>
      </c>
      <c r="EK231" s="31"/>
      <c r="FJ231" s="27" t="s">
        <v>7</v>
      </c>
      <c r="FK231" s="27" t="s">
        <v>8</v>
      </c>
      <c r="FL231" s="27" t="s">
        <v>7</v>
      </c>
      <c r="FM231" s="27" t="s">
        <v>8</v>
      </c>
    </row>
    <row r="232" spans="1:169" x14ac:dyDescent="0.25">
      <c r="A232" s="30">
        <v>1.477455443789063</v>
      </c>
      <c r="E232"/>
      <c r="CA232" s="27" t="s">
        <v>8</v>
      </c>
      <c r="CC232" s="27" t="s">
        <v>8</v>
      </c>
      <c r="CX232" s="27" t="s">
        <v>7</v>
      </c>
      <c r="CY232" s="27" t="s">
        <v>8</v>
      </c>
      <c r="CZ232" s="27" t="s">
        <v>7</v>
      </c>
      <c r="DE232" s="27" t="s">
        <v>8</v>
      </c>
      <c r="DF232" s="27" t="s">
        <v>7</v>
      </c>
      <c r="DG232" s="27" t="s">
        <v>8</v>
      </c>
      <c r="DH232" s="27" t="s">
        <v>7</v>
      </c>
      <c r="DJ232" s="27" t="s">
        <v>7</v>
      </c>
      <c r="DK232" s="27" t="s">
        <v>8</v>
      </c>
      <c r="DL232" s="27" t="s">
        <v>7</v>
      </c>
      <c r="DM232" s="27" t="s">
        <v>8</v>
      </c>
      <c r="DQ232" s="27" t="s">
        <v>8</v>
      </c>
      <c r="DW232" s="34" t="s">
        <v>8</v>
      </c>
      <c r="DX232" s="27" t="s">
        <v>7</v>
      </c>
      <c r="EB232" s="27" t="s">
        <v>7</v>
      </c>
      <c r="ED232" s="27" t="s">
        <v>7</v>
      </c>
      <c r="EE232" s="31" t="s">
        <v>8</v>
      </c>
      <c r="EG232" s="27" t="s">
        <v>8</v>
      </c>
      <c r="EH232" s="27" t="s">
        <v>7</v>
      </c>
      <c r="EJ232" s="31"/>
      <c r="FJ232" s="27" t="s">
        <v>7</v>
      </c>
      <c r="FK232" s="27" t="s">
        <v>8</v>
      </c>
      <c r="FL232" s="27" t="s">
        <v>7</v>
      </c>
      <c r="FM232" s="27" t="s">
        <v>8</v>
      </c>
    </row>
    <row r="233" spans="1:169" x14ac:dyDescent="0.25">
      <c r="A233" s="30">
        <v>1.4071004226562505</v>
      </c>
      <c r="E233"/>
      <c r="CA233" s="27" t="s">
        <v>8</v>
      </c>
      <c r="CB233" s="27" t="s">
        <v>7</v>
      </c>
      <c r="CC233" s="27" t="s">
        <v>8</v>
      </c>
      <c r="CX233" s="27" t="s">
        <v>7</v>
      </c>
      <c r="CY233" s="27" t="s">
        <v>8</v>
      </c>
      <c r="CZ233" s="27" t="s">
        <v>7</v>
      </c>
      <c r="DE233" s="27" t="s">
        <v>8</v>
      </c>
      <c r="DF233" s="27" t="s">
        <v>7</v>
      </c>
      <c r="DG233" s="27" t="s">
        <v>8</v>
      </c>
      <c r="DJ233" s="32" t="s">
        <v>7</v>
      </c>
      <c r="DK233" s="27" t="s">
        <v>8</v>
      </c>
      <c r="DL233" s="27" t="s">
        <v>7</v>
      </c>
      <c r="DM233" s="27" t="s">
        <v>8</v>
      </c>
      <c r="DN233" s="27" t="s">
        <v>7</v>
      </c>
      <c r="DQ233" s="27" t="s">
        <v>8</v>
      </c>
      <c r="DR233" s="27" t="s">
        <v>7</v>
      </c>
      <c r="DS233" s="33" t="s">
        <v>8</v>
      </c>
      <c r="DU233" s="33" t="s">
        <v>8</v>
      </c>
      <c r="DW233" s="27" t="s">
        <v>8</v>
      </c>
      <c r="ED233" s="31" t="s">
        <v>7</v>
      </c>
      <c r="EE233" s="27" t="s">
        <v>8</v>
      </c>
      <c r="EF233" s="27" t="s">
        <v>7</v>
      </c>
      <c r="EG233" s="27" t="s">
        <v>8</v>
      </c>
      <c r="EI233" s="31"/>
      <c r="FJ233" s="27" t="s">
        <v>7</v>
      </c>
      <c r="FL233" s="27" t="s">
        <v>7</v>
      </c>
      <c r="FM233" s="27" t="s">
        <v>8</v>
      </c>
    </row>
    <row r="234" spans="1:169" x14ac:dyDescent="0.25">
      <c r="A234" s="30">
        <v>1.3400956406250004</v>
      </c>
      <c r="E234"/>
      <c r="CA234" s="27" t="s">
        <v>8</v>
      </c>
      <c r="CB234" s="27" t="s">
        <v>7</v>
      </c>
      <c r="CC234" s="27" t="s">
        <v>8</v>
      </c>
      <c r="CX234" s="27" t="s">
        <v>7</v>
      </c>
      <c r="CY234" s="27" t="s">
        <v>8</v>
      </c>
      <c r="CZ234" s="27" t="s">
        <v>7</v>
      </c>
      <c r="DC234" s="34" t="s">
        <v>8</v>
      </c>
      <c r="DE234" s="27" t="s">
        <v>8</v>
      </c>
      <c r="DF234" s="27" t="s">
        <v>7</v>
      </c>
      <c r="DG234" s="27" t="s">
        <v>8</v>
      </c>
      <c r="DJ234" s="27" t="s">
        <v>7</v>
      </c>
      <c r="DK234" s="27" t="s">
        <v>8</v>
      </c>
      <c r="DL234" s="27" t="s">
        <v>7</v>
      </c>
      <c r="DM234" s="27" t="s">
        <v>8</v>
      </c>
      <c r="DN234" s="27" t="s">
        <v>7</v>
      </c>
      <c r="DQ234" s="27" t="s">
        <v>8</v>
      </c>
      <c r="DR234" s="27" t="s">
        <v>7</v>
      </c>
      <c r="DS234" s="27" t="s">
        <v>8</v>
      </c>
      <c r="DT234" s="27" t="s">
        <v>7</v>
      </c>
      <c r="DU234" s="27" t="s">
        <v>8</v>
      </c>
      <c r="DV234" s="27" t="s">
        <v>7</v>
      </c>
      <c r="DW234" s="27" t="s">
        <v>8</v>
      </c>
      <c r="EC234" s="31"/>
      <c r="ED234" s="27" t="s">
        <v>7</v>
      </c>
      <c r="EE234" s="27" t="s">
        <v>8</v>
      </c>
      <c r="EF234" s="27" t="s">
        <v>7</v>
      </c>
      <c r="EG234" s="27" t="s">
        <v>8</v>
      </c>
      <c r="EH234" s="31"/>
      <c r="FL234" s="27" t="s">
        <v>7</v>
      </c>
    </row>
    <row r="235" spans="1:169" x14ac:dyDescent="0.25">
      <c r="A235" s="30">
        <v>1.2762815625000004</v>
      </c>
      <c r="C235"/>
      <c r="E235"/>
      <c r="CA235" s="27" t="s">
        <v>8</v>
      </c>
      <c r="CB235" s="27" t="s">
        <v>7</v>
      </c>
      <c r="CC235" s="27" t="s">
        <v>8</v>
      </c>
      <c r="CX235" s="27" t="s">
        <v>7</v>
      </c>
      <c r="CY235" s="27" t="s">
        <v>8</v>
      </c>
      <c r="CZ235" s="27" t="s">
        <v>7</v>
      </c>
      <c r="DA235" s="27" t="s">
        <v>8</v>
      </c>
      <c r="DC235" s="27" t="s">
        <v>8</v>
      </c>
      <c r="DD235" s="27" t="s">
        <v>7</v>
      </c>
      <c r="DE235" s="27" t="s">
        <v>8</v>
      </c>
      <c r="DF235" s="27" t="s">
        <v>7</v>
      </c>
      <c r="DJ235" s="27" t="s">
        <v>7</v>
      </c>
      <c r="DK235" s="27" t="s">
        <v>8</v>
      </c>
      <c r="DL235" s="27" t="s">
        <v>7</v>
      </c>
      <c r="DM235" s="27" t="s">
        <v>8</v>
      </c>
      <c r="DN235" s="27" t="s">
        <v>7</v>
      </c>
      <c r="DQ235" s="27" t="s">
        <v>8</v>
      </c>
      <c r="DR235" s="27" t="s">
        <v>7</v>
      </c>
      <c r="DS235" s="27" t="s">
        <v>8</v>
      </c>
      <c r="DT235" s="27" t="s">
        <v>7</v>
      </c>
      <c r="DU235" s="27" t="s">
        <v>8</v>
      </c>
      <c r="DV235" s="27" t="s">
        <v>7</v>
      </c>
      <c r="DW235" s="27" t="s">
        <v>8</v>
      </c>
      <c r="EB235" s="31"/>
      <c r="ED235" s="27" t="s">
        <v>7</v>
      </c>
      <c r="EE235" s="27" t="s">
        <v>8</v>
      </c>
      <c r="EF235" s="27" t="s">
        <v>7</v>
      </c>
      <c r="EG235" s="31" t="s">
        <v>8</v>
      </c>
    </row>
    <row r="236" spans="1:169" x14ac:dyDescent="0.25">
      <c r="A236" s="30">
        <v>1.2155062500000002</v>
      </c>
      <c r="E236"/>
      <c r="CA236" s="27" t="s">
        <v>8</v>
      </c>
      <c r="CB236" s="27" t="s">
        <v>7</v>
      </c>
      <c r="CC236" s="27" t="s">
        <v>8</v>
      </c>
      <c r="CX236" s="27" t="s">
        <v>7</v>
      </c>
      <c r="CY236" s="27" t="s">
        <v>8</v>
      </c>
      <c r="CZ236" s="27" t="s">
        <v>7</v>
      </c>
      <c r="DA236" s="27" t="s">
        <v>8</v>
      </c>
      <c r="DB236" s="27" t="s">
        <v>7</v>
      </c>
      <c r="DC236" s="27" t="s">
        <v>8</v>
      </c>
      <c r="DD236" s="27" t="s">
        <v>7</v>
      </c>
      <c r="DE236" s="27" t="s">
        <v>8</v>
      </c>
      <c r="DJ236" s="27" t="s">
        <v>7</v>
      </c>
      <c r="DK236" s="27" t="s">
        <v>8</v>
      </c>
      <c r="DL236" s="27" t="s">
        <v>7</v>
      </c>
      <c r="DM236" s="27" t="s">
        <v>8</v>
      </c>
      <c r="DN236" s="27" t="s">
        <v>7</v>
      </c>
      <c r="DQ236" s="27" t="s">
        <v>8</v>
      </c>
      <c r="DR236" s="27" t="s">
        <v>7</v>
      </c>
      <c r="DS236" s="27" t="s">
        <v>8</v>
      </c>
      <c r="DT236" s="27" t="s">
        <v>7</v>
      </c>
      <c r="DU236" s="27" t="s">
        <v>8</v>
      </c>
      <c r="DV236" s="27" t="s">
        <v>7</v>
      </c>
      <c r="DW236" s="27" t="s">
        <v>8</v>
      </c>
      <c r="EA236" s="31"/>
      <c r="ED236" s="33" t="s">
        <v>7</v>
      </c>
      <c r="EF236" s="33" t="s">
        <v>7</v>
      </c>
    </row>
    <row r="237" spans="1:16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CA237" s="27" t="s">
        <v>8</v>
      </c>
      <c r="CB237" s="27" t="s">
        <v>7</v>
      </c>
      <c r="CC237" s="27" t="s">
        <v>8</v>
      </c>
      <c r="CX237" s="27" t="s">
        <v>7</v>
      </c>
      <c r="CY237" s="27" t="s">
        <v>8</v>
      </c>
      <c r="CZ237" s="27" t="s">
        <v>7</v>
      </c>
      <c r="DA237" s="27" t="s">
        <v>8</v>
      </c>
      <c r="DB237" s="27" t="s">
        <v>7</v>
      </c>
      <c r="DC237" s="27" t="s">
        <v>8</v>
      </c>
      <c r="DD237" s="27" t="s">
        <v>7</v>
      </c>
      <c r="DE237" s="27" t="s">
        <v>8</v>
      </c>
      <c r="DJ237" s="33" t="s">
        <v>7</v>
      </c>
      <c r="DL237" s="33" t="s">
        <v>7</v>
      </c>
      <c r="DN237" s="27" t="s">
        <v>7</v>
      </c>
      <c r="DQ237" s="34" t="s">
        <v>8</v>
      </c>
      <c r="DR237" s="33" t="s">
        <v>7</v>
      </c>
      <c r="DT237" s="33" t="s">
        <v>7</v>
      </c>
      <c r="DV237" s="31" t="s">
        <v>7</v>
      </c>
      <c r="DW237" s="27" t="s">
        <v>8</v>
      </c>
      <c r="DZ237" s="31"/>
    </row>
    <row r="238" spans="1:169" x14ac:dyDescent="0.25">
      <c r="A238" s="30">
        <v>1.1025</v>
      </c>
      <c r="E238"/>
      <c r="CA238" s="27" t="s">
        <v>8</v>
      </c>
      <c r="CB238" s="27" t="s">
        <v>7</v>
      </c>
      <c r="CX238" s="27" t="s">
        <v>7</v>
      </c>
      <c r="CY238" s="27" t="s">
        <v>8</v>
      </c>
      <c r="CZ238" s="27" t="s">
        <v>7</v>
      </c>
      <c r="DB238" s="27" t="s">
        <v>7</v>
      </c>
      <c r="DC238" s="27" t="s">
        <v>8</v>
      </c>
      <c r="DD238" s="27" t="s">
        <v>7</v>
      </c>
      <c r="DN238" s="27" t="s">
        <v>7</v>
      </c>
      <c r="DO238" s="27" t="s">
        <v>8</v>
      </c>
      <c r="DQ238" s="27" t="s">
        <v>8</v>
      </c>
      <c r="DU238" s="31"/>
      <c r="DV238" s="32" t="s">
        <v>7</v>
      </c>
      <c r="DW238" s="27" t="s">
        <v>8</v>
      </c>
      <c r="DY238" s="31"/>
    </row>
    <row r="239" spans="1:169" x14ac:dyDescent="0.25">
      <c r="A239" s="30">
        <v>1.05</v>
      </c>
      <c r="E239"/>
      <c r="CA239" s="27" t="s">
        <v>8</v>
      </c>
      <c r="CX239" s="27" t="s">
        <v>7</v>
      </c>
      <c r="CY239" s="27" t="s">
        <v>8</v>
      </c>
      <c r="DB239" s="27" t="s">
        <v>7</v>
      </c>
      <c r="DC239" s="27" t="s">
        <v>8</v>
      </c>
      <c r="DN239" s="27" t="s">
        <v>7</v>
      </c>
      <c r="DO239" s="27" t="s">
        <v>8</v>
      </c>
      <c r="DP239" s="27" t="s">
        <v>7</v>
      </c>
      <c r="DQ239" s="27" t="s">
        <v>8</v>
      </c>
      <c r="DT239" s="31"/>
      <c r="DV239" s="27" t="s">
        <v>7</v>
      </c>
      <c r="DW239" s="27" t="s">
        <v>8</v>
      </c>
      <c r="DX239" s="31"/>
    </row>
    <row r="240" spans="1:169" x14ac:dyDescent="0.25">
      <c r="A240" s="30">
        <v>1</v>
      </c>
      <c r="E240" s="29" t="s">
        <v>8</v>
      </c>
      <c r="CA240" s="27" t="s">
        <v>8</v>
      </c>
      <c r="CX240" s="31" t="s">
        <v>7</v>
      </c>
      <c r="CY240" s="27" t="s">
        <v>8</v>
      </c>
      <c r="DB240" s="27" t="s">
        <v>7</v>
      </c>
      <c r="DC240" s="27" t="s">
        <v>8</v>
      </c>
      <c r="DN240" s="27" t="s">
        <v>7</v>
      </c>
      <c r="DO240" s="27" t="s">
        <v>8</v>
      </c>
      <c r="DP240" s="27" t="s">
        <v>7</v>
      </c>
      <c r="DQ240" s="27" t="s">
        <v>8</v>
      </c>
      <c r="DS240" s="31"/>
      <c r="DV240" s="27" t="s">
        <v>7</v>
      </c>
      <c r="DW240" s="31" t="s">
        <v>8</v>
      </c>
    </row>
    <row r="241" spans="1:126" x14ac:dyDescent="0.25">
      <c r="A241" s="30">
        <v>0.952380952380952</v>
      </c>
      <c r="B241"/>
      <c r="C241"/>
      <c r="D241"/>
      <c r="E241"/>
      <c r="F241" s="27" t="s">
        <v>7</v>
      </c>
      <c r="CA241" s="27" t="s">
        <v>8</v>
      </c>
      <c r="CW241" s="31"/>
      <c r="CX241" s="27" t="s">
        <v>7</v>
      </c>
      <c r="CY241" s="27" t="s">
        <v>8</v>
      </c>
      <c r="DB241" s="27" t="s">
        <v>7</v>
      </c>
      <c r="DC241" s="27" t="s">
        <v>8</v>
      </c>
      <c r="DN241" s="27" t="s">
        <v>7</v>
      </c>
      <c r="DO241" s="27" t="s">
        <v>8</v>
      </c>
      <c r="DP241" s="27" t="s">
        <v>7</v>
      </c>
      <c r="DQ241" s="27" t="s">
        <v>8</v>
      </c>
      <c r="DR241" s="31"/>
      <c r="DV241" s="31" t="s">
        <v>7</v>
      </c>
    </row>
    <row r="242" spans="1:126" x14ac:dyDescent="0.25">
      <c r="A242" s="30">
        <v>0.90702947845804915</v>
      </c>
      <c r="B242"/>
      <c r="C242"/>
      <c r="D242"/>
      <c r="E242"/>
      <c r="F242" s="27" t="s">
        <v>7</v>
      </c>
      <c r="CA242" s="27" t="s">
        <v>8</v>
      </c>
      <c r="CV242" s="31"/>
      <c r="CX242" s="27" t="s">
        <v>7</v>
      </c>
      <c r="CY242" s="27" t="s">
        <v>8</v>
      </c>
      <c r="DB242" s="27" t="s">
        <v>7</v>
      </c>
      <c r="DC242" s="27" t="s">
        <v>8</v>
      </c>
      <c r="DN242" s="27" t="s">
        <v>7</v>
      </c>
      <c r="DO242" s="27" t="s">
        <v>8</v>
      </c>
      <c r="DP242" s="27" t="s">
        <v>7</v>
      </c>
      <c r="DQ242" s="31"/>
    </row>
    <row r="243" spans="1:126" x14ac:dyDescent="0.25">
      <c r="A243" s="30">
        <v>0.86383759853147501</v>
      </c>
      <c r="B243"/>
      <c r="C243"/>
      <c r="D243"/>
      <c r="E243"/>
      <c r="F243" s="27" t="s">
        <v>7</v>
      </c>
      <c r="CA243" s="27" t="s">
        <v>8</v>
      </c>
      <c r="CU243" s="31"/>
      <c r="CX243" s="27" t="s">
        <v>7</v>
      </c>
      <c r="DB243" s="27" t="s">
        <v>7</v>
      </c>
      <c r="DC243" s="27" t="s">
        <v>8</v>
      </c>
      <c r="DN243" s="27" t="s">
        <v>7</v>
      </c>
      <c r="DO243" s="27" t="s">
        <v>8</v>
      </c>
      <c r="DP243" s="31"/>
    </row>
    <row r="244" spans="1:126" x14ac:dyDescent="0.25">
      <c r="A244" s="30">
        <v>0.82270247479188063</v>
      </c>
      <c r="B244"/>
      <c r="C244"/>
      <c r="D244"/>
      <c r="E244"/>
      <c r="F244" s="27" t="s">
        <v>7</v>
      </c>
      <c r="CA244" s="27" t="s">
        <v>8</v>
      </c>
      <c r="CT244" s="31"/>
      <c r="DB244" s="27" t="s">
        <v>7</v>
      </c>
      <c r="DC244" s="27" t="s">
        <v>8</v>
      </c>
      <c r="DN244" s="27" t="s">
        <v>7</v>
      </c>
      <c r="DO244" s="31" t="s">
        <v>8</v>
      </c>
    </row>
    <row r="245" spans="1:126" x14ac:dyDescent="0.25">
      <c r="A245" s="30">
        <v>0.78352616646845741</v>
      </c>
      <c r="B245"/>
      <c r="C245"/>
      <c r="D245"/>
      <c r="E245"/>
      <c r="F245" s="27" t="s">
        <v>7</v>
      </c>
      <c r="CA245" s="27" t="s">
        <v>8</v>
      </c>
      <c r="CS245" s="31"/>
      <c r="DB245" s="27" t="s">
        <v>7</v>
      </c>
      <c r="DC245" s="27" t="s">
        <v>8</v>
      </c>
      <c r="DN245" s="31" t="s">
        <v>7</v>
      </c>
    </row>
    <row r="246" spans="1:126" x14ac:dyDescent="0.25">
      <c r="A246" s="30">
        <v>0.74621539663662584</v>
      </c>
      <c r="B246"/>
      <c r="C246"/>
      <c r="D246"/>
      <c r="E246"/>
      <c r="F246" s="27" t="s">
        <v>7</v>
      </c>
      <c r="CA246" s="27" t="s">
        <v>8</v>
      </c>
      <c r="CR246" s="31"/>
      <c r="DB246" s="27" t="s">
        <v>7</v>
      </c>
    </row>
    <row r="247" spans="1:126" x14ac:dyDescent="0.25">
      <c r="A247" s="30">
        <v>0.71068133013011958</v>
      </c>
      <c r="B247"/>
      <c r="C247"/>
      <c r="D247"/>
      <c r="E247"/>
      <c r="F247" s="27" t="s">
        <v>7</v>
      </c>
      <c r="CA247" s="27" t="s">
        <v>8</v>
      </c>
      <c r="CQ247" s="31"/>
    </row>
    <row r="248" spans="1:126" x14ac:dyDescent="0.25">
      <c r="A248" s="30">
        <v>0.676839362028685</v>
      </c>
      <c r="B248"/>
      <c r="C248"/>
      <c r="D248"/>
      <c r="E248"/>
      <c r="F248" s="27" t="s">
        <v>7</v>
      </c>
      <c r="CA248" s="34" t="s">
        <v>8</v>
      </c>
      <c r="CP248" s="31"/>
    </row>
    <row r="249" spans="1:126" x14ac:dyDescent="0.25">
      <c r="A249" s="30">
        <v>0.64460891621779492</v>
      </c>
      <c r="B249"/>
      <c r="C249"/>
      <c r="D249"/>
      <c r="E249"/>
      <c r="F249" s="27" t="s">
        <v>7</v>
      </c>
      <c r="BQ249" s="27" t="s">
        <v>8</v>
      </c>
      <c r="BW249" s="33" t="s">
        <v>8</v>
      </c>
      <c r="BY249" s="33" t="s">
        <v>8</v>
      </c>
      <c r="CA249" s="27" t="s">
        <v>8</v>
      </c>
      <c r="CO249" s="31"/>
    </row>
    <row r="250" spans="1:126" x14ac:dyDescent="0.25">
      <c r="A250" s="30">
        <v>0.61391325354075688</v>
      </c>
      <c r="B250"/>
      <c r="C250"/>
      <c r="D250"/>
      <c r="E250"/>
      <c r="F250" s="27" t="s">
        <v>7</v>
      </c>
      <c r="BQ250" s="27" t="s">
        <v>8</v>
      </c>
      <c r="BR250" s="27" t="s">
        <v>7</v>
      </c>
      <c r="BU250" s="27" t="s">
        <v>8</v>
      </c>
      <c r="BW250" s="27" t="s">
        <v>8</v>
      </c>
      <c r="BX250" s="27" t="s">
        <v>7</v>
      </c>
      <c r="BY250" s="27" t="s">
        <v>8</v>
      </c>
      <c r="BZ250" s="27" t="s">
        <v>7</v>
      </c>
      <c r="CA250" s="27" t="s">
        <v>8</v>
      </c>
      <c r="CN250" s="31"/>
    </row>
    <row r="251" spans="1:126" x14ac:dyDescent="0.25">
      <c r="A251" s="30">
        <v>0.58467928908643485</v>
      </c>
      <c r="B251"/>
      <c r="C251"/>
      <c r="D251"/>
      <c r="E251"/>
      <c r="F251" s="27" t="s">
        <v>7</v>
      </c>
      <c r="BQ251" s="27" t="s">
        <v>8</v>
      </c>
      <c r="BR251" s="27" t="s">
        <v>7</v>
      </c>
      <c r="BS251" s="27" t="s">
        <v>8</v>
      </c>
      <c r="BU251" s="27" t="s">
        <v>8</v>
      </c>
      <c r="BV251" s="27" t="s">
        <v>7</v>
      </c>
      <c r="BW251" s="27" t="s">
        <v>8</v>
      </c>
      <c r="BX251" s="27" t="s">
        <v>7</v>
      </c>
      <c r="BY251" s="27" t="s">
        <v>8</v>
      </c>
      <c r="BZ251" s="27" t="s">
        <v>7</v>
      </c>
      <c r="CA251" s="27" t="s">
        <v>8</v>
      </c>
      <c r="CM251" s="31"/>
    </row>
    <row r="252" spans="1:126" x14ac:dyDescent="0.25">
      <c r="A252" s="30">
        <v>0.55683741817755672</v>
      </c>
      <c r="B252"/>
      <c r="C252"/>
      <c r="D252"/>
      <c r="E252"/>
      <c r="F252" s="27" t="s">
        <v>7</v>
      </c>
      <c r="BQ252" s="27" t="s">
        <v>8</v>
      </c>
      <c r="BR252" s="27" t="s">
        <v>7</v>
      </c>
      <c r="BS252" s="27" t="s">
        <v>8</v>
      </c>
      <c r="BT252" s="27" t="s">
        <v>7</v>
      </c>
      <c r="BU252" s="27" t="s">
        <v>8</v>
      </c>
      <c r="BV252" s="27" t="s">
        <v>7</v>
      </c>
      <c r="BW252" s="27" t="s">
        <v>8</v>
      </c>
      <c r="BX252" s="27" t="s">
        <v>7</v>
      </c>
      <c r="BY252" s="27" t="s">
        <v>8</v>
      </c>
      <c r="BZ252" s="27" t="s">
        <v>7</v>
      </c>
      <c r="CA252" s="27" t="s">
        <v>8</v>
      </c>
      <c r="CL252" s="31"/>
    </row>
    <row r="253" spans="1:126" x14ac:dyDescent="0.25">
      <c r="A253" s="30">
        <v>0.53032135064529184</v>
      </c>
      <c r="B253"/>
      <c r="C253"/>
      <c r="D253"/>
      <c r="E253"/>
      <c r="F253" s="27" t="s">
        <v>7</v>
      </c>
      <c r="BQ253" s="27" t="s">
        <v>8</v>
      </c>
      <c r="BR253" s="27" t="s">
        <v>7</v>
      </c>
      <c r="BS253" s="27" t="s">
        <v>8</v>
      </c>
      <c r="BT253" s="27" t="s">
        <v>7</v>
      </c>
      <c r="BU253" s="27" t="s">
        <v>8</v>
      </c>
      <c r="BV253" s="27" t="s">
        <v>7</v>
      </c>
      <c r="BW253" s="27" t="s">
        <v>8</v>
      </c>
      <c r="BX253" s="27" t="s">
        <v>7</v>
      </c>
      <c r="BZ253" s="27" t="s">
        <v>7</v>
      </c>
      <c r="CA253" s="27" t="s">
        <v>8</v>
      </c>
      <c r="CK253" s="31"/>
    </row>
    <row r="254" spans="1:126" x14ac:dyDescent="0.25">
      <c r="A254" s="30">
        <v>0.50506795299551588</v>
      </c>
      <c r="B254"/>
      <c r="C254"/>
      <c r="D254"/>
      <c r="E254"/>
      <c r="F254" s="27" t="s">
        <v>7</v>
      </c>
      <c r="BQ254" s="27" t="s">
        <v>8</v>
      </c>
      <c r="BR254" s="27" t="s">
        <v>7</v>
      </c>
      <c r="BS254" s="27" t="s">
        <v>8</v>
      </c>
      <c r="BT254" s="27" t="s">
        <v>7</v>
      </c>
      <c r="BV254" s="27" t="s">
        <v>7</v>
      </c>
      <c r="BW254" s="27" t="s">
        <v>8</v>
      </c>
      <c r="BZ254" s="27" t="s">
        <v>7</v>
      </c>
      <c r="CA254" s="27" t="s">
        <v>8</v>
      </c>
      <c r="CJ254" s="31"/>
    </row>
    <row r="255" spans="1:126" x14ac:dyDescent="0.25">
      <c r="A255" s="30">
        <v>0.48101709809096732</v>
      </c>
      <c r="E255"/>
      <c r="F255" s="27" t="s">
        <v>7</v>
      </c>
      <c r="BM255" s="27" t="s">
        <v>8</v>
      </c>
      <c r="BQ255" s="27" t="s">
        <v>8</v>
      </c>
      <c r="BR255" s="27" t="s">
        <v>7</v>
      </c>
      <c r="BS255" s="27" t="s">
        <v>8</v>
      </c>
      <c r="BV255" s="32" t="s">
        <v>7</v>
      </c>
      <c r="BW255" s="27" t="s">
        <v>8</v>
      </c>
      <c r="BZ255" s="27" t="s">
        <v>7</v>
      </c>
      <c r="CI255" s="31"/>
    </row>
    <row r="256" spans="1:126" x14ac:dyDescent="0.25">
      <c r="A256" s="30">
        <v>0.45811152199139726</v>
      </c>
      <c r="E256"/>
      <c r="F256" s="27" t="s">
        <v>7</v>
      </c>
      <c r="BK256" s="27" t="s">
        <v>8</v>
      </c>
      <c r="BM256" s="27" t="s">
        <v>8</v>
      </c>
      <c r="BN256" s="27" t="s">
        <v>7</v>
      </c>
      <c r="BQ256" s="27" t="s">
        <v>8</v>
      </c>
      <c r="BR256" s="27" t="s">
        <v>7</v>
      </c>
      <c r="BV256" s="27" t="s">
        <v>7</v>
      </c>
      <c r="BW256" s="27" t="s">
        <v>8</v>
      </c>
      <c r="CH256" s="31"/>
    </row>
    <row r="257" spans="1:85" x14ac:dyDescent="0.25">
      <c r="A257" s="30">
        <v>0.43629668761085438</v>
      </c>
      <c r="B257"/>
      <c r="C257"/>
      <c r="D257"/>
      <c r="E257"/>
      <c r="F257" s="27" t="s">
        <v>7</v>
      </c>
      <c r="BK257" s="27" t="s">
        <v>8</v>
      </c>
      <c r="BL257" s="27" t="s">
        <v>7</v>
      </c>
      <c r="BM257" s="27" t="s">
        <v>8</v>
      </c>
      <c r="BN257" s="27" t="s">
        <v>7</v>
      </c>
      <c r="BQ257" s="27" t="s">
        <v>8</v>
      </c>
      <c r="BV257" s="27" t="s">
        <v>7</v>
      </c>
      <c r="BW257" s="27" t="s">
        <v>8</v>
      </c>
      <c r="CG257" s="31"/>
    </row>
    <row r="258" spans="1:85" x14ac:dyDescent="0.25">
      <c r="A258" s="30">
        <v>0.41552065486748019</v>
      </c>
      <c r="B258"/>
      <c r="C258"/>
      <c r="D258"/>
      <c r="E258"/>
      <c r="F258" s="27" t="s">
        <v>7</v>
      </c>
      <c r="BK258" s="27" t="s">
        <v>8</v>
      </c>
      <c r="BL258" s="27" t="s">
        <v>7</v>
      </c>
      <c r="BM258" s="27" t="s">
        <v>8</v>
      </c>
      <c r="BN258" s="27" t="s">
        <v>7</v>
      </c>
      <c r="BO258" s="27" t="s">
        <v>8</v>
      </c>
      <c r="BQ258" s="27" t="s">
        <v>8</v>
      </c>
      <c r="BV258" s="27" t="s">
        <v>7</v>
      </c>
      <c r="BW258" s="27" t="s">
        <v>8</v>
      </c>
      <c r="CF258" s="31"/>
    </row>
    <row r="259" spans="1:85" x14ac:dyDescent="0.25">
      <c r="A259" s="30">
        <v>0.39573395701664765</v>
      </c>
      <c r="B259"/>
      <c r="C259"/>
      <c r="D259"/>
      <c r="E259"/>
      <c r="F259" s="27" t="s">
        <v>7</v>
      </c>
      <c r="BK259" s="27" t="s">
        <v>8</v>
      </c>
      <c r="BL259" s="27" t="s">
        <v>7</v>
      </c>
      <c r="BM259" s="27" t="s">
        <v>8</v>
      </c>
      <c r="BN259" s="27" t="s">
        <v>7</v>
      </c>
      <c r="BO259" s="27" t="s">
        <v>8</v>
      </c>
      <c r="BP259" s="27" t="s">
        <v>7</v>
      </c>
      <c r="BQ259" s="27" t="s">
        <v>8</v>
      </c>
      <c r="BV259" s="27" t="s">
        <v>7</v>
      </c>
      <c r="BW259" s="27" t="s">
        <v>8</v>
      </c>
      <c r="CE259" s="31"/>
    </row>
    <row r="260" spans="1:85" x14ac:dyDescent="0.25">
      <c r="A260" s="30">
        <v>0.37688948287299762</v>
      </c>
      <c r="B260"/>
      <c r="C260"/>
      <c r="D260"/>
      <c r="E260"/>
      <c r="F260" s="27" t="s">
        <v>7</v>
      </c>
      <c r="BK260" s="27" t="s">
        <v>8</v>
      </c>
      <c r="BL260" s="27" t="s">
        <v>7</v>
      </c>
      <c r="BM260" s="27" t="s">
        <v>8</v>
      </c>
      <c r="BN260" s="27" t="s">
        <v>7</v>
      </c>
      <c r="BO260" s="27" t="s">
        <v>8</v>
      </c>
      <c r="BP260" s="27" t="s">
        <v>7</v>
      </c>
      <c r="BQ260" s="27" t="s">
        <v>8</v>
      </c>
      <c r="BV260" s="27" t="s">
        <v>7</v>
      </c>
      <c r="BW260" s="27" t="s">
        <v>8</v>
      </c>
      <c r="CD260" s="31"/>
    </row>
    <row r="261" spans="1:85" x14ac:dyDescent="0.25">
      <c r="A261" s="30">
        <v>0.35894236464094997</v>
      </c>
      <c r="B261"/>
      <c r="C261"/>
      <c r="D261"/>
      <c r="E261"/>
      <c r="F261" s="27" t="s">
        <v>7</v>
      </c>
      <c r="BK261" s="27" t="s">
        <v>8</v>
      </c>
      <c r="BL261" s="27" t="s">
        <v>7</v>
      </c>
      <c r="BM261" s="27" t="s">
        <v>8</v>
      </c>
      <c r="BN261" s="27" t="s">
        <v>7</v>
      </c>
      <c r="BO261" s="27" t="s">
        <v>8</v>
      </c>
      <c r="BP261" s="27" t="s">
        <v>7</v>
      </c>
      <c r="BV261" s="27" t="s">
        <v>7</v>
      </c>
      <c r="CC261" s="31"/>
    </row>
    <row r="262" spans="1:85" x14ac:dyDescent="0.25">
      <c r="A262" s="30">
        <v>0.34184987108661891</v>
      </c>
      <c r="B262"/>
      <c r="C262"/>
      <c r="D262"/>
      <c r="E262"/>
      <c r="F262" s="27" t="s">
        <v>7</v>
      </c>
      <c r="BK262" s="27" t="s">
        <v>8</v>
      </c>
      <c r="BL262" s="27" t="s">
        <v>7</v>
      </c>
      <c r="BM262" s="27" t="s">
        <v>8</v>
      </c>
      <c r="BN262" s="27" t="s">
        <v>7</v>
      </c>
      <c r="BO262" s="27" t="s">
        <v>8</v>
      </c>
      <c r="CB262" s="31"/>
    </row>
    <row r="263" spans="1:85" x14ac:dyDescent="0.25">
      <c r="A263" s="30">
        <v>0.32557130579677979</v>
      </c>
      <c r="B263"/>
      <c r="C263"/>
      <c r="D263"/>
      <c r="E263"/>
      <c r="F263" s="27" t="s">
        <v>7</v>
      </c>
      <c r="BK263" s="27" t="s">
        <v>8</v>
      </c>
      <c r="BL263" s="27" t="s">
        <v>7</v>
      </c>
      <c r="BM263" s="27" t="s">
        <v>8</v>
      </c>
      <c r="BN263" s="27" t="s">
        <v>7</v>
      </c>
      <c r="CA263" s="31"/>
    </row>
    <row r="264" spans="1:85" x14ac:dyDescent="0.25">
      <c r="A264" s="30">
        <v>0.3100679102826473</v>
      </c>
      <c r="B264"/>
      <c r="C264"/>
      <c r="D264"/>
      <c r="E264"/>
      <c r="F264" s="27" t="s">
        <v>7</v>
      </c>
      <c r="BK264" s="27" t="s">
        <v>8</v>
      </c>
      <c r="BL264" s="27" t="s">
        <v>7</v>
      </c>
      <c r="BM264" s="27" t="s">
        <v>8</v>
      </c>
      <c r="BZ264" s="31"/>
    </row>
    <row r="265" spans="1:85" x14ac:dyDescent="0.25">
      <c r="A265" s="30">
        <v>0.2953027716977592</v>
      </c>
      <c r="B265"/>
      <c r="C265"/>
      <c r="D265"/>
      <c r="E265"/>
      <c r="F265" s="27" t="s">
        <v>7</v>
      </c>
      <c r="BI265" s="27" t="s">
        <v>8</v>
      </c>
      <c r="BK265" s="27" t="s">
        <v>8</v>
      </c>
      <c r="BL265" s="27" t="s">
        <v>7</v>
      </c>
      <c r="BY265" s="31"/>
    </row>
    <row r="266" spans="1:85" x14ac:dyDescent="0.25">
      <c r="A266" s="30">
        <v>0.28124073495024676</v>
      </c>
      <c r="B266"/>
      <c r="C266"/>
      <c r="D266"/>
      <c r="E266"/>
      <c r="F266" s="27" t="s">
        <v>7</v>
      </c>
      <c r="BI266" s="27" t="s">
        <v>8</v>
      </c>
      <c r="BJ266" s="27" t="s">
        <v>7</v>
      </c>
      <c r="BK266" s="27" t="s">
        <v>8</v>
      </c>
      <c r="BX266" s="31"/>
    </row>
    <row r="267" spans="1:85" x14ac:dyDescent="0.25">
      <c r="A267" s="30">
        <v>0.26784831900023492</v>
      </c>
      <c r="B267"/>
      <c r="C267"/>
      <c r="D267"/>
      <c r="E267"/>
      <c r="F267" s="27" t="s">
        <v>7</v>
      </c>
      <c r="BG267" s="27" t="s">
        <v>8</v>
      </c>
      <c r="BI267" s="27" t="s">
        <v>8</v>
      </c>
      <c r="BJ267" s="27" t="s">
        <v>7</v>
      </c>
      <c r="BK267" s="27" t="s">
        <v>8</v>
      </c>
      <c r="BW267" s="31"/>
    </row>
    <row r="268" spans="1:85" x14ac:dyDescent="0.25">
      <c r="A268" s="30">
        <v>0.25509363714308075</v>
      </c>
      <c r="B268"/>
      <c r="C268"/>
      <c r="D268"/>
      <c r="E268"/>
      <c r="F268" s="27" t="s">
        <v>7</v>
      </c>
      <c r="AQ268" s="27" t="s">
        <v>8</v>
      </c>
      <c r="BG268" s="27" t="s">
        <v>8</v>
      </c>
      <c r="BH268" s="27" t="s">
        <v>7</v>
      </c>
      <c r="BI268" s="27" t="s">
        <v>8</v>
      </c>
      <c r="BJ268" s="27" t="s">
        <v>7</v>
      </c>
      <c r="BK268" s="27" t="s">
        <v>8</v>
      </c>
      <c r="BV268" s="31"/>
    </row>
    <row r="269" spans="1:85" x14ac:dyDescent="0.25">
      <c r="A269" s="30">
        <v>0.24294632108864825</v>
      </c>
      <c r="B269"/>
      <c r="C269"/>
      <c r="D269"/>
      <c r="E269"/>
      <c r="F269" s="27" t="s">
        <v>7</v>
      </c>
      <c r="AQ269" s="27" t="s">
        <v>8</v>
      </c>
      <c r="AR269" s="27" t="s">
        <v>7</v>
      </c>
      <c r="BG269" s="27" t="s">
        <v>8</v>
      </c>
      <c r="BH269" s="27" t="s">
        <v>7</v>
      </c>
      <c r="BI269" s="27" t="s">
        <v>8</v>
      </c>
      <c r="BJ269" s="27" t="s">
        <v>7</v>
      </c>
      <c r="BK269" s="27" t="s">
        <v>8</v>
      </c>
      <c r="BU269" s="31"/>
    </row>
    <row r="270" spans="1:85" x14ac:dyDescent="0.25">
      <c r="A270" s="30">
        <v>0.23137744865585538</v>
      </c>
      <c r="B270"/>
      <c r="C270"/>
      <c r="D270"/>
      <c r="E270"/>
      <c r="F270" s="27" t="s">
        <v>7</v>
      </c>
      <c r="AE270" s="27" t="s">
        <v>8</v>
      </c>
      <c r="AM270" s="27" t="s">
        <v>8</v>
      </c>
      <c r="AO270" s="27" t="s">
        <v>8</v>
      </c>
      <c r="AQ270" s="27" t="s">
        <v>8</v>
      </c>
      <c r="AR270" s="27" t="s">
        <v>7</v>
      </c>
      <c r="BG270" s="27" t="s">
        <v>8</v>
      </c>
      <c r="BH270" s="27" t="s">
        <v>7</v>
      </c>
      <c r="BI270" s="27" t="s">
        <v>8</v>
      </c>
      <c r="BJ270" s="27" t="s">
        <v>7</v>
      </c>
      <c r="BT270" s="31"/>
    </row>
    <row r="271" spans="1:85" x14ac:dyDescent="0.25">
      <c r="A271" s="30">
        <v>0.22035947491033836</v>
      </c>
      <c r="B271"/>
      <c r="C271"/>
      <c r="D271"/>
      <c r="E271"/>
      <c r="F271" s="27" t="s">
        <v>7</v>
      </c>
      <c r="AE271" s="27" t="s">
        <v>8</v>
      </c>
      <c r="AF271" s="27" t="s">
        <v>7</v>
      </c>
      <c r="AM271" s="27" t="s">
        <v>8</v>
      </c>
      <c r="AN271" s="27" t="s">
        <v>7</v>
      </c>
      <c r="AO271" s="27" t="s">
        <v>8</v>
      </c>
      <c r="AP271" s="27" t="s">
        <v>7</v>
      </c>
      <c r="AQ271" s="27" t="s">
        <v>8</v>
      </c>
      <c r="AR271" s="27" t="s">
        <v>7</v>
      </c>
      <c r="BG271" s="27" t="s">
        <v>8</v>
      </c>
      <c r="BH271" s="27" t="s">
        <v>7</v>
      </c>
      <c r="BI271" s="27" t="s">
        <v>8</v>
      </c>
      <c r="BS271" s="31"/>
    </row>
    <row r="272" spans="1:85" x14ac:dyDescent="0.25">
      <c r="A272" s="30">
        <v>0.20986616658127455</v>
      </c>
      <c r="B272"/>
      <c r="C272"/>
      <c r="D272"/>
      <c r="E272"/>
      <c r="F272" s="27" t="s">
        <v>7</v>
      </c>
      <c r="AE272" s="27" t="s">
        <v>8</v>
      </c>
      <c r="AF272" s="27" t="s">
        <v>7</v>
      </c>
      <c r="AK272" s="27" t="s">
        <v>8</v>
      </c>
      <c r="AM272" s="27" t="s">
        <v>8</v>
      </c>
      <c r="AN272" s="27" t="s">
        <v>7</v>
      </c>
      <c r="AO272" s="27" t="s">
        <v>8</v>
      </c>
      <c r="AP272" s="27" t="s">
        <v>7</v>
      </c>
      <c r="AQ272" s="27" t="s">
        <v>8</v>
      </c>
      <c r="AR272" s="27" t="s">
        <v>7</v>
      </c>
      <c r="BG272" s="27" t="s">
        <v>8</v>
      </c>
      <c r="BH272" s="27" t="s">
        <v>7</v>
      </c>
      <c r="BI272" s="27" t="s">
        <v>8</v>
      </c>
      <c r="BR272" s="31"/>
    </row>
    <row r="273" spans="1:69" x14ac:dyDescent="0.25">
      <c r="A273" s="30">
        <v>0.19987253960121379</v>
      </c>
      <c r="B273"/>
      <c r="C273"/>
      <c r="D273"/>
      <c r="E273"/>
      <c r="F273" s="27" t="s">
        <v>7</v>
      </c>
      <c r="AE273" s="27" t="s">
        <v>8</v>
      </c>
      <c r="AF273" s="27" t="s">
        <v>7</v>
      </c>
      <c r="AI273" s="27" t="s">
        <v>8</v>
      </c>
      <c r="AK273" s="27" t="s">
        <v>8</v>
      </c>
      <c r="AL273" s="27" t="s">
        <v>7</v>
      </c>
      <c r="AM273" s="27" t="s">
        <v>8</v>
      </c>
      <c r="AN273" s="27" t="s">
        <v>7</v>
      </c>
      <c r="AP273" s="27" t="s">
        <v>7</v>
      </c>
      <c r="AR273" s="27" t="s">
        <v>7</v>
      </c>
      <c r="BG273" s="27" t="s">
        <v>8</v>
      </c>
      <c r="BH273" s="27" t="s">
        <v>7</v>
      </c>
      <c r="BI273" s="27" t="s">
        <v>8</v>
      </c>
      <c r="BQ273" s="31"/>
    </row>
    <row r="274" spans="1:69" x14ac:dyDescent="0.25">
      <c r="A274" s="30">
        <v>0.19035479962020352</v>
      </c>
      <c r="B274"/>
      <c r="C274"/>
      <c r="D274"/>
      <c r="E274"/>
      <c r="F274" s="27" t="s">
        <v>7</v>
      </c>
      <c r="AE274" s="27" t="s">
        <v>8</v>
      </c>
      <c r="AF274" s="27" t="s">
        <v>7</v>
      </c>
      <c r="AG274" s="27" t="s">
        <v>8</v>
      </c>
      <c r="AI274" s="27" t="s">
        <v>8</v>
      </c>
      <c r="AJ274" s="27" t="s">
        <v>7</v>
      </c>
      <c r="AK274" s="27" t="s">
        <v>8</v>
      </c>
      <c r="AL274" s="27" t="s">
        <v>7</v>
      </c>
      <c r="AM274" s="27" t="s">
        <v>8</v>
      </c>
      <c r="AR274" s="27" t="s">
        <v>7</v>
      </c>
      <c r="BG274" s="27" t="s">
        <v>8</v>
      </c>
      <c r="BH274" s="27" t="s">
        <v>7</v>
      </c>
      <c r="BI274" s="27" t="s">
        <v>8</v>
      </c>
      <c r="BP274" s="31"/>
    </row>
    <row r="275" spans="1:69" x14ac:dyDescent="0.25">
      <c r="A275" s="30">
        <v>0.18129028535257471</v>
      </c>
      <c r="B275"/>
      <c r="C275"/>
      <c r="D275"/>
      <c r="E275"/>
      <c r="F275" s="27" t="s">
        <v>7</v>
      </c>
      <c r="AE275" s="27" t="s">
        <v>8</v>
      </c>
      <c r="AF275" s="27" t="s">
        <v>7</v>
      </c>
      <c r="AG275" s="27" t="s">
        <v>8</v>
      </c>
      <c r="AH275" s="27" t="s">
        <v>7</v>
      </c>
      <c r="AI275" s="27" t="s">
        <v>8</v>
      </c>
      <c r="AJ275" s="27" t="s">
        <v>7</v>
      </c>
      <c r="AK275" s="27" t="s">
        <v>8</v>
      </c>
      <c r="AL275" s="27" t="s">
        <v>7</v>
      </c>
      <c r="AM275" s="27" t="s">
        <v>8</v>
      </c>
      <c r="AR275" s="27" t="s">
        <v>7</v>
      </c>
      <c r="AS275" s="27" t="s">
        <v>8</v>
      </c>
      <c r="AW275" s="27" t="s">
        <v>8</v>
      </c>
      <c r="BG275" s="27" t="s">
        <v>8</v>
      </c>
      <c r="BH275" s="27" t="s">
        <v>7</v>
      </c>
      <c r="BI275" s="27" t="s">
        <v>8</v>
      </c>
      <c r="BO275" s="31"/>
    </row>
    <row r="276" spans="1:69" x14ac:dyDescent="0.25">
      <c r="A276" s="30">
        <v>0.17265741462149967</v>
      </c>
      <c r="B276"/>
      <c r="C276"/>
      <c r="D276"/>
      <c r="E276"/>
      <c r="F276" s="27" t="s">
        <v>7</v>
      </c>
      <c r="AE276" s="27" t="s">
        <v>8</v>
      </c>
      <c r="AF276" s="27" t="s">
        <v>7</v>
      </c>
      <c r="AG276" s="27" t="s">
        <v>8</v>
      </c>
      <c r="AH276" s="27" t="s">
        <v>7</v>
      </c>
      <c r="AI276" s="27" t="s">
        <v>8</v>
      </c>
      <c r="AJ276" s="27" t="s">
        <v>7</v>
      </c>
      <c r="AL276" s="27" t="s">
        <v>7</v>
      </c>
      <c r="AM276" s="27" t="s">
        <v>8</v>
      </c>
      <c r="AR276" s="27" t="s">
        <v>7</v>
      </c>
      <c r="AS276" s="27" t="s">
        <v>8</v>
      </c>
      <c r="AT276" s="27" t="s">
        <v>7</v>
      </c>
      <c r="AU276" s="27" t="s">
        <v>8</v>
      </c>
      <c r="AW276" s="27" t="s">
        <v>8</v>
      </c>
      <c r="AX276" s="27" t="s">
        <v>7</v>
      </c>
      <c r="BA276" s="27" t="s">
        <v>8</v>
      </c>
      <c r="BG276" s="27" t="s">
        <v>8</v>
      </c>
      <c r="BH276" s="27" t="s">
        <v>7</v>
      </c>
      <c r="BI276" s="27" t="s">
        <v>8</v>
      </c>
      <c r="BN276" s="31"/>
    </row>
    <row r="277" spans="1:69" x14ac:dyDescent="0.25">
      <c r="A277" s="30">
        <v>0.16443563297285677</v>
      </c>
      <c r="B277"/>
      <c r="C277"/>
      <c r="D277"/>
      <c r="E277"/>
      <c r="F277" s="27" t="s">
        <v>7</v>
      </c>
      <c r="O277" s="27" t="s">
        <v>8</v>
      </c>
      <c r="AE277" s="27" t="s">
        <v>8</v>
      </c>
      <c r="AF277" s="27" t="s">
        <v>7</v>
      </c>
      <c r="AH277" s="27" t="s">
        <v>7</v>
      </c>
      <c r="AI277" s="27" t="s">
        <v>8</v>
      </c>
      <c r="AL277" s="27" t="s">
        <v>7</v>
      </c>
      <c r="AR277" s="27" t="s">
        <v>7</v>
      </c>
      <c r="AS277" s="27" t="s">
        <v>8</v>
      </c>
      <c r="AT277" s="27" t="s">
        <v>7</v>
      </c>
      <c r="AU277" s="27" t="s">
        <v>8</v>
      </c>
      <c r="AV277" s="27" t="s">
        <v>7</v>
      </c>
      <c r="AW277" s="27" t="s">
        <v>8</v>
      </c>
      <c r="AX277" s="27" t="s">
        <v>7</v>
      </c>
      <c r="AY277" s="27" t="s">
        <v>8</v>
      </c>
      <c r="BA277" s="27" t="s">
        <v>8</v>
      </c>
      <c r="BB277" s="27" t="s">
        <v>7</v>
      </c>
      <c r="BE277" s="27" t="s">
        <v>8</v>
      </c>
      <c r="BG277" s="27" t="s">
        <v>8</v>
      </c>
      <c r="BH277" s="27" t="s">
        <v>7</v>
      </c>
      <c r="BI277" s="27" t="s">
        <v>8</v>
      </c>
      <c r="BM277" s="31"/>
    </row>
    <row r="278" spans="1:69" x14ac:dyDescent="0.25">
      <c r="A278" s="30">
        <v>0.15660536473605399</v>
      </c>
      <c r="B278"/>
      <c r="C278"/>
      <c r="D278"/>
      <c r="E278"/>
      <c r="F278" s="27" t="s">
        <v>7</v>
      </c>
      <c r="M278" s="27" t="s">
        <v>8</v>
      </c>
      <c r="O278" s="27" t="s">
        <v>8</v>
      </c>
      <c r="P278" s="27" t="s">
        <v>7</v>
      </c>
      <c r="AA278" s="27" t="s">
        <v>8</v>
      </c>
      <c r="AE278" s="27" t="s">
        <v>8</v>
      </c>
      <c r="AH278" s="27" t="s">
        <v>7</v>
      </c>
      <c r="AI278" s="27" t="s">
        <v>8</v>
      </c>
      <c r="AR278" s="27" t="s">
        <v>7</v>
      </c>
      <c r="AS278" s="27" t="s">
        <v>8</v>
      </c>
      <c r="AT278" s="27" t="s">
        <v>7</v>
      </c>
      <c r="AU278" s="27" t="s">
        <v>8</v>
      </c>
      <c r="AV278" s="27" t="s">
        <v>7</v>
      </c>
      <c r="AW278" s="27" t="s">
        <v>8</v>
      </c>
      <c r="AX278" s="27" t="s">
        <v>7</v>
      </c>
      <c r="AY278" s="27" t="s">
        <v>8</v>
      </c>
      <c r="AZ278" s="27" t="s">
        <v>7</v>
      </c>
      <c r="BA278" s="27" t="s">
        <v>8</v>
      </c>
      <c r="BB278" s="27" t="s">
        <v>7</v>
      </c>
      <c r="BC278" s="27" t="s">
        <v>8</v>
      </c>
      <c r="BE278" s="27" t="s">
        <v>8</v>
      </c>
      <c r="BF278" s="27" t="s">
        <v>7</v>
      </c>
      <c r="BG278" s="27" t="s">
        <v>8</v>
      </c>
      <c r="BH278" s="27" t="s">
        <v>7</v>
      </c>
      <c r="BI278" s="27" t="s">
        <v>8</v>
      </c>
      <c r="BL278" s="31"/>
    </row>
    <row r="279" spans="1:69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K279" s="27" t="s">
        <v>8</v>
      </c>
      <c r="M279" s="27" t="s">
        <v>8</v>
      </c>
      <c r="N279" s="27" t="s">
        <v>7</v>
      </c>
      <c r="O279" s="27" t="s">
        <v>8</v>
      </c>
      <c r="P279" s="27" t="s">
        <v>7</v>
      </c>
      <c r="AA279" s="27" t="s">
        <v>8</v>
      </c>
      <c r="AB279" s="27" t="s">
        <v>7</v>
      </c>
      <c r="AC279" s="27" t="s">
        <v>8</v>
      </c>
      <c r="AE279" s="27" t="s">
        <v>8</v>
      </c>
      <c r="AH279" s="27" t="s">
        <v>7</v>
      </c>
      <c r="AR279" s="27" t="s">
        <v>7</v>
      </c>
      <c r="AT279" s="27" t="s">
        <v>7</v>
      </c>
      <c r="AU279" s="27" t="s">
        <v>8</v>
      </c>
      <c r="AV279" s="27" t="s">
        <v>7</v>
      </c>
      <c r="AW279" s="27" t="s">
        <v>8</v>
      </c>
      <c r="AX279" s="27" t="s">
        <v>7</v>
      </c>
      <c r="AY279" s="27" t="s">
        <v>8</v>
      </c>
      <c r="AZ279" s="27" t="s">
        <v>7</v>
      </c>
      <c r="BA279" s="27" t="s">
        <v>8</v>
      </c>
      <c r="BB279" s="27" t="s">
        <v>7</v>
      </c>
      <c r="BC279" s="27" t="s">
        <v>8</v>
      </c>
      <c r="BD279" s="27" t="s">
        <v>7</v>
      </c>
      <c r="BE279" s="27" t="s">
        <v>8</v>
      </c>
      <c r="BF279" s="27" t="s">
        <v>7</v>
      </c>
      <c r="BG279" s="27" t="s">
        <v>8</v>
      </c>
      <c r="BH279" s="27" t="s">
        <v>7</v>
      </c>
      <c r="BI279" s="27" t="s">
        <v>8</v>
      </c>
      <c r="BK279" s="31"/>
    </row>
    <row r="280" spans="1:69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H280" s="27" t="s">
        <v>7</v>
      </c>
      <c r="I280" s="27" t="s">
        <v>8</v>
      </c>
      <c r="K280" s="27" t="s">
        <v>8</v>
      </c>
      <c r="L280" s="27" t="s">
        <v>7</v>
      </c>
      <c r="M280" s="27" t="s">
        <v>8</v>
      </c>
      <c r="N280" s="27" t="s">
        <v>7</v>
      </c>
      <c r="O280" s="27" t="s">
        <v>8</v>
      </c>
      <c r="P280" s="27" t="s">
        <v>7</v>
      </c>
      <c r="AA280" s="27" t="s">
        <v>8</v>
      </c>
      <c r="AB280" s="27" t="s">
        <v>7</v>
      </c>
      <c r="AC280" s="27" t="s">
        <v>8</v>
      </c>
      <c r="AD280" s="27" t="s">
        <v>7</v>
      </c>
      <c r="AE280" s="27" t="s">
        <v>8</v>
      </c>
      <c r="AT280" s="27" t="s">
        <v>7</v>
      </c>
      <c r="AV280" s="27" t="s">
        <v>7</v>
      </c>
      <c r="AX280" s="27" t="s">
        <v>7</v>
      </c>
      <c r="AZ280" s="27" t="s">
        <v>7</v>
      </c>
      <c r="BA280" s="27" t="s">
        <v>8</v>
      </c>
      <c r="BB280" s="27" t="s">
        <v>7</v>
      </c>
      <c r="BC280" s="27" t="s">
        <v>8</v>
      </c>
      <c r="BD280" s="27" t="s">
        <v>7</v>
      </c>
      <c r="BE280" s="27" t="s">
        <v>8</v>
      </c>
      <c r="BF280" s="27" t="s">
        <v>7</v>
      </c>
      <c r="BG280" s="27" t="s">
        <v>8</v>
      </c>
      <c r="BH280" s="27" t="s">
        <v>7</v>
      </c>
      <c r="BJ280" s="31"/>
    </row>
    <row r="281" spans="1:69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J281" s="27" t="s">
        <v>7</v>
      </c>
      <c r="K281" s="27" t="s">
        <v>8</v>
      </c>
      <c r="L281" s="27" t="s">
        <v>7</v>
      </c>
      <c r="M281" s="27" t="s">
        <v>8</v>
      </c>
      <c r="N281" s="27" t="s">
        <v>7</v>
      </c>
      <c r="P281" s="27" t="s">
        <v>7</v>
      </c>
      <c r="AA281" s="27" t="s">
        <v>8</v>
      </c>
      <c r="AB281" s="27" t="s">
        <v>7</v>
      </c>
      <c r="AC281" s="27" t="s">
        <v>8</v>
      </c>
      <c r="AD281" s="27" t="s">
        <v>7</v>
      </c>
      <c r="AE281" s="27" t="s">
        <v>8</v>
      </c>
      <c r="AZ281" s="27" t="s">
        <v>7</v>
      </c>
      <c r="BA281" s="27" t="s">
        <v>8</v>
      </c>
      <c r="BB281" s="27" t="s">
        <v>7</v>
      </c>
      <c r="BD281" s="27" t="s">
        <v>7</v>
      </c>
      <c r="BF281" s="27" t="s">
        <v>7</v>
      </c>
      <c r="BG281" s="27" t="s">
        <v>8</v>
      </c>
      <c r="BI281" s="31"/>
    </row>
    <row r="282" spans="1:69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J282" s="27" t="s">
        <v>7</v>
      </c>
      <c r="K282" s="27" t="s">
        <v>8</v>
      </c>
      <c r="L282" s="27" t="s">
        <v>7</v>
      </c>
      <c r="M282" s="27" t="s">
        <v>8</v>
      </c>
      <c r="P282" s="27" t="s">
        <v>7</v>
      </c>
      <c r="AA282" s="27" t="s">
        <v>8</v>
      </c>
      <c r="AB282" s="27" t="s">
        <v>7</v>
      </c>
      <c r="AD282" s="27" t="s">
        <v>7</v>
      </c>
      <c r="AZ282" s="27" t="s">
        <v>7</v>
      </c>
      <c r="BA282" s="27" t="s">
        <v>8</v>
      </c>
      <c r="BF282" s="27" t="s">
        <v>7</v>
      </c>
      <c r="BG282" s="27" t="s">
        <v>8</v>
      </c>
      <c r="BH282" s="31"/>
    </row>
    <row r="283" spans="1:69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J283" s="27" t="s">
        <v>7</v>
      </c>
      <c r="L283" s="27" t="s">
        <v>7</v>
      </c>
      <c r="M283" s="27" t="s">
        <v>8</v>
      </c>
      <c r="P283" s="27" t="s">
        <v>7</v>
      </c>
      <c r="AA283" s="27" t="s">
        <v>8</v>
      </c>
      <c r="AZ283" s="27" t="s">
        <v>7</v>
      </c>
      <c r="BA283" s="27" t="s">
        <v>8</v>
      </c>
      <c r="BF283" s="27" t="s">
        <v>7</v>
      </c>
      <c r="BG283" s="31" t="s">
        <v>8</v>
      </c>
    </row>
    <row r="284" spans="1:69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L284" s="27" t="s">
        <v>7</v>
      </c>
      <c r="M284" s="27" t="s">
        <v>8</v>
      </c>
      <c r="P284" s="27" t="s">
        <v>7</v>
      </c>
      <c r="AA284" s="27" t="s">
        <v>8</v>
      </c>
      <c r="AZ284" s="27" t="s">
        <v>7</v>
      </c>
      <c r="BA284" s="27" t="s">
        <v>8</v>
      </c>
      <c r="BF284" s="31" t="s">
        <v>7</v>
      </c>
    </row>
    <row r="285" spans="1:69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L285" s="27" t="s">
        <v>7</v>
      </c>
      <c r="P285" s="27" t="s">
        <v>7</v>
      </c>
      <c r="Q285" s="27" t="s">
        <v>8</v>
      </c>
      <c r="AA285" s="27" t="s">
        <v>8</v>
      </c>
      <c r="AZ285" s="27" t="s">
        <v>7</v>
      </c>
    </row>
    <row r="286" spans="1:69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P286" s="27" t="s">
        <v>7</v>
      </c>
      <c r="Q286" s="27" t="s">
        <v>8</v>
      </c>
      <c r="R286" s="27" t="s">
        <v>7</v>
      </c>
      <c r="AA286" s="27" t="s">
        <v>8</v>
      </c>
    </row>
    <row r="287" spans="1:69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P287" s="27" t="s">
        <v>7</v>
      </c>
      <c r="Q287" s="27" t="s">
        <v>8</v>
      </c>
      <c r="R287" s="27" t="s">
        <v>7</v>
      </c>
      <c r="AA287" s="27" t="s">
        <v>8</v>
      </c>
    </row>
    <row r="288" spans="1:69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P288" s="27" t="s">
        <v>7</v>
      </c>
      <c r="Q288" s="27" t="s">
        <v>8</v>
      </c>
      <c r="R288" s="27" t="s">
        <v>7</v>
      </c>
      <c r="Y288" s="27" t="s">
        <v>8</v>
      </c>
      <c r="AA288" s="27" t="s">
        <v>8</v>
      </c>
    </row>
    <row r="289" spans="1:27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P289" s="27" t="s">
        <v>7</v>
      </c>
      <c r="R289" s="27" t="s">
        <v>7</v>
      </c>
      <c r="W289" s="27" t="s">
        <v>8</v>
      </c>
      <c r="Y289" s="27" t="s">
        <v>8</v>
      </c>
      <c r="Z289" s="27" t="s">
        <v>7</v>
      </c>
      <c r="AA289" s="27" t="s">
        <v>8</v>
      </c>
    </row>
    <row r="290" spans="1:27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R290" s="27" t="s">
        <v>7</v>
      </c>
      <c r="W290" s="27" t="s">
        <v>8</v>
      </c>
      <c r="X290" s="27" t="s">
        <v>7</v>
      </c>
      <c r="Y290" s="27" t="s">
        <v>8</v>
      </c>
      <c r="Z290" s="27" t="s">
        <v>7</v>
      </c>
      <c r="AA290" s="27" t="s">
        <v>8</v>
      </c>
    </row>
    <row r="291" spans="1:27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R291" s="27" t="s">
        <v>7</v>
      </c>
      <c r="U291" s="27" t="s">
        <v>8</v>
      </c>
      <c r="W291" s="27" t="s">
        <v>8</v>
      </c>
      <c r="X291" s="27" t="s">
        <v>7</v>
      </c>
      <c r="Y291" s="27" t="s">
        <v>8</v>
      </c>
      <c r="Z291" s="27" t="s">
        <v>7</v>
      </c>
    </row>
    <row r="292" spans="1:27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R292" s="27" t="s">
        <v>7</v>
      </c>
      <c r="U292" s="27" t="s">
        <v>8</v>
      </c>
      <c r="V292" s="27" t="s">
        <v>7</v>
      </c>
      <c r="W292" s="27" t="s">
        <v>8</v>
      </c>
      <c r="X292" s="27" t="s">
        <v>7</v>
      </c>
    </row>
    <row r="293" spans="1:27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R293" s="27" t="s">
        <v>7</v>
      </c>
      <c r="U293" s="27" t="s">
        <v>8</v>
      </c>
      <c r="V293" s="27" t="s">
        <v>7</v>
      </c>
      <c r="W293" s="27" t="s">
        <v>8</v>
      </c>
    </row>
    <row r="294" spans="1:27" x14ac:dyDescent="0.25">
      <c r="A294" s="30">
        <v>7.1742721991251604E-2</v>
      </c>
      <c r="B294"/>
      <c r="C294"/>
      <c r="D294"/>
      <c r="E294"/>
      <c r="F294" s="27" t="s">
        <v>7</v>
      </c>
      <c r="R294" s="27" t="s">
        <v>7</v>
      </c>
      <c r="U294" s="27" t="s">
        <v>8</v>
      </c>
      <c r="V294" s="27" t="s">
        <v>7</v>
      </c>
      <c r="W294" s="27" t="s">
        <v>8</v>
      </c>
    </row>
    <row r="295" spans="1:27" x14ac:dyDescent="0.25">
      <c r="A295" s="30">
        <v>6.8326401896430078E-2</v>
      </c>
      <c r="B295"/>
      <c r="C295"/>
      <c r="D295"/>
      <c r="E295"/>
      <c r="R295" s="27" t="s">
        <v>7</v>
      </c>
      <c r="U295" s="27" t="s">
        <v>8</v>
      </c>
      <c r="V295" s="27" t="s">
        <v>7</v>
      </c>
      <c r="W295" s="27" t="s">
        <v>8</v>
      </c>
    </row>
    <row r="296" spans="1:27" x14ac:dyDescent="0.25">
      <c r="A296" s="30">
        <v>6.5072763710885759E-2</v>
      </c>
      <c r="B296"/>
      <c r="C296"/>
      <c r="D296"/>
      <c r="E296"/>
      <c r="R296" s="27" t="s">
        <v>7</v>
      </c>
      <c r="U296" s="27" t="s">
        <v>8</v>
      </c>
      <c r="V296" s="27" t="s">
        <v>7</v>
      </c>
    </row>
    <row r="297" spans="1:27" x14ac:dyDescent="0.25">
      <c r="A297" s="30">
        <v>6.197406067703403E-2</v>
      </c>
      <c r="B297"/>
      <c r="C297"/>
      <c r="D297"/>
      <c r="E297"/>
      <c r="R297" s="27" t="s">
        <v>7</v>
      </c>
      <c r="U297" s="27" t="s">
        <v>8</v>
      </c>
    </row>
    <row r="298" spans="1:27" x14ac:dyDescent="0.25">
      <c r="A298" s="30">
        <v>5.9022914930508576E-2</v>
      </c>
      <c r="B298"/>
      <c r="C298"/>
      <c r="D298"/>
      <c r="E298"/>
      <c r="R298" s="27" t="s">
        <v>7</v>
      </c>
      <c r="U298" s="27" t="s">
        <v>8</v>
      </c>
    </row>
    <row r="299" spans="1:27" x14ac:dyDescent="0.25">
      <c r="A299" s="30">
        <v>5.6212299933817669E-2</v>
      </c>
      <c r="B299"/>
      <c r="C299"/>
      <c r="D299"/>
      <c r="E299"/>
      <c r="R299" s="27" t="s">
        <v>7</v>
      </c>
      <c r="S299" s="27" t="s">
        <v>8</v>
      </c>
      <c r="U299" s="27" t="s">
        <v>8</v>
      </c>
    </row>
    <row r="300" spans="1:27" x14ac:dyDescent="0.25">
      <c r="A300" s="30">
        <v>5.3535523746492994E-2</v>
      </c>
      <c r="B300"/>
      <c r="C300"/>
      <c r="D300"/>
      <c r="E300"/>
      <c r="R300" s="27" t="s">
        <v>7</v>
      </c>
      <c r="S300" s="27" t="s">
        <v>8</v>
      </c>
      <c r="T300" s="27" t="s">
        <v>7</v>
      </c>
      <c r="U300" s="27" t="s">
        <v>8</v>
      </c>
    </row>
    <row r="301" spans="1:27" x14ac:dyDescent="0.25">
      <c r="A301" s="30">
        <v>5.0986213091898068E-2</v>
      </c>
      <c r="B301"/>
      <c r="C301"/>
      <c r="D301"/>
      <c r="E301"/>
      <c r="R301" s="27" t="s">
        <v>7</v>
      </c>
      <c r="S301" s="27" t="s">
        <v>8</v>
      </c>
      <c r="T301" s="27" t="s">
        <v>7</v>
      </c>
      <c r="U301" s="27" t="s">
        <v>8</v>
      </c>
    </row>
    <row r="302" spans="1:27" x14ac:dyDescent="0.25">
      <c r="A302" s="30">
        <v>4.8558298182760043E-2</v>
      </c>
      <c r="B302"/>
      <c r="C302"/>
      <c r="D302"/>
      <c r="E302"/>
      <c r="R302" s="27" t="s">
        <v>7</v>
      </c>
      <c r="S302" s="27" t="s">
        <v>8</v>
      </c>
      <c r="T302" s="27" t="s">
        <v>7</v>
      </c>
      <c r="U302" s="27" t="s">
        <v>8</v>
      </c>
    </row>
    <row r="303" spans="1:27" x14ac:dyDescent="0.25">
      <c r="A303" s="30">
        <v>4.6245998269295263E-2</v>
      </c>
      <c r="B303"/>
      <c r="C303"/>
      <c r="D303"/>
      <c r="E303"/>
      <c r="R303" s="27" t="s">
        <v>7</v>
      </c>
      <c r="S303" s="27" t="s">
        <v>8</v>
      </c>
      <c r="T303" s="27" t="s">
        <v>7</v>
      </c>
      <c r="U303" s="27" t="s">
        <v>8</v>
      </c>
    </row>
    <row r="304" spans="1:27" x14ac:dyDescent="0.25">
      <c r="A304" s="30">
        <v>4.4043807875519279E-2</v>
      </c>
      <c r="B304"/>
      <c r="C304"/>
      <c r="D304"/>
      <c r="E304"/>
      <c r="R304" s="27" t="s">
        <v>7</v>
      </c>
      <c r="S304" s="27" t="s">
        <v>8</v>
      </c>
      <c r="T304" s="27" t="s">
        <v>7</v>
      </c>
      <c r="U304" s="27" t="s">
        <v>8</v>
      </c>
    </row>
    <row r="305" spans="1:20" x14ac:dyDescent="0.25">
      <c r="A305" s="30">
        <v>4.1946483690970725E-2</v>
      </c>
      <c r="B305"/>
      <c r="C305"/>
      <c r="D305"/>
      <c r="E305"/>
      <c r="R305" s="27" t="s">
        <v>7</v>
      </c>
      <c r="S305" s="27" t="s">
        <v>8</v>
      </c>
      <c r="T305" s="27" t="s">
        <v>7</v>
      </c>
    </row>
    <row r="306" spans="1:20" x14ac:dyDescent="0.25">
      <c r="A306" s="30">
        <v>3.9949032086638768E-2</v>
      </c>
      <c r="B306"/>
      <c r="C306"/>
      <c r="D306"/>
      <c r="E306"/>
      <c r="R306" s="27" t="s">
        <v>7</v>
      </c>
      <c r="S306" s="27" t="s">
        <v>8</v>
      </c>
    </row>
    <row r="307" spans="1:20" x14ac:dyDescent="0.25">
      <c r="A307" s="30">
        <v>3.8046697225370241E-2</v>
      </c>
      <c r="B307"/>
      <c r="C307"/>
      <c r="D307"/>
      <c r="E307"/>
      <c r="R307" s="27" t="s">
        <v>7</v>
      </c>
      <c r="S307" s="27" t="s">
        <v>8</v>
      </c>
    </row>
    <row r="308" spans="1:20" x14ac:dyDescent="0.25">
      <c r="A308" s="30">
        <v>3.6234949738447833E-2</v>
      </c>
      <c r="B308"/>
      <c r="C308"/>
      <c r="D308"/>
      <c r="E308"/>
      <c r="R308" s="27" t="s">
        <v>7</v>
      </c>
      <c r="S308" s="27" t="s">
        <v>8</v>
      </c>
    </row>
    <row r="309" spans="1:20" x14ac:dyDescent="0.25">
      <c r="A309" s="30">
        <v>3.4509475941378875E-2</v>
      </c>
      <c r="B309"/>
      <c r="C309"/>
      <c r="D309"/>
      <c r="E309"/>
      <c r="R309" s="27" t="s">
        <v>7</v>
      </c>
      <c r="S309" s="27" t="s">
        <v>8</v>
      </c>
    </row>
    <row r="310" spans="1:20" x14ac:dyDescent="0.25">
      <c r="A310" s="30">
        <v>3.286616756321796E-2</v>
      </c>
      <c r="B310"/>
      <c r="C310"/>
      <c r="D310"/>
      <c r="E310"/>
      <c r="R310" s="27" t="s">
        <v>7</v>
      </c>
    </row>
    <row r="311" spans="1:20" x14ac:dyDescent="0.25">
      <c r="A311" s="30">
        <v>3.1301111964969472E-2</v>
      </c>
      <c r="B311"/>
      <c r="C311"/>
      <c r="D311"/>
      <c r="E311"/>
    </row>
    <row r="312" spans="1:20" x14ac:dyDescent="0.25">
      <c r="A312" s="30">
        <v>2.9810582823780438E-2</v>
      </c>
      <c r="B312"/>
      <c r="C312"/>
      <c r="D312"/>
      <c r="E312"/>
    </row>
    <row r="313" spans="1:20" x14ac:dyDescent="0.25">
      <c r="A313" s="30">
        <v>2.8391031260743264E-2</v>
      </c>
      <c r="B313"/>
      <c r="C313"/>
      <c r="D313"/>
      <c r="E313"/>
    </row>
    <row r="314" spans="1:20" x14ac:dyDescent="0.25">
      <c r="A314" s="30">
        <v>2.7039077391184052E-2</v>
      </c>
      <c r="B314"/>
      <c r="C314"/>
      <c r="D314"/>
      <c r="E314"/>
    </row>
    <row r="315" spans="1:20" x14ac:dyDescent="0.25">
      <c r="A315" s="30">
        <v>2.5751502277318133E-2</v>
      </c>
      <c r="B315"/>
      <c r="C315"/>
      <c r="D315"/>
      <c r="E315"/>
    </row>
    <row r="316" spans="1:20" x14ac:dyDescent="0.25">
      <c r="A316" s="30">
        <v>2.4525240264112496E-2</v>
      </c>
      <c r="B316"/>
      <c r="C316"/>
      <c r="D316"/>
      <c r="E316"/>
    </row>
    <row r="317" spans="1:20" x14ac:dyDescent="0.25">
      <c r="A317" s="30">
        <v>2.3357371680107129E-2</v>
      </c>
      <c r="B317"/>
      <c r="C317"/>
      <c r="D317"/>
      <c r="E317"/>
    </row>
    <row r="318" spans="1:20" x14ac:dyDescent="0.25">
      <c r="A318" s="30">
        <v>2.2245115885816305E-2</v>
      </c>
      <c r="B318"/>
      <c r="C318"/>
      <c r="D318"/>
      <c r="E318"/>
    </row>
    <row r="319" spans="1:20" x14ac:dyDescent="0.25">
      <c r="A319" s="30">
        <v>2.1185824653158377E-2</v>
      </c>
      <c r="B319"/>
      <c r="C319"/>
      <c r="D319"/>
      <c r="E319"/>
    </row>
    <row r="320" spans="1:20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5" zoomScale="90" zoomScaleNormal="90" workbookViewId="0">
      <pane xSplit="4" topLeftCell="G1" activePane="topRight" state="frozen"/>
      <selection activeCell="A109" sqref="A109"/>
      <selection pane="topRight" activeCell="BD118" sqref="BD11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6" x14ac:dyDescent="0.25">
      <c r="A97" s="30">
        <v>9.849732675807628</v>
      </c>
      <c r="E97"/>
    </row>
    <row r="98" spans="1:56" x14ac:dyDescent="0.25">
      <c r="A98" s="30">
        <v>8.9543024325523888</v>
      </c>
      <c r="C98" s="1" t="s">
        <v>13</v>
      </c>
      <c r="E98"/>
    </row>
    <row r="99" spans="1:56" x14ac:dyDescent="0.25">
      <c r="A99" s="30">
        <v>8.140274938683989</v>
      </c>
      <c r="C99" s="1">
        <f>C88</f>
        <v>0</v>
      </c>
      <c r="E99"/>
    </row>
    <row r="100" spans="1:56" x14ac:dyDescent="0.25">
      <c r="A100" s="30">
        <v>7.4002499442581717</v>
      </c>
      <c r="C100"/>
      <c r="D100"/>
      <c r="E100"/>
    </row>
    <row r="101" spans="1:56" x14ac:dyDescent="0.25">
      <c r="A101" s="30">
        <v>6.72749994932561</v>
      </c>
      <c r="C101" s="1" t="s">
        <v>14</v>
      </c>
      <c r="E101"/>
    </row>
    <row r="102" spans="1:5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6" x14ac:dyDescent="0.25">
      <c r="A103" s="30">
        <v>5.5599173134922388</v>
      </c>
      <c r="E103"/>
    </row>
    <row r="104" spans="1:56" x14ac:dyDescent="0.25">
      <c r="A104" s="30">
        <v>5.0544702849929442</v>
      </c>
      <c r="E104"/>
    </row>
    <row r="105" spans="1:56" x14ac:dyDescent="0.25">
      <c r="A105" s="30">
        <v>4.594972986357222</v>
      </c>
      <c r="E105"/>
      <c r="AY105" s="27" t="s">
        <v>8</v>
      </c>
    </row>
    <row r="106" spans="1:56" x14ac:dyDescent="0.25">
      <c r="A106" s="30">
        <v>4.1772481694156562</v>
      </c>
      <c r="E106"/>
      <c r="AY106" s="27" t="s">
        <v>8</v>
      </c>
      <c r="AZ106" s="27" t="s">
        <v>7</v>
      </c>
    </row>
    <row r="107" spans="1:56" x14ac:dyDescent="0.25">
      <c r="A107" s="30">
        <v>3.7974983358324148</v>
      </c>
      <c r="E107"/>
      <c r="AI107" s="31" t="s">
        <v>8</v>
      </c>
      <c r="AY107" s="27" t="s">
        <v>8</v>
      </c>
      <c r="AZ107" s="27" t="s">
        <v>7</v>
      </c>
    </row>
    <row r="108" spans="1:56" x14ac:dyDescent="0.25">
      <c r="A108" s="30">
        <v>3.4522712143931042</v>
      </c>
      <c r="E108"/>
      <c r="AI108" s="27" t="s">
        <v>8</v>
      </c>
      <c r="AJ108" s="31" t="s">
        <v>7</v>
      </c>
      <c r="AU108" s="27" t="s">
        <v>8</v>
      </c>
      <c r="AW108" s="27" t="s">
        <v>8</v>
      </c>
      <c r="AY108" s="27" t="s">
        <v>8</v>
      </c>
      <c r="AZ108" s="27" t="s">
        <v>7</v>
      </c>
    </row>
    <row r="109" spans="1:56" x14ac:dyDescent="0.25">
      <c r="A109" s="30">
        <v>3.1384283767210035</v>
      </c>
      <c r="E109"/>
      <c r="AI109" s="27" t="s">
        <v>8</v>
      </c>
      <c r="AJ109" s="27" t="s">
        <v>7</v>
      </c>
      <c r="AK109" s="31"/>
      <c r="AU109" s="27" t="s">
        <v>8</v>
      </c>
      <c r="AV109" s="27" t="s">
        <v>7</v>
      </c>
      <c r="AW109" s="27" t="s">
        <v>8</v>
      </c>
      <c r="AX109" s="27" t="s">
        <v>7</v>
      </c>
      <c r="AY109" s="27" t="s">
        <v>8</v>
      </c>
      <c r="AZ109" s="27" t="s">
        <v>7</v>
      </c>
      <c r="BA109" s="27" t="s">
        <v>8</v>
      </c>
      <c r="BC109" s="27" t="s">
        <v>8</v>
      </c>
    </row>
    <row r="110" spans="1:56" x14ac:dyDescent="0.25">
      <c r="A110" s="30">
        <v>2.8531167061100029</v>
      </c>
      <c r="E110"/>
      <c r="AG110" s="27" t="s">
        <v>8</v>
      </c>
      <c r="AI110" s="27" t="s">
        <v>8</v>
      </c>
      <c r="AJ110" s="27" t="s">
        <v>7</v>
      </c>
      <c r="AK110" s="27" t="s">
        <v>8</v>
      </c>
      <c r="AL110" s="31"/>
      <c r="AU110" s="27" t="s">
        <v>8</v>
      </c>
      <c r="AV110" s="27" t="s">
        <v>7</v>
      </c>
      <c r="AW110" s="27" t="s">
        <v>8</v>
      </c>
      <c r="AX110" s="27" t="s">
        <v>7</v>
      </c>
      <c r="AY110" s="27" t="s">
        <v>8</v>
      </c>
      <c r="AZ110" s="27" t="s">
        <v>7</v>
      </c>
      <c r="BA110" s="27" t="s">
        <v>8</v>
      </c>
      <c r="BB110" s="27" t="s">
        <v>7</v>
      </c>
      <c r="BC110" s="27" t="s">
        <v>8</v>
      </c>
      <c r="BD110" s="27" t="s">
        <v>7</v>
      </c>
    </row>
    <row r="111" spans="1:56" x14ac:dyDescent="0.25">
      <c r="A111" s="30">
        <v>2.5937424601000023</v>
      </c>
      <c r="C111" s="1" t="str">
        <f>ADDRESS(C121-1,1,1,1)</f>
        <v>$A$117</v>
      </c>
      <c r="D111" s="1" t="str">
        <f>ADDRESS(C121-1,D121,1,1)</f>
        <v>$BD$117</v>
      </c>
      <c r="E111"/>
      <c r="AG111" s="27" t="s">
        <v>8</v>
      </c>
      <c r="AH111" s="27" t="s">
        <v>7</v>
      </c>
      <c r="AI111" s="27" t="s">
        <v>8</v>
      </c>
      <c r="AJ111" s="27" t="s">
        <v>7</v>
      </c>
      <c r="AK111" s="27" t="s">
        <v>8</v>
      </c>
      <c r="AL111" s="27" t="s">
        <v>7</v>
      </c>
      <c r="AM111" s="31"/>
      <c r="AU111" s="27" t="s">
        <v>8</v>
      </c>
      <c r="AV111" s="27" t="s">
        <v>7</v>
      </c>
      <c r="AX111" s="27" t="s">
        <v>7</v>
      </c>
      <c r="AZ111" s="27" t="s">
        <v>7</v>
      </c>
      <c r="BA111" s="27" t="s">
        <v>8</v>
      </c>
      <c r="BB111" s="27" t="s">
        <v>7</v>
      </c>
      <c r="BC111" s="27" t="s">
        <v>8</v>
      </c>
      <c r="BD111" s="27" t="s">
        <v>7</v>
      </c>
    </row>
    <row r="112" spans="1:56" x14ac:dyDescent="0.25">
      <c r="A112" s="30">
        <v>2.3579476910000019</v>
      </c>
      <c r="C112" s="1" t="str">
        <f>ADDRESS(C121,1,1,1)</f>
        <v>$A$118</v>
      </c>
      <c r="D112" s="1" t="str">
        <f>ADDRESS(C121,D121-1,1,1)</f>
        <v>$BC$118</v>
      </c>
      <c r="E112"/>
      <c r="AG112" s="27" t="s">
        <v>8</v>
      </c>
      <c r="AH112" s="27" t="s">
        <v>7</v>
      </c>
      <c r="AI112" s="27" t="s">
        <v>8</v>
      </c>
      <c r="AJ112" s="27" t="s">
        <v>7</v>
      </c>
      <c r="AK112" s="27" t="s">
        <v>8</v>
      </c>
      <c r="AL112" s="27" t="s">
        <v>7</v>
      </c>
      <c r="AN112" s="31"/>
      <c r="AU112" s="27" t="s">
        <v>8</v>
      </c>
      <c r="AZ112" s="27" t="s">
        <v>7</v>
      </c>
      <c r="BA112" s="27" t="s">
        <v>8</v>
      </c>
      <c r="BB112" s="27" t="s">
        <v>7</v>
      </c>
      <c r="BD112" s="27" t="s">
        <v>7</v>
      </c>
    </row>
    <row r="113" spans="1:56" x14ac:dyDescent="0.25">
      <c r="A113" s="30">
        <v>2.1435888100000016</v>
      </c>
      <c r="C113" s="1" t="str">
        <f>ADDRESS(C121+1,1,1,1)</f>
        <v>$A$119</v>
      </c>
      <c r="D113" s="1" t="str">
        <f>ADDRESS(C121-1,D121+1,1,1)</f>
        <v>$BE$117</v>
      </c>
      <c r="AG113" s="27" t="s">
        <v>8</v>
      </c>
      <c r="AH113" s="27" t="s">
        <v>7</v>
      </c>
      <c r="AJ113" s="27" t="s">
        <v>7</v>
      </c>
      <c r="AK113" s="27" t="s">
        <v>8</v>
      </c>
      <c r="AL113" s="27" t="s">
        <v>7</v>
      </c>
      <c r="AO113" s="31"/>
      <c r="AS113" s="27" t="s">
        <v>8</v>
      </c>
      <c r="AU113" s="27" t="s">
        <v>8</v>
      </c>
      <c r="AZ113" s="27" t="s">
        <v>7</v>
      </c>
      <c r="BB113" s="31"/>
      <c r="BD113" s="27" t="s">
        <v>7</v>
      </c>
    </row>
    <row r="114" spans="1:56" x14ac:dyDescent="0.25">
      <c r="A114" s="30">
        <v>1.9487171000000014</v>
      </c>
      <c r="C114" s="1" t="str">
        <f>ADDRESS(C121,D121,1,1)</f>
        <v>$BD$118</v>
      </c>
      <c r="D114" s="1" t="str">
        <f>ADDRESS(C121+1,D121+1,1,1)</f>
        <v>$BE$119</v>
      </c>
      <c r="AG114" s="27" t="s">
        <v>8</v>
      </c>
      <c r="AJ114" s="32" t="s">
        <v>7</v>
      </c>
      <c r="AK114" s="27" t="s">
        <v>8</v>
      </c>
      <c r="AL114" s="27" t="s">
        <v>7</v>
      </c>
      <c r="AO114" s="27" t="s">
        <v>8</v>
      </c>
      <c r="AP114" s="31"/>
      <c r="AS114" s="27" t="s">
        <v>8</v>
      </c>
      <c r="AT114" s="27" t="s">
        <v>7</v>
      </c>
      <c r="AU114" s="27" t="s">
        <v>8</v>
      </c>
      <c r="BA114" s="31"/>
      <c r="BD114" s="27" t="s">
        <v>7</v>
      </c>
    </row>
    <row r="115" spans="1:56" x14ac:dyDescent="0.25">
      <c r="A115" s="30">
        <v>1.7715610000000011</v>
      </c>
      <c r="C115" s="1" t="str">
        <f>ADDRESS(C121+1,D121,1,1)</f>
        <v>$BD$119</v>
      </c>
      <c r="AG115" s="27" t="s">
        <v>8</v>
      </c>
      <c r="AJ115" s="27" t="s">
        <v>7</v>
      </c>
      <c r="AL115" s="27" t="s">
        <v>7</v>
      </c>
      <c r="AO115" s="27" t="s">
        <v>8</v>
      </c>
      <c r="AP115" s="27" t="s">
        <v>7</v>
      </c>
      <c r="AQ115" s="31"/>
      <c r="AS115" s="27" t="s">
        <v>8</v>
      </c>
      <c r="AT115" s="27" t="s">
        <v>7</v>
      </c>
      <c r="AU115" s="27" t="s">
        <v>8</v>
      </c>
      <c r="AZ115" s="31"/>
      <c r="BD115" s="27" t="s">
        <v>7</v>
      </c>
    </row>
    <row r="116" spans="1:56" x14ac:dyDescent="0.25">
      <c r="A116" s="30">
        <v>1.6105100000000008</v>
      </c>
      <c r="C116" s="1">
        <f>C117-1</f>
        <v>117</v>
      </c>
      <c r="AG116" s="27" t="s">
        <v>8</v>
      </c>
      <c r="AL116" s="27" t="s">
        <v>7</v>
      </c>
      <c r="AO116" s="34" t="s">
        <v>8</v>
      </c>
      <c r="AP116" s="27" t="s">
        <v>7</v>
      </c>
      <c r="AR116" s="31"/>
      <c r="AS116" s="27" t="s">
        <v>8</v>
      </c>
      <c r="AT116" s="27" t="s">
        <v>7</v>
      </c>
      <c r="AU116" s="27" t="s">
        <v>8</v>
      </c>
      <c r="AY116" s="31"/>
      <c r="BD116" s="27" t="s">
        <v>7</v>
      </c>
    </row>
    <row r="117" spans="1:56" x14ac:dyDescent="0.25">
      <c r="A117" s="30">
        <v>1.4641000000000006</v>
      </c>
      <c r="C117" s="1">
        <f>C121</f>
        <v>118</v>
      </c>
      <c r="D117" s="1">
        <f>D121</f>
        <v>56</v>
      </c>
      <c r="AE117" s="27" t="s">
        <v>8</v>
      </c>
      <c r="AG117" s="27" t="s">
        <v>8</v>
      </c>
      <c r="AL117" s="27" t="s">
        <v>7</v>
      </c>
      <c r="AM117" s="27" t="s">
        <v>8</v>
      </c>
      <c r="AO117" s="27" t="s">
        <v>8</v>
      </c>
      <c r="AP117" s="27" t="s">
        <v>7</v>
      </c>
      <c r="AQ117" s="27" t="s">
        <v>8</v>
      </c>
      <c r="AS117" s="31" t="s">
        <v>8</v>
      </c>
      <c r="AT117" s="27" t="s">
        <v>7</v>
      </c>
      <c r="AU117" s="27" t="s">
        <v>8</v>
      </c>
      <c r="AX117" s="31"/>
      <c r="BD117" s="27" t="s">
        <v>7</v>
      </c>
    </row>
    <row r="118" spans="1:56" x14ac:dyDescent="0.25">
      <c r="A118" s="30">
        <v>1.3310000000000004</v>
      </c>
      <c r="C118" s="1">
        <f>C117+1</f>
        <v>119</v>
      </c>
      <c r="D118" s="1">
        <f>D117+1</f>
        <v>57</v>
      </c>
      <c r="AE118" s="27" t="s">
        <v>8</v>
      </c>
      <c r="AF118" s="27" t="s">
        <v>7</v>
      </c>
      <c r="AG118" s="27" t="s">
        <v>8</v>
      </c>
      <c r="AL118" s="27" t="s">
        <v>7</v>
      </c>
      <c r="AM118" s="27" t="s">
        <v>8</v>
      </c>
      <c r="AN118" s="27" t="s">
        <v>7</v>
      </c>
      <c r="AO118" s="27" t="s">
        <v>8</v>
      </c>
      <c r="AP118" s="27" t="s">
        <v>7</v>
      </c>
      <c r="AQ118" s="27" t="s">
        <v>8</v>
      </c>
      <c r="AR118" s="27" t="s">
        <v>7</v>
      </c>
      <c r="AS118" s="27" t="s">
        <v>8</v>
      </c>
      <c r="AT118" s="19" t="s">
        <v>7</v>
      </c>
      <c r="AU118" s="27" t="s">
        <v>8</v>
      </c>
      <c r="AW118" s="31"/>
      <c r="BD118" s="27" t="s">
        <v>7</v>
      </c>
    </row>
    <row r="119" spans="1:56" x14ac:dyDescent="0.25">
      <c r="A119" s="30">
        <v>1.2100000000000002</v>
      </c>
      <c r="AE119" s="27" t="s">
        <v>8</v>
      </c>
      <c r="AF119" s="27" t="s">
        <v>7</v>
      </c>
      <c r="AG119" s="27" t="s">
        <v>8</v>
      </c>
      <c r="AL119" s="27" t="s">
        <v>7</v>
      </c>
      <c r="AM119" s="27" t="s">
        <v>8</v>
      </c>
      <c r="AN119" s="27" t="s">
        <v>7</v>
      </c>
      <c r="AO119" s="27" t="s">
        <v>8</v>
      </c>
      <c r="AP119" s="27" t="s">
        <v>7</v>
      </c>
      <c r="AQ119" s="27" t="s">
        <v>8</v>
      </c>
      <c r="AR119" s="27" t="s">
        <v>7</v>
      </c>
      <c r="AS119" s="27" t="s">
        <v>8</v>
      </c>
      <c r="AT119" s="27" t="s">
        <v>7</v>
      </c>
      <c r="AU119" s="19"/>
      <c r="AV119" s="31"/>
    </row>
    <row r="120" spans="1:56" x14ac:dyDescent="0.25">
      <c r="A120" s="30">
        <v>1.1000000000000001</v>
      </c>
      <c r="C120" s="1" t="s">
        <v>9</v>
      </c>
      <c r="AE120" s="27" t="s">
        <v>8</v>
      </c>
      <c r="AF120" s="27" t="s">
        <v>7</v>
      </c>
      <c r="AL120" s="27" t="s">
        <v>7</v>
      </c>
      <c r="AM120" s="27" t="s">
        <v>8</v>
      </c>
      <c r="AN120" s="27" t="s">
        <v>7</v>
      </c>
      <c r="AO120" s="27" t="s">
        <v>8</v>
      </c>
      <c r="AP120" s="27" t="s">
        <v>7</v>
      </c>
      <c r="AQ120" s="27" t="s">
        <v>8</v>
      </c>
      <c r="AR120" s="18" t="s">
        <v>7</v>
      </c>
      <c r="AS120" s="27" t="s">
        <v>8</v>
      </c>
      <c r="AU120" s="31"/>
    </row>
    <row r="121" spans="1:56" x14ac:dyDescent="0.25">
      <c r="A121" s="30">
        <v>1</v>
      </c>
      <c r="C121" s="18">
        <v>118</v>
      </c>
      <c r="D121" s="19">
        <v>56</v>
      </c>
      <c r="E121" s="18" t="s">
        <v>8</v>
      </c>
      <c r="AE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AR121" s="27" t="s">
        <v>7</v>
      </c>
      <c r="AT121" s="31"/>
    </row>
    <row r="122" spans="1:56" x14ac:dyDescent="0.25">
      <c r="A122" s="30">
        <v>0.90909090909090895</v>
      </c>
      <c r="C122" s="1" t="str">
        <f>INDEX(1:1048576,C117,D117)</f>
        <v>O</v>
      </c>
      <c r="F122" s="27" t="s">
        <v>7</v>
      </c>
      <c r="AE122" s="27" t="s">
        <v>8</v>
      </c>
      <c r="AL122" s="27" t="s">
        <v>7</v>
      </c>
      <c r="AN122" s="27" t="s">
        <v>7</v>
      </c>
      <c r="AO122" s="27" t="s">
        <v>8</v>
      </c>
      <c r="AP122" s="27" t="s">
        <v>7</v>
      </c>
      <c r="AQ122" s="27" t="s">
        <v>8</v>
      </c>
      <c r="AS122" s="31"/>
    </row>
    <row r="123" spans="1:56" x14ac:dyDescent="0.25">
      <c r="A123" s="30">
        <v>0.82644628099173523</v>
      </c>
      <c r="C123" s="1" t="str">
        <f>"R"&amp;C121</f>
        <v>R118</v>
      </c>
      <c r="D123" s="1" t="str">
        <f>"C"&amp;D121</f>
        <v>C56</v>
      </c>
      <c r="F123" s="27" t="s">
        <v>7</v>
      </c>
      <c r="AE123" s="27" t="s">
        <v>8</v>
      </c>
      <c r="AN123" s="27" t="s">
        <v>7</v>
      </c>
      <c r="AO123" s="27" t="s">
        <v>8</v>
      </c>
      <c r="AP123" s="27" t="s">
        <v>7</v>
      </c>
      <c r="AR123" s="31"/>
    </row>
    <row r="124" spans="1:5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E124" s="27" t="s">
        <v>8</v>
      </c>
      <c r="AN124" s="27" t="s">
        <v>7</v>
      </c>
      <c r="AQ124" s="31"/>
    </row>
    <row r="125" spans="1:56" x14ac:dyDescent="0.25">
      <c r="A125" s="30">
        <v>0.68301345536507019</v>
      </c>
      <c r="F125" s="27" t="s">
        <v>7</v>
      </c>
      <c r="AE125" s="34" t="s">
        <v>8</v>
      </c>
      <c r="AP125" s="31"/>
    </row>
    <row r="126" spans="1:56" x14ac:dyDescent="0.25">
      <c r="A126" s="30">
        <v>0.6209213230591546</v>
      </c>
      <c r="C126" s="1" t="s">
        <v>10</v>
      </c>
      <c r="F126" s="27" t="s">
        <v>7</v>
      </c>
      <c r="AA126" s="35" t="s">
        <v>8</v>
      </c>
      <c r="AC126" s="35" t="s">
        <v>8</v>
      </c>
      <c r="AE126" s="27" t="s">
        <v>8</v>
      </c>
      <c r="AO126" s="31"/>
    </row>
    <row r="127" spans="1:56" x14ac:dyDescent="0.25">
      <c r="A127" s="30">
        <v>0.56447393005377677</v>
      </c>
      <c r="C127" s="30">
        <v>1.3310000000000004</v>
      </c>
      <c r="D127"/>
      <c r="F127" s="27" t="s">
        <v>7</v>
      </c>
      <c r="AA127" s="27" t="s">
        <v>8</v>
      </c>
      <c r="AB127" s="27" t="s">
        <v>7</v>
      </c>
      <c r="AC127" s="27" t="s">
        <v>8</v>
      </c>
      <c r="AD127" s="27" t="s">
        <v>7</v>
      </c>
      <c r="AE127" s="27" t="s">
        <v>8</v>
      </c>
      <c r="AN127" s="31"/>
    </row>
    <row r="128" spans="1:56" x14ac:dyDescent="0.25">
      <c r="A128" s="30">
        <v>0.51315811823070612</v>
      </c>
      <c r="F128" s="27" t="s">
        <v>7</v>
      </c>
      <c r="AA128" s="27" t="s">
        <v>8</v>
      </c>
      <c r="AB128" s="27" t="s">
        <v>7</v>
      </c>
      <c r="AC128" s="27" t="s">
        <v>8</v>
      </c>
      <c r="AD128" s="27" t="s">
        <v>7</v>
      </c>
      <c r="AE128" s="27" t="s">
        <v>8</v>
      </c>
      <c r="AM128" s="31"/>
    </row>
    <row r="129" spans="1:3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Y129" s="27" t="s">
        <v>8</v>
      </c>
      <c r="AA129" s="27" t="s">
        <v>8</v>
      </c>
      <c r="AB129" s="27" t="s">
        <v>7</v>
      </c>
      <c r="AD129" s="27" t="s">
        <v>7</v>
      </c>
      <c r="AE129" s="27" t="s">
        <v>8</v>
      </c>
      <c r="AL129" s="31"/>
    </row>
    <row r="130" spans="1:38" x14ac:dyDescent="0.25">
      <c r="A130" s="30">
        <v>0.42409761837248428</v>
      </c>
      <c r="C130" s="6"/>
      <c r="D130" s="6"/>
      <c r="E130"/>
      <c r="F130" s="27" t="s">
        <v>7</v>
      </c>
      <c r="W130" s="27" t="s">
        <v>8</v>
      </c>
      <c r="Y130" s="27" t="s">
        <v>8</v>
      </c>
      <c r="Z130" s="27" t="s">
        <v>7</v>
      </c>
      <c r="AA130" s="27" t="s">
        <v>8</v>
      </c>
      <c r="AD130" s="32" t="s">
        <v>7</v>
      </c>
      <c r="AE130" s="27" t="s">
        <v>8</v>
      </c>
      <c r="AK130" s="31"/>
    </row>
    <row r="131" spans="1:38" x14ac:dyDescent="0.25">
      <c r="A131" s="30">
        <v>0.38554328942953109</v>
      </c>
      <c r="E131"/>
      <c r="F131" s="27" t="s">
        <v>7</v>
      </c>
      <c r="W131" s="27" t="s">
        <v>8</v>
      </c>
      <c r="X131" s="27" t="s">
        <v>7</v>
      </c>
      <c r="Y131" s="27" t="s">
        <v>8</v>
      </c>
      <c r="Z131" s="27" t="s">
        <v>7</v>
      </c>
      <c r="AA131" s="27" t="s">
        <v>8</v>
      </c>
      <c r="AD131" s="27" t="s">
        <v>7</v>
      </c>
      <c r="AE131" s="27" t="s">
        <v>8</v>
      </c>
      <c r="AJ131" s="31"/>
    </row>
    <row r="132" spans="1:38" x14ac:dyDescent="0.25">
      <c r="A132" s="30">
        <v>0.35049389948139187</v>
      </c>
      <c r="C132" s="1" t="s">
        <v>13</v>
      </c>
      <c r="E132"/>
      <c r="F132" s="27" t="s">
        <v>7</v>
      </c>
      <c r="W132" s="27" t="s">
        <v>8</v>
      </c>
      <c r="X132" s="27" t="s">
        <v>7</v>
      </c>
      <c r="Y132" s="27" t="s">
        <v>8</v>
      </c>
      <c r="Z132" s="27" t="s">
        <v>7</v>
      </c>
      <c r="AA132" s="27" t="s">
        <v>8</v>
      </c>
      <c r="AD132" s="27" t="s">
        <v>7</v>
      </c>
      <c r="AI132" s="31"/>
    </row>
    <row r="133" spans="1:38" x14ac:dyDescent="0.25">
      <c r="A133" s="30">
        <v>0.31863081771035617</v>
      </c>
      <c r="C133" s="1" t="str">
        <f>C122</f>
        <v>O</v>
      </c>
      <c r="E133"/>
      <c r="F133" s="27" t="s">
        <v>7</v>
      </c>
      <c r="W133" s="27" t="s">
        <v>8</v>
      </c>
      <c r="X133" s="35" t="s">
        <v>7</v>
      </c>
      <c r="Z133" s="35" t="s">
        <v>7</v>
      </c>
      <c r="AH133" s="31"/>
    </row>
    <row r="134" spans="1:38" x14ac:dyDescent="0.25">
      <c r="A134" s="30">
        <v>0.28966437973668741</v>
      </c>
      <c r="C134"/>
      <c r="D134"/>
      <c r="E134"/>
      <c r="F134" s="27" t="s">
        <v>7</v>
      </c>
      <c r="W134" s="27" t="s">
        <v>8</v>
      </c>
      <c r="AG134" s="31"/>
    </row>
    <row r="135" spans="1:38" x14ac:dyDescent="0.25">
      <c r="A135" s="30">
        <v>0.2633312543060794</v>
      </c>
      <c r="C135" s="1" t="s">
        <v>14</v>
      </c>
      <c r="E135"/>
      <c r="F135" s="27" t="s">
        <v>7</v>
      </c>
      <c r="U135" s="27" t="s">
        <v>8</v>
      </c>
      <c r="W135" s="27" t="s">
        <v>8</v>
      </c>
      <c r="AF135" s="31"/>
    </row>
    <row r="136" spans="1:3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Q136" s="27" t="s">
        <v>8</v>
      </c>
      <c r="U136" s="27" t="s">
        <v>8</v>
      </c>
      <c r="V136" s="27" t="s">
        <v>7</v>
      </c>
      <c r="W136" s="27" t="s">
        <v>8</v>
      </c>
      <c r="AE136" s="31"/>
    </row>
    <row r="137" spans="1:38" x14ac:dyDescent="0.25">
      <c r="A137" s="30">
        <v>0.2176291357901482</v>
      </c>
      <c r="E137"/>
      <c r="F137" s="27" t="s">
        <v>7</v>
      </c>
      <c r="M137" s="35" t="s">
        <v>8</v>
      </c>
      <c r="O137" s="35" t="s">
        <v>8</v>
      </c>
      <c r="Q137" s="27" t="s">
        <v>8</v>
      </c>
      <c r="R137" s="27" t="s">
        <v>7</v>
      </c>
      <c r="U137" s="27" t="s">
        <v>8</v>
      </c>
      <c r="V137" s="27" t="s">
        <v>7</v>
      </c>
      <c r="W137" s="27" t="s">
        <v>8</v>
      </c>
      <c r="AD137" s="31"/>
    </row>
    <row r="138" spans="1:3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M138" s="27" t="s">
        <v>8</v>
      </c>
      <c r="N138" s="27" t="s">
        <v>7</v>
      </c>
      <c r="O138" s="27" t="s">
        <v>8</v>
      </c>
      <c r="P138" s="27" t="s">
        <v>7</v>
      </c>
      <c r="Q138" s="27" t="s">
        <v>8</v>
      </c>
      <c r="R138" s="27" t="s">
        <v>7</v>
      </c>
      <c r="U138" s="27" t="s">
        <v>8</v>
      </c>
      <c r="V138" s="27" t="s">
        <v>7</v>
      </c>
      <c r="W138" s="27" t="s">
        <v>8</v>
      </c>
      <c r="AC138" s="31"/>
    </row>
    <row r="139" spans="1:38" x14ac:dyDescent="0.25">
      <c r="A139" s="30">
        <v>0.17985878990921333</v>
      </c>
      <c r="E139"/>
      <c r="F139" s="27" t="s">
        <v>7</v>
      </c>
      <c r="M139" s="27" t="s">
        <v>8</v>
      </c>
      <c r="N139" s="27" t="s">
        <v>7</v>
      </c>
      <c r="O139" s="27" t="s">
        <v>8</v>
      </c>
      <c r="P139" s="27" t="s">
        <v>7</v>
      </c>
      <c r="Q139" s="27" t="s">
        <v>8</v>
      </c>
      <c r="R139" s="27" t="s">
        <v>7</v>
      </c>
      <c r="U139" s="34" t="s">
        <v>8</v>
      </c>
      <c r="V139" s="27" t="s">
        <v>7</v>
      </c>
      <c r="W139" s="27" t="s">
        <v>8</v>
      </c>
      <c r="AB139" s="31"/>
    </row>
    <row r="140" spans="1:38" x14ac:dyDescent="0.25">
      <c r="A140" s="30">
        <v>0.16350799082655756</v>
      </c>
      <c r="C140" s="1">
        <v>0</v>
      </c>
      <c r="E140"/>
      <c r="F140" s="27" t="s">
        <v>7</v>
      </c>
      <c r="I140" s="27" t="s">
        <v>8</v>
      </c>
      <c r="M140" s="27" t="s">
        <v>8</v>
      </c>
      <c r="N140" s="27" t="s">
        <v>7</v>
      </c>
      <c r="O140" s="27" t="s">
        <v>8</v>
      </c>
      <c r="P140" s="27" t="s">
        <v>7</v>
      </c>
      <c r="R140" s="27" t="s">
        <v>7</v>
      </c>
      <c r="S140" s="27" t="s">
        <v>8</v>
      </c>
      <c r="U140" s="27" t="s">
        <v>8</v>
      </c>
      <c r="V140" s="27" t="s">
        <v>7</v>
      </c>
      <c r="W140" s="27" t="s">
        <v>8</v>
      </c>
      <c r="AA140" s="31"/>
    </row>
    <row r="141" spans="1:38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I141" s="27" t="s">
        <v>8</v>
      </c>
      <c r="J141" s="27" t="s">
        <v>7</v>
      </c>
      <c r="M141" s="27" t="s">
        <v>8</v>
      </c>
      <c r="N141" s="27" t="s">
        <v>7</v>
      </c>
      <c r="R141" s="32" t="s">
        <v>7</v>
      </c>
      <c r="S141" s="27" t="s">
        <v>8</v>
      </c>
      <c r="T141" s="27" t="s">
        <v>7</v>
      </c>
      <c r="U141" s="27" t="s">
        <v>8</v>
      </c>
      <c r="V141" s="27" t="s">
        <v>7</v>
      </c>
      <c r="Z141" s="31"/>
    </row>
    <row r="142" spans="1:38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J142" s="27" t="s">
        <v>7</v>
      </c>
      <c r="M142" s="27" t="s">
        <v>8</v>
      </c>
      <c r="R142" s="27" t="s">
        <v>7</v>
      </c>
      <c r="S142" s="27" t="s">
        <v>8</v>
      </c>
      <c r="T142" s="27" t="s">
        <v>7</v>
      </c>
      <c r="U142" s="27" t="s">
        <v>8</v>
      </c>
      <c r="Y142" s="31"/>
    </row>
    <row r="143" spans="1:38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M143" s="27" t="s">
        <v>8</v>
      </c>
      <c r="R143" s="27" t="s">
        <v>7</v>
      </c>
      <c r="S143" s="27" t="s">
        <v>8</v>
      </c>
      <c r="T143" s="27" t="s">
        <v>7</v>
      </c>
      <c r="X143" s="31"/>
    </row>
    <row r="144" spans="1:38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J144" s="27" t="s">
        <v>7</v>
      </c>
      <c r="M144" s="27" t="s">
        <v>8</v>
      </c>
      <c r="R144" s="27" t="s">
        <v>7</v>
      </c>
      <c r="W144" s="31"/>
    </row>
    <row r="145" spans="1:22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J145" s="27" t="s">
        <v>7</v>
      </c>
      <c r="M145" s="27" t="s">
        <v>8</v>
      </c>
      <c r="V145" s="31"/>
    </row>
    <row r="146" spans="1:22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J146" s="27" t="s">
        <v>7</v>
      </c>
      <c r="M146" s="27" t="s">
        <v>8</v>
      </c>
      <c r="U146" s="31"/>
    </row>
    <row r="147" spans="1:22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J147" s="27" t="s">
        <v>7</v>
      </c>
      <c r="M147" s="27" t="s">
        <v>8</v>
      </c>
      <c r="T147" s="31"/>
    </row>
    <row r="148" spans="1:22" x14ac:dyDescent="0.25">
      <c r="A148" s="30">
        <v>7.6277684443854396E-2</v>
      </c>
      <c r="B148"/>
      <c r="C148"/>
      <c r="D148"/>
      <c r="E148"/>
      <c r="F148" s="27" t="s">
        <v>7</v>
      </c>
      <c r="J148" s="27" t="s">
        <v>7</v>
      </c>
      <c r="M148" s="27" t="s">
        <v>8</v>
      </c>
      <c r="S148" s="31"/>
    </row>
    <row r="149" spans="1:22" x14ac:dyDescent="0.25">
      <c r="A149" s="30">
        <v>6.9343349494413078E-2</v>
      </c>
      <c r="B149"/>
      <c r="C149"/>
      <c r="D149"/>
      <c r="E149"/>
      <c r="J149" s="27" t="s">
        <v>7</v>
      </c>
      <c r="M149" s="27" t="s">
        <v>8</v>
      </c>
      <c r="R149" s="31"/>
    </row>
    <row r="150" spans="1:22" x14ac:dyDescent="0.25">
      <c r="A150" s="30">
        <v>6.3039408631284613E-2</v>
      </c>
      <c r="B150"/>
      <c r="C150"/>
      <c r="D150"/>
      <c r="E150"/>
      <c r="J150" s="27" t="s">
        <v>7</v>
      </c>
      <c r="M150" s="34" t="s">
        <v>8</v>
      </c>
      <c r="Q150" s="31"/>
    </row>
    <row r="151" spans="1:22" x14ac:dyDescent="0.25">
      <c r="A151" s="30">
        <v>5.7308553301167818E-2</v>
      </c>
      <c r="B151"/>
      <c r="C151"/>
      <c r="D151"/>
      <c r="E151"/>
      <c r="J151" s="27" t="s">
        <v>7</v>
      </c>
      <c r="K151" s="27" t="s">
        <v>8</v>
      </c>
      <c r="M151" s="27" t="s">
        <v>8</v>
      </c>
      <c r="P151" s="31"/>
    </row>
    <row r="152" spans="1:22" x14ac:dyDescent="0.25">
      <c r="A152" s="30">
        <v>5.2098684819243464E-2</v>
      </c>
      <c r="B152"/>
      <c r="C152"/>
      <c r="D152"/>
      <c r="E152"/>
      <c r="J152" s="27" t="s">
        <v>7</v>
      </c>
      <c r="K152" s="27" t="s">
        <v>8</v>
      </c>
      <c r="L152" s="27" t="s">
        <v>7</v>
      </c>
      <c r="M152" s="27" t="s">
        <v>8</v>
      </c>
      <c r="O152" s="31"/>
    </row>
    <row r="153" spans="1:22" x14ac:dyDescent="0.25">
      <c r="A153" s="30">
        <v>4.7362440744766775E-2</v>
      </c>
      <c r="B153"/>
      <c r="C153"/>
      <c r="D153"/>
      <c r="E153"/>
      <c r="J153" s="27" t="s">
        <v>7</v>
      </c>
      <c r="K153" s="27" t="s">
        <v>8</v>
      </c>
      <c r="L153" s="27" t="s">
        <v>7</v>
      </c>
      <c r="M153" s="27" t="s">
        <v>8</v>
      </c>
      <c r="N153" s="31"/>
    </row>
    <row r="154" spans="1:22" x14ac:dyDescent="0.25">
      <c r="A154" s="30">
        <v>4.3056764313424332E-2</v>
      </c>
      <c r="B154"/>
      <c r="C154"/>
      <c r="D154"/>
      <c r="E154"/>
      <c r="J154" s="27" t="s">
        <v>7</v>
      </c>
      <c r="K154" s="27" t="s">
        <v>8</v>
      </c>
      <c r="L154" s="27" t="s">
        <v>7</v>
      </c>
      <c r="M154" s="31"/>
    </row>
    <row r="155" spans="1:22" x14ac:dyDescent="0.25">
      <c r="A155" s="30">
        <v>3.9142513012203929E-2</v>
      </c>
      <c r="B155"/>
      <c r="C155"/>
      <c r="D155"/>
      <c r="E155"/>
      <c r="J155" s="27" t="s">
        <v>7</v>
      </c>
      <c r="K155" s="27" t="s">
        <v>8</v>
      </c>
      <c r="L155" s="31"/>
    </row>
    <row r="156" spans="1:22" x14ac:dyDescent="0.25">
      <c r="A156" s="30">
        <v>3.55841027383672E-2</v>
      </c>
      <c r="B156"/>
      <c r="C156"/>
      <c r="D156"/>
      <c r="E156"/>
      <c r="J156" s="27" t="s">
        <v>7</v>
      </c>
      <c r="K156" s="31" t="s">
        <v>8</v>
      </c>
    </row>
    <row r="157" spans="1:22" x14ac:dyDescent="0.25">
      <c r="A157" s="30">
        <v>3.2349184307606541E-2</v>
      </c>
      <c r="B157"/>
      <c r="C157"/>
      <c r="D157"/>
      <c r="E157"/>
      <c r="J157" s="31" t="s">
        <v>7</v>
      </c>
    </row>
    <row r="158" spans="1:22" x14ac:dyDescent="0.25">
      <c r="A158" s="30">
        <v>2.9408349370551395E-2</v>
      </c>
      <c r="B158"/>
      <c r="C158"/>
      <c r="D158"/>
      <c r="E158"/>
    </row>
    <row r="159" spans="1:22" x14ac:dyDescent="0.25">
      <c r="A159" s="30">
        <v>2.6734863064137627E-2</v>
      </c>
      <c r="B159"/>
      <c r="C159"/>
      <c r="D159"/>
      <c r="E159"/>
    </row>
    <row r="160" spans="1:22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0.952380952380952</v>
      </c>
      <c r="F3" s="30">
        <v>1</v>
      </c>
      <c r="G3" s="30">
        <v>1.477455443789063</v>
      </c>
      <c r="H3" s="25">
        <f>IF(G3="","",(3*(G3-F3))+E3)</f>
        <v>2.3847472837481409</v>
      </c>
      <c r="I3" s="7"/>
      <c r="J3" s="7">
        <f>(E3+G3)/2</f>
        <v>1.2149181980850075</v>
      </c>
      <c r="K3" s="7">
        <f>H3/2</f>
        <v>1.1923736418740705</v>
      </c>
      <c r="M3" s="26">
        <f>IF(OR(J3="",H3=""),"",H3/J3)</f>
        <v>1.9628871207189547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0.952380952380952</v>
      </c>
      <c r="F4" s="30">
        <v>1</v>
      </c>
      <c r="G4" s="30">
        <v>1.7103393581163142</v>
      </c>
      <c r="H4" s="25">
        <f t="shared" ref="H4:H25" si="0">IF(G4="","",(3*(G4-F4))+E4)</f>
        <v>3.0833990267298947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2022-01-28T01:16:17Z</dcterms:modified>
</cp:coreProperties>
</file>