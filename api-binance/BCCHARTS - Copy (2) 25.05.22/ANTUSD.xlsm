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0C0A515-9457-4964-92C4-B7DEBF7B3B9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8" i="4"/>
  <c r="R765" i="1"/>
  <c r="C122" i="4"/>
  <c r="C133" i="4" s="1"/>
  <c r="D136" i="4" s="1"/>
  <c r="C118" i="3"/>
  <c r="C122" i="3"/>
  <c r="C133" i="3" s="1"/>
  <c r="D136" i="3" s="1"/>
  <c r="C136" i="5" l="1"/>
  <c r="C138" i="5" s="1"/>
  <c r="R764" i="1"/>
  <c r="S765" i="1"/>
  <c r="T765" i="1" s="1"/>
  <c r="C136" i="4"/>
  <c r="C138" i="4" s="1"/>
  <c r="C136" i="3"/>
  <c r="C138" i="3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S759" i="1" l="1"/>
  <c r="T759" i="1" s="1"/>
  <c r="R758" i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S439" i="1" l="1"/>
  <c r="T439" i="1" s="1"/>
  <c r="R438" i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S429" i="1" l="1"/>
  <c r="T429" i="1" s="1"/>
  <c r="R428" i="1"/>
  <c r="S428" i="1" l="1"/>
  <c r="T428" i="1" s="1"/>
  <c r="R427" i="1"/>
  <c r="R426" i="1" l="1"/>
  <c r="S427" i="1"/>
  <c r="T427" i="1" s="1"/>
  <c r="S426" i="1" l="1"/>
  <c r="T426" i="1" s="1"/>
  <c r="R425" i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S222" i="1" l="1"/>
  <c r="T222" i="1" s="1"/>
  <c r="R221" i="1"/>
  <c r="S221" i="1" l="1"/>
  <c r="T221" i="1" s="1"/>
  <c r="R220" i="1"/>
  <c r="S220" i="1" l="1"/>
  <c r="T220" i="1" s="1"/>
  <c r="R219" i="1"/>
  <c r="S219" i="1" l="1"/>
  <c r="T219" i="1" s="1"/>
  <c r="R218" i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S214" i="1" l="1"/>
  <c r="T214" i="1" s="1"/>
  <c r="R213" i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S106" i="1" l="1"/>
  <c r="T106" i="1" s="1"/>
  <c r="R105" i="1"/>
  <c r="S105" i="1" l="1"/>
  <c r="T105" i="1" s="1"/>
  <c r="R104" i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<sst xmlns="http://schemas.openxmlformats.org/spreadsheetml/2006/main" count="5893" uniqueCount="34">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</sst>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4.7009999999999996</c:v>
                </c:pt>
                <c:pt idx="1">
                  <c:v>4.9219999999999997</c:v>
                </c:pt>
                <c:pt idx="2">
                  <c:v>5.0650000000000004</c:v>
                </c:pt>
                <c:pt idx="3">
                  <c:v>5.2750000000000004</c:v>
                </c:pt>
                <c:pt idx="4">
                  <c:v>4.7169999999999996</c:v>
                </c:pt>
                <c:pt idx="5">
                  <c:v>4.4950000000000001</c:v>
                </c:pt>
                <c:pt idx="6">
                  <c:v>5.2910000000000004</c:v>
                </c:pt>
                <c:pt idx="7">
                  <c:v>6.702</c:v>
                </c:pt>
                <c:pt idx="8">
                  <c:v>6.6319999999999997</c:v>
                </c:pt>
                <c:pt idx="9">
                  <c:v>7.3330000000000002</c:v>
                </c:pt>
                <c:pt idx="10">
                  <c:v>7.4480000000000004</c:v>
                </c:pt>
                <c:pt idx="11">
                  <c:v>8.0649999999999995</c:v>
                </c:pt>
                <c:pt idx="12">
                  <c:v>8.2270000000000003</c:v>
                </c:pt>
                <c:pt idx="13">
                  <c:v>8.4169999999999998</c:v>
                </c:pt>
                <c:pt idx="14">
                  <c:v>8.4860000000000007</c:v>
                </c:pt>
                <c:pt idx="15">
                  <c:v>9.4390000000000001</c:v>
                </c:pt>
                <c:pt idx="16">
                  <c:v>8.3000000000000007</c:v>
                </c:pt>
                <c:pt idx="17">
                  <c:v>7.4450000000000003</c:v>
                </c:pt>
                <c:pt idx="18">
                  <c:v>8.2140000000000004</c:v>
                </c:pt>
                <c:pt idx="19">
                  <c:v>8.077</c:v>
                </c:pt>
                <c:pt idx="20">
                  <c:v>9.3070000000000004</c:v>
                </c:pt>
                <c:pt idx="21">
                  <c:v>10.853</c:v>
                </c:pt>
                <c:pt idx="22">
                  <c:v>10.253</c:v>
                </c:pt>
                <c:pt idx="23">
                  <c:v>11.041</c:v>
                </c:pt>
                <c:pt idx="24">
                  <c:v>11.968</c:v>
                </c:pt>
                <c:pt idx="25">
                  <c:v>13.048</c:v>
                </c:pt>
                <c:pt idx="26">
                  <c:v>13.079000000000001</c:v>
                </c:pt>
                <c:pt idx="27">
                  <c:v>13.541</c:v>
                </c:pt>
                <c:pt idx="28">
                  <c:v>11.239000000000001</c:v>
                </c:pt>
                <c:pt idx="29">
                  <c:v>10.846</c:v>
                </c:pt>
                <c:pt idx="30">
                  <c:v>12.238</c:v>
                </c:pt>
                <c:pt idx="31">
                  <c:v>9.35</c:v>
                </c:pt>
                <c:pt idx="32">
                  <c:v>9.8379999999999992</c:v>
                </c:pt>
                <c:pt idx="33">
                  <c:v>9.9499999999999993</c:v>
                </c:pt>
                <c:pt idx="34">
                  <c:v>10.726000000000001</c:v>
                </c:pt>
                <c:pt idx="35">
                  <c:v>9.9</c:v>
                </c:pt>
                <c:pt idx="36">
                  <c:v>8.6530000000000005</c:v>
                </c:pt>
                <c:pt idx="37">
                  <c:v>6.9770000000000003</c:v>
                </c:pt>
                <c:pt idx="38">
                  <c:v>5.7450000000000001</c:v>
                </c:pt>
                <c:pt idx="39">
                  <c:v>5.5970000000000004</c:v>
                </c:pt>
                <c:pt idx="40">
                  <c:v>5.8250000000000002</c:v>
                </c:pt>
                <c:pt idx="41">
                  <c:v>5.702</c:v>
                </c:pt>
                <c:pt idx="42">
                  <c:v>6.2530000000000001</c:v>
                </c:pt>
                <c:pt idx="43">
                  <c:v>7.2480000000000002</c:v>
                </c:pt>
                <c:pt idx="44">
                  <c:v>6.0010000000000003</c:v>
                </c:pt>
                <c:pt idx="45">
                  <c:v>5.1050000000000004</c:v>
                </c:pt>
                <c:pt idx="46">
                  <c:v>4.4870000000000001</c:v>
                </c:pt>
                <c:pt idx="47">
                  <c:v>4.1550000000000002</c:v>
                </c:pt>
                <c:pt idx="48">
                  <c:v>4.1050000000000004</c:v>
                </c:pt>
                <c:pt idx="49">
                  <c:v>4.6289999999999996</c:v>
                </c:pt>
                <c:pt idx="50">
                  <c:v>4.9749999999999996</c:v>
                </c:pt>
                <c:pt idx="51">
                  <c:v>4.0979999999999999</c:v>
                </c:pt>
                <c:pt idx="52">
                  <c:v>4.26</c:v>
                </c:pt>
                <c:pt idx="53">
                  <c:v>3.9220000000000002</c:v>
                </c:pt>
                <c:pt idx="54">
                  <c:v>4.1970000000000001</c:v>
                </c:pt>
                <c:pt idx="55">
                  <c:v>4.7789999999999999</c:v>
                </c:pt>
                <c:pt idx="56">
                  <c:v>5.2549999999999999</c:v>
                </c:pt>
                <c:pt idx="57">
                  <c:v>5.38</c:v>
                </c:pt>
                <c:pt idx="58">
                  <c:v>5.55</c:v>
                </c:pt>
                <c:pt idx="59">
                  <c:v>5.9480000000000004</c:v>
                </c:pt>
                <c:pt idx="60">
                  <c:v>5.8840000000000003</c:v>
                </c:pt>
                <c:pt idx="61">
                  <c:v>6.4980000000000002</c:v>
                </c:pt>
                <c:pt idx="62">
                  <c:v>5.0739999999999998</c:v>
                </c:pt>
                <c:pt idx="63">
                  <c:v>5.3120000000000003</c:v>
                </c:pt>
                <c:pt idx="64">
                  <c:v>5.0949999999999998</c:v>
                </c:pt>
                <c:pt idx="65">
                  <c:v>4.8769999999999998</c:v>
                </c:pt>
                <c:pt idx="66">
                  <c:v>4.7869999999999999</c:v>
                </c:pt>
                <c:pt idx="67">
                  <c:v>5.125</c:v>
                </c:pt>
                <c:pt idx="68">
                  <c:v>4.7009999999999996</c:v>
                </c:pt>
                <c:pt idx="69">
                  <c:v>4.649</c:v>
                </c:pt>
                <c:pt idx="70">
                  <c:v>4.3600000000000003</c:v>
                </c:pt>
                <c:pt idx="71">
                  <c:v>4.8680000000000003</c:v>
                </c:pt>
                <c:pt idx="72">
                  <c:v>5.0190000000000001</c:v>
                </c:pt>
                <c:pt idx="73">
                  <c:v>5.82</c:v>
                </c:pt>
                <c:pt idx="74">
                  <c:v>5.452</c:v>
                </c:pt>
                <c:pt idx="75">
                  <c:v>5.5750000000000002</c:v>
                </c:pt>
                <c:pt idx="76">
                  <c:v>5.6879999999999997</c:v>
                </c:pt>
                <c:pt idx="77">
                  <c:v>5.0049999999999999</c:v>
                </c:pt>
                <c:pt idx="78">
                  <c:v>4.8230000000000004</c:v>
                </c:pt>
                <c:pt idx="79">
                  <c:v>5.2670000000000003</c:v>
                </c:pt>
                <c:pt idx="80">
                  <c:v>5.1269999999999998</c:v>
                </c:pt>
                <c:pt idx="81">
                  <c:v>4.9429999999999996</c:v>
                </c:pt>
                <c:pt idx="82">
                  <c:v>4.9429999999999996</c:v>
                </c:pt>
                <c:pt idx="83">
                  <c:v>5.0380000000000003</c:v>
                </c:pt>
                <c:pt idx="84">
                  <c:v>5.2119999999999997</c:v>
                </c:pt>
                <c:pt idx="85">
                  <c:v>5.0599999999999996</c:v>
                </c:pt>
                <c:pt idx="86">
                  <c:v>4.8230000000000004</c:v>
                </c:pt>
                <c:pt idx="87">
                  <c:v>4.7069999999999999</c:v>
                </c:pt>
                <c:pt idx="88">
                  <c:v>4.6950000000000003</c:v>
                </c:pt>
                <c:pt idx="89">
                  <c:v>4.4660000000000002</c:v>
                </c:pt>
                <c:pt idx="90">
                  <c:v>4.57</c:v>
                </c:pt>
                <c:pt idx="91">
                  <c:v>4.4530000000000003</c:v>
                </c:pt>
                <c:pt idx="92">
                  <c:v>4.3869999999999996</c:v>
                </c:pt>
                <c:pt idx="93">
                  <c:v>4.806</c:v>
                </c:pt>
                <c:pt idx="94">
                  <c:v>4.569</c:v>
                </c:pt>
                <c:pt idx="95">
                  <c:v>4.524</c:v>
                </c:pt>
                <c:pt idx="96">
                  <c:v>4.7350000000000003</c:v>
                </c:pt>
                <c:pt idx="97">
                  <c:v>4.6479999999999997</c:v>
                </c:pt>
                <c:pt idx="98">
                  <c:v>4.7560000000000002</c:v>
                </c:pt>
                <c:pt idx="99">
                  <c:v>4.8410000000000002</c:v>
                </c:pt>
                <c:pt idx="100">
                  <c:v>4.6150000000000002</c:v>
                </c:pt>
                <c:pt idx="101">
                  <c:v>4.6630000000000003</c:v>
                </c:pt>
                <c:pt idx="102">
                  <c:v>4.8330000000000002</c:v>
                </c:pt>
                <c:pt idx="103">
                  <c:v>4.8109999999999999</c:v>
                </c:pt>
                <c:pt idx="104">
                  <c:v>5.024</c:v>
                </c:pt>
                <c:pt idx="105">
                  <c:v>4.5720000000000001</c:v>
                </c:pt>
                <c:pt idx="106">
                  <c:v>4.6070000000000002</c:v>
                </c:pt>
                <c:pt idx="107">
                  <c:v>4.4950000000000001</c:v>
                </c:pt>
                <c:pt idx="108">
                  <c:v>4.5599999999999996</c:v>
                </c:pt>
                <c:pt idx="109">
                  <c:v>4.5910000000000002</c:v>
                </c:pt>
                <c:pt idx="110">
                  <c:v>4.92</c:v>
                </c:pt>
                <c:pt idx="111">
                  <c:v>4.8680000000000003</c:v>
                </c:pt>
                <c:pt idx="112">
                  <c:v>4.726</c:v>
                </c:pt>
                <c:pt idx="113">
                  <c:v>4.7</c:v>
                </c:pt>
                <c:pt idx="114">
                  <c:v>4.9279999999999999</c:v>
                </c:pt>
                <c:pt idx="115">
                  <c:v>4.7939999999999996</c:v>
                </c:pt>
                <c:pt idx="116">
                  <c:v>4.9320000000000004</c:v>
                </c:pt>
                <c:pt idx="117">
                  <c:v>4.9539999999999997</c:v>
                </c:pt>
                <c:pt idx="118">
                  <c:v>4.6970000000000001</c:v>
                </c:pt>
                <c:pt idx="119">
                  <c:v>4.3140000000000001</c:v>
                </c:pt>
                <c:pt idx="120">
                  <c:v>4.2729999999999997</c:v>
                </c:pt>
                <c:pt idx="121">
                  <c:v>4.1059999999999999</c:v>
                </c:pt>
                <c:pt idx="122">
                  <c:v>4.3250000000000002</c:v>
                </c:pt>
                <c:pt idx="123">
                  <c:v>4.5330000000000004</c:v>
                </c:pt>
                <c:pt idx="124">
                  <c:v>4.758</c:v>
                </c:pt>
                <c:pt idx="125">
                  <c:v>4.7489999999999997</c:v>
                </c:pt>
                <c:pt idx="126">
                  <c:v>5.1879999999999997</c:v>
                </c:pt>
                <c:pt idx="127">
                  <c:v>5.1689999999999996</c:v>
                </c:pt>
                <c:pt idx="128">
                  <c:v>4.532</c:v>
                </c:pt>
                <c:pt idx="129">
                  <c:v>5.4820000000000002</c:v>
                </c:pt>
                <c:pt idx="130">
                  <c:v>5.96</c:v>
                </c:pt>
                <c:pt idx="131">
                  <c:v>6.1120000000000001</c:v>
                </c:pt>
                <c:pt idx="132">
                  <c:v>5.8470000000000004</c:v>
                </c:pt>
                <c:pt idx="133">
                  <c:v>6.0510000000000002</c:v>
                </c:pt>
                <c:pt idx="134">
                  <c:v>6.1669999999999998</c:v>
                </c:pt>
                <c:pt idx="135">
                  <c:v>5.9859999999999998</c:v>
                </c:pt>
                <c:pt idx="136">
                  <c:v>5.5789999999999997</c:v>
                </c:pt>
                <c:pt idx="137">
                  <c:v>6.0389999999999997</c:v>
                </c:pt>
                <c:pt idx="138">
                  <c:v>5.492</c:v>
                </c:pt>
                <c:pt idx="139">
                  <c:v>5.4349999999999996</c:v>
                </c:pt>
                <c:pt idx="140">
                  <c:v>5.8760000000000003</c:v>
                </c:pt>
                <c:pt idx="141">
                  <c:v>5.4539999999999997</c:v>
                </c:pt>
                <c:pt idx="142">
                  <c:v>5.718</c:v>
                </c:pt>
                <c:pt idx="143">
                  <c:v>6.85</c:v>
                </c:pt>
                <c:pt idx="144">
                  <c:v>6.8810000000000002</c:v>
                </c:pt>
                <c:pt idx="145">
                  <c:v>6.8860000000000001</c:v>
                </c:pt>
                <c:pt idx="146">
                  <c:v>7.2610000000000001</c:v>
                </c:pt>
                <c:pt idx="147">
                  <c:v>7.0709999999999997</c:v>
                </c:pt>
                <c:pt idx="148">
                  <c:v>5.27</c:v>
                </c:pt>
                <c:pt idx="149">
                  <c:v>5.1020000000000003</c:v>
                </c:pt>
                <c:pt idx="150">
                  <c:v>4.6719999999999997</c:v>
                </c:pt>
                <c:pt idx="151">
                  <c:v>4.952</c:v>
                </c:pt>
                <c:pt idx="152">
                  <c:v>4.8719999999999999</c:v>
                </c:pt>
                <c:pt idx="153">
                  <c:v>4.8739999999999997</c:v>
                </c:pt>
                <c:pt idx="154">
                  <c:v>4.6180000000000003</c:v>
                </c:pt>
                <c:pt idx="155">
                  <c:v>5.1611000000000002</c:v>
                </c:pt>
                <c:pt idx="156">
                  <c:v>4.9481000000000002</c:v>
                </c:pt>
                <c:pt idx="157">
                  <c:v>5.4596</c:v>
                </c:pt>
                <c:pt idx="158">
                  <c:v>5.38</c:v>
                </c:pt>
                <c:pt idx="159">
                  <c:v>5.3855000000000004</c:v>
                </c:pt>
                <c:pt idx="160">
                  <c:v>5.1375999999999999</c:v>
                </c:pt>
                <c:pt idx="161">
                  <c:v>4.8116000000000003</c:v>
                </c:pt>
                <c:pt idx="162">
                  <c:v>4.6673</c:v>
                </c:pt>
                <c:pt idx="163">
                  <c:v>4.7487000000000004</c:v>
                </c:pt>
                <c:pt idx="164">
                  <c:v>5.0160999999999998</c:v>
                </c:pt>
                <c:pt idx="165">
                  <c:v>5.0789999999999997</c:v>
                </c:pt>
                <c:pt idx="166">
                  <c:v>5.1615000000000002</c:v>
                </c:pt>
                <c:pt idx="167">
                  <c:v>5.0186999999999999</c:v>
                </c:pt>
                <c:pt idx="168">
                  <c:v>4.6087999999999996</c:v>
                </c:pt>
                <c:pt idx="169">
                  <c:v>4.7602000000000002</c:v>
                </c:pt>
                <c:pt idx="170">
                  <c:v>4.5867000000000004</c:v>
                </c:pt>
                <c:pt idx="171">
                  <c:v>4.5830000000000002</c:v>
                </c:pt>
                <c:pt idx="172">
                  <c:v>4.3296000000000001</c:v>
                </c:pt>
                <c:pt idx="173">
                  <c:v>4.4256000000000002</c:v>
                </c:pt>
                <c:pt idx="174">
                  <c:v>4.1458000000000004</c:v>
                </c:pt>
                <c:pt idx="175">
                  <c:v>3.9266999999999999</c:v>
                </c:pt>
                <c:pt idx="176">
                  <c:v>3.8046000000000002</c:v>
                </c:pt>
                <c:pt idx="177">
                  <c:v>3.6981999999999999</c:v>
                </c:pt>
                <c:pt idx="178">
                  <c:v>3.8254000000000001</c:v>
                </c:pt>
                <c:pt idx="179">
                  <c:v>3.8780999999999999</c:v>
                </c:pt>
                <c:pt idx="180">
                  <c:v>4.0113000000000003</c:v>
                </c:pt>
                <c:pt idx="181">
                  <c:v>4.0171000000000001</c:v>
                </c:pt>
                <c:pt idx="182">
                  <c:v>4.0166000000000004</c:v>
                </c:pt>
                <c:pt idx="183">
                  <c:v>3.9565999999999999</c:v>
                </c:pt>
                <c:pt idx="184">
                  <c:v>4.2344999999999997</c:v>
                </c:pt>
                <c:pt idx="185">
                  <c:v>3.6276000000000002</c:v>
                </c:pt>
                <c:pt idx="186">
                  <c:v>3.6781000000000001</c:v>
                </c:pt>
                <c:pt idx="187">
                  <c:v>3.5276000000000001</c:v>
                </c:pt>
                <c:pt idx="188">
                  <c:v>3.3793000000000002</c:v>
                </c:pt>
                <c:pt idx="189">
                  <c:v>3.3409</c:v>
                </c:pt>
                <c:pt idx="190">
                  <c:v>3.2885</c:v>
                </c:pt>
                <c:pt idx="191">
                  <c:v>3.1187999999999998</c:v>
                </c:pt>
                <c:pt idx="192">
                  <c:v>3.5768</c:v>
                </c:pt>
                <c:pt idx="193">
                  <c:v>3.4716999999999998</c:v>
                </c:pt>
                <c:pt idx="194">
                  <c:v>3.4449999999999998</c:v>
                </c:pt>
                <c:pt idx="195">
                  <c:v>3.3548</c:v>
                </c:pt>
                <c:pt idx="196">
                  <c:v>3.4605999999999999</c:v>
                </c:pt>
                <c:pt idx="197">
                  <c:v>3.6324000000000001</c:v>
                </c:pt>
                <c:pt idx="198">
                  <c:v>3.4998999999999998</c:v>
                </c:pt>
                <c:pt idx="199">
                  <c:v>3.6568000000000001</c:v>
                </c:pt>
                <c:pt idx="200">
                  <c:v>3.8087</c:v>
                </c:pt>
                <c:pt idx="201">
                  <c:v>3.6131000000000002</c:v>
                </c:pt>
                <c:pt idx="202">
                  <c:v>3.6899000000000002</c:v>
                </c:pt>
                <c:pt idx="203">
                  <c:v>3.6271</c:v>
                </c:pt>
                <c:pt idx="204">
                  <c:v>3.9420999999999999</c:v>
                </c:pt>
                <c:pt idx="205">
                  <c:v>4.0491000000000001</c:v>
                </c:pt>
                <c:pt idx="206">
                  <c:v>3.5741000000000001</c:v>
                </c:pt>
                <c:pt idx="207">
                  <c:v>3.7601</c:v>
                </c:pt>
                <c:pt idx="208">
                  <c:v>3.7006999999999999</c:v>
                </c:pt>
                <c:pt idx="209">
                  <c:v>3.6764000000000001</c:v>
                </c:pt>
                <c:pt idx="210">
                  <c:v>3.4821</c:v>
                </c:pt>
                <c:pt idx="211">
                  <c:v>3.7029000000000001</c:v>
                </c:pt>
                <c:pt idx="212">
                  <c:v>3.7246999999999999</c:v>
                </c:pt>
                <c:pt idx="213">
                  <c:v>3.5183</c:v>
                </c:pt>
                <c:pt idx="214">
                  <c:v>3.5146000000000002</c:v>
                </c:pt>
                <c:pt idx="215">
                  <c:v>3.4289000000000001</c:v>
                </c:pt>
                <c:pt idx="216">
                  <c:v>3.2686000000000002</c:v>
                </c:pt>
                <c:pt idx="217">
                  <c:v>3.5693999999999999</c:v>
                </c:pt>
                <c:pt idx="218">
                  <c:v>3.5550999999999999</c:v>
                </c:pt>
                <c:pt idx="219">
                  <c:v>3.444</c:v>
                </c:pt>
                <c:pt idx="220">
                  <c:v>3.1535000000000002</c:v>
                </c:pt>
                <c:pt idx="221">
                  <c:v>4.1005000000000003</c:v>
                </c:pt>
                <c:pt idx="222">
                  <c:v>3.9801000000000002</c:v>
                </c:pt>
                <c:pt idx="223">
                  <c:v>4.1665000000000001</c:v>
                </c:pt>
                <c:pt idx="224">
                  <c:v>4.4198000000000004</c:v>
                </c:pt>
                <c:pt idx="225">
                  <c:v>4.6616999999999997</c:v>
                </c:pt>
                <c:pt idx="226">
                  <c:v>4.5936000000000003</c:v>
                </c:pt>
                <c:pt idx="227">
                  <c:v>4.7049000000000003</c:v>
                </c:pt>
                <c:pt idx="228">
                  <c:v>4.4215</c:v>
                </c:pt>
                <c:pt idx="229">
                  <c:v>4.3209999999999997</c:v>
                </c:pt>
                <c:pt idx="230">
                  <c:v>4.3963000000000001</c:v>
                </c:pt>
                <c:pt idx="231">
                  <c:v>4.3029000000000002</c:v>
                </c:pt>
                <c:pt idx="232">
                  <c:v>4.7102000000000004</c:v>
                </c:pt>
                <c:pt idx="233">
                  <c:v>4.6242999999999999</c:v>
                </c:pt>
                <c:pt idx="234">
                  <c:v>4.7816999999999998</c:v>
                </c:pt>
                <c:pt idx="235">
                  <c:v>5.5510000000000002</c:v>
                </c:pt>
                <c:pt idx="236">
                  <c:v>5.0061</c:v>
                </c:pt>
                <c:pt idx="237">
                  <c:v>4.4958</c:v>
                </c:pt>
                <c:pt idx="238">
                  <c:v>5.0701000000000001</c:v>
                </c:pt>
                <c:pt idx="239">
                  <c:v>4.8349000000000002</c:v>
                </c:pt>
                <c:pt idx="240">
                  <c:v>4.7839999999999998</c:v>
                </c:pt>
                <c:pt idx="241">
                  <c:v>5.0068000000000001</c:v>
                </c:pt>
                <c:pt idx="242">
                  <c:v>4.1261000000000001</c:v>
                </c:pt>
                <c:pt idx="243">
                  <c:v>3.9910999999999999</c:v>
                </c:pt>
                <c:pt idx="244">
                  <c:v>4.1311999999999998</c:v>
                </c:pt>
                <c:pt idx="245">
                  <c:v>4.8888999999999996</c:v>
                </c:pt>
                <c:pt idx="246">
                  <c:v>5.3418999999999999</c:v>
                </c:pt>
                <c:pt idx="247">
                  <c:v>4.4208999999999996</c:v>
                </c:pt>
                <c:pt idx="248">
                  <c:v>4.0739000000000001</c:v>
                </c:pt>
                <c:pt idx="249">
                  <c:v>3.3580999999999999</c:v>
                </c:pt>
                <c:pt idx="250">
                  <c:v>3.8938999999999999</c:v>
                </c:pt>
                <c:pt idx="251">
                  <c:v>4.1616</c:v>
                </c:pt>
                <c:pt idx="252">
                  <c:v>4.9954000000000001</c:v>
                </c:pt>
                <c:pt idx="253">
                  <c:v>4.5</c:v>
                </c:pt>
                <c:pt idx="254">
                  <c:v>7.0472000000000001</c:v>
                </c:pt>
                <c:pt idx="255">
                  <c:v>6.9046000000000003</c:v>
                </c:pt>
                <c:pt idx="256">
                  <c:v>7.7409999999999997</c:v>
                </c:pt>
                <c:pt idx="257">
                  <c:v>7.6643999999999997</c:v>
                </c:pt>
                <c:pt idx="258">
                  <c:v>8.4680999999999997</c:v>
                </c:pt>
                <c:pt idx="259">
                  <c:v>8.1678999999999995</c:v>
                </c:pt>
                <c:pt idx="260">
                  <c:v>8.4259000000000004</c:v>
                </c:pt>
                <c:pt idx="261">
                  <c:v>9.7843</c:v>
                </c:pt>
                <c:pt idx="262">
                  <c:v>9.1980000000000004</c:v>
                </c:pt>
                <c:pt idx="263">
                  <c:v>10.173400000000001</c:v>
                </c:pt>
                <c:pt idx="264">
                  <c:v>10.297000000000001</c:v>
                </c:pt>
                <c:pt idx="265">
                  <c:v>10.671200000000001</c:v>
                </c:pt>
                <c:pt idx="266">
                  <c:v>9.8017000000000003</c:v>
                </c:pt>
                <c:pt idx="267">
                  <c:v>9.3175000000000008</c:v>
                </c:pt>
                <c:pt idx="268">
                  <c:v>8.5710999999999995</c:v>
                </c:pt>
                <c:pt idx="269">
                  <c:v>9.8506999999999998</c:v>
                </c:pt>
                <c:pt idx="270">
                  <c:v>9.5128000000000004</c:v>
                </c:pt>
                <c:pt idx="271">
                  <c:v>9.9023000000000003</c:v>
                </c:pt>
                <c:pt idx="272">
                  <c:v>9.9308999999999994</c:v>
                </c:pt>
                <c:pt idx="273">
                  <c:v>9.9558999999999997</c:v>
                </c:pt>
                <c:pt idx="274">
                  <c:v>9.2657000000000007</c:v>
                </c:pt>
                <c:pt idx="275">
                  <c:v>8.9316999999999993</c:v>
                </c:pt>
                <c:pt idx="276">
                  <c:v>8.5936000000000003</c:v>
                </c:pt>
                <c:pt idx="277">
                  <c:v>7.8514999999999997</c:v>
                </c:pt>
                <c:pt idx="278">
                  <c:v>7.5058999999999996</c:v>
                </c:pt>
                <c:pt idx="279">
                  <c:v>8.1508000000000003</c:v>
                </c:pt>
                <c:pt idx="280">
                  <c:v>8.2125000000000004</c:v>
                </c:pt>
                <c:pt idx="281">
                  <c:v>8.6483000000000008</c:v>
                </c:pt>
                <c:pt idx="282">
                  <c:v>8.3806999999999992</c:v>
                </c:pt>
                <c:pt idx="283">
                  <c:v>8.0143000000000004</c:v>
                </c:pt>
                <c:pt idx="284">
                  <c:v>8.7942999999999998</c:v>
                </c:pt>
                <c:pt idx="285">
                  <c:v>10.3447</c:v>
                </c:pt>
                <c:pt idx="286">
                  <c:v>10.2712</c:v>
                </c:pt>
                <c:pt idx="287">
                  <c:v>11.1945</c:v>
                </c:pt>
                <c:pt idx="288">
                  <c:v>10.4633</c:v>
                </c:pt>
                <c:pt idx="289">
                  <c:v>11</c:v>
                </c:pt>
                <c:pt idx="290">
                  <c:v>10.5372</c:v>
                </c:pt>
                <c:pt idx="291">
                  <c:v>11.214499999999999</c:v>
                </c:pt>
                <c:pt idx="292">
                  <c:v>11.6297</c:v>
                </c:pt>
                <c:pt idx="293">
                  <c:v>12.230700000000001</c:v>
                </c:pt>
                <c:pt idx="294">
                  <c:v>12.108599999999999</c:v>
                </c:pt>
                <c:pt idx="295">
                  <c:v>11.0909</c:v>
                </c:pt>
                <c:pt idx="296">
                  <c:v>12.533899999999999</c:v>
                </c:pt>
                <c:pt idx="297">
                  <c:v>13.075100000000001</c:v>
                </c:pt>
                <c:pt idx="298">
                  <c:v>11.330399999999999</c:v>
                </c:pt>
                <c:pt idx="299">
                  <c:v>10.694599999999999</c:v>
                </c:pt>
                <c:pt idx="300">
                  <c:v>11.673999999999999</c:v>
                </c:pt>
                <c:pt idx="301">
                  <c:v>11.770300000000001</c:v>
                </c:pt>
                <c:pt idx="302">
                  <c:v>10.7906</c:v>
                </c:pt>
                <c:pt idx="303">
                  <c:v>11.7934</c:v>
                </c:pt>
                <c:pt idx="304">
                  <c:v>9.31</c:v>
                </c:pt>
                <c:pt idx="305">
                  <c:v>9.2612000000000005</c:v>
                </c:pt>
                <c:pt idx="306">
                  <c:v>10.013999999999999</c:v>
                </c:pt>
                <c:pt idx="307">
                  <c:v>9.89</c:v>
                </c:pt>
                <c:pt idx="308">
                  <c:v>10.121700000000001</c:v>
                </c:pt>
                <c:pt idx="309">
                  <c:v>8.1629000000000005</c:v>
                </c:pt>
                <c:pt idx="310">
                  <c:v>6.4561000000000002</c:v>
                </c:pt>
                <c:pt idx="311">
                  <c:v>6.7619999999999996</c:v>
                </c:pt>
                <c:pt idx="312">
                  <c:v>7.2187000000000001</c:v>
                </c:pt>
                <c:pt idx="313">
                  <c:v>7.0621999999999998</c:v>
                </c:pt>
                <c:pt idx="314">
                  <c:v>7.0609999999999999</c:v>
                </c:pt>
                <c:pt idx="315">
                  <c:v>6.7427999999999999</c:v>
                </c:pt>
                <c:pt idx="316">
                  <c:v>6.8541999999999996</c:v>
                </c:pt>
                <c:pt idx="317">
                  <c:v>6.8655999999999997</c:v>
                </c:pt>
                <c:pt idx="318">
                  <c:v>6.7756999999999996</c:v>
                </c:pt>
                <c:pt idx="319">
                  <c:v>5.86</c:v>
                </c:pt>
                <c:pt idx="320">
                  <c:v>5.6106999999999996</c:v>
                </c:pt>
                <c:pt idx="321">
                  <c:v>5.9939</c:v>
                </c:pt>
                <c:pt idx="322">
                  <c:v>5.0858999999999996</c:v>
                </c:pt>
                <c:pt idx="323">
                  <c:v>5.1464999999999996</c:v>
                </c:pt>
                <c:pt idx="324">
                  <c:v>5.4001000000000001</c:v>
                </c:pt>
                <c:pt idx="325">
                  <c:v>5.3331999999999997</c:v>
                </c:pt>
                <c:pt idx="326">
                  <c:v>5.0563000000000002</c:v>
                </c:pt>
                <c:pt idx="327">
                  <c:v>5.0208000000000004</c:v>
                </c:pt>
                <c:pt idx="328">
                  <c:v>5.0526</c:v>
                </c:pt>
                <c:pt idx="329">
                  <c:v>5.3437999999999999</c:v>
                </c:pt>
                <c:pt idx="330">
                  <c:v>5.1433999999999997</c:v>
                </c:pt>
                <c:pt idx="331">
                  <c:v>5.3266999999999998</c:v>
                </c:pt>
                <c:pt idx="332">
                  <c:v>4.3501000000000003</c:v>
                </c:pt>
                <c:pt idx="333">
                  <c:v>3.8041999999999998</c:v>
                </c:pt>
                <c:pt idx="334">
                  <c:v>4.2333999999999996</c:v>
                </c:pt>
                <c:pt idx="335">
                  <c:v>4.1170999999999998</c:v>
                </c:pt>
                <c:pt idx="336">
                  <c:v>4.3329000000000004</c:v>
                </c:pt>
                <c:pt idx="337">
                  <c:v>4.7271999999999998</c:v>
                </c:pt>
                <c:pt idx="338">
                  <c:v>4.4474</c:v>
                </c:pt>
                <c:pt idx="339">
                  <c:v>5.3178999999999998</c:v>
                </c:pt>
                <c:pt idx="340">
                  <c:v>5.8346</c:v>
                </c:pt>
                <c:pt idx="341">
                  <c:v>5.6349999999999998</c:v>
                </c:pt>
                <c:pt idx="342">
                  <c:v>5.9447000000000001</c:v>
                </c:pt>
                <c:pt idx="343">
                  <c:v>6.3696000000000002</c:v>
                </c:pt>
                <c:pt idx="344">
                  <c:v>6.1353999999999997</c:v>
                </c:pt>
                <c:pt idx="345">
                  <c:v>5.7427999999999999</c:v>
                </c:pt>
                <c:pt idx="346">
                  <c:v>5.9378000000000002</c:v>
                </c:pt>
                <c:pt idx="347">
                  <c:v>6.5359999999999996</c:v>
                </c:pt>
                <c:pt idx="348">
                  <c:v>7.1</c:v>
                </c:pt>
                <c:pt idx="349">
                  <c:v>6.9043000000000001</c:v>
                </c:pt>
                <c:pt idx="350">
                  <c:v>6.2328999999999999</c:v>
                </c:pt>
                <c:pt idx="351">
                  <c:v>5.4846000000000004</c:v>
                </c:pt>
                <c:pt idx="352">
                  <c:v>5.8009000000000004</c:v>
                </c:pt>
                <c:pt idx="353">
                  <c:v>5.5688000000000004</c:v>
                </c:pt>
                <c:pt idx="354">
                  <c:v>5.1912000000000003</c:v>
                </c:pt>
                <c:pt idx="355">
                  <c:v>5.4781000000000004</c:v>
                </c:pt>
                <c:pt idx="356">
                  <c:v>5.9454000000000002</c:v>
                </c:pt>
                <c:pt idx="357">
                  <c:v>4.5</c:v>
                </c:pt>
                <c:pt idx="358">
                  <c:v>4.2461000000000002</c:v>
                </c:pt>
                <c:pt idx="359">
                  <c:v>4.1577999999999999</c:v>
                </c:pt>
                <c:pt idx="360">
                  <c:v>4.2641</c:v>
                </c:pt>
                <c:pt idx="361">
                  <c:v>4.1660000000000004</c:v>
                </c:pt>
                <c:pt idx="362">
                  <c:v>3.9521000000000002</c:v>
                </c:pt>
                <c:pt idx="363">
                  <c:v>3.7612000000000001</c:v>
                </c:pt>
                <c:pt idx="364">
                  <c:v>3.8389000000000002</c:v>
                </c:pt>
                <c:pt idx="365">
                  <c:v>3.484</c:v>
                </c:pt>
                <c:pt idx="366">
                  <c:v>3.9918999999999998</c:v>
                </c:pt>
                <c:pt idx="367">
                  <c:v>3.8702999999999999</c:v>
                </c:pt>
                <c:pt idx="368">
                  <c:v>4.2194000000000003</c:v>
                </c:pt>
                <c:pt idx="369">
                  <c:v>3.7132000000000001</c:v>
                </c:pt>
                <c:pt idx="370">
                  <c:v>3.3555999999999999</c:v>
                </c:pt>
                <c:pt idx="371">
                  <c:v>3.4333</c:v>
                </c:pt>
                <c:pt idx="372">
                  <c:v>4.0115999999999996</c:v>
                </c:pt>
                <c:pt idx="373">
                  <c:v>4.0004999999999997</c:v>
                </c:pt>
                <c:pt idx="374">
                  <c:v>4.2702999999999998</c:v>
                </c:pt>
                <c:pt idx="375">
                  <c:v>4.8616000000000001</c:v>
                </c:pt>
                <c:pt idx="376">
                  <c:v>3.4984000000000002</c:v>
                </c:pt>
                <c:pt idx="377">
                  <c:v>3.3492999999999999</c:v>
                </c:pt>
                <c:pt idx="378">
                  <c:v>3.2799</c:v>
                </c:pt>
                <c:pt idx="379">
                  <c:v>3.2875000000000001</c:v>
                </c:pt>
                <c:pt idx="380">
                  <c:v>3.1671</c:v>
                </c:pt>
                <c:pt idx="381">
                  <c:v>3.3420000000000001</c:v>
                </c:pt>
                <c:pt idx="382">
                  <c:v>3.8195999999999999</c:v>
                </c:pt>
                <c:pt idx="383">
                  <c:v>3.4863</c:v>
                </c:pt>
                <c:pt idx="384">
                  <c:v>3.2970999999999999</c:v>
                </c:pt>
                <c:pt idx="385">
                  <c:v>3.4706999999999999</c:v>
                </c:pt>
                <c:pt idx="386">
                  <c:v>3.4719000000000002</c:v>
                </c:pt>
                <c:pt idx="387">
                  <c:v>3.3003999999999998</c:v>
                </c:pt>
                <c:pt idx="388">
                  <c:v>3.3395000000000001</c:v>
                </c:pt>
                <c:pt idx="389">
                  <c:v>3.0596999999999999</c:v>
                </c:pt>
                <c:pt idx="390">
                  <c:v>3.1084999999999998</c:v>
                </c:pt>
                <c:pt idx="391">
                  <c:v>3.2204999999999999</c:v>
                </c:pt>
                <c:pt idx="392">
                  <c:v>3.0562999999999998</c:v>
                </c:pt>
                <c:pt idx="393">
                  <c:v>3.0247000000000002</c:v>
                </c:pt>
                <c:pt idx="394">
                  <c:v>2.9819</c:v>
                </c:pt>
                <c:pt idx="395">
                  <c:v>2.9775</c:v>
                </c:pt>
                <c:pt idx="396">
                  <c:v>2.8976000000000002</c:v>
                </c:pt>
                <c:pt idx="397">
                  <c:v>2.8733</c:v>
                </c:pt>
                <c:pt idx="398">
                  <c:v>2.8654999999999999</c:v>
                </c:pt>
                <c:pt idx="399">
                  <c:v>2.7951000000000001</c:v>
                </c:pt>
                <c:pt idx="400">
                  <c:v>2.6634000000000002</c:v>
                </c:pt>
                <c:pt idx="401">
                  <c:v>2.9249999999999998</c:v>
                </c:pt>
                <c:pt idx="402">
                  <c:v>2.8652000000000002</c:v>
                </c:pt>
                <c:pt idx="403">
                  <c:v>3.1074999999999999</c:v>
                </c:pt>
                <c:pt idx="404">
                  <c:v>3.2004999999999999</c:v>
                </c:pt>
                <c:pt idx="405">
                  <c:v>3.1377999999999999</c:v>
                </c:pt>
                <c:pt idx="406">
                  <c:v>3.1150000000000002</c:v>
                </c:pt>
                <c:pt idx="407">
                  <c:v>3.1202999999999999</c:v>
                </c:pt>
                <c:pt idx="408">
                  <c:v>3.0680000000000001</c:v>
                </c:pt>
                <c:pt idx="409">
                  <c:v>2.9581</c:v>
                </c:pt>
                <c:pt idx="410">
                  <c:v>3.0038999999999998</c:v>
                </c:pt>
                <c:pt idx="411">
                  <c:v>2.9622999999999999</c:v>
                </c:pt>
                <c:pt idx="412">
                  <c:v>2.9039000000000001</c:v>
                </c:pt>
                <c:pt idx="413">
                  <c:v>3.0278</c:v>
                </c:pt>
                <c:pt idx="414">
                  <c:v>3.0626000000000002</c:v>
                </c:pt>
                <c:pt idx="415">
                  <c:v>3.0832999999999999</c:v>
                </c:pt>
                <c:pt idx="416">
                  <c:v>3.3898999999999999</c:v>
                </c:pt>
                <c:pt idx="417">
                  <c:v>3.4582999999999999</c:v>
                </c:pt>
                <c:pt idx="418">
                  <c:v>3.2850999999999999</c:v>
                </c:pt>
                <c:pt idx="419">
                  <c:v>3.19</c:v>
                </c:pt>
                <c:pt idx="420">
                  <c:v>3.37</c:v>
                </c:pt>
                <c:pt idx="421">
                  <c:v>3.4270999999999998</c:v>
                </c:pt>
                <c:pt idx="422">
                  <c:v>3.3130999999999999</c:v>
                </c:pt>
                <c:pt idx="423">
                  <c:v>3.4331999999999998</c:v>
                </c:pt>
                <c:pt idx="424">
                  <c:v>3.2839999999999998</c:v>
                </c:pt>
                <c:pt idx="425">
                  <c:v>3.2614999999999998</c:v>
                </c:pt>
                <c:pt idx="426">
                  <c:v>3.1438000000000001</c:v>
                </c:pt>
                <c:pt idx="427">
                  <c:v>3.2639</c:v>
                </c:pt>
                <c:pt idx="428">
                  <c:v>3.7000999999999999</c:v>
                </c:pt>
                <c:pt idx="429">
                  <c:v>4.0347</c:v>
                </c:pt>
                <c:pt idx="430">
                  <c:v>4.1584000000000003</c:v>
                </c:pt>
                <c:pt idx="431">
                  <c:v>3.9089999999999998</c:v>
                </c:pt>
                <c:pt idx="432">
                  <c:v>3.4866000000000001</c:v>
                </c:pt>
                <c:pt idx="433">
                  <c:v>3.1301000000000001</c:v>
                </c:pt>
                <c:pt idx="434">
                  <c:v>3.0689000000000002</c:v>
                </c:pt>
                <c:pt idx="435">
                  <c:v>3.1859000000000002</c:v>
                </c:pt>
                <c:pt idx="436">
                  <c:v>3.3315000000000001</c:v>
                </c:pt>
                <c:pt idx="437">
                  <c:v>3.2763</c:v>
                </c:pt>
                <c:pt idx="438">
                  <c:v>3.2341000000000002</c:v>
                </c:pt>
                <c:pt idx="439">
                  <c:v>3.3060999999999998</c:v>
                </c:pt>
                <c:pt idx="440">
                  <c:v>3.5</c:v>
                </c:pt>
                <c:pt idx="441">
                  <c:v>3.2</c:v>
                </c:pt>
                <c:pt idx="442">
                  <c:v>3.5594000000000001</c:v>
                </c:pt>
                <c:pt idx="443">
                  <c:v>3.2406000000000001</c:v>
                </c:pt>
                <c:pt idx="444">
                  <c:v>3.0973999999999999</c:v>
                </c:pt>
                <c:pt idx="445">
                  <c:v>3.1086</c:v>
                </c:pt>
                <c:pt idx="446">
                  <c:v>2.9007000000000001</c:v>
                </c:pt>
                <c:pt idx="447">
                  <c:v>3.05</c:v>
                </c:pt>
                <c:pt idx="448">
                  <c:v>2.8679000000000001</c:v>
                </c:pt>
                <c:pt idx="449">
                  <c:v>2.7774999999999999</c:v>
                </c:pt>
                <c:pt idx="450">
                  <c:v>2.855</c:v>
                </c:pt>
                <c:pt idx="451">
                  <c:v>2.9996</c:v>
                </c:pt>
                <c:pt idx="452">
                  <c:v>3.0613000000000001</c:v>
                </c:pt>
                <c:pt idx="453">
                  <c:v>3.0901000000000001</c:v>
                </c:pt>
                <c:pt idx="454">
                  <c:v>3.0861999999999998</c:v>
                </c:pt>
                <c:pt idx="455">
                  <c:v>3.0282</c:v>
                </c:pt>
                <c:pt idx="456">
                  <c:v>3.1027</c:v>
                </c:pt>
                <c:pt idx="457">
                  <c:v>3.3157999999999999</c:v>
                </c:pt>
                <c:pt idx="458">
                  <c:v>3.0165999999999999</c:v>
                </c:pt>
                <c:pt idx="459">
                  <c:v>3.1454</c:v>
                </c:pt>
                <c:pt idx="460">
                  <c:v>3.3130000000000002</c:v>
                </c:pt>
                <c:pt idx="461">
                  <c:v>3.3490000000000002</c:v>
                </c:pt>
                <c:pt idx="462">
                  <c:v>3.1339999999999999</c:v>
                </c:pt>
                <c:pt idx="463">
                  <c:v>2.9933000000000001</c:v>
                </c:pt>
                <c:pt idx="464">
                  <c:v>2.8855</c:v>
                </c:pt>
                <c:pt idx="465">
                  <c:v>3.2162999999999999</c:v>
                </c:pt>
                <c:pt idx="466">
                  <c:v>3.3077999999999999</c:v>
                </c:pt>
                <c:pt idx="467">
                  <c:v>3.2298</c:v>
                </c:pt>
                <c:pt idx="468">
                  <c:v>3.1787999999999998</c:v>
                </c:pt>
                <c:pt idx="469">
                  <c:v>3.2946</c:v>
                </c:pt>
                <c:pt idx="470">
                  <c:v>3.4348000000000001</c:v>
                </c:pt>
                <c:pt idx="471">
                  <c:v>3.6076000000000001</c:v>
                </c:pt>
                <c:pt idx="472">
                  <c:v>3.7107000000000001</c:v>
                </c:pt>
                <c:pt idx="473">
                  <c:v>3.8502000000000001</c:v>
                </c:pt>
                <c:pt idx="474">
                  <c:v>3.6640000000000001</c:v>
                </c:pt>
                <c:pt idx="475">
                  <c:v>3.6764999999999999</c:v>
                </c:pt>
                <c:pt idx="476">
                  <c:v>3.4159000000000002</c:v>
                </c:pt>
                <c:pt idx="477">
                  <c:v>3.3090999999999999</c:v>
                </c:pt>
                <c:pt idx="478">
                  <c:v>3.3477999999999999</c:v>
                </c:pt>
                <c:pt idx="479">
                  <c:v>3.5543999999999998</c:v>
                </c:pt>
                <c:pt idx="480">
                  <c:v>3.5322</c:v>
                </c:pt>
                <c:pt idx="481">
                  <c:v>3.5268999999999999</c:v>
                </c:pt>
                <c:pt idx="482">
                  <c:v>3.5226000000000002</c:v>
                </c:pt>
                <c:pt idx="483">
                  <c:v>3.7785000000000002</c:v>
                </c:pt>
                <c:pt idx="484">
                  <c:v>3.6753</c:v>
                </c:pt>
                <c:pt idx="485">
                  <c:v>3.6890000000000001</c:v>
                </c:pt>
                <c:pt idx="486">
                  <c:v>3.3759999999999999</c:v>
                </c:pt>
                <c:pt idx="487">
                  <c:v>3.3498000000000001</c:v>
                </c:pt>
                <c:pt idx="488">
                  <c:v>3.6092</c:v>
                </c:pt>
                <c:pt idx="489">
                  <c:v>3.7734000000000001</c:v>
                </c:pt>
                <c:pt idx="490">
                  <c:v>3.3485999999999998</c:v>
                </c:pt>
                <c:pt idx="491">
                  <c:v>3.1110000000000002</c:v>
                </c:pt>
                <c:pt idx="492">
                  <c:v>3.2898000000000001</c:v>
                </c:pt>
                <c:pt idx="493">
                  <c:v>3.1695000000000002</c:v>
                </c:pt>
                <c:pt idx="494">
                  <c:v>3.7597999999999998</c:v>
                </c:pt>
                <c:pt idx="495">
                  <c:v>4.2203999999999997</c:v>
                </c:pt>
                <c:pt idx="496">
                  <c:v>4.3064</c:v>
                </c:pt>
                <c:pt idx="497">
                  <c:v>4.2962999999999996</c:v>
                </c:pt>
                <c:pt idx="498">
                  <c:v>4.399</c:v>
                </c:pt>
                <c:pt idx="499">
                  <c:v>4.3375000000000004</c:v>
                </c:pt>
                <c:pt idx="500">
                  <c:v>5.5263</c:v>
                </c:pt>
                <c:pt idx="501">
                  <c:v>4.9512999999999998</c:v>
                </c:pt>
                <c:pt idx="502">
                  <c:v>4.7859999999999996</c:v>
                </c:pt>
                <c:pt idx="503">
                  <c:v>4.4372999999999996</c:v>
                </c:pt>
                <c:pt idx="504">
                  <c:v>4.6161000000000003</c:v>
                </c:pt>
                <c:pt idx="505">
                  <c:v>4.6143000000000001</c:v>
                </c:pt>
                <c:pt idx="506">
                  <c:v>4.0294999999999996</c:v>
                </c:pt>
                <c:pt idx="507">
                  <c:v>4.5307000000000004</c:v>
                </c:pt>
                <c:pt idx="508">
                  <c:v>4.7415000000000003</c:v>
                </c:pt>
                <c:pt idx="509">
                  <c:v>4.3315000000000001</c:v>
                </c:pt>
                <c:pt idx="510">
                  <c:v>5.5275999999999996</c:v>
                </c:pt>
                <c:pt idx="511">
                  <c:v>4.8274999999999997</c:v>
                </c:pt>
                <c:pt idx="512">
                  <c:v>6.3460000000000001</c:v>
                </c:pt>
                <c:pt idx="513">
                  <c:v>7.4176000000000002</c:v>
                </c:pt>
                <c:pt idx="514">
                  <c:v>8.18</c:v>
                </c:pt>
                <c:pt idx="515">
                  <c:v>8.9413999999999998</c:v>
                </c:pt>
                <c:pt idx="516">
                  <c:v>7.3695000000000004</c:v>
                </c:pt>
                <c:pt idx="517">
                  <c:v>7.9420000000000002</c:v>
                </c:pt>
                <c:pt idx="518">
                  <c:v>8.3366000000000007</c:v>
                </c:pt>
                <c:pt idx="519">
                  <c:v>9.6150000000000002</c:v>
                </c:pt>
                <c:pt idx="520">
                  <c:v>7.2754000000000003</c:v>
                </c:pt>
                <c:pt idx="521">
                  <c:v>6.8723000000000001</c:v>
                </c:pt>
                <c:pt idx="522">
                  <c:v>6.1524999999999999</c:v>
                </c:pt>
                <c:pt idx="523">
                  <c:v>5.3536999999999999</c:v>
                </c:pt>
                <c:pt idx="524">
                  <c:v>4.9036999999999997</c:v>
                </c:pt>
                <c:pt idx="525">
                  <c:v>5.3627000000000002</c:v>
                </c:pt>
                <c:pt idx="526">
                  <c:v>5.2541000000000002</c:v>
                </c:pt>
                <c:pt idx="527">
                  <c:v>5.73</c:v>
                </c:pt>
                <c:pt idx="528">
                  <c:v>6.157</c:v>
                </c:pt>
                <c:pt idx="529">
                  <c:v>6.1128999999999998</c:v>
                </c:pt>
                <c:pt idx="530">
                  <c:v>5.9950000000000001</c:v>
                </c:pt>
                <c:pt idx="531">
                  <c:v>6.1722999999999999</c:v>
                </c:pt>
                <c:pt idx="532">
                  <c:v>6.6554000000000002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58-4E1C-92C6-4E5A44AEC7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-0.72152367243371107</c:v>
                </c:pt>
                <c:pt idx="1">
                  <c:v>-0.71923416549391173</c:v>
                </c:pt>
                <c:pt idx="2">
                  <c:v>-0.69494413235105468</c:v>
                </c:pt>
                <c:pt idx="3">
                  <c:v>-0.6786322676281249</c:v>
                </c:pt>
                <c:pt idx="4">
                  <c:v>-0.73935818086524541</c:v>
                </c:pt>
                <c:pt idx="5">
                  <c:v>-0.75440658720905318</c:v>
                </c:pt>
                <c:pt idx="6">
                  <c:v>-0.740746041686839</c:v>
                </c:pt>
                <c:pt idx="7">
                  <c:v>-0.69356542154199552</c:v>
                </c:pt>
                <c:pt idx="8">
                  <c:v>-0.67445490317026779</c:v>
                </c:pt>
                <c:pt idx="9">
                  <c:v>-0.6508085803319511</c:v>
                </c:pt>
                <c:pt idx="10">
                  <c:v>-0.63360714825068254</c:v>
                </c:pt>
                <c:pt idx="11">
                  <c:v>-0.61828522973676392</c:v>
                </c:pt>
                <c:pt idx="12">
                  <c:v>-0.61466457465201818</c:v>
                </c:pt>
                <c:pt idx="13">
                  <c:v>-0.6035086086073026</c:v>
                </c:pt>
                <c:pt idx="14">
                  <c:v>-0.59786485321576821</c:v>
                </c:pt>
                <c:pt idx="15">
                  <c:v>-0.56708586520988091</c:v>
                </c:pt>
                <c:pt idx="16">
                  <c:v>-0.59567570122346958</c:v>
                </c:pt>
                <c:pt idx="17">
                  <c:v>-0.6282681533074761</c:v>
                </c:pt>
                <c:pt idx="18">
                  <c:v>-0.62055243601800236</c:v>
                </c:pt>
                <c:pt idx="19">
                  <c:v>-0.63464592558206245</c:v>
                </c:pt>
                <c:pt idx="20">
                  <c:v>-0.59332857397290462</c:v>
                </c:pt>
                <c:pt idx="21">
                  <c:v>-0.55467928404990774</c:v>
                </c:pt>
                <c:pt idx="22">
                  <c:v>-0.55108659261977677</c:v>
                </c:pt>
                <c:pt idx="23">
                  <c:v>-0.54135983466017201</c:v>
                </c:pt>
                <c:pt idx="24">
                  <c:v>-0.5148354395767808</c:v>
                </c:pt>
                <c:pt idx="25">
                  <c:v>-0.47976253537946367</c:v>
                </c:pt>
                <c:pt idx="26">
                  <c:v>-0.48437271408124793</c:v>
                </c:pt>
                <c:pt idx="27">
                  <c:v>-0.46565661289581334</c:v>
                </c:pt>
                <c:pt idx="28">
                  <c:v>-0.50648418270653617</c:v>
                </c:pt>
                <c:pt idx="29">
                  <c:v>-0.48388785659115158</c:v>
                </c:pt>
                <c:pt idx="30">
                  <c:v>-0.40120866976703096</c:v>
                </c:pt>
                <c:pt idx="31">
                  <c:v>-0.4521568038835358</c:v>
                </c:pt>
                <c:pt idx="32">
                  <c:v>-0.41986984938020983</c:v>
                </c:pt>
                <c:pt idx="33">
                  <c:v>-0.41723676644450103</c:v>
                </c:pt>
                <c:pt idx="34">
                  <c:v>-0.39272166484161297</c:v>
                </c:pt>
                <c:pt idx="35">
                  <c:v>-0.38784500799553007</c:v>
                </c:pt>
                <c:pt idx="36">
                  <c:v>-0.4260638211698044</c:v>
                </c:pt>
                <c:pt idx="37">
                  <c:v>-0.47341689558500438</c:v>
                </c:pt>
                <c:pt idx="38">
                  <c:v>-0.50968405973614861</c:v>
                </c:pt>
                <c:pt idx="39">
                  <c:v>-0.52040181544467579</c:v>
                </c:pt>
                <c:pt idx="40">
                  <c:v>-0.51028326311457872</c:v>
                </c:pt>
                <c:pt idx="41">
                  <c:v>-0.50938231812727264</c:v>
                </c:pt>
                <c:pt idx="42">
                  <c:v>-0.48682865547021803</c:v>
                </c:pt>
                <c:pt idx="43">
                  <c:v>-0.43575782002762936</c:v>
                </c:pt>
                <c:pt idx="44">
                  <c:v>-0.50389363288800249</c:v>
                </c:pt>
                <c:pt idx="45">
                  <c:v>-0.56331685859224856</c:v>
                </c:pt>
                <c:pt idx="46">
                  <c:v>-0.59089565764679386</c:v>
                </c:pt>
                <c:pt idx="47">
                  <c:v>-0.58827411906435945</c:v>
                </c:pt>
                <c:pt idx="48">
                  <c:v>-0.58859532264575476</c:v>
                </c:pt>
                <c:pt idx="49">
                  <c:v>-0.57413979334424736</c:v>
                </c:pt>
                <c:pt idx="50">
                  <c:v>-0.56178159499079905</c:v>
                </c:pt>
                <c:pt idx="51">
                  <c:v>-0.53557631909738468</c:v>
                </c:pt>
                <c:pt idx="52">
                  <c:v>-0.53094714582711444</c:v>
                </c:pt>
                <c:pt idx="53">
                  <c:v>-0.54613774458281472</c:v>
                </c:pt>
                <c:pt idx="54">
                  <c:v>-0.54225634059881478</c:v>
                </c:pt>
                <c:pt idx="55">
                  <c:v>-0.54490728706481484</c:v>
                </c:pt>
                <c:pt idx="56">
                  <c:v>-0.53357942398427782</c:v>
                </c:pt>
                <c:pt idx="57">
                  <c:v>-0.53266960039024802</c:v>
                </c:pt>
                <c:pt idx="58">
                  <c:v>-0.52091262725877396</c:v>
                </c:pt>
                <c:pt idx="59">
                  <c:v>-0.50274345375382345</c:v>
                </c:pt>
                <c:pt idx="60">
                  <c:v>-0.49503369177851481</c:v>
                </c:pt>
                <c:pt idx="61">
                  <c:v>-0.47181335143006131</c:v>
                </c:pt>
                <c:pt idx="62">
                  <c:v>-0.39586444509492624</c:v>
                </c:pt>
                <c:pt idx="63">
                  <c:v>-0.39341669583971273</c:v>
                </c:pt>
                <c:pt idx="64">
                  <c:v>-0.40061067483027873</c:v>
                </c:pt>
                <c:pt idx="65">
                  <c:v>-0.39931081285587289</c:v>
                </c:pt>
                <c:pt idx="66">
                  <c:v>-0.39870844085587287</c:v>
                </c:pt>
                <c:pt idx="67">
                  <c:v>-0.39339593199873002</c:v>
                </c:pt>
                <c:pt idx="68">
                  <c:v>-0.39053058025814419</c:v>
                </c:pt>
                <c:pt idx="69">
                  <c:v>-0.39500124052788099</c:v>
                </c:pt>
                <c:pt idx="70">
                  <c:v>-0.39934569730432812</c:v>
                </c:pt>
                <c:pt idx="71">
                  <c:v>-0.39180602922570396</c:v>
                </c:pt>
                <c:pt idx="72">
                  <c:v>-0.39099872077459991</c:v>
                </c:pt>
                <c:pt idx="73">
                  <c:v>-0.3825187427308499</c:v>
                </c:pt>
                <c:pt idx="74">
                  <c:v>-0.38799613560419305</c:v>
                </c:pt>
                <c:pt idx="75">
                  <c:v>-0.3874836694508384</c:v>
                </c:pt>
                <c:pt idx="76">
                  <c:v>-0.32364973383946399</c:v>
                </c:pt>
                <c:pt idx="77">
                  <c:v>-0.34195809926295151</c:v>
                </c:pt>
                <c:pt idx="78">
                  <c:v>-0.34464719761519741</c:v>
                </c:pt>
                <c:pt idx="79">
                  <c:v>-0.3409815424179371</c:v>
                </c:pt>
                <c:pt idx="80">
                  <c:v>-0.33413227773672904</c:v>
                </c:pt>
                <c:pt idx="81">
                  <c:v>-0.34010368055049417</c:v>
                </c:pt>
                <c:pt idx="82">
                  <c:v>-0.33982308789335131</c:v>
                </c:pt>
                <c:pt idx="83">
                  <c:v>-0.34092367888364256</c:v>
                </c:pt>
                <c:pt idx="84">
                  <c:v>-0.33522061685159121</c:v>
                </c:pt>
                <c:pt idx="85">
                  <c:v>-0.27604573801288157</c:v>
                </c:pt>
                <c:pt idx="86">
                  <c:v>-0.28489730792592494</c:v>
                </c:pt>
                <c:pt idx="87">
                  <c:v>-0.28442712006291127</c:v>
                </c:pt>
                <c:pt idx="88">
                  <c:v>-0.28434497504101347</c:v>
                </c:pt>
                <c:pt idx="89">
                  <c:v>-0.28841689968263201</c:v>
                </c:pt>
                <c:pt idx="90">
                  <c:v>-0.2850771186300004</c:v>
                </c:pt>
                <c:pt idx="91">
                  <c:v>-0.28523574184472439</c:v>
                </c:pt>
                <c:pt idx="92">
                  <c:v>-0.28696466360943024</c:v>
                </c:pt>
                <c:pt idx="93">
                  <c:v>-0.28124173036618705</c:v>
                </c:pt>
                <c:pt idx="94">
                  <c:v>-0.28118386026728592</c:v>
                </c:pt>
                <c:pt idx="95">
                  <c:v>-0.27990262323520038</c:v>
                </c:pt>
                <c:pt idx="96">
                  <c:v>-0.27788684665186708</c:v>
                </c:pt>
                <c:pt idx="97">
                  <c:v>-0.2797114185242075</c:v>
                </c:pt>
                <c:pt idx="98">
                  <c:v>-0.27692088076910543</c:v>
                </c:pt>
                <c:pt idx="99">
                  <c:v>-0.27688361669557604</c:v>
                </c:pt>
                <c:pt idx="100">
                  <c:v>-0.27992527364664643</c:v>
                </c:pt>
                <c:pt idx="101">
                  <c:v>-0.28004400898670406</c:v>
                </c:pt>
                <c:pt idx="102">
                  <c:v>-0.27628979306462614</c:v>
                </c:pt>
                <c:pt idx="103">
                  <c:v>-0.27105399650370665</c:v>
                </c:pt>
                <c:pt idx="104">
                  <c:v>-0.26638546366981963</c:v>
                </c:pt>
                <c:pt idx="105">
                  <c:v>-0.27545127745522735</c:v>
                </c:pt>
                <c:pt idx="106">
                  <c:v>-0.27503816568313433</c:v>
                </c:pt>
                <c:pt idx="107">
                  <c:v>-0.27735733297725196</c:v>
                </c:pt>
                <c:pt idx="108">
                  <c:v>-0.27881890666226722</c:v>
                </c:pt>
                <c:pt idx="109">
                  <c:v>-0.27705304027153876</c:v>
                </c:pt>
                <c:pt idx="110">
                  <c:v>-0.26747482850760435</c:v>
                </c:pt>
                <c:pt idx="111">
                  <c:v>-0.26116121758576066</c:v>
                </c:pt>
                <c:pt idx="112">
                  <c:v>-0.26235428476631628</c:v>
                </c:pt>
                <c:pt idx="113">
                  <c:v>-0.26140716400227126</c:v>
                </c:pt>
                <c:pt idx="114">
                  <c:v>-0.26133876929825434</c:v>
                </c:pt>
                <c:pt idx="115">
                  <c:v>-0.2604107920076365</c:v>
                </c:pt>
                <c:pt idx="116">
                  <c:v>-0.25929375241471614</c:v>
                </c:pt>
                <c:pt idx="117">
                  <c:v>-0.25801306605078173</c:v>
                </c:pt>
                <c:pt idx="118">
                  <c:v>-0.25873712544036886</c:v>
                </c:pt>
                <c:pt idx="119">
                  <c:v>-0.26198949191199311</c:v>
                </c:pt>
                <c:pt idx="120">
                  <c:v>-0.26354833991199306</c:v>
                </c:pt>
                <c:pt idx="121">
                  <c:v>-0.26487662090399311</c:v>
                </c:pt>
                <c:pt idx="122">
                  <c:v>-0.26233249782761514</c:v>
                </c:pt>
                <c:pt idx="123">
                  <c:v>-0.25305109982761514</c:v>
                </c:pt>
                <c:pt idx="124">
                  <c:v>-0.25479546951223053</c:v>
                </c:pt>
                <c:pt idx="125">
                  <c:v>-0.25210216996781137</c:v>
                </c:pt>
                <c:pt idx="126">
                  <c:v>-0.25149465789461439</c:v>
                </c:pt>
                <c:pt idx="127">
                  <c:v>-0.25195677315267895</c:v>
                </c:pt>
                <c:pt idx="128">
                  <c:v>-0.25664215609231145</c:v>
                </c:pt>
                <c:pt idx="129">
                  <c:v>-0.25351339581036703</c:v>
                </c:pt>
                <c:pt idx="130">
                  <c:v>-0.25061200715421561</c:v>
                </c:pt>
                <c:pt idx="131">
                  <c:v>-0.23255581469301251</c:v>
                </c:pt>
                <c:pt idx="132">
                  <c:v>-0.2223701718752667</c:v>
                </c:pt>
                <c:pt idx="133">
                  <c:v>-0.22160918212066544</c:v>
                </c:pt>
                <c:pt idx="134">
                  <c:v>-0.21869813884393591</c:v>
                </c:pt>
                <c:pt idx="135">
                  <c:v>-0.21719805902673162</c:v>
                </c:pt>
                <c:pt idx="136">
                  <c:v>-0.2201469636354273</c:v>
                </c:pt>
                <c:pt idx="137">
                  <c:v>-0.2181838212887606</c:v>
                </c:pt>
                <c:pt idx="138">
                  <c:v>-0.22096708601196435</c:v>
                </c:pt>
                <c:pt idx="139">
                  <c:v>-0.21971557238204309</c:v>
                </c:pt>
                <c:pt idx="140">
                  <c:v>-0.21539161326102393</c:v>
                </c:pt>
                <c:pt idx="141">
                  <c:v>-0.21542625518065656</c:v>
                </c:pt>
                <c:pt idx="142">
                  <c:v>-0.21528325538639345</c:v>
                </c:pt>
                <c:pt idx="143">
                  <c:v>-0.21052274306222071</c:v>
                </c:pt>
                <c:pt idx="144">
                  <c:v>-0.21251005028026576</c:v>
                </c:pt>
                <c:pt idx="145">
                  <c:v>-0.20942612131165594</c:v>
                </c:pt>
                <c:pt idx="146">
                  <c:v>-0.19788895237226203</c:v>
                </c:pt>
                <c:pt idx="147">
                  <c:v>-0.16098792137951246</c:v>
                </c:pt>
                <c:pt idx="148">
                  <c:v>-0.16934577950256322</c:v>
                </c:pt>
                <c:pt idx="149">
                  <c:v>-0.17248147248227921</c:v>
                </c:pt>
                <c:pt idx="150">
                  <c:v>-0.17311147963464968</c:v>
                </c:pt>
                <c:pt idx="151">
                  <c:v>-0.17043263357993843</c:v>
                </c:pt>
                <c:pt idx="152">
                  <c:v>-0.17219772842539297</c:v>
                </c:pt>
                <c:pt idx="153">
                  <c:v>-0.17202858887259795</c:v>
                </c:pt>
                <c:pt idx="154">
                  <c:v>-0.17492992628051157</c:v>
                </c:pt>
                <c:pt idx="155">
                  <c:v>-0.16919944663981054</c:v>
                </c:pt>
                <c:pt idx="156">
                  <c:v>-0.17576433810453548</c:v>
                </c:pt>
                <c:pt idx="157">
                  <c:v>-0.16959175296950488</c:v>
                </c:pt>
                <c:pt idx="158">
                  <c:v>-0.17146941200424171</c:v>
                </c:pt>
                <c:pt idx="159">
                  <c:v>-0.17137792972083579</c:v>
                </c:pt>
                <c:pt idx="160">
                  <c:v>-0.17257890749132593</c:v>
                </c:pt>
                <c:pt idx="161">
                  <c:v>-0.17944345427947919</c:v>
                </c:pt>
                <c:pt idx="162">
                  <c:v>-0.1854784495794792</c:v>
                </c:pt>
                <c:pt idx="163">
                  <c:v>-0.18349607539622223</c:v>
                </c:pt>
                <c:pt idx="164">
                  <c:v>-0.17898790195589773</c:v>
                </c:pt>
                <c:pt idx="165">
                  <c:v>-0.17352564394113673</c:v>
                </c:pt>
                <c:pt idx="166">
                  <c:v>-0.17983206374633157</c:v>
                </c:pt>
                <c:pt idx="167">
                  <c:v>-0.18173004668908424</c:v>
                </c:pt>
                <c:pt idx="168">
                  <c:v>-0.1869336609534121</c:v>
                </c:pt>
                <c:pt idx="169">
                  <c:v>-0.1854629603813662</c:v>
                </c:pt>
                <c:pt idx="170">
                  <c:v>-0.18616091583325947</c:v>
                </c:pt>
                <c:pt idx="171">
                  <c:v>-0.18840281450883203</c:v>
                </c:pt>
                <c:pt idx="172">
                  <c:v>-0.1897464440309905</c:v>
                </c:pt>
                <c:pt idx="173">
                  <c:v>-0.18648978654460752</c:v>
                </c:pt>
                <c:pt idx="174">
                  <c:v>-0.18890680365107348</c:v>
                </c:pt>
                <c:pt idx="175">
                  <c:v>-0.19428740683387452</c:v>
                </c:pt>
                <c:pt idx="176">
                  <c:v>-0.19617033233700376</c:v>
                </c:pt>
                <c:pt idx="177">
                  <c:v>-0.19836442005915567</c:v>
                </c:pt>
                <c:pt idx="178">
                  <c:v>-0.1965243962407823</c:v>
                </c:pt>
                <c:pt idx="179">
                  <c:v>-0.19276964935779381</c:v>
                </c:pt>
                <c:pt idx="180">
                  <c:v>-0.18844628049801412</c:v>
                </c:pt>
                <c:pt idx="181">
                  <c:v>-0.18826762656926016</c:v>
                </c:pt>
                <c:pt idx="182">
                  <c:v>-0.19114183333758039</c:v>
                </c:pt>
                <c:pt idx="183">
                  <c:v>-0.19469072777779395</c:v>
                </c:pt>
                <c:pt idx="184">
                  <c:v>-0.18305906696887456</c:v>
                </c:pt>
                <c:pt idx="185">
                  <c:v>-0.19134018081076215</c:v>
                </c:pt>
                <c:pt idx="186">
                  <c:v>-0.18678009900637585</c:v>
                </c:pt>
                <c:pt idx="187">
                  <c:v>-0.19144183363427039</c:v>
                </c:pt>
                <c:pt idx="188">
                  <c:v>-0.19498801797574219</c:v>
                </c:pt>
                <c:pt idx="189">
                  <c:v>-0.19917367632451299</c:v>
                </c:pt>
                <c:pt idx="190">
                  <c:v>-0.20066151563233908</c:v>
                </c:pt>
                <c:pt idx="191">
                  <c:v>-0.20255170847081166</c:v>
                </c:pt>
                <c:pt idx="192">
                  <c:v>-0.19813708445871039</c:v>
                </c:pt>
                <c:pt idx="193">
                  <c:v>-0.20389205728314241</c:v>
                </c:pt>
                <c:pt idx="194">
                  <c:v>-0.19962492569211995</c:v>
                </c:pt>
                <c:pt idx="195">
                  <c:v>-0.19970507987768868</c:v>
                </c:pt>
                <c:pt idx="196">
                  <c:v>-0.19788224856624692</c:v>
                </c:pt>
                <c:pt idx="197">
                  <c:v>-0.19577143728558141</c:v>
                </c:pt>
                <c:pt idx="198">
                  <c:v>-0.20095098247788909</c:v>
                </c:pt>
                <c:pt idx="199">
                  <c:v>-0.19783497391776361</c:v>
                </c:pt>
                <c:pt idx="200">
                  <c:v>-0.19501765634752988</c:v>
                </c:pt>
                <c:pt idx="201">
                  <c:v>-0.19681814867737113</c:v>
                </c:pt>
                <c:pt idx="202">
                  <c:v>-0.19589349206491088</c:v>
                </c:pt>
                <c:pt idx="203">
                  <c:v>-0.19777049425326382</c:v>
                </c:pt>
                <c:pt idx="204">
                  <c:v>-0.19021088312600143</c:v>
                </c:pt>
                <c:pt idx="205">
                  <c:v>-0.18372165586890599</c:v>
                </c:pt>
                <c:pt idx="206">
                  <c:v>-0.19266710974397838</c:v>
                </c:pt>
                <c:pt idx="207">
                  <c:v>-0.1892668620433153</c:v>
                </c:pt>
                <c:pt idx="208">
                  <c:v>-0.1879183146231786</c:v>
                </c:pt>
                <c:pt idx="209">
                  <c:v>-0.19174051444681686</c:v>
                </c:pt>
                <c:pt idx="210">
                  <c:v>-0.20907138859000285</c:v>
                </c:pt>
                <c:pt idx="211">
                  <c:v>-0.2049289832625274</c:v>
                </c:pt>
                <c:pt idx="212">
                  <c:v>-0.20851957090811607</c:v>
                </c:pt>
                <c:pt idx="213">
                  <c:v>-0.20857052313271907</c:v>
                </c:pt>
                <c:pt idx="214">
                  <c:v>-0.21054803651533327</c:v>
                </c:pt>
                <c:pt idx="215">
                  <c:v>-0.21202095057829798</c:v>
                </c:pt>
                <c:pt idx="216">
                  <c:v>-0.23973719559036435</c:v>
                </c:pt>
                <c:pt idx="217">
                  <c:v>-0.21857801141174241</c:v>
                </c:pt>
                <c:pt idx="218">
                  <c:v>-0.21650408996832443</c:v>
                </c:pt>
                <c:pt idx="219">
                  <c:v>-0.21702905136522796</c:v>
                </c:pt>
                <c:pt idx="220">
                  <c:v>-0.22178618990212159</c:v>
                </c:pt>
                <c:pt idx="221">
                  <c:v>-0.21560407920649813</c:v>
                </c:pt>
                <c:pt idx="222">
                  <c:v>-0.21884904948994804</c:v>
                </c:pt>
                <c:pt idx="223">
                  <c:v>-0.21614293925484268</c:v>
                </c:pt>
                <c:pt idx="224">
                  <c:v>-0.21212305505264714</c:v>
                </c:pt>
                <c:pt idx="225">
                  <c:v>-0.20128677799050584</c:v>
                </c:pt>
                <c:pt idx="226">
                  <c:v>-0.20366740097491021</c:v>
                </c:pt>
                <c:pt idx="227">
                  <c:v>-0.19743581829069973</c:v>
                </c:pt>
                <c:pt idx="228">
                  <c:v>-0.20551919469007879</c:v>
                </c:pt>
                <c:pt idx="229">
                  <c:v>-0.20825208683851426</c:v>
                </c:pt>
                <c:pt idx="230">
                  <c:v>-0.21467996532009853</c:v>
                </c:pt>
                <c:pt idx="231">
                  <c:v>-0.21865202089177022</c:v>
                </c:pt>
                <c:pt idx="232">
                  <c:v>-0.20330010895435416</c:v>
                </c:pt>
                <c:pt idx="233">
                  <c:v>-0.214149070466437</c:v>
                </c:pt>
                <c:pt idx="234">
                  <c:v>-0.2186267040910459</c:v>
                </c:pt>
                <c:pt idx="235">
                  <c:v>-0.20751547328239459</c:v>
                </c:pt>
                <c:pt idx="236">
                  <c:v>-0.20782606426318487</c:v>
                </c:pt>
                <c:pt idx="237">
                  <c:v>-0.21291100728119489</c:v>
                </c:pt>
                <c:pt idx="238">
                  <c:v>-0.20706770939942978</c:v>
                </c:pt>
                <c:pt idx="239">
                  <c:v>-0.21586479568274367</c:v>
                </c:pt>
                <c:pt idx="240">
                  <c:v>-0.2179445096514589</c:v>
                </c:pt>
                <c:pt idx="241">
                  <c:v>-0.21256814165015678</c:v>
                </c:pt>
                <c:pt idx="242">
                  <c:v>-0.22031604364261861</c:v>
                </c:pt>
                <c:pt idx="243">
                  <c:v>-0.22279731013925999</c:v>
                </c:pt>
                <c:pt idx="244">
                  <c:v>-0.21391041669628247</c:v>
                </c:pt>
                <c:pt idx="245">
                  <c:v>-0.20343329923074013</c:v>
                </c:pt>
                <c:pt idx="246">
                  <c:v>-0.19028759089750863</c:v>
                </c:pt>
                <c:pt idx="247">
                  <c:v>-0.20715874438775794</c:v>
                </c:pt>
                <c:pt idx="248">
                  <c:v>-0.21681706912252727</c:v>
                </c:pt>
                <c:pt idx="249">
                  <c:v>-0.23306682019299921</c:v>
                </c:pt>
                <c:pt idx="250">
                  <c:v>-0.23169732724086001</c:v>
                </c:pt>
                <c:pt idx="251">
                  <c:v>-0.22850113152871274</c:v>
                </c:pt>
                <c:pt idx="252">
                  <c:v>-0.2225117169899592</c:v>
                </c:pt>
                <c:pt idx="253">
                  <c:v>-0.2350392489687281</c:v>
                </c:pt>
                <c:pt idx="254">
                  <c:v>-0.22569902449149259</c:v>
                </c:pt>
                <c:pt idx="255">
                  <c:v>-0.22326704389495322</c:v>
                </c:pt>
                <c:pt idx="256">
                  <c:v>-0.21671286636275919</c:v>
                </c:pt>
                <c:pt idx="257">
                  <c:v>-0.21401769196275919</c:v>
                </c:pt>
                <c:pt idx="258">
                  <c:v>-0.20560762202628544</c:v>
                </c:pt>
                <c:pt idx="259">
                  <c:v>-0.20619423628858236</c:v>
                </c:pt>
                <c:pt idx="260">
                  <c:v>-0.20281356403489811</c:v>
                </c:pt>
                <c:pt idx="261">
                  <c:v>-0.1956751803441896</c:v>
                </c:pt>
                <c:pt idx="262">
                  <c:v>-0.2002925526234349</c:v>
                </c:pt>
                <c:pt idx="263">
                  <c:v>-0.195769428915404</c:v>
                </c:pt>
                <c:pt idx="264">
                  <c:v>-0.19639586768964554</c:v>
                </c:pt>
                <c:pt idx="265">
                  <c:v>-0.18874069598818224</c:v>
                </c:pt>
                <c:pt idx="266">
                  <c:v>-0.18294469221384971</c:v>
                </c:pt>
                <c:pt idx="267">
                  <c:v>-0.19053037352927343</c:v>
                </c:pt>
                <c:pt idx="268">
                  <c:v>-0.19762685928517928</c:v>
                </c:pt>
                <c:pt idx="269">
                  <c:v>-0.18858441835280726</c:v>
                </c:pt>
                <c:pt idx="270">
                  <c:v>-0.18887100082055316</c:v>
                </c:pt>
                <c:pt idx="271">
                  <c:v>-0.18816970516414572</c:v>
                </c:pt>
                <c:pt idx="272">
                  <c:v>-0.18728645954489623</c:v>
                </c:pt>
                <c:pt idx="273">
                  <c:v>-0.18582920492758617</c:v>
                </c:pt>
                <c:pt idx="274">
                  <c:v>-0.19760840556730275</c:v>
                </c:pt>
                <c:pt idx="275">
                  <c:v>-0.20427766232013256</c:v>
                </c:pt>
                <c:pt idx="276">
                  <c:v>-0.20609151316931471</c:v>
                </c:pt>
                <c:pt idx="277">
                  <c:v>-0.21217782246772787</c:v>
                </c:pt>
                <c:pt idx="278">
                  <c:v>-0.21467680172830589</c:v>
                </c:pt>
                <c:pt idx="279">
                  <c:v>-0.20619862633145195</c:v>
                </c:pt>
                <c:pt idx="280">
                  <c:v>-0.21709871312175499</c:v>
                </c:pt>
                <c:pt idx="281">
                  <c:v>-0.20086691263578269</c:v>
                </c:pt>
                <c:pt idx="282">
                  <c:v>-0.19587025017762891</c:v>
                </c:pt>
                <c:pt idx="283">
                  <c:v>-0.20401578584157667</c:v>
                </c:pt>
                <c:pt idx="284">
                  <c:v>-0.19555746564848389</c:v>
                </c:pt>
                <c:pt idx="285">
                  <c:v>-0.19385412545056657</c:v>
                </c:pt>
                <c:pt idx="286">
                  <c:v>-0.18894828206615846</c:v>
                </c:pt>
                <c:pt idx="287">
                  <c:v>-0.18227617747064648</c:v>
                </c:pt>
                <c:pt idx="288">
                  <c:v>-0.19354885768677213</c:v>
                </c:pt>
                <c:pt idx="289">
                  <c:v>-0.19218446962624605</c:v>
                </c:pt>
                <c:pt idx="290">
                  <c:v>-0.19607650930806422</c:v>
                </c:pt>
                <c:pt idx="291">
                  <c:v>-0.18992907817393684</c:v>
                </c:pt>
                <c:pt idx="292">
                  <c:v>-0.19034182060700072</c:v>
                </c:pt>
                <c:pt idx="293">
                  <c:v>-0.18761618699160232</c:v>
                </c:pt>
                <c:pt idx="294">
                  <c:v>-0.18635698978159793</c:v>
                </c:pt>
                <c:pt idx="295">
                  <c:v>-0.19288778274860419</c:v>
                </c:pt>
                <c:pt idx="296">
                  <c:v>-0.18462892917287252</c:v>
                </c:pt>
                <c:pt idx="297">
                  <c:v>-0.16117318912096684</c:v>
                </c:pt>
                <c:pt idx="298">
                  <c:v>-0.17645598408490945</c:v>
                </c:pt>
                <c:pt idx="299">
                  <c:v>-0.1802501724980288</c:v>
                </c:pt>
                <c:pt idx="300">
                  <c:v>-0.16900655569685838</c:v>
                </c:pt>
                <c:pt idx="301">
                  <c:v>-0.14236858090137716</c:v>
                </c:pt>
                <c:pt idx="302">
                  <c:v>-0.14694920262932606</c:v>
                </c:pt>
                <c:pt idx="303">
                  <c:v>-0.14002542154935549</c:v>
                </c:pt>
                <c:pt idx="304">
                  <c:v>-0.15247886148537426</c:v>
                </c:pt>
                <c:pt idx="305">
                  <c:v>-0.14659244495532503</c:v>
                </c:pt>
                <c:pt idx="306">
                  <c:v>-0.13223857078289111</c:v>
                </c:pt>
                <c:pt idx="307">
                  <c:v>-0.13441005407532194</c:v>
                </c:pt>
                <c:pt idx="308">
                  <c:v>-7.2801933704534083E-2</c:v>
                </c:pt>
                <c:pt idx="309">
                  <c:v>-1.0988532694475422E-2</c:v>
                </c:pt>
                <c:pt idx="310">
                  <c:v>-5.9663752884878607E-3</c:v>
                </c:pt>
                <c:pt idx="311">
                  <c:v>-2.7341974713966169E-3</c:v>
                </c:pt>
                <c:pt idx="312">
                  <c:v>7.3593868383696462E-3</c:v>
                </c:pt>
                <c:pt idx="313">
                  <c:v>4.7329677828857695E-3</c:v>
                </c:pt>
                <c:pt idx="314">
                  <c:v>1.275754131547205E-2</c:v>
                </c:pt>
                <c:pt idx="315">
                  <c:v>1.056633501848246E-2</c:v>
                </c:pt>
                <c:pt idx="316">
                  <c:v>8.5518479229631621E-3</c:v>
                </c:pt>
                <c:pt idx="317">
                  <c:v>1.119225437675428E-3</c:v>
                </c:pt>
                <c:pt idx="318">
                  <c:v>1.2353887602788187E-2</c:v>
                </c:pt>
                <c:pt idx="319">
                  <c:v>5.9068844001160751E-3</c:v>
                </c:pt>
                <c:pt idx="320">
                  <c:v>3.7738057346741959E-3</c:v>
                </c:pt>
                <c:pt idx="321">
                  <c:v>9.0817144257470325E-3</c:v>
                </c:pt>
                <c:pt idx="322">
                  <c:v>-2.7001873421546667E-3</c:v>
                </c:pt>
                <c:pt idx="323">
                  <c:v>-6.6528116961471623E-3</c:v>
                </c:pt>
                <c:pt idx="324">
                  <c:v>-3.6470161385531046E-3</c:v>
                </c:pt>
                <c:pt idx="325">
                  <c:v>-7.290950582619235E-3</c:v>
                </c:pt>
                <c:pt idx="326">
                  <c:v>-1.1324516449638153E-2</c:v>
                </c:pt>
                <c:pt idx="327">
                  <c:v>-9.9649603724661622E-3</c:v>
                </c:pt>
                <c:pt idx="328">
                  <c:v>-1.1574310887101232E-2</c:v>
                </c:pt>
                <c:pt idx="329">
                  <c:v>-1.0476839599927661E-2</c:v>
                </c:pt>
                <c:pt idx="330">
                  <c:v>-1.8708581302627918E-2</c:v>
                </c:pt>
                <c:pt idx="331">
                  <c:v>8.2963046181085704E-3</c:v>
                </c:pt>
                <c:pt idx="332">
                  <c:v>1.841175429425697E-4</c:v>
                </c:pt>
                <c:pt idx="333">
                  <c:v>-4.7001380498054631E-3</c:v>
                </c:pt>
                <c:pt idx="334">
                  <c:v>-3.1318621257653426E-3</c:v>
                </c:pt>
                <c:pt idx="335">
                  <c:v>-3.0199409358511748E-3</c:v>
                </c:pt>
                <c:pt idx="336">
                  <c:v>-2.5080772806074479E-3</c:v>
                </c:pt>
                <c:pt idx="337">
                  <c:v>5.4918160268068658E-3</c:v>
                </c:pt>
                <c:pt idx="338">
                  <c:v>3.4641183649963794E-3</c:v>
                </c:pt>
                <c:pt idx="339">
                  <c:v>5.8638358350150506E-3</c:v>
                </c:pt>
                <c:pt idx="340">
                  <c:v>1.3696893275811152E-2</c:v>
                </c:pt>
                <c:pt idx="341">
                  <c:v>9.8407282840888965E-3</c:v>
                </c:pt>
                <c:pt idx="342">
                  <c:v>1.4922779810785316E-2</c:v>
                </c:pt>
                <c:pt idx="343">
                  <c:v>2.1986558302798106E-2</c:v>
                </c:pt>
                <c:pt idx="344">
                  <c:v>1.7804707109174065E-2</c:v>
                </c:pt>
                <c:pt idx="345">
                  <c:v>1.0363506651361567E-2</c:v>
                </c:pt>
                <c:pt idx="346">
                  <c:v>1.2281169071807577E-2</c:v>
                </c:pt>
                <c:pt idx="347">
                  <c:v>9.7856237233881135E-3</c:v>
                </c:pt>
                <c:pt idx="348">
                  <c:v>1.4263612694030191E-2</c:v>
                </c:pt>
                <c:pt idx="349">
                  <c:v>4.4226637774195015E-3</c:v>
                </c:pt>
                <c:pt idx="350">
                  <c:v>-5.4529257574906249E-3</c:v>
                </c:pt>
                <c:pt idx="351">
                  <c:v>-1.0716773782374114E-2</c:v>
                </c:pt>
                <c:pt idx="352">
                  <c:v>-1.0516891891517631E-2</c:v>
                </c:pt>
                <c:pt idx="353">
                  <c:v>-1.8823805485074729E-2</c:v>
                </c:pt>
                <c:pt idx="354">
                  <c:v>-2.2985558970900224E-2</c:v>
                </c:pt>
                <c:pt idx="355">
                  <c:v>-2.4536968381999789E-2</c:v>
                </c:pt>
                <c:pt idx="356">
                  <c:v>-2.0847299770646564E-2</c:v>
                </c:pt>
                <c:pt idx="357">
                  <c:v>-3.1753310552990424E-2</c:v>
                </c:pt>
                <c:pt idx="358">
                  <c:v>-3.219629008396116E-2</c:v>
                </c:pt>
                <c:pt idx="359">
                  <c:v>-3.7303345393421998E-2</c:v>
                </c:pt>
                <c:pt idx="360">
                  <c:v>-3.6100658873571112E-2</c:v>
                </c:pt>
                <c:pt idx="361">
                  <c:v>-3.5523128540589415E-2</c:v>
                </c:pt>
                <c:pt idx="362">
                  <c:v>-3.6747027003980276E-2</c:v>
                </c:pt>
                <c:pt idx="363">
                  <c:v>-3.7556799247855557E-2</c:v>
                </c:pt>
                <c:pt idx="364">
                  <c:v>-3.7246448689980352E-2</c:v>
                </c:pt>
                <c:pt idx="365">
                  <c:v>-3.7417772885346118E-2</c:v>
                </c:pt>
                <c:pt idx="366">
                  <c:v>-3.3273631450319016E-2</c:v>
                </c:pt>
                <c:pt idx="367">
                  <c:v>-3.4652396869273058E-2</c:v>
                </c:pt>
                <c:pt idx="368">
                  <c:v>-2.9326934765879092E-2</c:v>
                </c:pt>
                <c:pt idx="369">
                  <c:v>-3.6316760018685959E-2</c:v>
                </c:pt>
                <c:pt idx="370">
                  <c:v>-4.0267323856859036E-2</c:v>
                </c:pt>
                <c:pt idx="371">
                  <c:v>-4.3285201184869337E-2</c:v>
                </c:pt>
                <c:pt idx="372">
                  <c:v>-3.6389911149839527E-2</c:v>
                </c:pt>
                <c:pt idx="373">
                  <c:v>-3.8429078914062144E-2</c:v>
                </c:pt>
                <c:pt idx="374">
                  <c:v>-3.1187829704050079E-2</c:v>
                </c:pt>
                <c:pt idx="375">
                  <c:v>-2.0503702634866519E-2</c:v>
                </c:pt>
                <c:pt idx="376">
                  <c:v>-4.149736874152498E-2</c:v>
                </c:pt>
                <c:pt idx="377">
                  <c:v>-4.1570845721388139E-2</c:v>
                </c:pt>
                <c:pt idx="378">
                  <c:v>-4.1959571827248257E-2</c:v>
                </c:pt>
                <c:pt idx="379">
                  <c:v>-4.062213067034693E-2</c:v>
                </c:pt>
                <c:pt idx="380">
                  <c:v>-4.2452795019971477E-2</c:v>
                </c:pt>
                <c:pt idx="381">
                  <c:v>-4.1740829282489914E-2</c:v>
                </c:pt>
                <c:pt idx="382">
                  <c:v>-4.0557496862104643E-2</c:v>
                </c:pt>
                <c:pt idx="383">
                  <c:v>-4.3586491524895334E-2</c:v>
                </c:pt>
                <c:pt idx="384">
                  <c:v>-4.5027938447278759E-2</c:v>
                </c:pt>
                <c:pt idx="385">
                  <c:v>-4.4186185060783582E-2</c:v>
                </c:pt>
                <c:pt idx="386">
                  <c:v>-4.1480387868687615E-2</c:v>
                </c:pt>
                <c:pt idx="387">
                  <c:v>-4.2229286068237025E-2</c:v>
                </c:pt>
                <c:pt idx="388">
                  <c:v>-4.222282519905049E-2</c:v>
                </c:pt>
                <c:pt idx="389">
                  <c:v>-4.510447301345389E-2</c:v>
                </c:pt>
                <c:pt idx="390">
                  <c:v>-4.4380405404105101E-2</c:v>
                </c:pt>
                <c:pt idx="391">
                  <c:v>-4.4306103150860657E-2</c:v>
                </c:pt>
                <c:pt idx="392">
                  <c:v>-4.6737760282850822E-2</c:v>
                </c:pt>
                <c:pt idx="393">
                  <c:v>-4.7962160931597976E-2</c:v>
                </c:pt>
                <c:pt idx="394">
                  <c:v>-4.8160633918578589E-2</c:v>
                </c:pt>
                <c:pt idx="395">
                  <c:v>-4.889777232081273E-2</c:v>
                </c:pt>
                <c:pt idx="396">
                  <c:v>-4.8719902131980242E-2</c:v>
                </c:pt>
                <c:pt idx="397">
                  <c:v>-4.915541619171096E-2</c:v>
                </c:pt>
                <c:pt idx="398">
                  <c:v>-4.9372202327988932E-2</c:v>
                </c:pt>
                <c:pt idx="399">
                  <c:v>-4.9889519211466504E-2</c:v>
                </c:pt>
                <c:pt idx="400">
                  <c:v>-5.1644089111466514E-2</c:v>
                </c:pt>
                <c:pt idx="401">
                  <c:v>-5.0161905303308545E-2</c:v>
                </c:pt>
                <c:pt idx="402">
                  <c:v>-5.0831039818923375E-2</c:v>
                </c:pt>
                <c:pt idx="403">
                  <c:v>-4.981321279061493E-2</c:v>
                </c:pt>
                <c:pt idx="404">
                  <c:v>-4.9448548502293771E-2</c:v>
                </c:pt>
                <c:pt idx="405">
                  <c:v>-4.959238066062166E-2</c:v>
                </c:pt>
                <c:pt idx="406">
                  <c:v>-4.9501400675458197E-2</c:v>
                </c:pt>
                <c:pt idx="407">
                  <c:v>-4.8690981296373247E-2</c:v>
                </c:pt>
                <c:pt idx="408">
                  <c:v>-4.9846867076946487E-2</c:v>
                </c:pt>
                <c:pt idx="409">
                  <c:v>-5.0497438108927394E-2</c:v>
                </c:pt>
                <c:pt idx="410">
                  <c:v>-5.0508165959167399E-2</c:v>
                </c:pt>
                <c:pt idx="411">
                  <c:v>-5.0231022610433766E-2</c:v>
                </c:pt>
                <c:pt idx="412">
                  <c:v>-5.0288364706433768E-2</c:v>
                </c:pt>
                <c:pt idx="413">
                  <c:v>-4.9915368397932855E-2</c:v>
                </c:pt>
                <c:pt idx="414">
                  <c:v>-5.0025120322212686E-2</c:v>
                </c:pt>
                <c:pt idx="415">
                  <c:v>-4.8360720433156097E-2</c:v>
                </c:pt>
                <c:pt idx="416">
                  <c:v>-4.6486188233859943E-2</c:v>
                </c:pt>
                <c:pt idx="417">
                  <c:v>-4.6237198526612087E-2</c:v>
                </c:pt>
                <c:pt idx="418">
                  <c:v>-4.6719453878586531E-2</c:v>
                </c:pt>
                <c:pt idx="419">
                  <c:v>-4.7544480278586522E-2</c:v>
                </c:pt>
                <c:pt idx="420">
                  <c:v>-4.6313447621399974E-2</c:v>
                </c:pt>
                <c:pt idx="421">
                  <c:v>-4.5721758442337682E-2</c:v>
                </c:pt>
                <c:pt idx="422">
                  <c:v>-4.710516300910178E-2</c:v>
                </c:pt>
                <c:pt idx="423">
                  <c:v>-4.5576120608532986E-2</c:v>
                </c:pt>
                <c:pt idx="424">
                  <c:v>-4.7510520433881522E-2</c:v>
                </c:pt>
                <c:pt idx="425">
                  <c:v>-4.8055318750756894E-2</c:v>
                </c:pt>
                <c:pt idx="426">
                  <c:v>-4.8751123423367113E-2</c:v>
                </c:pt>
                <c:pt idx="427">
                  <c:v>-4.7724623942814043E-2</c:v>
                </c:pt>
                <c:pt idx="428">
                  <c:v>-4.5958487623630154E-2</c:v>
                </c:pt>
                <c:pt idx="429">
                  <c:v>-4.3904289297395066E-2</c:v>
                </c:pt>
                <c:pt idx="430">
                  <c:v>-4.1643096596921884E-2</c:v>
                </c:pt>
                <c:pt idx="431">
                  <c:v>-4.0535752599893303E-2</c:v>
                </c:pt>
                <c:pt idx="432">
                  <c:v>-4.1295843598942103E-2</c:v>
                </c:pt>
                <c:pt idx="433">
                  <c:v>-4.4675924497430228E-2</c:v>
                </c:pt>
                <c:pt idx="434">
                  <c:v>-4.4102059517140704E-2</c:v>
                </c:pt>
                <c:pt idx="435">
                  <c:v>-4.3585422408695312E-2</c:v>
                </c:pt>
                <c:pt idx="436">
                  <c:v>-4.1241474800431811E-2</c:v>
                </c:pt>
                <c:pt idx="437">
                  <c:v>-4.2779975350611746E-2</c:v>
                </c:pt>
                <c:pt idx="438">
                  <c:v>-4.3267988415460222E-2</c:v>
                </c:pt>
                <c:pt idx="439">
                  <c:v>-4.2809728456277514E-2</c:v>
                </c:pt>
                <c:pt idx="440">
                  <c:v>-4.2438184776277518E-2</c:v>
                </c:pt>
                <c:pt idx="441">
                  <c:v>-4.354119841259569E-2</c:v>
                </c:pt>
                <c:pt idx="442">
                  <c:v>-4.0040703491389405E-2</c:v>
                </c:pt>
                <c:pt idx="443">
                  <c:v>-4.1626348346529105E-2</c:v>
                </c:pt>
                <c:pt idx="444">
                  <c:v>-4.1011338564524331E-2</c:v>
                </c:pt>
                <c:pt idx="445">
                  <c:v>-4.1511073074984577E-2</c:v>
                </c:pt>
                <c:pt idx="446">
                  <c:v>-4.2484902000247737E-2</c:v>
                </c:pt>
                <c:pt idx="447">
                  <c:v>-3.9715908427093896E-2</c:v>
                </c:pt>
                <c:pt idx="448">
                  <c:v>-4.0417160903109872E-2</c:v>
                </c:pt>
                <c:pt idx="449">
                  <c:v>-4.1438876390506869E-2</c:v>
                </c:pt>
                <c:pt idx="450">
                  <c:v>-4.1532545246876447E-2</c:v>
                </c:pt>
                <c:pt idx="451">
                  <c:v>-4.0994921874714062E-2</c:v>
                </c:pt>
                <c:pt idx="452">
                  <c:v>-4.0917079124148499E-2</c:v>
                </c:pt>
                <c:pt idx="453">
                  <c:v>-4.0580576580023987E-2</c:v>
                </c:pt>
                <c:pt idx="454">
                  <c:v>-4.0732032151564165E-2</c:v>
                </c:pt>
                <c:pt idx="455">
                  <c:v>-4.2416231868189103E-2</c:v>
                </c:pt>
                <c:pt idx="456">
                  <c:v>-4.1006456508728778E-2</c:v>
                </c:pt>
                <c:pt idx="457">
                  <c:v>-3.8250689068553057E-2</c:v>
                </c:pt>
                <c:pt idx="458">
                  <c:v>-3.8239281570631577E-2</c:v>
                </c:pt>
                <c:pt idx="459">
                  <c:v>-3.7713433826099645E-2</c:v>
                </c:pt>
                <c:pt idx="460">
                  <c:v>-3.7045701819291607E-2</c:v>
                </c:pt>
                <c:pt idx="461">
                  <c:v>-3.7119143865945531E-2</c:v>
                </c:pt>
                <c:pt idx="462">
                  <c:v>-3.8067192990853503E-2</c:v>
                </c:pt>
                <c:pt idx="463">
                  <c:v>-3.8928866590230725E-2</c:v>
                </c:pt>
                <c:pt idx="464">
                  <c:v>-3.9164673496556342E-2</c:v>
                </c:pt>
                <c:pt idx="465">
                  <c:v>-3.822591489655635E-2</c:v>
                </c:pt>
                <c:pt idx="466">
                  <c:v>-3.7783134733613562E-2</c:v>
                </c:pt>
                <c:pt idx="467">
                  <c:v>-3.7740193639036419E-2</c:v>
                </c:pt>
                <c:pt idx="468">
                  <c:v>-3.782637667187224E-2</c:v>
                </c:pt>
                <c:pt idx="469">
                  <c:v>-3.671961862703426E-2</c:v>
                </c:pt>
                <c:pt idx="470">
                  <c:v>-3.6489088372834169E-2</c:v>
                </c:pt>
                <c:pt idx="471">
                  <c:v>-3.5933903886259874E-2</c:v>
                </c:pt>
                <c:pt idx="472">
                  <c:v>-3.5584735842946726E-2</c:v>
                </c:pt>
                <c:pt idx="473">
                  <c:v>-3.5431762037915274E-2</c:v>
                </c:pt>
                <c:pt idx="474">
                  <c:v>-3.6566055115094628E-2</c:v>
                </c:pt>
                <c:pt idx="475">
                  <c:v>-3.5684214046173127E-2</c:v>
                </c:pt>
                <c:pt idx="476">
                  <c:v>-3.6577339598091861E-2</c:v>
                </c:pt>
                <c:pt idx="477">
                  <c:v>-3.7476305120180062E-2</c:v>
                </c:pt>
                <c:pt idx="478">
                  <c:v>-3.8093156125785156E-2</c:v>
                </c:pt>
                <c:pt idx="479">
                  <c:v>-3.7350092031237146E-2</c:v>
                </c:pt>
                <c:pt idx="480">
                  <c:v>-3.7478192023158004E-2</c:v>
                </c:pt>
                <c:pt idx="481">
                  <c:v>-3.7619563839917783E-2</c:v>
                </c:pt>
                <c:pt idx="482">
                  <c:v>-3.6768069295109812E-2</c:v>
                </c:pt>
                <c:pt idx="483">
                  <c:v>-3.6344407440774558E-2</c:v>
                </c:pt>
                <c:pt idx="484">
                  <c:v>-3.8939006323870602E-2</c:v>
                </c:pt>
                <c:pt idx="485">
                  <c:v>-4.1837966683848309E-2</c:v>
                </c:pt>
                <c:pt idx="486">
                  <c:v>-4.5743536510987476E-2</c:v>
                </c:pt>
                <c:pt idx="487">
                  <c:v>-4.3505685359527167E-2</c:v>
                </c:pt>
                <c:pt idx="488">
                  <c:v>-4.0839082749403073E-2</c:v>
                </c:pt>
                <c:pt idx="489">
                  <c:v>-3.9650057823589921E-2</c:v>
                </c:pt>
                <c:pt idx="490">
                  <c:v>-4.5199178698575995E-2</c:v>
                </c:pt>
                <c:pt idx="491">
                  <c:v>-5.0650085484689342E-2</c:v>
                </c:pt>
                <c:pt idx="492">
                  <c:v>-4.7824264889271564E-2</c:v>
                </c:pt>
                <c:pt idx="493">
                  <c:v>-5.9072127957446485E-2</c:v>
                </c:pt>
                <c:pt idx="494">
                  <c:v>-5.110412614727295E-2</c:v>
                </c:pt>
                <c:pt idx="495">
                  <c:v>-4.6074138755046283E-2</c:v>
                </c:pt>
                <c:pt idx="496">
                  <c:v>-4.725761381127757E-2</c:v>
                </c:pt>
                <c:pt idx="497">
                  <c:v>-4.4531079973072027E-2</c:v>
                </c:pt>
                <c:pt idx="498">
                  <c:v>-4.0957029883944049E-2</c:v>
                </c:pt>
                <c:pt idx="499">
                  <c:v>-4.2207266366762398E-2</c:v>
                </c:pt>
                <c:pt idx="500">
                  <c:v>-2.9810402358310301E-2</c:v>
                </c:pt>
                <c:pt idx="501">
                  <c:v>-3.2500381136919922E-2</c:v>
                </c:pt>
                <c:pt idx="502">
                  <c:v>-3.2990539178822394E-2</c:v>
                </c:pt>
                <c:pt idx="503">
                  <c:v>-3.6286299597411704E-2</c:v>
                </c:pt>
                <c:pt idx="504">
                  <c:v>-3.7828390929036886E-2</c:v>
                </c:pt>
                <c:pt idx="505">
                  <c:v>-4.0064333629536535E-2</c:v>
                </c:pt>
                <c:pt idx="506">
                  <c:v>-4.5012645400841232E-2</c:v>
                </c:pt>
                <c:pt idx="507">
                  <c:v>-4.3229758952039517E-2</c:v>
                </c:pt>
                <c:pt idx="508">
                  <c:v>-4.37088196074275E-2</c:v>
                </c:pt>
                <c:pt idx="509">
                  <c:v>-4.5331951680550542E-2</c:v>
                </c:pt>
                <c:pt idx="510">
                  <c:v>-4.1366930358797634E-2</c:v>
                </c:pt>
                <c:pt idx="511">
                  <c:v>-4.4629554998134008E-2</c:v>
                </c:pt>
                <c:pt idx="512">
                  <c:v>-3.5115989098134001E-2</c:v>
                </c:pt>
                <c:pt idx="513">
                  <c:v>-3.1439453493225189E-2</c:v>
                </c:pt>
                <c:pt idx="514">
                  <c:v>-2.6234090864300685E-2</c:v>
                </c:pt>
                <c:pt idx="515">
                  <c:v>-2.271041717069653E-2</c:v>
                </c:pt>
                <c:pt idx="516">
                  <c:v>-3.2979918841216448E-2</c:v>
                </c:pt>
                <c:pt idx="517">
                  <c:v>-2.8104621234290531E-2</c:v>
                </c:pt>
                <c:pt idx="518">
                  <c:v>-2.9098981012068318E-2</c:v>
                </c:pt>
                <c:pt idx="519">
                  <c:v>-2.2244231463382245E-2</c:v>
                </c:pt>
                <c:pt idx="520">
                  <c:v>-3.2643560651742634E-2</c:v>
                </c:pt>
                <c:pt idx="521">
                  <c:v>-3.9003367188722673E-2</c:v>
                </c:pt>
                <c:pt idx="522">
                  <c:v>-4.2398225007745045E-2</c:v>
                </c:pt>
                <c:pt idx="523">
                  <c:v>-5.0213527201490422E-2</c:v>
                </c:pt>
                <c:pt idx="524">
                  <c:v>-5.4791062255593506E-2</c:v>
                </c:pt>
                <c:pt idx="525">
                  <c:v>-5.218534527107159E-2</c:v>
                </c:pt>
                <c:pt idx="526">
                  <c:v>-5.3891100059730149E-2</c:v>
                </c:pt>
                <c:pt idx="527">
                  <c:v>-5.1003772120428996E-2</c:v>
                </c:pt>
                <c:pt idx="528">
                  <c:v>-4.4791647405335026E-2</c:v>
                </c:pt>
                <c:pt idx="529">
                  <c:v>-4.9151035501184784E-2</c:v>
                </c:pt>
                <c:pt idx="530">
                  <c:v>-4.8650514340744785E-2</c:v>
                </c:pt>
                <c:pt idx="531">
                  <c:v>-4.7484989461315366E-2</c:v>
                </c:pt>
                <c:pt idx="532">
                  <c:v>-3.97377017210356E-2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58-4E1C-92C6-4E5A44AEC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3013007"/>
        <c:axId val="783011343"/>
      </c:lineChart>
      <c:dateAx>
        <c:axId val="7830130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011343"/>
        <c:crosses val="autoZero"/>
        <c:auto val="1"/>
        <c:lblOffset val="100"/>
        <c:baseTimeUnit val="days"/>
      </c:dateAx>
      <c:valAx>
        <c:axId val="78301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013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55A8EE-FD72-41C4-9221-4D46197B5CC1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45C657-641D-490C-89CB-5186B15FC66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43</v>
      </c>
      <c r="D2" s="4">
        <f>MIN(D3:D1912)</f>
        <v>2.6082999999999998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4.9269999999999996</v>
      </c>
      <c r="C5">
        <v>4.9829999999999997</v>
      </c>
      <c r="D5">
        <v>4.6840000000000002</v>
      </c>
      <c r="E5">
        <v>4.7009999999999996</v>
      </c>
      <c r="F5">
        <v>258325.5</v>
      </c>
      <c r="G5">
        <v>4.7009999999999996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-0.88628762541806361</v>
      </c>
      <c r="Q5">
        <f t="shared" ref="Q5" si="1">F5*P5</f>
        <v>-228950.693979934</v>
      </c>
      <c r="R5">
        <f t="shared" ref="R5" si="2">R6+Q5</f>
        <v>-72152367.243371114</v>
      </c>
      <c r="S5">
        <f t="shared" ref="S5" si="3">R5/100000</f>
        <v>-721.52367243371111</v>
      </c>
      <c r="T5">
        <f t="shared" ref="T5" si="4">S5/1000</f>
        <v>-0.72152367243371107</v>
      </c>
    </row>
    <row r="6" spans="1:20" x14ac:dyDescent="0.25">
      <c r="A6" s="5">
        <v>44587</v>
      </c>
      <c r="B6">
        <v>5.0650000000000004</v>
      </c>
      <c r="C6">
        <v>5.4989999999999997</v>
      </c>
      <c r="D6">
        <v>4.7709999999999999</v>
      </c>
      <c r="E6">
        <v>4.9219999999999997</v>
      </c>
      <c r="F6">
        <v>4150972.8</v>
      </c>
      <c r="G6">
        <v>4.9219999999999997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-0.58516483516483553</v>
      </c>
      <c r="Q6">
        <f t="shared" ref="Q6" si="6">F6*P6</f>
        <v>-2429003.3142857156</v>
      </c>
      <c r="R6">
        <f t="shared" ref="R6" si="7">R7+Q6</f>
        <v>-71923416.54939118</v>
      </c>
      <c r="S6">
        <f t="shared" ref="S6" si="8">R6/100000</f>
        <v>-719.23416549391175</v>
      </c>
      <c r="T6">
        <f t="shared" ref="T6" si="9">S6/1000</f>
        <v>-0.71923416549391173</v>
      </c>
    </row>
    <row r="7" spans="1:20" x14ac:dyDescent="0.25">
      <c r="A7" s="5">
        <v>44586</v>
      </c>
      <c r="B7">
        <v>5.2789999999999999</v>
      </c>
      <c r="C7">
        <v>5.5</v>
      </c>
      <c r="D7">
        <v>4.8719999999999999</v>
      </c>
      <c r="E7">
        <v>5.0650000000000004</v>
      </c>
      <c r="F7">
        <v>4232996.3</v>
      </c>
      <c r="G7">
        <v>5.0650000000000004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-0.38535031847133611</v>
      </c>
      <c r="Q7">
        <f t="shared" ref="Q7" si="11">F7*P7</f>
        <v>-1631186.4722929874</v>
      </c>
      <c r="R7">
        <f t="shared" ref="R7" si="12">R8+Q7</f>
        <v>-69494413.23510547</v>
      </c>
      <c r="S7">
        <f t="shared" ref="S7" si="13">R7/100000</f>
        <v>-694.94413235105469</v>
      </c>
      <c r="T7">
        <f t="shared" ref="T7" si="14">S7/1000</f>
        <v>-0.69494413235105468</v>
      </c>
    </row>
    <row r="8" spans="1:20" x14ac:dyDescent="0.25">
      <c r="A8" s="5">
        <v>44585</v>
      </c>
      <c r="B8">
        <v>4.7160000000000002</v>
      </c>
      <c r="C8">
        <v>5.375</v>
      </c>
      <c r="D8">
        <v>3.9580000000000002</v>
      </c>
      <c r="E8">
        <v>5.2750000000000004</v>
      </c>
      <c r="F8">
        <v>7070552.0999999996</v>
      </c>
      <c r="G8">
        <v>5.2750000000000004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0.85885673959068498</v>
      </c>
      <c r="Q8">
        <f t="shared" ref="Q8" si="16">F8*P8</f>
        <v>6072591.3237120705</v>
      </c>
      <c r="R8">
        <f t="shared" ref="R8" si="17">R9+Q8</f>
        <v>-67863226.76281248</v>
      </c>
      <c r="S8">
        <f t="shared" ref="S8" si="18">R8/100000</f>
        <v>-678.63226762812485</v>
      </c>
      <c r="T8">
        <f t="shared" ref="T8" si="19">S8/1000</f>
        <v>-0.6786322676281249</v>
      </c>
    </row>
    <row r="9" spans="1:20" x14ac:dyDescent="0.25">
      <c r="A9" s="5">
        <v>44584</v>
      </c>
      <c r="B9">
        <v>4.4960000000000004</v>
      </c>
      <c r="C9">
        <v>4.8410000000000002</v>
      </c>
      <c r="D9">
        <v>4.3</v>
      </c>
      <c r="E9">
        <v>4.7169999999999996</v>
      </c>
      <c r="F9">
        <v>2778562.4</v>
      </c>
      <c r="G9">
        <v>4.7169999999999996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0.54158964879851956</v>
      </c>
      <c r="Q9">
        <f t="shared" ref="Q9" si="21">F9*P9</f>
        <v>1504840.6343807715</v>
      </c>
      <c r="R9">
        <f t="shared" ref="R9" si="22">R10+Q9</f>
        <v>-73935818.086524546</v>
      </c>
      <c r="S9">
        <f t="shared" ref="S9" si="23">R9/100000</f>
        <v>-739.35818086524546</v>
      </c>
      <c r="T9">
        <f t="shared" ref="T9" si="24">S9/1000</f>
        <v>-0.73935818086524541</v>
      </c>
    </row>
    <row r="10" spans="1:20" x14ac:dyDescent="0.25">
      <c r="A10" s="5">
        <v>44583</v>
      </c>
      <c r="B10">
        <v>5.2969999999999997</v>
      </c>
      <c r="C10">
        <v>5.3730000000000002</v>
      </c>
      <c r="D10">
        <v>4</v>
      </c>
      <c r="E10">
        <v>4.4950000000000001</v>
      </c>
      <c r="F10">
        <v>4897109.4000000004</v>
      </c>
      <c r="G10">
        <v>4.4950000000000001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-0.27895120174799704</v>
      </c>
      <c r="Q10">
        <f t="shared" ref="Q10" si="26">F10*P10</f>
        <v>-1366054.5522214128</v>
      </c>
      <c r="R10">
        <f t="shared" ref="R10" si="27">R11+Q10</f>
        <v>-75440658.720905319</v>
      </c>
      <c r="S10">
        <f t="shared" ref="S10" si="28">R10/100000</f>
        <v>-754.40658720905321</v>
      </c>
      <c r="T10">
        <f t="shared" ref="T10" si="29">S10/1000</f>
        <v>-0.75440658720905318</v>
      </c>
    </row>
    <row r="11" spans="1:20" x14ac:dyDescent="0.25">
      <c r="A11" s="5">
        <v>44582</v>
      </c>
      <c r="B11">
        <v>6.694</v>
      </c>
      <c r="C11">
        <v>6.7489999999999997</v>
      </c>
      <c r="D11">
        <v>5.0229999999999997</v>
      </c>
      <c r="E11">
        <v>5.2910000000000004</v>
      </c>
      <c r="F11">
        <v>6843172.2999999998</v>
      </c>
      <c r="G11">
        <v>5.2910000000000004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-0.68945538818076402</v>
      </c>
      <c r="Q11">
        <f t="shared" ref="Q11" si="31">F11*P11</f>
        <v>-4718062.0144843515</v>
      </c>
      <c r="R11">
        <f t="shared" ref="R11" si="32">R12+Q11</f>
        <v>-74074604.168683901</v>
      </c>
      <c r="S11">
        <f t="shared" ref="S11" si="33">R11/100000</f>
        <v>-740.74604168683902</v>
      </c>
      <c r="T11">
        <f t="shared" ref="T11" si="34">S11/1000</f>
        <v>-0.740746041686839</v>
      </c>
    </row>
    <row r="12" spans="1:20" x14ac:dyDescent="0.25">
      <c r="A12" s="5">
        <v>44581</v>
      </c>
      <c r="B12">
        <v>6.6319999999999997</v>
      </c>
      <c r="C12">
        <v>7.4870000000000001</v>
      </c>
      <c r="D12">
        <v>6.532</v>
      </c>
      <c r="E12">
        <v>6.702</v>
      </c>
      <c r="F12">
        <v>2967568.3</v>
      </c>
      <c r="G12">
        <v>6.702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-0.64397905759162322</v>
      </c>
      <c r="Q12">
        <f t="shared" ref="Q12" si="36">F12*P12</f>
        <v>-1911051.8371727753</v>
      </c>
      <c r="R12">
        <f t="shared" ref="R12" si="37">R13+Q12</f>
        <v>-69356542.154199556</v>
      </c>
      <c r="S12">
        <f t="shared" ref="S12" si="38">R12/100000</f>
        <v>-693.56542154199553</v>
      </c>
      <c r="T12">
        <f t="shared" ref="T12" si="39">S12/1000</f>
        <v>-0.69356542154199552</v>
      </c>
    </row>
    <row r="13" spans="1:20" x14ac:dyDescent="0.25">
      <c r="A13" s="5">
        <v>44580</v>
      </c>
      <c r="B13">
        <v>7.3490000000000002</v>
      </c>
      <c r="C13">
        <v>7.51</v>
      </c>
      <c r="D13">
        <v>6.6070000000000002</v>
      </c>
      <c r="E13">
        <v>6.6319999999999997</v>
      </c>
      <c r="F13">
        <v>2503239.1</v>
      </c>
      <c r="G13">
        <v>6.6319999999999997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-0.94462901439645741</v>
      </c>
      <c r="Q13">
        <f t="shared" ref="Q13" si="41">F13*P13</f>
        <v>-2364632.2838316751</v>
      </c>
      <c r="R13">
        <f t="shared" ref="R13" si="42">R14+Q13</f>
        <v>-67445490.317026779</v>
      </c>
      <c r="S13">
        <f t="shared" ref="S13" si="43">R13/100000</f>
        <v>-674.45490317026781</v>
      </c>
      <c r="T13">
        <f t="shared" ref="T13" si="44">S13/1000</f>
        <v>-0.67445490317026779</v>
      </c>
    </row>
    <row r="14" spans="1:20" x14ac:dyDescent="0.25">
      <c r="A14" s="5">
        <v>44579</v>
      </c>
      <c r="B14">
        <v>7.444</v>
      </c>
      <c r="C14">
        <v>8.07</v>
      </c>
      <c r="D14">
        <v>7.0609999999999999</v>
      </c>
      <c r="E14">
        <v>7.3330000000000002</v>
      </c>
      <c r="F14">
        <v>3732525.8</v>
      </c>
      <c r="G14">
        <v>7.3330000000000002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-0.46085232903865181</v>
      </c>
      <c r="Q14">
        <f t="shared" ref="Q14" si="46">F14*P14</f>
        <v>-1720143.2081268569</v>
      </c>
      <c r="R14">
        <f t="shared" ref="R14" si="47">R15+Q14</f>
        <v>-65080858.033195108</v>
      </c>
      <c r="S14">
        <f t="shared" ref="S14" si="48">R14/100000</f>
        <v>-650.80858033195113</v>
      </c>
      <c r="T14">
        <f t="shared" ref="T14" si="49">S14/1000</f>
        <v>-0.6508085803319511</v>
      </c>
    </row>
    <row r="15" spans="1:20" x14ac:dyDescent="0.25">
      <c r="A15" s="5">
        <v>44578</v>
      </c>
      <c r="B15">
        <v>8.0619999999999994</v>
      </c>
      <c r="C15">
        <v>8.1370000000000005</v>
      </c>
      <c r="D15">
        <v>7.2030000000000003</v>
      </c>
      <c r="E15">
        <v>7.4480000000000004</v>
      </c>
      <c r="F15">
        <v>3223124.3</v>
      </c>
      <c r="G15">
        <v>7.4480000000000004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-0.47537473233404698</v>
      </c>
      <c r="Q15">
        <f t="shared" ref="Q15" si="51">F15*P15</f>
        <v>-1532191.8513918624</v>
      </c>
      <c r="R15">
        <f t="shared" ref="R15" si="52">R16+Q15</f>
        <v>-63360714.82506825</v>
      </c>
      <c r="S15">
        <f t="shared" ref="S15" si="53">R15/100000</f>
        <v>-633.60714825068249</v>
      </c>
      <c r="T15">
        <f t="shared" ref="T15" si="54">S15/1000</f>
        <v>-0.63360714825068254</v>
      </c>
    </row>
    <row r="16" spans="1:20" x14ac:dyDescent="0.25">
      <c r="A16" s="5">
        <v>44577</v>
      </c>
      <c r="B16">
        <v>8.2219999999999995</v>
      </c>
      <c r="C16">
        <v>8.3829999999999991</v>
      </c>
      <c r="D16">
        <v>7.8520000000000003</v>
      </c>
      <c r="E16">
        <v>8.0649999999999995</v>
      </c>
      <c r="F16">
        <v>1831017</v>
      </c>
      <c r="G16">
        <v>8.0649999999999995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-0.19774011299435154</v>
      </c>
      <c r="Q16">
        <f t="shared" ref="Q16" si="56">F16*P16</f>
        <v>-362065.50847457856</v>
      </c>
      <c r="R16">
        <f t="shared" ref="R16" si="57">R17+Q16</f>
        <v>-61828522.973676391</v>
      </c>
      <c r="S16">
        <f t="shared" ref="S16" si="58">R16/100000</f>
        <v>-618.28522973676388</v>
      </c>
      <c r="T16">
        <f t="shared" ref="T16" si="59">S16/1000</f>
        <v>-0.61828522973676392</v>
      </c>
    </row>
    <row r="17" spans="1:20" x14ac:dyDescent="0.25">
      <c r="A17" s="5">
        <v>44576</v>
      </c>
      <c r="B17">
        <v>8.42</v>
      </c>
      <c r="C17">
        <v>8.6639999999999997</v>
      </c>
      <c r="D17">
        <v>8.1720000000000006</v>
      </c>
      <c r="E17">
        <v>8.2270000000000003</v>
      </c>
      <c r="F17">
        <v>1436841.7</v>
      </c>
      <c r="G17">
        <v>8.2270000000000003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-0.776422764227643</v>
      </c>
      <c r="Q17">
        <f t="shared" ref="Q17" si="61">F17*P17</f>
        <v>-1115596.6044715457</v>
      </c>
      <c r="R17">
        <f t="shared" ref="R17" si="62">R18+Q17</f>
        <v>-61466457.46520181</v>
      </c>
      <c r="S17">
        <f t="shared" ref="S17" si="63">R17/100000</f>
        <v>-614.66457465201813</v>
      </c>
      <c r="T17">
        <f t="shared" ref="T17" si="64">S17/1000</f>
        <v>-0.61466457465201818</v>
      </c>
    </row>
    <row r="18" spans="1:20" x14ac:dyDescent="0.25">
      <c r="A18" s="5">
        <v>44575</v>
      </c>
      <c r="B18">
        <v>8.4909999999999997</v>
      </c>
      <c r="C18">
        <v>8.8780000000000001</v>
      </c>
      <c r="D18">
        <v>8.1219999999999999</v>
      </c>
      <c r="E18">
        <v>8.4169999999999998</v>
      </c>
      <c r="F18">
        <v>2570288.6</v>
      </c>
      <c r="G18">
        <v>8.4169999999999998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-0.21957671957672001</v>
      </c>
      <c r="Q18">
        <f t="shared" ref="Q18" si="66">F18*P18</f>
        <v>-564375.53915344027</v>
      </c>
      <c r="R18">
        <f t="shared" ref="R18" si="67">R19+Q18</f>
        <v>-60350860.860730261</v>
      </c>
      <c r="S18">
        <f t="shared" ref="S18" si="68">R18/100000</f>
        <v>-603.50860860730256</v>
      </c>
      <c r="T18">
        <f t="shared" ref="T18" si="69">S18/1000</f>
        <v>-0.6035086086073026</v>
      </c>
    </row>
    <row r="19" spans="1:20" x14ac:dyDescent="0.25">
      <c r="A19" s="5">
        <v>44574</v>
      </c>
      <c r="B19">
        <v>9.4499999999999993</v>
      </c>
      <c r="C19">
        <v>9.5399999999999991</v>
      </c>
      <c r="D19">
        <v>8.3510000000000009</v>
      </c>
      <c r="E19">
        <v>8.4860000000000007</v>
      </c>
      <c r="F19">
        <v>3982178.1</v>
      </c>
      <c r="G19">
        <v>8.4860000000000007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-0.77291841883936085</v>
      </c>
      <c r="Q19">
        <f t="shared" ref="Q19" si="71">F19*P19</f>
        <v>-3077898.8005887303</v>
      </c>
      <c r="R19">
        <f t="shared" ref="R19" si="72">R20+Q19</f>
        <v>-59786485.321576819</v>
      </c>
      <c r="S19">
        <f t="shared" ref="S19" si="73">R19/100000</f>
        <v>-597.86485321576822</v>
      </c>
      <c r="T19">
        <f t="shared" ref="T19" si="74">S19/1000</f>
        <v>-0.59786485321576821</v>
      </c>
    </row>
    <row r="20" spans="1:20" x14ac:dyDescent="0.25">
      <c r="A20" s="5">
        <v>44573</v>
      </c>
      <c r="B20">
        <v>8.2970000000000006</v>
      </c>
      <c r="C20">
        <v>9.6950000000000003</v>
      </c>
      <c r="D20">
        <v>8.0760000000000005</v>
      </c>
      <c r="E20">
        <v>9.4390000000000001</v>
      </c>
      <c r="F20">
        <v>4181295.8</v>
      </c>
      <c r="G20">
        <v>9.4390000000000001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0.68375540457072237</v>
      </c>
      <c r="Q20">
        <f t="shared" ref="Q20" si="76">F20*P20</f>
        <v>2858983.6013588621</v>
      </c>
      <c r="R20">
        <f t="shared" ref="R20" si="77">R21+Q20</f>
        <v>-56708586.520988092</v>
      </c>
      <c r="S20">
        <f t="shared" ref="S20" si="78">R20/100000</f>
        <v>-567.08586520988092</v>
      </c>
      <c r="T20">
        <f t="shared" ref="T20" si="79">S20/1000</f>
        <v>-0.56708586520988091</v>
      </c>
    </row>
    <row r="21" spans="1:20" x14ac:dyDescent="0.25">
      <c r="A21" s="5">
        <v>44572</v>
      </c>
      <c r="B21">
        <v>7.44</v>
      </c>
      <c r="C21">
        <v>8.4390000000000001</v>
      </c>
      <c r="D21">
        <v>7.2009999999999996</v>
      </c>
      <c r="E21">
        <v>8.3000000000000007</v>
      </c>
      <c r="F21">
        <v>4203068.3</v>
      </c>
      <c r="G21">
        <v>8.3000000000000007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0.77544426494345831</v>
      </c>
      <c r="Q21">
        <f t="shared" ref="Q21" si="81">F21*P21</f>
        <v>3259245.2084006509</v>
      </c>
      <c r="R21">
        <f t="shared" ref="R21" si="82">R22+Q21</f>
        <v>-59567570.122346953</v>
      </c>
      <c r="S21">
        <f t="shared" ref="S21" si="83">R21/100000</f>
        <v>-595.67570122346956</v>
      </c>
      <c r="T21">
        <f t="shared" ref="T21" si="84">S21/1000</f>
        <v>-0.59567570122346958</v>
      </c>
    </row>
    <row r="22" spans="1:20" x14ac:dyDescent="0.25">
      <c r="A22" s="5">
        <v>44571</v>
      </c>
      <c r="B22">
        <v>8.2140000000000004</v>
      </c>
      <c r="C22">
        <v>8.2219999999999995</v>
      </c>
      <c r="D22">
        <v>6.93</v>
      </c>
      <c r="E22">
        <v>7.4450000000000003</v>
      </c>
      <c r="F22">
        <v>3804849.9</v>
      </c>
      <c r="G22">
        <v>7.4450000000000003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-0.20278637770897734</v>
      </c>
      <c r="Q22">
        <f t="shared" ref="Q22" si="86">F22*P22</f>
        <v>-771571.72894736461</v>
      </c>
      <c r="R22">
        <f t="shared" ref="R22" si="87">R23+Q22</f>
        <v>-62826815.330747604</v>
      </c>
      <c r="S22">
        <f t="shared" ref="S22" si="88">R22/100000</f>
        <v>-628.26815330747604</v>
      </c>
      <c r="T22">
        <f t="shared" ref="T22" si="89">S22/1000</f>
        <v>-0.6282681533074761</v>
      </c>
    </row>
    <row r="23" spans="1:20" x14ac:dyDescent="0.25">
      <c r="A23" s="5">
        <v>44570</v>
      </c>
      <c r="B23">
        <v>8.0739999999999998</v>
      </c>
      <c r="C23">
        <v>8.4309999999999992</v>
      </c>
      <c r="D23">
        <v>7.83</v>
      </c>
      <c r="E23">
        <v>8.2140000000000004</v>
      </c>
      <c r="F23">
        <v>5071968.4000000004</v>
      </c>
      <c r="G23">
        <v>8.2140000000000004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0.27787021630615949</v>
      </c>
      <c r="Q23">
        <f t="shared" ref="Q23" si="91">F23*P23</f>
        <v>1409348.9564060057</v>
      </c>
      <c r="R23">
        <f t="shared" ref="R23" si="92">R24+Q23</f>
        <v>-62055243.601800241</v>
      </c>
      <c r="S23">
        <f t="shared" ref="S23" si="93">R23/100000</f>
        <v>-620.55243601800237</v>
      </c>
      <c r="T23">
        <f t="shared" ref="T23" si="94">S23/1000</f>
        <v>-0.62055243601800236</v>
      </c>
    </row>
    <row r="24" spans="1:20" x14ac:dyDescent="0.25">
      <c r="A24" s="5">
        <v>44569</v>
      </c>
      <c r="B24">
        <v>9.31</v>
      </c>
      <c r="C24">
        <v>10.242000000000001</v>
      </c>
      <c r="D24">
        <v>7.7960000000000003</v>
      </c>
      <c r="E24">
        <v>8.077</v>
      </c>
      <c r="F24">
        <v>5364237.9000000004</v>
      </c>
      <c r="G24">
        <v>8.077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-0.77023712183156201</v>
      </c>
      <c r="Q24">
        <f t="shared" ref="Q24" si="96">F24*P24</f>
        <v>-4131735.1609157827</v>
      </c>
      <c r="R24">
        <f t="shared" ref="R24" si="97">R25+Q24</f>
        <v>-63464592.558206245</v>
      </c>
      <c r="S24">
        <f t="shared" ref="S24" si="98">R24/100000</f>
        <v>-634.64592558206243</v>
      </c>
      <c r="T24">
        <f t="shared" ref="T24" si="99">S24/1000</f>
        <v>-0.63464592558206245</v>
      </c>
    </row>
    <row r="25" spans="1:20" x14ac:dyDescent="0.25">
      <c r="A25" s="5">
        <v>44568</v>
      </c>
      <c r="B25">
        <v>10.842000000000001</v>
      </c>
      <c r="C25">
        <v>11.022</v>
      </c>
      <c r="D25">
        <v>9.1</v>
      </c>
      <c r="E25">
        <v>9.3070000000000004</v>
      </c>
      <c r="F25">
        <v>4925990.4000000004</v>
      </c>
      <c r="G25">
        <v>9.3070000000000004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-0.78459937565036353</v>
      </c>
      <c r="Q25">
        <f t="shared" ref="Q25" si="101">F25*P25</f>
        <v>-3864928.9922996848</v>
      </c>
      <c r="R25">
        <f t="shared" ref="R25" si="102">R26+Q25</f>
        <v>-59332857.397290461</v>
      </c>
      <c r="S25">
        <f t="shared" ref="S25" si="103">R25/100000</f>
        <v>-593.32857397290456</v>
      </c>
      <c r="T25">
        <f t="shared" ref="T25" si="104">S25/1000</f>
        <v>-0.59332857397290462</v>
      </c>
    </row>
    <row r="26" spans="1:20" x14ac:dyDescent="0.25">
      <c r="A26" s="5">
        <v>44567</v>
      </c>
      <c r="B26">
        <v>10.262</v>
      </c>
      <c r="C26">
        <v>11.819000000000001</v>
      </c>
      <c r="D26">
        <v>9.9870000000000001</v>
      </c>
      <c r="E26">
        <v>10.853</v>
      </c>
      <c r="F26">
        <v>6581810.7000000002</v>
      </c>
      <c r="G26">
        <v>10.853</v>
      </c>
      <c r="L26" t="s">
        <v>8</v>
      </c>
      <c r="M26" t="s">
        <v>8</v>
      </c>
      <c r="N26" t="s">
        <v>7</v>
      </c>
      <c r="P26">
        <f t="shared" ref="P26" si="105">IF(C26=D26,0,((E26-D26)-(C26-E26))/(C26-D26))</f>
        <v>-5.4585152838428699E-2</v>
      </c>
      <c r="Q26">
        <f t="shared" ref="Q26" si="106">F26*P26</f>
        <v>-359269.14301310538</v>
      </c>
      <c r="R26">
        <f t="shared" ref="R26" si="107">R27+Q26</f>
        <v>-55467928.404990777</v>
      </c>
      <c r="S26">
        <f t="shared" ref="S26" si="108">R26/100000</f>
        <v>-554.67928404990778</v>
      </c>
      <c r="T26">
        <f t="shared" ref="T26" si="109">S26/1000</f>
        <v>-0.55467928404990774</v>
      </c>
    </row>
    <row r="27" spans="1:20" x14ac:dyDescent="0.25">
      <c r="A27" s="5">
        <v>44566</v>
      </c>
      <c r="B27">
        <v>11.048</v>
      </c>
      <c r="C27">
        <v>11.727</v>
      </c>
      <c r="D27">
        <v>9.4</v>
      </c>
      <c r="E27">
        <v>10.253</v>
      </c>
      <c r="F27">
        <v>3644793.2</v>
      </c>
      <c r="G27">
        <v>10.253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-0.26686721100128941</v>
      </c>
      <c r="Q27">
        <f t="shared" ref="Q27" si="111">F27*P27</f>
        <v>-972675.79596046486</v>
      </c>
      <c r="R27">
        <f t="shared" ref="R27" si="112">R28+Q27</f>
        <v>-55108659.261977673</v>
      </c>
      <c r="S27">
        <f t="shared" ref="S27" si="113">R27/100000</f>
        <v>-551.08659261977675</v>
      </c>
      <c r="T27">
        <f t="shared" ref="T27" si="114">S27/1000</f>
        <v>-0.55108659261977677</v>
      </c>
    </row>
    <row r="28" spans="1:20" x14ac:dyDescent="0.25">
      <c r="A28" s="5">
        <v>44565</v>
      </c>
      <c r="B28">
        <v>11.962999999999999</v>
      </c>
      <c r="C28">
        <v>12.428000000000001</v>
      </c>
      <c r="D28">
        <v>10.989000000000001</v>
      </c>
      <c r="E28">
        <v>11.041</v>
      </c>
      <c r="F28">
        <v>2859071.5</v>
      </c>
      <c r="G28">
        <v>11.041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-0.92772758860319726</v>
      </c>
      <c r="Q28">
        <f t="shared" ref="Q28" si="116">F28*P28</f>
        <v>-2652439.5083391261</v>
      </c>
      <c r="R28">
        <f t="shared" ref="R28" si="117">R29+Q28</f>
        <v>-54135983.466017209</v>
      </c>
      <c r="S28">
        <f t="shared" ref="S28" si="118">R28/100000</f>
        <v>-541.35983466017206</v>
      </c>
      <c r="T28">
        <f t="shared" ref="T28" si="119">S28/1000</f>
        <v>-0.54135983466017201</v>
      </c>
    </row>
    <row r="29" spans="1:20" x14ac:dyDescent="0.25">
      <c r="A29" s="5">
        <v>44564</v>
      </c>
      <c r="B29">
        <v>13.05</v>
      </c>
      <c r="C29">
        <v>13.911</v>
      </c>
      <c r="D29">
        <v>11.6</v>
      </c>
      <c r="E29">
        <v>11.968</v>
      </c>
      <c r="F29">
        <v>5146252.8</v>
      </c>
      <c r="G29">
        <v>11.968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-0.68152315015144926</v>
      </c>
      <c r="Q29">
        <f t="shared" ref="Q29" si="121">F29*P29</f>
        <v>-3507290.4197317162</v>
      </c>
      <c r="R29">
        <f t="shared" ref="R29" si="122">R30+Q29</f>
        <v>-51483543.95767808</v>
      </c>
      <c r="S29">
        <f t="shared" ref="S29" si="123">R29/100000</f>
        <v>-514.8354395767808</v>
      </c>
      <c r="T29">
        <f t="shared" ref="T29" si="124">S29/1000</f>
        <v>-0.5148354395767808</v>
      </c>
    </row>
    <row r="30" spans="1:20" x14ac:dyDescent="0.25">
      <c r="A30" s="5">
        <v>44563</v>
      </c>
      <c r="B30">
        <v>13.074</v>
      </c>
      <c r="C30">
        <v>13.54</v>
      </c>
      <c r="D30">
        <v>12.363</v>
      </c>
      <c r="E30">
        <v>13.048</v>
      </c>
      <c r="F30">
        <v>2811492.4</v>
      </c>
      <c r="G30">
        <v>13.048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0.16397621070518389</v>
      </c>
      <c r="Q30">
        <f t="shared" ref="Q30" si="126">F30*P30</f>
        <v>461017.87017842312</v>
      </c>
      <c r="R30">
        <f t="shared" ref="R30" si="127">R31+Q30</f>
        <v>-47976253.537946366</v>
      </c>
      <c r="S30">
        <f t="shared" ref="S30" si="128">R30/100000</f>
        <v>-479.76253537946366</v>
      </c>
      <c r="T30">
        <f t="shared" ref="T30" si="129">S30/1000</f>
        <v>-0.47976253537946367</v>
      </c>
    </row>
    <row r="31" spans="1:20" x14ac:dyDescent="0.25">
      <c r="A31" s="5">
        <v>44562</v>
      </c>
      <c r="B31">
        <v>13.535</v>
      </c>
      <c r="C31">
        <v>14.292999999999999</v>
      </c>
      <c r="D31">
        <v>12.659000000000001</v>
      </c>
      <c r="E31">
        <v>13.079000000000001</v>
      </c>
      <c r="F31">
        <v>3851651.05</v>
      </c>
      <c r="G31">
        <v>13.079000000000001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-0.48592411260709878</v>
      </c>
      <c r="Q31">
        <f t="shared" ref="Q31" si="131">F31*P31</f>
        <v>-1871610.1185434503</v>
      </c>
      <c r="R31">
        <f t="shared" ref="R31" si="132">R32+Q31</f>
        <v>-48437271.40812479</v>
      </c>
      <c r="S31">
        <f t="shared" ref="S31" si="133">R31/100000</f>
        <v>-484.37271408124792</v>
      </c>
      <c r="T31">
        <f t="shared" ref="T31" si="134">S31/1000</f>
        <v>-0.48437271408124793</v>
      </c>
    </row>
    <row r="32" spans="1:20" x14ac:dyDescent="0.25">
      <c r="A32" s="5">
        <v>44561</v>
      </c>
      <c r="B32">
        <v>11.228</v>
      </c>
      <c r="C32">
        <v>14.13</v>
      </c>
      <c r="D32">
        <v>11.211</v>
      </c>
      <c r="E32">
        <v>13.541</v>
      </c>
      <c r="F32">
        <v>6845242.75</v>
      </c>
      <c r="G32">
        <v>13.541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0.59643713600548109</v>
      </c>
      <c r="Q32">
        <f t="shared" ref="Q32" si="136">F32*P32</f>
        <v>4082756.9810722833</v>
      </c>
      <c r="R32">
        <f t="shared" ref="R32" si="137">R33+Q32</f>
        <v>-46565661.289581336</v>
      </c>
      <c r="S32">
        <f t="shared" ref="S32" si="138">R32/100000</f>
        <v>-465.65661289581334</v>
      </c>
      <c r="T32">
        <f t="shared" ref="T32" si="139">S32/1000</f>
        <v>-0.46565661289581334</v>
      </c>
    </row>
    <row r="33" spans="1:20" x14ac:dyDescent="0.25">
      <c r="A33" s="5">
        <v>44560</v>
      </c>
      <c r="B33">
        <v>10.856</v>
      </c>
      <c r="C33">
        <v>12.664</v>
      </c>
      <c r="D33">
        <v>10.688000000000001</v>
      </c>
      <c r="E33">
        <v>11.239000000000001</v>
      </c>
      <c r="F33">
        <v>5108734.5999999996</v>
      </c>
      <c r="G33">
        <v>11.239000000000001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-0.4423076923076919</v>
      </c>
      <c r="Q33">
        <f t="shared" ref="Q33" si="141">F33*P33</f>
        <v>-2259632.6115384591</v>
      </c>
      <c r="R33">
        <f t="shared" ref="R33" si="142">R34+Q33</f>
        <v>-50648418.27065362</v>
      </c>
      <c r="S33">
        <f t="shared" ref="S33" si="143">R33/100000</f>
        <v>-506.48418270653622</v>
      </c>
      <c r="T33">
        <f t="shared" ref="T33" si="144">S33/1000</f>
        <v>-0.50648418270653617</v>
      </c>
    </row>
    <row r="34" spans="1:20" x14ac:dyDescent="0.25">
      <c r="A34" s="5">
        <v>44559</v>
      </c>
      <c r="B34">
        <v>12.218999999999999</v>
      </c>
      <c r="C34">
        <v>13.686999999999999</v>
      </c>
      <c r="D34">
        <v>10.702</v>
      </c>
      <c r="E34">
        <v>10.846</v>
      </c>
      <c r="F34">
        <v>9150811</v>
      </c>
      <c r="G34">
        <v>10.846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-0.90351758793969839</v>
      </c>
      <c r="Q34">
        <f t="shared" ref="Q34" si="146">F34*P34</f>
        <v>-8267918.682412059</v>
      </c>
      <c r="R34">
        <f t="shared" ref="R34" si="147">R35+Q34</f>
        <v>-48388785.659115158</v>
      </c>
      <c r="S34">
        <f t="shared" ref="S34" si="148">R34/100000</f>
        <v>-483.8878565911516</v>
      </c>
      <c r="T34">
        <f t="shared" ref="T34" si="149">S34/1000</f>
        <v>-0.48388785659115158</v>
      </c>
    </row>
    <row r="35" spans="1:20" x14ac:dyDescent="0.25">
      <c r="A35" s="5">
        <v>44558</v>
      </c>
      <c r="B35">
        <v>9.3490000000000002</v>
      </c>
      <c r="C35">
        <v>13.89</v>
      </c>
      <c r="D35">
        <v>8.9459999999999997</v>
      </c>
      <c r="E35">
        <v>12.238</v>
      </c>
      <c r="F35">
        <v>15358998.48</v>
      </c>
      <c r="G35">
        <v>12.238</v>
      </c>
      <c r="L35" t="s">
        <v>8</v>
      </c>
      <c r="M35" t="s">
        <v>7</v>
      </c>
      <c r="N35" t="s">
        <v>8</v>
      </c>
      <c r="P35">
        <f t="shared" ref="P35" si="150">IF(C35=D35,0,((E35-D35)-(C35-E35))/(C35-D35))</f>
        <v>0.33171521035598678</v>
      </c>
      <c r="Q35">
        <f t="shared" ref="Q35" si="151">F35*P35</f>
        <v>5094813.4116504816</v>
      </c>
      <c r="R35">
        <f t="shared" ref="R35" si="152">R36+Q35</f>
        <v>-40120866.9767031</v>
      </c>
      <c r="S35">
        <f t="shared" ref="S35" si="153">R35/100000</f>
        <v>-401.20866976703098</v>
      </c>
      <c r="T35">
        <f t="shared" ref="T35" si="154">S35/1000</f>
        <v>-0.40120866976703096</v>
      </c>
    </row>
    <row r="36" spans="1:20" x14ac:dyDescent="0.25">
      <c r="A36" s="5">
        <v>44557</v>
      </c>
      <c r="B36">
        <v>9.8379999999999992</v>
      </c>
      <c r="C36">
        <v>10.656000000000001</v>
      </c>
      <c r="D36">
        <v>9.3030000000000008</v>
      </c>
      <c r="E36">
        <v>9.35</v>
      </c>
      <c r="F36">
        <v>3469757.7</v>
      </c>
      <c r="G36">
        <v>9.35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-0.93052475979305416</v>
      </c>
      <c r="Q36">
        <f t="shared" ref="Q36" si="156">F36*P36</f>
        <v>-3228695.4503326002</v>
      </c>
      <c r="R36">
        <f t="shared" ref="R36" si="157">R37+Q36</f>
        <v>-45215680.388353579</v>
      </c>
      <c r="S36">
        <f t="shared" ref="S36" si="158">R36/100000</f>
        <v>-452.15680388353582</v>
      </c>
      <c r="T36">
        <f t="shared" ref="T36" si="159">S36/1000</f>
        <v>-0.4521568038835358</v>
      </c>
    </row>
    <row r="37" spans="1:20" x14ac:dyDescent="0.25">
      <c r="A37" s="5">
        <v>44556</v>
      </c>
      <c r="B37">
        <v>9.9499999999999993</v>
      </c>
      <c r="C37">
        <v>10.54</v>
      </c>
      <c r="D37">
        <v>9.2490000000000006</v>
      </c>
      <c r="E37">
        <v>9.8379999999999992</v>
      </c>
      <c r="F37">
        <v>3008239</v>
      </c>
      <c r="G37">
        <v>9.8379999999999992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-8.7529047250194766E-2</v>
      </c>
      <c r="Q37">
        <f t="shared" ref="Q37" si="161">F37*P37</f>
        <v>-263308.29357087868</v>
      </c>
      <c r="R37">
        <f t="shared" ref="R37" si="162">R38+Q37</f>
        <v>-41986984.938020982</v>
      </c>
      <c r="S37">
        <f t="shared" ref="S37" si="163">R37/100000</f>
        <v>-419.86984938020981</v>
      </c>
      <c r="T37">
        <f t="shared" ref="T37" si="164">S37/1000</f>
        <v>-0.41986984938020983</v>
      </c>
    </row>
    <row r="38" spans="1:20" x14ac:dyDescent="0.25">
      <c r="A38" s="5">
        <v>44555</v>
      </c>
      <c r="B38">
        <v>10.731</v>
      </c>
      <c r="C38">
        <v>11.307</v>
      </c>
      <c r="D38">
        <v>9.6449999999999996</v>
      </c>
      <c r="E38">
        <v>9.9499999999999993</v>
      </c>
      <c r="F38">
        <v>3873013.2</v>
      </c>
      <c r="G38">
        <v>9.9499999999999993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-0.63297232250300894</v>
      </c>
      <c r="Q38">
        <f t="shared" ref="Q38" si="166">F38*P38</f>
        <v>-2451510.1602888107</v>
      </c>
      <c r="R38">
        <f t="shared" ref="R38" si="167">R39+Q38</f>
        <v>-41723676.644450106</v>
      </c>
      <c r="S38">
        <f t="shared" ref="S38" si="168">R38/100000</f>
        <v>-417.23676644450103</v>
      </c>
      <c r="T38">
        <f t="shared" ref="T38" si="169">S38/1000</f>
        <v>-0.41723676644450103</v>
      </c>
    </row>
    <row r="39" spans="1:20" x14ac:dyDescent="0.25">
      <c r="A39" s="5">
        <v>44554</v>
      </c>
      <c r="B39">
        <v>9.9209999999999994</v>
      </c>
      <c r="C39">
        <v>11.98</v>
      </c>
      <c r="D39">
        <v>9.593</v>
      </c>
      <c r="E39">
        <v>10.726000000000001</v>
      </c>
      <c r="F39">
        <v>9620313.9600000009</v>
      </c>
      <c r="G39">
        <v>10.726000000000001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-5.069124423963077E-2</v>
      </c>
      <c r="Q39">
        <f t="shared" ref="Q39" si="171">F39*P39</f>
        <v>-487665.68460828951</v>
      </c>
      <c r="R39">
        <f t="shared" ref="R39" si="172">R40+Q39</f>
        <v>-39272166.484161295</v>
      </c>
      <c r="S39">
        <f t="shared" ref="S39" si="173">R39/100000</f>
        <v>-392.72166484161295</v>
      </c>
      <c r="T39">
        <f t="shared" ref="T39" si="174">S39/1000</f>
        <v>-0.39272166484161297</v>
      </c>
    </row>
    <row r="40" spans="1:20" x14ac:dyDescent="0.25">
      <c r="A40" s="5">
        <v>44553</v>
      </c>
      <c r="B40">
        <v>8.6519999999999992</v>
      </c>
      <c r="C40">
        <v>10.77</v>
      </c>
      <c r="D40">
        <v>7.7729999999999997</v>
      </c>
      <c r="E40">
        <v>9.9</v>
      </c>
      <c r="F40">
        <v>9112313.6899999995</v>
      </c>
      <c r="G40">
        <v>9.9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0.4194194194194199</v>
      </c>
      <c r="Q40">
        <f t="shared" ref="Q40" si="176">F40*P40</f>
        <v>3821881.3174274317</v>
      </c>
      <c r="R40">
        <f t="shared" ref="R40" si="177">R41+Q40</f>
        <v>-38784500.799553007</v>
      </c>
      <c r="S40">
        <f t="shared" ref="S40" si="178">R40/100000</f>
        <v>-387.84500799553007</v>
      </c>
      <c r="T40">
        <f t="shared" ref="T40" si="179">S40/1000</f>
        <v>-0.38784500799553007</v>
      </c>
    </row>
    <row r="41" spans="1:20" x14ac:dyDescent="0.25">
      <c r="A41" s="5">
        <v>44552</v>
      </c>
      <c r="B41">
        <v>6.9770000000000003</v>
      </c>
      <c r="C41">
        <v>9.3000000000000007</v>
      </c>
      <c r="D41">
        <v>6.9249999999999998</v>
      </c>
      <c r="E41">
        <v>8.6530000000000005</v>
      </c>
      <c r="F41">
        <v>10403658.810000001</v>
      </c>
      <c r="G41">
        <v>8.6530000000000005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0.45515789473684209</v>
      </c>
      <c r="Q41">
        <f t="shared" ref="Q41" si="181">F41*P41</f>
        <v>4735307.4415199999</v>
      </c>
      <c r="R41">
        <f t="shared" ref="R41" si="182">R42+Q41</f>
        <v>-42606382.116980441</v>
      </c>
      <c r="S41">
        <f t="shared" ref="S41" si="183">R41/100000</f>
        <v>-426.06382116980438</v>
      </c>
      <c r="T41">
        <f t="shared" ref="T41" si="184">S41/1000</f>
        <v>-0.4260638211698044</v>
      </c>
    </row>
    <row r="42" spans="1:20" x14ac:dyDescent="0.25">
      <c r="A42" s="5">
        <v>44551</v>
      </c>
      <c r="B42">
        <v>5.7460000000000004</v>
      </c>
      <c r="C42">
        <v>7.4489999999999998</v>
      </c>
      <c r="D42">
        <v>5.57</v>
      </c>
      <c r="E42">
        <v>6.9770000000000003</v>
      </c>
      <c r="F42">
        <v>7288342.4000000004</v>
      </c>
      <c r="G42">
        <v>6.9770000000000003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0.49760510910058581</v>
      </c>
      <c r="Q42">
        <f t="shared" ref="Q42" si="186">F42*P42</f>
        <v>3626716.4151144256</v>
      </c>
      <c r="R42">
        <f t="shared" ref="R42" si="187">R43+Q42</f>
        <v>-47341689.558500439</v>
      </c>
      <c r="S42">
        <f t="shared" ref="S42" si="188">R42/100000</f>
        <v>-473.4168955850044</v>
      </c>
      <c r="T42">
        <f t="shared" ref="T42" si="189">S42/1000</f>
        <v>-0.47341689558500438</v>
      </c>
    </row>
    <row r="43" spans="1:20" x14ac:dyDescent="0.25">
      <c r="A43" s="5">
        <v>44550</v>
      </c>
      <c r="B43">
        <v>5.5970000000000004</v>
      </c>
      <c r="C43">
        <v>5.8339999999999996</v>
      </c>
      <c r="D43">
        <v>5.1890000000000001</v>
      </c>
      <c r="E43">
        <v>5.7450000000000001</v>
      </c>
      <c r="F43">
        <v>1480289.6</v>
      </c>
      <c r="G43">
        <v>5.7450000000000001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0.72403100775193929</v>
      </c>
      <c r="Q43">
        <f t="shared" ref="Q43" si="191">F43*P43</f>
        <v>1071775.5708527153</v>
      </c>
      <c r="R43">
        <f t="shared" ref="R43" si="192">R44+Q43</f>
        <v>-50968405.973614864</v>
      </c>
      <c r="S43">
        <f t="shared" ref="S43" si="193">R43/100000</f>
        <v>-509.68405973614864</v>
      </c>
      <c r="T43">
        <f t="shared" ref="T43" si="194">S43/1000</f>
        <v>-0.50968405973614861</v>
      </c>
    </row>
    <row r="44" spans="1:20" x14ac:dyDescent="0.25">
      <c r="A44" s="5">
        <v>44549</v>
      </c>
      <c r="B44">
        <v>5.8230000000000004</v>
      </c>
      <c r="C44">
        <v>6.2</v>
      </c>
      <c r="D44">
        <v>5.5819999999999999</v>
      </c>
      <c r="E44">
        <v>5.5970000000000004</v>
      </c>
      <c r="F44">
        <v>1063480.5</v>
      </c>
      <c r="G44">
        <v>5.5970000000000004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-0.95145631067960978</v>
      </c>
      <c r="Q44">
        <f t="shared" ref="Q44" si="196">F44*P44</f>
        <v>-1011855.2330097067</v>
      </c>
      <c r="R44">
        <f t="shared" ref="R44" si="197">R45+Q44</f>
        <v>-52040181.544467576</v>
      </c>
      <c r="S44">
        <f t="shared" ref="S44" si="198">R44/100000</f>
        <v>-520.40181544467578</v>
      </c>
      <c r="T44">
        <f t="shared" ref="T44" si="199">S44/1000</f>
        <v>-0.52040181544467579</v>
      </c>
    </row>
    <row r="45" spans="1:20" x14ac:dyDescent="0.25">
      <c r="A45" s="5">
        <v>44548</v>
      </c>
      <c r="B45">
        <v>5.6929999999999996</v>
      </c>
      <c r="C45">
        <v>6.2</v>
      </c>
      <c r="D45">
        <v>5.4909999999999997</v>
      </c>
      <c r="E45">
        <v>5.8250000000000002</v>
      </c>
      <c r="F45">
        <v>1557975.6</v>
      </c>
      <c r="G45">
        <v>5.8250000000000002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-5.7827926657262975E-2</v>
      </c>
      <c r="Q45">
        <f t="shared" ref="Q45" si="201">F45*P45</f>
        <v>-90094.498730605279</v>
      </c>
      <c r="R45">
        <f t="shared" ref="R45" si="202">R46+Q45</f>
        <v>-51028326.311457872</v>
      </c>
      <c r="S45">
        <f t="shared" ref="S45" si="203">R45/100000</f>
        <v>-510.28326311457874</v>
      </c>
      <c r="T45">
        <f t="shared" ref="T45" si="204">S45/1000</f>
        <v>-0.51028326311457872</v>
      </c>
    </row>
    <row r="46" spans="1:20" x14ac:dyDescent="0.25">
      <c r="A46" s="5">
        <v>44547</v>
      </c>
      <c r="B46">
        <v>6.25</v>
      </c>
      <c r="C46">
        <v>6.5540000000000003</v>
      </c>
      <c r="D46">
        <v>5.5830000000000002</v>
      </c>
      <c r="E46">
        <v>5.702</v>
      </c>
      <c r="F46">
        <v>2987668</v>
      </c>
      <c r="G46">
        <v>5.702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-0.75489186405767295</v>
      </c>
      <c r="Q46">
        <f t="shared" ref="Q46" si="206">F46*P46</f>
        <v>-2255366.2657054598</v>
      </c>
      <c r="R46">
        <f t="shared" ref="R46" si="207">R47+Q46</f>
        <v>-50938231.812727265</v>
      </c>
      <c r="S46">
        <f t="shared" ref="S46" si="208">R46/100000</f>
        <v>-509.38231812727264</v>
      </c>
      <c r="T46">
        <f t="shared" ref="T46" si="209">S46/1000</f>
        <v>-0.50938231812727264</v>
      </c>
    </row>
    <row r="47" spans="1:20" x14ac:dyDescent="0.25">
      <c r="A47" s="5">
        <v>44546</v>
      </c>
      <c r="B47">
        <v>7.2480000000000002</v>
      </c>
      <c r="C47">
        <v>7.633</v>
      </c>
      <c r="D47">
        <v>6.1959999999999997</v>
      </c>
      <c r="E47">
        <v>6.2530000000000001</v>
      </c>
      <c r="F47">
        <v>5547149.7000000002</v>
      </c>
      <c r="G47">
        <v>6.2530000000000001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-0.92066805845511435</v>
      </c>
      <c r="Q47">
        <f t="shared" ref="Q47" si="211">F47*P47</f>
        <v>-5107083.5442588702</v>
      </c>
      <c r="R47">
        <f t="shared" ref="R47" si="212">R48+Q47</f>
        <v>-48682865.547021806</v>
      </c>
      <c r="S47">
        <f t="shared" ref="S47" si="213">R47/100000</f>
        <v>-486.82865547021805</v>
      </c>
      <c r="T47">
        <f t="shared" ref="T47" si="214">S47/1000</f>
        <v>-0.48682865547021803</v>
      </c>
    </row>
    <row r="48" spans="1:20" x14ac:dyDescent="0.25">
      <c r="A48" s="5">
        <v>44545</v>
      </c>
      <c r="B48">
        <v>6</v>
      </c>
      <c r="C48">
        <v>7.2949999999999999</v>
      </c>
      <c r="D48">
        <v>5.5259999999999998</v>
      </c>
      <c r="E48">
        <v>7.2480000000000002</v>
      </c>
      <c r="F48">
        <v>7195955.4000000004</v>
      </c>
      <c r="G48">
        <v>7.2480000000000002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0.94686263425664252</v>
      </c>
      <c r="Q48">
        <f t="shared" ref="Q48" si="216">F48*P48</f>
        <v>6813581.2860373119</v>
      </c>
      <c r="R48">
        <f t="shared" ref="R48" si="217">R49+Q48</f>
        <v>-43575782.002762936</v>
      </c>
      <c r="S48">
        <f t="shared" ref="S48" si="218">R48/100000</f>
        <v>-435.75782002762935</v>
      </c>
      <c r="T48">
        <f t="shared" ref="T48" si="219">S48/1000</f>
        <v>-0.43575782002762936</v>
      </c>
    </row>
    <row r="49" spans="1:20" x14ac:dyDescent="0.25">
      <c r="A49" s="5">
        <v>44544</v>
      </c>
      <c r="B49">
        <v>5.1100000000000003</v>
      </c>
      <c r="C49">
        <v>6.16</v>
      </c>
      <c r="D49">
        <v>4.7939999999999996</v>
      </c>
      <c r="E49">
        <v>6.0010000000000003</v>
      </c>
      <c r="F49">
        <v>7745431.9000000004</v>
      </c>
      <c r="G49">
        <v>6.0010000000000003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0.76720351390922437</v>
      </c>
      <c r="Q49">
        <f t="shared" ref="Q49" si="221">F49*P49</f>
        <v>5942322.5704246005</v>
      </c>
      <c r="R49">
        <f t="shared" ref="R49" si="222">R50+Q49</f>
        <v>-50389363.288800247</v>
      </c>
      <c r="S49">
        <f t="shared" ref="S49" si="223">R49/100000</f>
        <v>-503.89363288800246</v>
      </c>
      <c r="T49">
        <f t="shared" ref="T49" si="224">S49/1000</f>
        <v>-0.50389363288800249</v>
      </c>
    </row>
    <row r="50" spans="1:20" x14ac:dyDescent="0.25">
      <c r="A50" s="5">
        <v>44543</v>
      </c>
      <c r="B50">
        <v>4.4770000000000003</v>
      </c>
      <c r="C50">
        <v>5.375</v>
      </c>
      <c r="D50">
        <v>4.2750000000000004</v>
      </c>
      <c r="E50">
        <v>5.1050000000000004</v>
      </c>
      <c r="F50">
        <v>5417264.0999999996</v>
      </c>
      <c r="G50">
        <v>5.1050000000000004</v>
      </c>
      <c r="L50" t="s">
        <v>8</v>
      </c>
      <c r="M50" t="s">
        <v>8</v>
      </c>
      <c r="N50" t="s">
        <v>7</v>
      </c>
      <c r="P50">
        <f t="shared" ref="P50" si="225">IF(C50=D50,0,((E50-D50)-(C50-E50))/(C50-D50))</f>
        <v>0.5090909090909097</v>
      </c>
      <c r="Q50">
        <f t="shared" ref="Q50" si="226">F50*P50</f>
        <v>2757879.9054545485</v>
      </c>
      <c r="R50">
        <f t="shared" ref="R50" si="227">R51+Q50</f>
        <v>-56331685.859224848</v>
      </c>
      <c r="S50">
        <f t="shared" ref="S50" si="228">R50/100000</f>
        <v>-563.31685859224854</v>
      </c>
      <c r="T50">
        <f t="shared" ref="T50" si="229">S50/1000</f>
        <v>-0.56331685859224856</v>
      </c>
    </row>
    <row r="51" spans="1:20" x14ac:dyDescent="0.25">
      <c r="A51" s="5">
        <v>44542</v>
      </c>
      <c r="B51">
        <v>4.2770000000000001</v>
      </c>
      <c r="C51">
        <v>4.8689999999999998</v>
      </c>
      <c r="D51">
        <v>4.22</v>
      </c>
      <c r="E51">
        <v>4.4870000000000001</v>
      </c>
      <c r="F51">
        <v>1479459.6</v>
      </c>
      <c r="G51">
        <v>4.4870000000000001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-0.17719568567026089</v>
      </c>
      <c r="Q51">
        <f t="shared" ref="Q51" si="231">F51*P51</f>
        <v>-262153.85824344994</v>
      </c>
      <c r="R51">
        <f t="shared" ref="R51" si="232">R52+Q51</f>
        <v>-59089565.764679395</v>
      </c>
      <c r="S51">
        <f t="shared" ref="S51" si="233">R51/100000</f>
        <v>-590.89565764679389</v>
      </c>
      <c r="T51">
        <f t="shared" ref="T51" si="234">S51/1000</f>
        <v>-0.59089565764679386</v>
      </c>
    </row>
    <row r="52" spans="1:20" x14ac:dyDescent="0.25">
      <c r="A52" s="5">
        <v>44541</v>
      </c>
      <c r="B52">
        <v>4.1109999999999998</v>
      </c>
      <c r="C52">
        <v>4.17</v>
      </c>
      <c r="D52">
        <v>4.0410000000000004</v>
      </c>
      <c r="E52">
        <v>4.1550000000000002</v>
      </c>
      <c r="F52">
        <v>41853.800000000003</v>
      </c>
      <c r="G52">
        <v>4.1550000000000002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0.76744186046512042</v>
      </c>
      <c r="Q52">
        <f t="shared" ref="Q52" si="236">F52*P52</f>
        <v>32120.358139535059</v>
      </c>
      <c r="R52">
        <f t="shared" ref="R52" si="237">R53+Q52</f>
        <v>-58827411.906435944</v>
      </c>
      <c r="S52">
        <f t="shared" ref="S52" si="238">R52/100000</f>
        <v>-588.27411906435941</v>
      </c>
      <c r="T52">
        <f t="shared" ref="T52" si="239">S52/1000</f>
        <v>-0.58827411906435945</v>
      </c>
    </row>
    <row r="53" spans="1:20" x14ac:dyDescent="0.25">
      <c r="A53" s="5">
        <v>44540</v>
      </c>
      <c r="B53">
        <v>4.6219999999999999</v>
      </c>
      <c r="C53">
        <v>4.6790000000000003</v>
      </c>
      <c r="D53">
        <v>4.0819999999999999</v>
      </c>
      <c r="E53">
        <v>4.1050000000000004</v>
      </c>
      <c r="F53">
        <v>1566234.3</v>
      </c>
      <c r="G53">
        <v>4.1050000000000004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-0.92294807370184062</v>
      </c>
      <c r="Q53">
        <f t="shared" ref="Q53" si="241">F53*P53</f>
        <v>-1445552.9301507508</v>
      </c>
      <c r="R53">
        <f t="shared" ref="R53" si="242">R54+Q53</f>
        <v>-58859532.264575481</v>
      </c>
      <c r="S53">
        <f t="shared" ref="S53" si="243">R53/100000</f>
        <v>-588.59532264575478</v>
      </c>
      <c r="T53">
        <f t="shared" ref="T53" si="244">S53/1000</f>
        <v>-0.58859532264575476</v>
      </c>
    </row>
    <row r="54" spans="1:20" x14ac:dyDescent="0.25">
      <c r="A54" s="5">
        <v>44539</v>
      </c>
      <c r="B54">
        <v>4.976</v>
      </c>
      <c r="C54">
        <v>5.0979999999999999</v>
      </c>
      <c r="D54">
        <v>4.4020000000000001</v>
      </c>
      <c r="E54">
        <v>4.6289999999999996</v>
      </c>
      <c r="F54">
        <v>3554258.7</v>
      </c>
      <c r="G54">
        <v>4.6289999999999996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-0.34770114942528874</v>
      </c>
      <c r="Q54">
        <f t="shared" ref="Q54" si="246">F54*P54</f>
        <v>-1235819.8353448326</v>
      </c>
      <c r="R54">
        <f t="shared" ref="R54" si="247">R55+Q54</f>
        <v>-57413979.334424734</v>
      </c>
      <c r="S54">
        <f t="shared" ref="S54" si="248">R54/100000</f>
        <v>-574.13979334424732</v>
      </c>
      <c r="T54">
        <f t="shared" ref="T54" si="249">S54/1000</f>
        <v>-0.57413979334424736</v>
      </c>
    </row>
    <row r="55" spans="1:20" x14ac:dyDescent="0.25">
      <c r="A55" s="5">
        <v>44538</v>
      </c>
      <c r="B55">
        <v>4.0940000000000003</v>
      </c>
      <c r="C55">
        <v>6.33</v>
      </c>
      <c r="D55">
        <v>4.0220000000000002</v>
      </c>
      <c r="E55">
        <v>4.9749999999999996</v>
      </c>
      <c r="F55">
        <v>15045218.1</v>
      </c>
      <c r="G55">
        <v>4.9749999999999996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-0.1741767764298098</v>
      </c>
      <c r="Q55">
        <f t="shared" ref="Q55" si="251">F55*P55</f>
        <v>-2620527.5893414277</v>
      </c>
      <c r="R55">
        <f t="shared" ref="R55" si="252">R56+Q55</f>
        <v>-56178159.499079898</v>
      </c>
      <c r="S55">
        <f t="shared" ref="S55" si="253">R55/100000</f>
        <v>-561.78159499079902</v>
      </c>
      <c r="T55">
        <f t="shared" ref="T55" si="254">S55/1000</f>
        <v>-0.56178159499079905</v>
      </c>
    </row>
    <row r="56" spans="1:20" x14ac:dyDescent="0.25">
      <c r="A56" s="5">
        <v>44537</v>
      </c>
      <c r="B56">
        <v>4.2649999999999997</v>
      </c>
      <c r="C56">
        <v>4.3959999999999999</v>
      </c>
      <c r="D56">
        <v>4.0259999999999998</v>
      </c>
      <c r="E56">
        <v>4.0979999999999999</v>
      </c>
      <c r="F56">
        <v>757873.5</v>
      </c>
      <c r="G56">
        <v>4.0979999999999999</v>
      </c>
      <c r="L56" t="s">
        <v>7</v>
      </c>
      <c r="M56" t="s">
        <v>8</v>
      </c>
      <c r="N56" t="s">
        <v>7</v>
      </c>
      <c r="P56">
        <f t="shared" ref="P56" si="255">IF(C56=D56,0,((E56-D56)-(C56-E56))/(C56-D56))</f>
        <v>-0.61081081081081057</v>
      </c>
      <c r="Q56">
        <f t="shared" ref="Q56" si="256">F56*P56</f>
        <v>-462917.32702702685</v>
      </c>
      <c r="R56">
        <f t="shared" ref="R56" si="257">R57+Q56</f>
        <v>-53557631.909738474</v>
      </c>
      <c r="S56">
        <f t="shared" ref="S56" si="258">R56/100000</f>
        <v>-535.57631909738473</v>
      </c>
      <c r="T56">
        <f t="shared" ref="T56" si="259">S56/1000</f>
        <v>-0.53557631909738468</v>
      </c>
    </row>
    <row r="57" spans="1:20" x14ac:dyDescent="0.25">
      <c r="A57" s="5">
        <v>44536</v>
      </c>
      <c r="B57">
        <v>3.93</v>
      </c>
      <c r="C57">
        <v>4.3449999999999998</v>
      </c>
      <c r="D57">
        <v>3.7309999999999999</v>
      </c>
      <c r="E57">
        <v>4.26</v>
      </c>
      <c r="F57">
        <v>2100681.9</v>
      </c>
      <c r="G57">
        <v>4.26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0.72312703583061899</v>
      </c>
      <c r="Q57">
        <f t="shared" ref="Q57" si="261">F57*P57</f>
        <v>1519059.8755700327</v>
      </c>
      <c r="R57">
        <f t="shared" ref="R57" si="262">R58+Q57</f>
        <v>-53094714.582711443</v>
      </c>
      <c r="S57">
        <f t="shared" ref="S57" si="263">R57/100000</f>
        <v>-530.94714582711447</v>
      </c>
      <c r="T57">
        <f t="shared" ref="T57" si="264">S57/1000</f>
        <v>-0.53094714582711444</v>
      </c>
    </row>
    <row r="58" spans="1:20" x14ac:dyDescent="0.25">
      <c r="A58" s="5">
        <v>44535</v>
      </c>
      <c r="B58">
        <v>4.1890000000000001</v>
      </c>
      <c r="C58">
        <v>4.2510000000000003</v>
      </c>
      <c r="D58">
        <v>3.7509999999999999</v>
      </c>
      <c r="E58">
        <v>3.9220000000000002</v>
      </c>
      <c r="F58">
        <v>1228292.3999999999</v>
      </c>
      <c r="G58">
        <v>3.9220000000000002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-0.31599999999999956</v>
      </c>
      <c r="Q58">
        <f t="shared" ref="Q58" si="266">F58*P58</f>
        <v>-388140.39839999942</v>
      </c>
      <c r="R58">
        <f t="shared" ref="R58" si="267">R59+Q58</f>
        <v>-54613774.45828148</v>
      </c>
      <c r="S58">
        <f t="shared" ref="S58" si="268">R58/100000</f>
        <v>-546.13774458281478</v>
      </c>
      <c r="T58">
        <f t="shared" ref="T58" si="269">S58/1000</f>
        <v>-0.54613774458281472</v>
      </c>
    </row>
    <row r="59" spans="1:20" x14ac:dyDescent="0.25">
      <c r="A59" s="5">
        <v>44534</v>
      </c>
      <c r="B59">
        <v>4.7679999999999998</v>
      </c>
      <c r="C59">
        <v>4.7990000000000004</v>
      </c>
      <c r="D59">
        <v>3.399</v>
      </c>
      <c r="E59">
        <v>4.1970000000000001</v>
      </c>
      <c r="F59">
        <v>1893533.19</v>
      </c>
      <c r="G59">
        <v>4.1970000000000001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0.13999999999999976</v>
      </c>
      <c r="Q59">
        <f t="shared" ref="Q59" si="271">F59*P59</f>
        <v>265094.64659999957</v>
      </c>
      <c r="R59">
        <f t="shared" ref="R59" si="272">R60+Q59</f>
        <v>-54225634.059881479</v>
      </c>
      <c r="S59">
        <f t="shared" ref="S59" si="273">R59/100000</f>
        <v>-542.25634059881475</v>
      </c>
      <c r="T59">
        <f t="shared" ref="T59" si="274">S59/1000</f>
        <v>-0.54225634059881478</v>
      </c>
    </row>
    <row r="60" spans="1:20" x14ac:dyDescent="0.25">
      <c r="A60" s="5">
        <v>44533</v>
      </c>
      <c r="B60">
        <v>5.2649999999999997</v>
      </c>
      <c r="C60">
        <v>5.5750000000000002</v>
      </c>
      <c r="D60">
        <v>4.681</v>
      </c>
      <c r="E60">
        <v>4.7789999999999999</v>
      </c>
      <c r="F60">
        <v>1450875.3</v>
      </c>
      <c r="G60">
        <v>4.7789999999999999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-0.78076062639821064</v>
      </c>
      <c r="Q60">
        <f t="shared" ref="Q60" si="276">F60*P60</f>
        <v>-1132786.3080536919</v>
      </c>
      <c r="R60">
        <f t="shared" ref="R60" si="277">R61+Q60</f>
        <v>-54490728.706481479</v>
      </c>
      <c r="S60">
        <f t="shared" ref="S60" si="278">R60/100000</f>
        <v>-544.9072870648148</v>
      </c>
      <c r="T60">
        <f t="shared" ref="T60" si="279">S60/1000</f>
        <v>-0.54490728706481484</v>
      </c>
    </row>
    <row r="61" spans="1:20" x14ac:dyDescent="0.25">
      <c r="A61" s="5">
        <v>44532</v>
      </c>
      <c r="B61">
        <v>5.38</v>
      </c>
      <c r="C61">
        <v>5.4359999999999999</v>
      </c>
      <c r="D61">
        <v>5.101</v>
      </c>
      <c r="E61">
        <v>5.2549999999999999</v>
      </c>
      <c r="F61">
        <v>1128855.2</v>
      </c>
      <c r="G61">
        <v>5.2549999999999999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-8.059701492537355E-2</v>
      </c>
      <c r="Q61">
        <f t="shared" ref="Q61" si="281">F61*P61</f>
        <v>-90982.359402985545</v>
      </c>
      <c r="R61">
        <f t="shared" ref="R61" si="282">R62+Q61</f>
        <v>-53357942.398427784</v>
      </c>
      <c r="S61">
        <f t="shared" ref="S61" si="283">R61/100000</f>
        <v>-533.57942398427781</v>
      </c>
      <c r="T61">
        <f t="shared" ref="T61" si="284">S61/1000</f>
        <v>-0.53357942398427782</v>
      </c>
    </row>
    <row r="62" spans="1:20" x14ac:dyDescent="0.25">
      <c r="A62" s="5">
        <v>44531</v>
      </c>
      <c r="B62">
        <v>5.5270000000000001</v>
      </c>
      <c r="C62">
        <v>5.8230000000000004</v>
      </c>
      <c r="D62">
        <v>5.3209999999999997</v>
      </c>
      <c r="E62">
        <v>5.38</v>
      </c>
      <c r="F62">
        <v>1536979.3</v>
      </c>
      <c r="G62">
        <v>5.38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-0.76494023904382435</v>
      </c>
      <c r="Q62">
        <f t="shared" ref="Q62" si="286">F62*P62</f>
        <v>-1175697.3131474098</v>
      </c>
      <c r="R62">
        <f t="shared" ref="R62" si="287">R63+Q62</f>
        <v>-53266960.0390248</v>
      </c>
      <c r="S62">
        <f t="shared" ref="S62" si="288">R62/100000</f>
        <v>-532.66960039024798</v>
      </c>
      <c r="T62">
        <f t="shared" ref="T62" si="289">S62/1000</f>
        <v>-0.53266960039024802</v>
      </c>
    </row>
    <row r="63" spans="1:20" x14ac:dyDescent="0.25">
      <c r="A63" s="5">
        <v>44530</v>
      </c>
      <c r="B63">
        <v>5.9539999999999997</v>
      </c>
      <c r="C63">
        <v>6.38</v>
      </c>
      <c r="D63">
        <v>5.4710000000000001</v>
      </c>
      <c r="E63">
        <v>5.55</v>
      </c>
      <c r="F63">
        <v>2199171.6</v>
      </c>
      <c r="G63">
        <v>5.55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-0.82618261826182671</v>
      </c>
      <c r="Q63">
        <f t="shared" ref="Q63" si="291">F63*P63</f>
        <v>-1816917.3504950507</v>
      </c>
      <c r="R63">
        <f t="shared" ref="R63" si="292">R64+Q63</f>
        <v>-52091262.725877389</v>
      </c>
      <c r="S63">
        <f t="shared" ref="S63" si="293">R63/100000</f>
        <v>-520.91262725877391</v>
      </c>
      <c r="T63">
        <f t="shared" ref="T63" si="294">S63/1000</f>
        <v>-0.52091262725877396</v>
      </c>
    </row>
    <row r="64" spans="1:20" x14ac:dyDescent="0.25">
      <c r="A64" s="5">
        <v>44529</v>
      </c>
      <c r="B64">
        <v>5.8789999999999996</v>
      </c>
      <c r="C64">
        <v>6.2709999999999999</v>
      </c>
      <c r="D64">
        <v>5.7850000000000001</v>
      </c>
      <c r="E64">
        <v>5.9480000000000004</v>
      </c>
      <c r="F64">
        <v>2341840.2000000002</v>
      </c>
      <c r="G64">
        <v>5.9480000000000004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-0.32921810699588339</v>
      </c>
      <c r="Q64">
        <f t="shared" ref="Q64" si="296">F64*P64</f>
        <v>-770976.19753086101</v>
      </c>
      <c r="R64">
        <f t="shared" ref="R64" si="297">R65+Q64</f>
        <v>-50274345.375382341</v>
      </c>
      <c r="S64">
        <f t="shared" ref="S64" si="298">R64/100000</f>
        <v>-502.74345375382342</v>
      </c>
      <c r="T64">
        <f t="shared" ref="T64" si="299">S64/1000</f>
        <v>-0.50274345375382345</v>
      </c>
    </row>
    <row r="65" spans="1:20" x14ac:dyDescent="0.25">
      <c r="A65" s="5">
        <v>44528</v>
      </c>
      <c r="B65">
        <v>6.4980000000000002</v>
      </c>
      <c r="C65">
        <v>6.93</v>
      </c>
      <c r="D65">
        <v>5.4749999999999996</v>
      </c>
      <c r="E65">
        <v>5.8840000000000003</v>
      </c>
      <c r="F65">
        <v>5303861.0999999996</v>
      </c>
      <c r="G65">
        <v>5.8840000000000003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-0.43780068728522242</v>
      </c>
      <c r="Q65">
        <f t="shared" ref="Q65" si="301">F65*P65</f>
        <v>-2322034.0348453554</v>
      </c>
      <c r="R65">
        <f t="shared" ref="R65" si="302">R66+Q65</f>
        <v>-49503369.177851483</v>
      </c>
      <c r="S65">
        <f t="shared" ref="S65" si="303">R65/100000</f>
        <v>-495.03369177851482</v>
      </c>
      <c r="T65">
        <f t="shared" ref="T65" si="304">S65/1000</f>
        <v>-0.49503369177851481</v>
      </c>
    </row>
    <row r="66" spans="1:20" x14ac:dyDescent="0.25">
      <c r="A66" s="5">
        <v>44527</v>
      </c>
      <c r="B66">
        <v>5.085</v>
      </c>
      <c r="C66">
        <v>9</v>
      </c>
      <c r="D66">
        <v>5.0039999999999996</v>
      </c>
      <c r="E66">
        <v>6.4980000000000002</v>
      </c>
      <c r="F66">
        <v>30108316.440000001</v>
      </c>
      <c r="G66">
        <v>6.4980000000000002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-0.25225225225225201</v>
      </c>
      <c r="Q66">
        <f t="shared" ref="Q66" si="306">F66*P66</f>
        <v>-7594890.6335135065</v>
      </c>
      <c r="R66">
        <f t="shared" ref="R66" si="307">R67+Q66</f>
        <v>-47181335.143006131</v>
      </c>
      <c r="S66">
        <f t="shared" ref="S66" si="308">R66/100000</f>
        <v>-471.81335143006129</v>
      </c>
      <c r="T66">
        <f t="shared" ref="T66" si="309">S66/1000</f>
        <v>-0.47181335143006131</v>
      </c>
    </row>
    <row r="67" spans="1:20" x14ac:dyDescent="0.25">
      <c r="A67" s="5">
        <v>44526</v>
      </c>
      <c r="B67">
        <v>5.3090000000000002</v>
      </c>
      <c r="C67">
        <v>5.64</v>
      </c>
      <c r="D67">
        <v>4.633</v>
      </c>
      <c r="E67">
        <v>5.0739999999999998</v>
      </c>
      <c r="F67">
        <v>1971906.8</v>
      </c>
      <c r="G67">
        <v>5.0739999999999998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-0.12413108242303877</v>
      </c>
      <c r="Q67">
        <f t="shared" ref="Q67" si="311">F67*P67</f>
        <v>-244774.92552135064</v>
      </c>
      <c r="R67">
        <f t="shared" ref="R67" si="312">R68+Q67</f>
        <v>-39586444.509492621</v>
      </c>
      <c r="S67">
        <f t="shared" ref="S67" si="313">R67/100000</f>
        <v>-395.86444509492623</v>
      </c>
      <c r="T67">
        <f t="shared" ref="T67" si="314">S67/1000</f>
        <v>-0.39586444509492624</v>
      </c>
    </row>
    <row r="68" spans="1:20" x14ac:dyDescent="0.25">
      <c r="A68" s="5">
        <v>44525</v>
      </c>
      <c r="B68">
        <v>4.976</v>
      </c>
      <c r="C68">
        <v>5.39</v>
      </c>
      <c r="D68">
        <v>4.9660000000000002</v>
      </c>
      <c r="E68">
        <v>5.3120000000000003</v>
      </c>
      <c r="F68">
        <v>1138151.8999999999</v>
      </c>
      <c r="G68">
        <v>5.3120000000000003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0.63207547169811562</v>
      </c>
      <c r="Q68">
        <f t="shared" ref="Q68" si="316">F68*P68</f>
        <v>719397.89905660646</v>
      </c>
      <c r="R68">
        <f t="shared" ref="R68" si="317">R69+Q68</f>
        <v>-39341669.583971269</v>
      </c>
      <c r="S68">
        <f t="shared" ref="S68" si="318">R68/100000</f>
        <v>-393.4166958397127</v>
      </c>
      <c r="T68">
        <f t="shared" ref="T68" si="319">S68/1000</f>
        <v>-0.39341669583971273</v>
      </c>
    </row>
    <row r="69" spans="1:20" x14ac:dyDescent="0.25">
      <c r="A69" s="5">
        <v>44524</v>
      </c>
      <c r="B69">
        <v>4.8840000000000003</v>
      </c>
      <c r="C69">
        <v>5.431</v>
      </c>
      <c r="D69">
        <v>4.8840000000000003</v>
      </c>
      <c r="E69">
        <v>5.0949999999999998</v>
      </c>
      <c r="F69">
        <v>568819.6</v>
      </c>
      <c r="G69">
        <v>5.0949999999999998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-0.2285191956124332</v>
      </c>
      <c r="Q69">
        <f t="shared" ref="Q69" si="321">F69*P69</f>
        <v>-129986.19744058599</v>
      </c>
      <c r="R69">
        <f t="shared" ref="R69" si="322">R70+Q69</f>
        <v>-40061067.483027875</v>
      </c>
      <c r="S69">
        <f t="shared" ref="S69" si="323">R69/100000</f>
        <v>-400.61067483027875</v>
      </c>
      <c r="T69">
        <f t="shared" ref="T69" si="324">S69/1000</f>
        <v>-0.40061067483027873</v>
      </c>
    </row>
    <row r="70" spans="1:20" x14ac:dyDescent="0.25">
      <c r="A70" s="5">
        <v>44523</v>
      </c>
      <c r="B70">
        <v>4.7880000000000003</v>
      </c>
      <c r="C70">
        <v>5.15</v>
      </c>
      <c r="D70">
        <v>4.66</v>
      </c>
      <c r="E70">
        <v>4.8769999999999998</v>
      </c>
      <c r="F70">
        <v>527075.5</v>
      </c>
      <c r="G70">
        <v>4.8769999999999998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-0.11428571428571616</v>
      </c>
      <c r="Q70">
        <f t="shared" ref="Q70" si="326">F70*P70</f>
        <v>-60237.200000000987</v>
      </c>
      <c r="R70">
        <f t="shared" ref="R70" si="327">R71+Q70</f>
        <v>-39931081.285587288</v>
      </c>
      <c r="S70">
        <f t="shared" ref="S70" si="328">R70/100000</f>
        <v>-399.31081285587288</v>
      </c>
      <c r="T70">
        <f t="shared" ref="T70" si="329">S70/1000</f>
        <v>-0.39931081285587289</v>
      </c>
    </row>
    <row r="71" spans="1:20" x14ac:dyDescent="0.25">
      <c r="A71" s="5">
        <v>44522</v>
      </c>
      <c r="B71">
        <v>5.1310000000000002</v>
      </c>
      <c r="C71">
        <v>5.2030000000000003</v>
      </c>
      <c r="D71">
        <v>4.7549999999999999</v>
      </c>
      <c r="E71">
        <v>4.7869999999999999</v>
      </c>
      <c r="F71">
        <v>619792.69999999995</v>
      </c>
      <c r="G71">
        <v>4.7869999999999999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-0.8571428571428571</v>
      </c>
      <c r="Q71">
        <f t="shared" ref="Q71" si="331">F71*P71</f>
        <v>-531250.88571428566</v>
      </c>
      <c r="R71">
        <f t="shared" ref="R71" si="332">R72+Q71</f>
        <v>-39870844.085587285</v>
      </c>
      <c r="S71">
        <f t="shared" ref="S71" si="333">R71/100000</f>
        <v>-398.70844085587288</v>
      </c>
      <c r="T71">
        <f t="shared" ref="T71" si="334">S71/1000</f>
        <v>-0.39870844085587287</v>
      </c>
    </row>
    <row r="72" spans="1:20" x14ac:dyDescent="0.25">
      <c r="A72" s="5">
        <v>44521</v>
      </c>
      <c r="B72">
        <v>4.6970000000000001</v>
      </c>
      <c r="C72">
        <v>5.78</v>
      </c>
      <c r="D72">
        <v>4.585</v>
      </c>
      <c r="E72">
        <v>5.125</v>
      </c>
      <c r="F72">
        <v>2977474.2</v>
      </c>
      <c r="G72">
        <v>5.125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-9.6234309623431116E-2</v>
      </c>
      <c r="Q72">
        <f t="shared" ref="Q72" si="336">F72*P72</f>
        <v>-286535.17405857786</v>
      </c>
      <c r="R72">
        <f t="shared" ref="R72" si="337">R73+Q72</f>
        <v>-39339593.199873</v>
      </c>
      <c r="S72">
        <f t="shared" ref="S72" si="338">R72/100000</f>
        <v>-393.39593199873002</v>
      </c>
      <c r="T72">
        <f t="shared" ref="T72" si="339">S72/1000</f>
        <v>-0.39339593199873002</v>
      </c>
    </row>
    <row r="73" spans="1:20" x14ac:dyDescent="0.25">
      <c r="A73" s="5">
        <v>44520</v>
      </c>
      <c r="B73">
        <v>4.6449999999999996</v>
      </c>
      <c r="C73">
        <v>4.7220000000000004</v>
      </c>
      <c r="D73">
        <v>4.4180000000000001</v>
      </c>
      <c r="E73">
        <v>4.7009999999999996</v>
      </c>
      <c r="F73">
        <v>518733.1</v>
      </c>
      <c r="G73">
        <v>4.7009999999999996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0.86184210526315275</v>
      </c>
      <c r="Q73">
        <f t="shared" ref="Q73" si="341">F73*P73</f>
        <v>447066.02697368152</v>
      </c>
      <c r="R73">
        <f t="shared" ref="R73" si="342">R74+Q73</f>
        <v>-39053058.025814421</v>
      </c>
      <c r="S73">
        <f t="shared" ref="S73" si="343">R73/100000</f>
        <v>-390.5305802581442</v>
      </c>
      <c r="T73">
        <f t="shared" ref="T73" si="344">S73/1000</f>
        <v>-0.39053058025814419</v>
      </c>
    </row>
    <row r="74" spans="1:20" x14ac:dyDescent="0.25">
      <c r="A74" s="5">
        <v>44519</v>
      </c>
      <c r="B74">
        <v>4.3490000000000002</v>
      </c>
      <c r="C74">
        <v>4.702</v>
      </c>
      <c r="D74">
        <v>4.2009999999999996</v>
      </c>
      <c r="E74">
        <v>4.649</v>
      </c>
      <c r="F74">
        <v>551031.1</v>
      </c>
      <c r="G74">
        <v>4.649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0.78842315369261518</v>
      </c>
      <c r="Q74">
        <f t="shared" ref="Q74" si="346">F74*P74</f>
        <v>434445.67764471075</v>
      </c>
      <c r="R74">
        <f t="shared" ref="R74" si="347">R75+Q74</f>
        <v>-39500124.052788101</v>
      </c>
      <c r="S74">
        <f t="shared" ref="S74" si="348">R74/100000</f>
        <v>-395.00124052788101</v>
      </c>
      <c r="T74">
        <f t="shared" ref="T74" si="349">S74/1000</f>
        <v>-0.39500124052788099</v>
      </c>
    </row>
    <row r="75" spans="1:20" x14ac:dyDescent="0.25">
      <c r="A75" s="5">
        <v>44518</v>
      </c>
      <c r="B75">
        <v>4.8620000000000001</v>
      </c>
      <c r="C75">
        <v>5.1239999999999997</v>
      </c>
      <c r="D75">
        <v>4.3099999999999996</v>
      </c>
      <c r="E75">
        <v>4.3600000000000003</v>
      </c>
      <c r="F75">
        <v>859564.4</v>
      </c>
      <c r="G75">
        <v>4.3600000000000003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-0.87714987714987547</v>
      </c>
      <c r="Q75">
        <f t="shared" ref="Q75" si="351">F75*P75</f>
        <v>-753966.80786240648</v>
      </c>
      <c r="R75">
        <f t="shared" ref="R75" si="352">R76+Q75</f>
        <v>-39934569.730432808</v>
      </c>
      <c r="S75">
        <f t="shared" ref="S75" si="353">R75/100000</f>
        <v>-399.3456973043281</v>
      </c>
      <c r="T75">
        <f t="shared" ref="T75" si="354">S75/1000</f>
        <v>-0.39934569730432812</v>
      </c>
    </row>
    <row r="76" spans="1:20" x14ac:dyDescent="0.25">
      <c r="A76" s="5">
        <v>44517</v>
      </c>
      <c r="B76">
        <v>5.0170000000000003</v>
      </c>
      <c r="C76">
        <v>5.048</v>
      </c>
      <c r="D76">
        <v>4.7309999999999999</v>
      </c>
      <c r="E76">
        <v>4.8680000000000003</v>
      </c>
      <c r="F76">
        <v>595155.30000000005</v>
      </c>
      <c r="G76">
        <v>4.8680000000000003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-0.13564668769715849</v>
      </c>
      <c r="Q76">
        <f t="shared" ref="Q76" si="356">F76*P76</f>
        <v>-80730.845110408671</v>
      </c>
      <c r="R76">
        <f t="shared" ref="R76" si="357">R77+Q76</f>
        <v>-39180602.9225704</v>
      </c>
      <c r="S76">
        <f t="shared" ref="S76" si="358">R76/100000</f>
        <v>-391.80602922570398</v>
      </c>
      <c r="T76">
        <f t="shared" ref="T76" si="359">S76/1000</f>
        <v>-0.39180602922570396</v>
      </c>
    </row>
    <row r="77" spans="1:20" x14ac:dyDescent="0.25">
      <c r="A77" s="5">
        <v>44516</v>
      </c>
      <c r="B77">
        <v>5.82</v>
      </c>
      <c r="C77">
        <v>5.82</v>
      </c>
      <c r="D77">
        <v>4.8600000000000003</v>
      </c>
      <c r="E77">
        <v>5.0190000000000001</v>
      </c>
      <c r="F77">
        <v>1268034.1000000001</v>
      </c>
      <c r="G77">
        <v>5.0190000000000001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-0.6687500000000004</v>
      </c>
      <c r="Q77">
        <f t="shared" ref="Q77" si="361">F77*P77</f>
        <v>-847997.80437500053</v>
      </c>
      <c r="R77">
        <f t="shared" ref="R77" si="362">R78+Q77</f>
        <v>-39099872.077459991</v>
      </c>
      <c r="S77">
        <f t="shared" ref="S77" si="363">R77/100000</f>
        <v>-390.99872077459992</v>
      </c>
      <c r="T77">
        <f t="shared" ref="T77" si="364">S77/1000</f>
        <v>-0.39099872077459991</v>
      </c>
    </row>
    <row r="78" spans="1:20" x14ac:dyDescent="0.25">
      <c r="A78" s="5">
        <v>44515</v>
      </c>
      <c r="B78">
        <v>5.4509999999999996</v>
      </c>
      <c r="C78">
        <v>6.08</v>
      </c>
      <c r="D78">
        <v>5.4009999999999998</v>
      </c>
      <c r="E78">
        <v>5.82</v>
      </c>
      <c r="F78">
        <v>2339087.9</v>
      </c>
      <c r="G78">
        <v>5.82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0.23416789396170934</v>
      </c>
      <c r="Q78">
        <f t="shared" ref="Q78" si="366">F78*P78</f>
        <v>547739.28733431734</v>
      </c>
      <c r="R78">
        <f t="shared" ref="R78" si="367">R79+Q78</f>
        <v>-38251874.273084991</v>
      </c>
      <c r="S78">
        <f t="shared" ref="S78" si="368">R78/100000</f>
        <v>-382.51874273084991</v>
      </c>
      <c r="T78">
        <f t="shared" ref="T78" si="369">S78/1000</f>
        <v>-0.3825187427308499</v>
      </c>
    </row>
    <row r="79" spans="1:20" x14ac:dyDescent="0.25">
      <c r="A79" s="5">
        <v>44514</v>
      </c>
      <c r="B79">
        <v>5.5789999999999997</v>
      </c>
      <c r="C79">
        <v>5.6189999999999998</v>
      </c>
      <c r="D79">
        <v>5.306</v>
      </c>
      <c r="E79">
        <v>5.452</v>
      </c>
      <c r="F79">
        <v>763818.6</v>
      </c>
      <c r="G79">
        <v>5.452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-6.709265175718826E-2</v>
      </c>
      <c r="Q79">
        <f t="shared" ref="Q79" si="371">F79*P79</f>
        <v>-51246.615335463073</v>
      </c>
      <c r="R79">
        <f t="shared" ref="R79" si="372">R80+Q79</f>
        <v>-38799613.560419306</v>
      </c>
      <c r="S79">
        <f t="shared" ref="S79" si="373">R79/100000</f>
        <v>-387.99613560419306</v>
      </c>
      <c r="T79">
        <f t="shared" ref="T79" si="374">S79/1000</f>
        <v>-0.38799613560419305</v>
      </c>
    </row>
    <row r="80" spans="1:20" x14ac:dyDescent="0.25">
      <c r="A80" s="5">
        <v>44513</v>
      </c>
      <c r="B80">
        <v>5.6920000000000002</v>
      </c>
      <c r="C80">
        <v>6.4</v>
      </c>
      <c r="D80">
        <v>5.556</v>
      </c>
      <c r="E80">
        <v>5.5750000000000002</v>
      </c>
      <c r="F80">
        <v>6684347.5999999996</v>
      </c>
      <c r="G80">
        <v>5.5750000000000002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-0.95497630331753525</v>
      </c>
      <c r="Q80">
        <f t="shared" ref="Q80" si="376">F80*P80</f>
        <v>-6383393.5611374388</v>
      </c>
      <c r="R80">
        <f t="shared" ref="R80" si="377">R81+Q80</f>
        <v>-38748366.945083842</v>
      </c>
      <c r="S80">
        <f t="shared" ref="S80" si="378">R80/100000</f>
        <v>-387.48366945083842</v>
      </c>
      <c r="T80">
        <f t="shared" ref="T80" si="379">S80/1000</f>
        <v>-0.3874836694508384</v>
      </c>
    </row>
    <row r="81" spans="1:20" x14ac:dyDescent="0.25">
      <c r="A81" s="5">
        <v>44512</v>
      </c>
      <c r="B81">
        <v>5.0069999999999997</v>
      </c>
      <c r="C81">
        <v>5.8109999999999999</v>
      </c>
      <c r="D81">
        <v>4.968</v>
      </c>
      <c r="E81">
        <v>5.6879999999999997</v>
      </c>
      <c r="F81">
        <v>2585251.6</v>
      </c>
      <c r="G81">
        <v>5.6879999999999997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0.70818505338078241</v>
      </c>
      <c r="Q81">
        <f t="shared" ref="Q81" si="381">F81*P81</f>
        <v>1830836.5423487532</v>
      </c>
      <c r="R81">
        <f t="shared" ref="R81" si="382">R82+Q81</f>
        <v>-32364973.3839464</v>
      </c>
      <c r="S81">
        <f t="shared" ref="S81" si="383">R81/100000</f>
        <v>-323.64973383946398</v>
      </c>
      <c r="T81">
        <f t="shared" ref="T81" si="384">S81/1000</f>
        <v>-0.32364973383946399</v>
      </c>
    </row>
    <row r="82" spans="1:20" x14ac:dyDescent="0.25">
      <c r="A82" s="5">
        <v>44511</v>
      </c>
      <c r="B82">
        <v>4.8209999999999997</v>
      </c>
      <c r="C82">
        <v>5.133</v>
      </c>
      <c r="D82">
        <v>4.71</v>
      </c>
      <c r="E82">
        <v>5.0049999999999999</v>
      </c>
      <c r="F82">
        <v>681130.9</v>
      </c>
      <c r="G82">
        <v>5.0049999999999999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0.39479905437352197</v>
      </c>
      <c r="Q82">
        <f t="shared" ref="Q82" si="386">F82*P82</f>
        <v>268909.83522458596</v>
      </c>
      <c r="R82">
        <f t="shared" ref="R82" si="387">R83+Q82</f>
        <v>-34195809.926295154</v>
      </c>
      <c r="S82">
        <f t="shared" ref="S82" si="388">R82/100000</f>
        <v>-341.95809926295152</v>
      </c>
      <c r="T82">
        <f t="shared" ref="T82" si="389">S82/1000</f>
        <v>-0.34195809926295151</v>
      </c>
    </row>
    <row r="83" spans="1:20" x14ac:dyDescent="0.25">
      <c r="A83" s="5">
        <v>44510</v>
      </c>
      <c r="B83">
        <v>5.2670000000000003</v>
      </c>
      <c r="C83">
        <v>5.351</v>
      </c>
      <c r="D83">
        <v>4.6210000000000004</v>
      </c>
      <c r="E83">
        <v>4.8230000000000004</v>
      </c>
      <c r="F83">
        <v>820836.9</v>
      </c>
      <c r="G83">
        <v>4.8230000000000004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-0.4465753424657532</v>
      </c>
      <c r="Q83">
        <f t="shared" ref="Q83" si="391">F83*P83</f>
        <v>-366565.51972602721</v>
      </c>
      <c r="R83">
        <f t="shared" ref="R83" si="392">R84+Q83</f>
        <v>-34464719.761519738</v>
      </c>
      <c r="S83">
        <f t="shared" ref="S83" si="393">R83/100000</f>
        <v>-344.6471976151974</v>
      </c>
      <c r="T83">
        <f t="shared" ref="T83" si="394">S83/1000</f>
        <v>-0.34464719761519741</v>
      </c>
    </row>
    <row r="84" spans="1:20" x14ac:dyDescent="0.25">
      <c r="A84" s="5">
        <v>44509</v>
      </c>
      <c r="B84">
        <v>5.1219999999999999</v>
      </c>
      <c r="C84">
        <v>5.69</v>
      </c>
      <c r="D84">
        <v>5.0940000000000003</v>
      </c>
      <c r="E84">
        <v>5.2670000000000003</v>
      </c>
      <c r="F84">
        <v>1632864.7</v>
      </c>
      <c r="G84">
        <v>5.2670000000000003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-0.4194630872483221</v>
      </c>
      <c r="Q84">
        <f t="shared" ref="Q84" si="396">F84*P84</f>
        <v>-684926.46812080522</v>
      </c>
      <c r="R84">
        <f t="shared" ref="R84" si="397">R85+Q84</f>
        <v>-34098154.241793707</v>
      </c>
      <c r="S84">
        <f t="shared" ref="S84" si="398">R84/100000</f>
        <v>-340.98154241793708</v>
      </c>
      <c r="T84">
        <f t="shared" ref="T84" si="399">S84/1000</f>
        <v>-0.3409815424179371</v>
      </c>
    </row>
    <row r="85" spans="1:20" x14ac:dyDescent="0.25">
      <c r="A85" s="5">
        <v>44508</v>
      </c>
      <c r="B85">
        <v>4.9470000000000001</v>
      </c>
      <c r="C85">
        <v>5.1390000000000002</v>
      </c>
      <c r="D85">
        <v>4.8920000000000003</v>
      </c>
      <c r="E85">
        <v>5.1269999999999998</v>
      </c>
      <c r="F85">
        <v>661406.5</v>
      </c>
      <c r="G85">
        <v>5.1269999999999998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0.9028340080971623</v>
      </c>
      <c r="Q85">
        <f t="shared" ref="Q85" si="401">F85*P85</f>
        <v>597140.28137651575</v>
      </c>
      <c r="R85">
        <f t="shared" ref="R85" si="402">R86+Q85</f>
        <v>-33413227.773672905</v>
      </c>
      <c r="S85">
        <f t="shared" ref="S85" si="403">R85/100000</f>
        <v>-334.13227773672907</v>
      </c>
      <c r="T85">
        <f t="shared" ref="T85" si="404">S85/1000</f>
        <v>-0.33413227773672904</v>
      </c>
    </row>
    <row r="86" spans="1:20" x14ac:dyDescent="0.25">
      <c r="A86" s="5">
        <v>44507</v>
      </c>
      <c r="B86">
        <v>4.944</v>
      </c>
      <c r="C86">
        <v>5</v>
      </c>
      <c r="D86">
        <v>4.8949999999999996</v>
      </c>
      <c r="E86">
        <v>4.9429999999999996</v>
      </c>
      <c r="F86">
        <v>327358.09999999998</v>
      </c>
      <c r="G86">
        <v>4.9429999999999996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-8.5714285714288616E-2</v>
      </c>
      <c r="Q86">
        <f t="shared" ref="Q86" si="406">F86*P86</f>
        <v>-28059.265714286663</v>
      </c>
      <c r="R86">
        <f t="shared" ref="R86" si="407">R87+Q86</f>
        <v>-34010368.055049419</v>
      </c>
      <c r="S86">
        <f t="shared" ref="S86" si="408">R86/100000</f>
        <v>-340.10368055049418</v>
      </c>
      <c r="T86">
        <f t="shared" ref="T86" si="409">S86/1000</f>
        <v>-0.34010368055049417</v>
      </c>
    </row>
    <row r="87" spans="1:20" x14ac:dyDescent="0.25">
      <c r="A87" s="5">
        <v>44506</v>
      </c>
      <c r="B87">
        <v>5.0380000000000003</v>
      </c>
      <c r="C87">
        <v>5.0620000000000003</v>
      </c>
      <c r="D87">
        <v>4.7530000000000001</v>
      </c>
      <c r="E87">
        <v>4.9429999999999996</v>
      </c>
      <c r="F87">
        <v>478989.6</v>
      </c>
      <c r="G87">
        <v>4.9429999999999996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0.22977346278316765</v>
      </c>
      <c r="Q87">
        <f t="shared" ref="Q87" si="411">F87*P87</f>
        <v>110059.09902912435</v>
      </c>
      <c r="R87">
        <f t="shared" ref="R87" si="412">R88+Q87</f>
        <v>-33982308.789335132</v>
      </c>
      <c r="S87">
        <f t="shared" ref="S87" si="413">R87/100000</f>
        <v>-339.82308789335133</v>
      </c>
      <c r="T87">
        <f t="shared" ref="T87" si="414">S87/1000</f>
        <v>-0.33982308789335131</v>
      </c>
    </row>
    <row r="88" spans="1:20" x14ac:dyDescent="0.25">
      <c r="A88" s="5">
        <v>44505</v>
      </c>
      <c r="B88">
        <v>5.2160000000000002</v>
      </c>
      <c r="C88">
        <v>5.3129999999999997</v>
      </c>
      <c r="D88">
        <v>5.0010000000000003</v>
      </c>
      <c r="E88">
        <v>5.0380000000000003</v>
      </c>
      <c r="F88">
        <v>747628.3</v>
      </c>
      <c r="G88">
        <v>5.0380000000000003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-0.76282051282051289</v>
      </c>
      <c r="Q88">
        <f t="shared" ref="Q88" si="416">F88*P88</f>
        <v>-570306.20320512832</v>
      </c>
      <c r="R88">
        <f t="shared" ref="R88" si="417">R89+Q88</f>
        <v>-34092367.888364255</v>
      </c>
      <c r="S88">
        <f t="shared" ref="S88" si="418">R88/100000</f>
        <v>-340.92367888364254</v>
      </c>
      <c r="T88">
        <f t="shared" ref="T88" si="419">S88/1000</f>
        <v>-0.34092367888364256</v>
      </c>
    </row>
    <row r="89" spans="1:20" x14ac:dyDescent="0.25">
      <c r="A89" s="5">
        <v>44504</v>
      </c>
      <c r="B89">
        <v>5.0579999999999998</v>
      </c>
      <c r="C89">
        <v>6.4989999999999997</v>
      </c>
      <c r="D89">
        <v>5.0110000000000001</v>
      </c>
      <c r="E89">
        <v>5.2119999999999997</v>
      </c>
      <c r="F89">
        <v>8107939.2000000002</v>
      </c>
      <c r="G89">
        <v>5.2119999999999997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-0.72983870967741982</v>
      </c>
      <c r="Q89">
        <f t="shared" ref="Q89" si="421">F89*P89</f>
        <v>-5917487.8838709714</v>
      </c>
      <c r="R89">
        <f t="shared" ref="R89" si="422">R90+Q89</f>
        <v>-33522061.685159124</v>
      </c>
      <c r="S89">
        <f t="shared" ref="S89" si="423">R89/100000</f>
        <v>-335.22061685159122</v>
      </c>
      <c r="T89">
        <f t="shared" ref="T89" si="424">S89/1000</f>
        <v>-0.33522061685159121</v>
      </c>
    </row>
    <row r="90" spans="1:20" x14ac:dyDescent="0.25">
      <c r="A90" s="5">
        <v>44503</v>
      </c>
      <c r="B90">
        <v>4.8120000000000003</v>
      </c>
      <c r="C90">
        <v>5.0890000000000004</v>
      </c>
      <c r="D90">
        <v>4.7670000000000003</v>
      </c>
      <c r="E90">
        <v>5.0599999999999996</v>
      </c>
      <c r="F90">
        <v>1079623.3</v>
      </c>
      <c r="G90">
        <v>5.0599999999999996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0.81987577639751053</v>
      </c>
      <c r="Q90">
        <f t="shared" ref="Q90" si="426">F90*P90</f>
        <v>885156.99130434252</v>
      </c>
      <c r="R90">
        <f t="shared" ref="R90" si="427">R91+Q90</f>
        <v>-27604573.801288154</v>
      </c>
      <c r="S90">
        <f t="shared" ref="S90" si="428">R90/100000</f>
        <v>-276.04573801288154</v>
      </c>
      <c r="T90">
        <f t="shared" ref="T90" si="429">S90/1000</f>
        <v>-0.27604573801288157</v>
      </c>
    </row>
    <row r="91" spans="1:20" x14ac:dyDescent="0.25">
      <c r="A91" s="5">
        <v>44502</v>
      </c>
      <c r="B91">
        <v>4.7050000000000001</v>
      </c>
      <c r="C91">
        <v>4.9779999999999998</v>
      </c>
      <c r="D91">
        <v>4.6859999999999999</v>
      </c>
      <c r="E91">
        <v>4.8230000000000004</v>
      </c>
      <c r="F91">
        <v>762749.2</v>
      </c>
      <c r="G91">
        <v>4.8230000000000004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-6.1643835616434647E-2</v>
      </c>
      <c r="Q91">
        <f t="shared" ref="Q91" si="431">F91*P91</f>
        <v>-47018.786301367028</v>
      </c>
      <c r="R91">
        <f t="shared" ref="R91" si="432">R92+Q91</f>
        <v>-28489730.792592496</v>
      </c>
      <c r="S91">
        <f t="shared" ref="S91" si="433">R91/100000</f>
        <v>-284.89730792592496</v>
      </c>
      <c r="T91">
        <f t="shared" ref="T91" si="434">S91/1000</f>
        <v>-0.28489730792592494</v>
      </c>
    </row>
    <row r="92" spans="1:20" x14ac:dyDescent="0.25">
      <c r="A92" s="5">
        <v>44501</v>
      </c>
      <c r="B92">
        <v>4.6929999999999996</v>
      </c>
      <c r="C92">
        <v>4.8460000000000001</v>
      </c>
      <c r="D92">
        <v>4.5720000000000001</v>
      </c>
      <c r="E92">
        <v>4.7069999999999999</v>
      </c>
      <c r="F92">
        <v>562693.4</v>
      </c>
      <c r="G92">
        <v>4.7069999999999999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-1.4598540145987033E-2</v>
      </c>
      <c r="Q92">
        <f t="shared" ref="Q92" si="436">F92*P92</f>
        <v>-8214.5021897819406</v>
      </c>
      <c r="R92">
        <f t="shared" ref="R92" si="437">R93+Q92</f>
        <v>-28442712.006291129</v>
      </c>
      <c r="S92">
        <f t="shared" ref="S92" si="438">R92/100000</f>
        <v>-284.42712006291129</v>
      </c>
      <c r="T92">
        <f t="shared" ref="T92" si="439">S92/1000</f>
        <v>-0.28442712006291127</v>
      </c>
    </row>
    <row r="93" spans="1:20" x14ac:dyDescent="0.25">
      <c r="A93" s="5">
        <v>44500</v>
      </c>
      <c r="B93">
        <v>4.4649999999999999</v>
      </c>
      <c r="C93">
        <v>4.7569999999999997</v>
      </c>
      <c r="D93">
        <v>4.4109999999999996</v>
      </c>
      <c r="E93">
        <v>4.6950000000000003</v>
      </c>
      <c r="F93">
        <v>634633.30000000005</v>
      </c>
      <c r="G93">
        <v>4.6950000000000003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0.64161849710983021</v>
      </c>
      <c r="Q93">
        <f t="shared" ref="Q93" si="441">F93*P93</f>
        <v>407192.46416185203</v>
      </c>
      <c r="R93">
        <f t="shared" ref="R93" si="442">R94+Q93</f>
        <v>-28434497.504101347</v>
      </c>
      <c r="S93">
        <f t="shared" ref="S93" si="443">R93/100000</f>
        <v>-284.34497504101347</v>
      </c>
      <c r="T93">
        <f t="shared" ref="T93" si="444">S93/1000</f>
        <v>-0.28434497504101347</v>
      </c>
    </row>
    <row r="94" spans="1:20" x14ac:dyDescent="0.25">
      <c r="A94" s="5">
        <v>44499</v>
      </c>
      <c r="B94">
        <v>4.5810000000000004</v>
      </c>
      <c r="C94">
        <v>4.6959999999999997</v>
      </c>
      <c r="D94">
        <v>4.4109999999999996</v>
      </c>
      <c r="E94">
        <v>4.4660000000000002</v>
      </c>
      <c r="F94">
        <v>543907.19999999995</v>
      </c>
      <c r="G94">
        <v>4.4660000000000002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-0.61403508771929416</v>
      </c>
      <c r="Q94">
        <f t="shared" ref="Q94" si="446">F94*P94</f>
        <v>-333978.10526315565</v>
      </c>
      <c r="R94">
        <f t="shared" ref="R94" si="447">R95+Q94</f>
        <v>-28841689.968263198</v>
      </c>
      <c r="S94">
        <f t="shared" ref="S94" si="448">R94/100000</f>
        <v>-288.41689968263199</v>
      </c>
      <c r="T94">
        <f t="shared" ref="T94" si="449">S94/1000</f>
        <v>-0.28841689968263201</v>
      </c>
    </row>
    <row r="95" spans="1:20" x14ac:dyDescent="0.25">
      <c r="A95" s="5">
        <v>44498</v>
      </c>
      <c r="B95">
        <v>4.452</v>
      </c>
      <c r="C95">
        <v>4.7290000000000001</v>
      </c>
      <c r="D95">
        <v>4.4029999999999996</v>
      </c>
      <c r="E95">
        <v>4.57</v>
      </c>
      <c r="F95">
        <v>646389.6</v>
      </c>
      <c r="G95">
        <v>4.57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2.4539877300616204E-2</v>
      </c>
      <c r="Q95">
        <f t="shared" ref="Q95" si="451">F95*P95</f>
        <v>15862.321472394387</v>
      </c>
      <c r="R95">
        <f t="shared" ref="R95" si="452">R96+Q95</f>
        <v>-28507711.863000043</v>
      </c>
      <c r="S95">
        <f t="shared" ref="S95" si="453">R95/100000</f>
        <v>-285.07711863000043</v>
      </c>
      <c r="T95">
        <f t="shared" ref="T95" si="454">S95/1000</f>
        <v>-0.2850771186300004</v>
      </c>
    </row>
    <row r="96" spans="1:20" x14ac:dyDescent="0.25">
      <c r="A96" s="5">
        <v>44497</v>
      </c>
      <c r="B96">
        <v>4.3949999999999996</v>
      </c>
      <c r="C96">
        <v>4.516</v>
      </c>
      <c r="D96">
        <v>4.2949999999999999</v>
      </c>
      <c r="E96">
        <v>4.4530000000000003</v>
      </c>
      <c r="F96">
        <v>402201.8</v>
      </c>
      <c r="G96">
        <v>4.4530000000000003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0.42986425339366791</v>
      </c>
      <c r="Q96">
        <f t="shared" ref="Q96" si="456">F96*P96</f>
        <v>172892.17647058933</v>
      </c>
      <c r="R96">
        <f t="shared" ref="R96" si="457">R97+Q96</f>
        <v>-28523574.184472438</v>
      </c>
      <c r="S96">
        <f t="shared" ref="S96" si="458">R96/100000</f>
        <v>-285.23574184472437</v>
      </c>
      <c r="T96">
        <f t="shared" ref="T96" si="459">S96/1000</f>
        <v>-0.28523574184472439</v>
      </c>
    </row>
    <row r="97" spans="1:20" x14ac:dyDescent="0.25">
      <c r="A97" s="5">
        <v>44496</v>
      </c>
      <c r="B97">
        <v>4.806</v>
      </c>
      <c r="C97">
        <v>4.8550000000000004</v>
      </c>
      <c r="D97">
        <v>4.3739999999999997</v>
      </c>
      <c r="E97">
        <v>4.3869999999999996</v>
      </c>
      <c r="F97">
        <v>604995.80000000005</v>
      </c>
      <c r="G97">
        <v>4.3869999999999996</v>
      </c>
      <c r="L97" t="s">
        <v>7</v>
      </c>
      <c r="M97" t="s">
        <v>8</v>
      </c>
      <c r="N97" t="s">
        <v>7</v>
      </c>
      <c r="P97">
        <f t="shared" ref="P97" si="460">IF(C97=D97,0,((E97-D97)-(C97-E97))/(C97-D97))</f>
        <v>-0.9459459459459465</v>
      </c>
      <c r="Q97">
        <f t="shared" ref="Q97" si="461">F97*P97</f>
        <v>-572293.32432432473</v>
      </c>
      <c r="R97">
        <f t="shared" ref="R97" si="462">R98+Q97</f>
        <v>-28696466.360943027</v>
      </c>
      <c r="S97">
        <f t="shared" ref="S97" si="463">R97/100000</f>
        <v>-286.96466360943026</v>
      </c>
      <c r="T97">
        <f t="shared" ref="T97" si="464">S97/1000</f>
        <v>-0.28696466360943024</v>
      </c>
    </row>
    <row r="98" spans="1:20" x14ac:dyDescent="0.25">
      <c r="A98" s="5">
        <v>44495</v>
      </c>
      <c r="B98">
        <v>4.5590000000000002</v>
      </c>
      <c r="C98">
        <v>5.08</v>
      </c>
      <c r="D98">
        <v>4.5339999999999998</v>
      </c>
      <c r="E98">
        <v>4.806</v>
      </c>
      <c r="F98">
        <v>1579853.7</v>
      </c>
      <c r="G98">
        <v>4.806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-3.6630036630032579E-3</v>
      </c>
      <c r="Q98">
        <f t="shared" ref="Q98" si="466">F98*P98</f>
        <v>-5787.0098901092497</v>
      </c>
      <c r="R98">
        <f t="shared" ref="R98" si="467">R99+Q98</f>
        <v>-28124173.036618702</v>
      </c>
      <c r="S98">
        <f t="shared" ref="S98" si="468">R98/100000</f>
        <v>-281.24173036618703</v>
      </c>
      <c r="T98">
        <f t="shared" ref="T98" si="469">S98/1000</f>
        <v>-0.28124173036618705</v>
      </c>
    </row>
    <row r="99" spans="1:20" x14ac:dyDescent="0.25">
      <c r="A99" s="5">
        <v>44494</v>
      </c>
      <c r="B99">
        <v>4.5190000000000001</v>
      </c>
      <c r="C99">
        <v>4.7</v>
      </c>
      <c r="D99">
        <v>4.5129999999999999</v>
      </c>
      <c r="E99">
        <v>4.569</v>
      </c>
      <c r="F99">
        <v>319455.09999999998</v>
      </c>
      <c r="G99">
        <v>4.569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-0.40106951871657792</v>
      </c>
      <c r="Q99">
        <f t="shared" ref="Q99" si="471">F99*P99</f>
        <v>-128123.70320855627</v>
      </c>
      <c r="R99">
        <f t="shared" ref="R99" si="472">R100+Q99</f>
        <v>-28118386.026728593</v>
      </c>
      <c r="S99">
        <f t="shared" ref="S99" si="473">R99/100000</f>
        <v>-281.18386026728592</v>
      </c>
      <c r="T99">
        <f t="shared" ref="T99" si="474">S99/1000</f>
        <v>-0.28118386026728592</v>
      </c>
    </row>
    <row r="100" spans="1:20" x14ac:dyDescent="0.25">
      <c r="A100" s="5">
        <v>44493</v>
      </c>
      <c r="B100">
        <v>4.7380000000000004</v>
      </c>
      <c r="C100">
        <v>4.79</v>
      </c>
      <c r="D100">
        <v>4.4539999999999997</v>
      </c>
      <c r="E100">
        <v>4.524</v>
      </c>
      <c r="F100">
        <v>345561.7</v>
      </c>
      <c r="G100">
        <v>4.524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-0.58333333333333204</v>
      </c>
      <c r="Q100">
        <f t="shared" ref="Q100" si="476">F100*P100</f>
        <v>-201577.65833333289</v>
      </c>
      <c r="R100">
        <f t="shared" ref="R100" si="477">R101+Q100</f>
        <v>-27990262.323520038</v>
      </c>
      <c r="S100">
        <f t="shared" ref="S100" si="478">R100/100000</f>
        <v>-279.90262323520039</v>
      </c>
      <c r="T100">
        <f t="shared" ref="T100" si="479">S100/1000</f>
        <v>-0.27990262323520038</v>
      </c>
    </row>
    <row r="101" spans="1:20" x14ac:dyDescent="0.25">
      <c r="A101" s="5">
        <v>44492</v>
      </c>
      <c r="B101">
        <v>4.6520000000000001</v>
      </c>
      <c r="C101">
        <v>4.7450000000000001</v>
      </c>
      <c r="D101">
        <v>4.6040000000000001</v>
      </c>
      <c r="E101">
        <v>4.7350000000000003</v>
      </c>
      <c r="F101">
        <v>212615.4</v>
      </c>
      <c r="G101">
        <v>4.7350000000000003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0.85815602836879734</v>
      </c>
      <c r="Q101">
        <f t="shared" ref="Q101" si="481">F101*P101</f>
        <v>182457.1872340432</v>
      </c>
      <c r="R101">
        <f t="shared" ref="R101" si="482">R102+Q101</f>
        <v>-27788684.665186707</v>
      </c>
      <c r="S101">
        <f t="shared" ref="S101" si="483">R101/100000</f>
        <v>-277.88684665186707</v>
      </c>
      <c r="T101">
        <f t="shared" ref="T101" si="484">S101/1000</f>
        <v>-0.27788684665186708</v>
      </c>
    </row>
    <row r="102" spans="1:20" x14ac:dyDescent="0.25">
      <c r="A102" s="5">
        <v>44491</v>
      </c>
      <c r="B102">
        <v>4.7619999999999996</v>
      </c>
      <c r="C102">
        <v>4.8899999999999997</v>
      </c>
      <c r="D102">
        <v>4.5960000000000001</v>
      </c>
      <c r="E102">
        <v>4.6479999999999997</v>
      </c>
      <c r="F102">
        <v>431799</v>
      </c>
      <c r="G102">
        <v>4.6479999999999997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-0.64625850340136282</v>
      </c>
      <c r="Q102">
        <f t="shared" ref="Q102" si="486">F102*P102</f>
        <v>-279053.77551020507</v>
      </c>
      <c r="R102">
        <f t="shared" ref="R102" si="487">R103+Q102</f>
        <v>-27971141.852420751</v>
      </c>
      <c r="S102">
        <f t="shared" ref="S102" si="488">R102/100000</f>
        <v>-279.71141852420749</v>
      </c>
      <c r="T102">
        <f t="shared" ref="T102" si="489">S102/1000</f>
        <v>-0.2797114185242075</v>
      </c>
    </row>
    <row r="103" spans="1:20" x14ac:dyDescent="0.25">
      <c r="A103" s="5">
        <v>44490</v>
      </c>
      <c r="B103">
        <v>4.843</v>
      </c>
      <c r="C103">
        <v>4.8929999999999998</v>
      </c>
      <c r="D103">
        <v>4.6210000000000004</v>
      </c>
      <c r="E103">
        <v>4.7560000000000002</v>
      </c>
      <c r="F103">
        <v>506791.4</v>
      </c>
      <c r="G103">
        <v>4.7560000000000002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-7.3529411764697962E-3</v>
      </c>
      <c r="Q103">
        <f t="shared" ref="Q103" si="491">F103*P103</f>
        <v>-3726.4073529407751</v>
      </c>
      <c r="R103">
        <f t="shared" ref="R103" si="492">R104+Q103</f>
        <v>-27692088.076910544</v>
      </c>
      <c r="S103">
        <f t="shared" ref="S103" si="493">R103/100000</f>
        <v>-276.92088076910545</v>
      </c>
      <c r="T103">
        <f t="shared" ref="T103" si="494">S103/1000</f>
        <v>-0.27692088076910543</v>
      </c>
    </row>
    <row r="104" spans="1:20" x14ac:dyDescent="0.25">
      <c r="A104" s="5">
        <v>44489</v>
      </c>
      <c r="B104">
        <v>4.6150000000000002</v>
      </c>
      <c r="C104">
        <v>4.8810000000000002</v>
      </c>
      <c r="D104">
        <v>4.5540000000000003</v>
      </c>
      <c r="E104">
        <v>4.8410000000000002</v>
      </c>
      <c r="F104">
        <v>402680.9</v>
      </c>
      <c r="G104">
        <v>4.8410000000000002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0.75535168195718627</v>
      </c>
      <c r="Q104">
        <f t="shared" ref="Q104" si="496">F104*P104</f>
        <v>304165.69510703353</v>
      </c>
      <c r="R104">
        <f t="shared" ref="R104" si="497">R105+Q104</f>
        <v>-27688361.669557605</v>
      </c>
      <c r="S104">
        <f t="shared" ref="S104" si="498">R104/100000</f>
        <v>-276.88361669557605</v>
      </c>
      <c r="T104">
        <f t="shared" ref="T104" si="499">S104/1000</f>
        <v>-0.27688361669557604</v>
      </c>
    </row>
    <row r="105" spans="1:20" x14ac:dyDescent="0.25">
      <c r="A105" s="5">
        <v>44488</v>
      </c>
      <c r="B105">
        <v>4.6639999999999997</v>
      </c>
      <c r="C105">
        <v>4.7839999999999998</v>
      </c>
      <c r="D105">
        <v>4.4370000000000003</v>
      </c>
      <c r="E105">
        <v>4.6150000000000002</v>
      </c>
      <c r="F105">
        <v>457790.7</v>
      </c>
      <c r="G105">
        <v>4.6150000000000002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2.5936599423632141E-2</v>
      </c>
      <c r="Q105">
        <f t="shared" ref="Q105" si="501">F105*P105</f>
        <v>11873.534005764155</v>
      </c>
      <c r="R105">
        <f t="shared" ref="R105" si="502">R106+Q105</f>
        <v>-27992527.36466464</v>
      </c>
      <c r="S105">
        <f t="shared" ref="S105" si="503">R105/100000</f>
        <v>-279.92527364664642</v>
      </c>
      <c r="T105">
        <f t="shared" ref="T105" si="504">S105/1000</f>
        <v>-0.27992527364664643</v>
      </c>
    </row>
    <row r="106" spans="1:20" x14ac:dyDescent="0.25">
      <c r="A106" s="5">
        <v>44487</v>
      </c>
      <c r="B106">
        <v>4.8419999999999996</v>
      </c>
      <c r="C106">
        <v>4.8929999999999998</v>
      </c>
      <c r="D106">
        <v>4.585</v>
      </c>
      <c r="E106">
        <v>4.6630000000000003</v>
      </c>
      <c r="F106">
        <v>760722.7</v>
      </c>
      <c r="G106">
        <v>4.6630000000000003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-0.49350649350649134</v>
      </c>
      <c r="Q106">
        <f t="shared" ref="Q106" si="506">F106*P106</f>
        <v>-375421.59220779053</v>
      </c>
      <c r="R106">
        <f t="shared" ref="R106" si="507">R107+Q106</f>
        <v>-28004400.898670405</v>
      </c>
      <c r="S106">
        <f t="shared" ref="S106" si="508">R106/100000</f>
        <v>-280.04400898670406</v>
      </c>
      <c r="T106">
        <f t="shared" ref="T106" si="509">S106/1000</f>
        <v>-0.28004400898670406</v>
      </c>
    </row>
    <row r="107" spans="1:20" x14ac:dyDescent="0.25">
      <c r="A107" s="5">
        <v>44486</v>
      </c>
      <c r="B107">
        <v>4.798</v>
      </c>
      <c r="C107">
        <v>5.2</v>
      </c>
      <c r="D107">
        <v>4.7649999999999997</v>
      </c>
      <c r="E107">
        <v>4.8330000000000002</v>
      </c>
      <c r="F107">
        <v>761729.6</v>
      </c>
      <c r="G107">
        <v>4.8330000000000002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-0.68735632183907847</v>
      </c>
      <c r="Q107">
        <f t="shared" ref="Q107" si="511">F107*P107</f>
        <v>-523579.65609195246</v>
      </c>
      <c r="R107">
        <f t="shared" ref="R107" si="512">R108+Q107</f>
        <v>-27628979.306462616</v>
      </c>
      <c r="S107">
        <f t="shared" ref="S107" si="513">R107/100000</f>
        <v>-276.28979306462617</v>
      </c>
      <c r="T107">
        <f t="shared" ref="T107" si="514">S107/1000</f>
        <v>-0.27628979306462614</v>
      </c>
    </row>
    <row r="108" spans="1:20" x14ac:dyDescent="0.25">
      <c r="A108" s="5">
        <v>44485</v>
      </c>
      <c r="B108">
        <v>5.0330000000000004</v>
      </c>
      <c r="C108">
        <v>5.0599999999999996</v>
      </c>
      <c r="D108">
        <v>4.7590000000000003</v>
      </c>
      <c r="E108">
        <v>4.8109999999999999</v>
      </c>
      <c r="F108">
        <v>713313.9</v>
      </c>
      <c r="G108">
        <v>4.8109999999999999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-0.65448504983388889</v>
      </c>
      <c r="Q108">
        <f t="shared" ref="Q108" si="516">F108*P108</f>
        <v>-466853.28338870563</v>
      </c>
      <c r="R108">
        <f t="shared" ref="R108" si="517">R109+Q108</f>
        <v>-27105399.650370665</v>
      </c>
      <c r="S108">
        <f t="shared" ref="S108" si="518">R108/100000</f>
        <v>-271.05399650370663</v>
      </c>
      <c r="T108">
        <f t="shared" ref="T108" si="519">S108/1000</f>
        <v>-0.27105399650370665</v>
      </c>
    </row>
    <row r="109" spans="1:20" x14ac:dyDescent="0.25">
      <c r="A109" s="5">
        <v>44484</v>
      </c>
      <c r="B109">
        <v>4.5709999999999997</v>
      </c>
      <c r="C109">
        <v>5.1829999999999998</v>
      </c>
      <c r="D109">
        <v>4.484</v>
      </c>
      <c r="E109">
        <v>5.024</v>
      </c>
      <c r="F109">
        <v>1663255.6</v>
      </c>
      <c r="G109">
        <v>5.024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0.5450643776824039</v>
      </c>
      <c r="Q109">
        <f t="shared" ref="Q109" si="521">F109*P109</f>
        <v>906581.37854077341</v>
      </c>
      <c r="R109">
        <f t="shared" ref="R109" si="522">R110+Q109</f>
        <v>-26638546.366981961</v>
      </c>
      <c r="S109">
        <f t="shared" ref="S109" si="523">R109/100000</f>
        <v>-266.38546366981961</v>
      </c>
      <c r="T109">
        <f t="shared" ref="T109" si="524">S109/1000</f>
        <v>-0.26638546366981963</v>
      </c>
    </row>
    <row r="110" spans="1:20" x14ac:dyDescent="0.25">
      <c r="A110" s="5">
        <v>44483</v>
      </c>
      <c r="B110">
        <v>4.6130000000000004</v>
      </c>
      <c r="C110">
        <v>4.6909999999999998</v>
      </c>
      <c r="D110">
        <v>4.476</v>
      </c>
      <c r="E110">
        <v>4.5720000000000001</v>
      </c>
      <c r="F110">
        <v>386169.7</v>
      </c>
      <c r="G110">
        <v>4.5720000000000001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-0.10697674418604512</v>
      </c>
      <c r="Q110">
        <f t="shared" ref="Q110" si="526">F110*P110</f>
        <v>-41311.177209301793</v>
      </c>
      <c r="R110">
        <f t="shared" ref="R110" si="527">R111+Q110</f>
        <v>-27545127.745522734</v>
      </c>
      <c r="S110">
        <f t="shared" ref="S110" si="528">R110/100000</f>
        <v>-275.45127745522734</v>
      </c>
      <c r="T110">
        <f t="shared" ref="T110" si="529">S110/1000</f>
        <v>-0.27545127745522735</v>
      </c>
    </row>
    <row r="111" spans="1:20" x14ac:dyDescent="0.25">
      <c r="A111" s="5">
        <v>44482</v>
      </c>
      <c r="B111">
        <v>4.4930000000000003</v>
      </c>
      <c r="C111">
        <v>4.6520000000000001</v>
      </c>
      <c r="D111">
        <v>4.3460000000000001</v>
      </c>
      <c r="E111">
        <v>4.6070000000000002</v>
      </c>
      <c r="F111">
        <v>328548.7</v>
      </c>
      <c r="G111">
        <v>4.6070000000000002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0.70588235294117696</v>
      </c>
      <c r="Q111">
        <f t="shared" ref="Q111" si="531">F111*P111</f>
        <v>231916.72941176489</v>
      </c>
      <c r="R111">
        <f t="shared" ref="R111" si="532">R112+Q111</f>
        <v>-27503816.568313431</v>
      </c>
      <c r="S111">
        <f t="shared" ref="S111" si="533">R111/100000</f>
        <v>-275.03816568313431</v>
      </c>
      <c r="T111">
        <f t="shared" ref="T111" si="534">S111/1000</f>
        <v>-0.27503816568313433</v>
      </c>
    </row>
    <row r="112" spans="1:20" x14ac:dyDescent="0.25">
      <c r="A112" s="5">
        <v>44481</v>
      </c>
      <c r="B112">
        <v>4.5599999999999996</v>
      </c>
      <c r="C112">
        <v>4.601</v>
      </c>
      <c r="D112">
        <v>4.274</v>
      </c>
      <c r="E112">
        <v>4.4950000000000001</v>
      </c>
      <c r="F112">
        <v>415595.3</v>
      </c>
      <c r="G112">
        <v>4.4950000000000001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0.35168195718654505</v>
      </c>
      <c r="Q112">
        <f t="shared" ref="Q112" si="536">F112*P112</f>
        <v>146157.36850152933</v>
      </c>
      <c r="R112">
        <f t="shared" ref="R112" si="537">R113+Q112</f>
        <v>-27735733.297725197</v>
      </c>
      <c r="S112">
        <f t="shared" ref="S112" si="538">R112/100000</f>
        <v>-277.35733297725199</v>
      </c>
      <c r="T112">
        <f t="shared" ref="T112" si="539">S112/1000</f>
        <v>-0.27735733297725196</v>
      </c>
    </row>
    <row r="113" spans="1:20" x14ac:dyDescent="0.25">
      <c r="A113" s="5">
        <v>44480</v>
      </c>
      <c r="B113">
        <v>4.5979999999999999</v>
      </c>
      <c r="C113">
        <v>4.782</v>
      </c>
      <c r="D113">
        <v>4.4800000000000004</v>
      </c>
      <c r="E113">
        <v>4.5599999999999996</v>
      </c>
      <c r="F113">
        <v>375557.5</v>
      </c>
      <c r="G113">
        <v>4.5599999999999996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-0.47019867549669347</v>
      </c>
      <c r="Q113">
        <f t="shared" ref="Q113" si="541">F113*P113</f>
        <v>-176586.63907284947</v>
      </c>
      <c r="R113">
        <f t="shared" ref="R113" si="542">R114+Q113</f>
        <v>-27881890.666226726</v>
      </c>
      <c r="S113">
        <f t="shared" ref="S113" si="543">R113/100000</f>
        <v>-278.81890666226724</v>
      </c>
      <c r="T113">
        <f t="shared" ref="T113" si="544">S113/1000</f>
        <v>-0.27881890666226722</v>
      </c>
    </row>
    <row r="114" spans="1:20" x14ac:dyDescent="0.25">
      <c r="A114" s="5">
        <v>44479</v>
      </c>
      <c r="B114">
        <v>4.9180000000000001</v>
      </c>
      <c r="C114">
        <v>5.1879999999999997</v>
      </c>
      <c r="D114">
        <v>4.5780000000000003</v>
      </c>
      <c r="E114">
        <v>4.5910000000000002</v>
      </c>
      <c r="F114">
        <v>1000463.9</v>
      </c>
      <c r="G114">
        <v>4.5910000000000002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-0.95737704918032818</v>
      </c>
      <c r="Q114">
        <f t="shared" ref="Q114" si="546">F114*P114</f>
        <v>-957821.1763934429</v>
      </c>
      <c r="R114">
        <f t="shared" ref="R114" si="547">R115+Q114</f>
        <v>-27705304.027153876</v>
      </c>
      <c r="S114">
        <f t="shared" ref="S114" si="548">R114/100000</f>
        <v>-277.05304027153875</v>
      </c>
      <c r="T114">
        <f t="shared" ref="T114" si="549">S114/1000</f>
        <v>-0.27705304027153876</v>
      </c>
    </row>
    <row r="115" spans="1:20" x14ac:dyDescent="0.25">
      <c r="A115" s="5">
        <v>44478</v>
      </c>
      <c r="B115">
        <v>4.8710000000000004</v>
      </c>
      <c r="C115">
        <v>5.3</v>
      </c>
      <c r="D115">
        <v>4.8010000000000002</v>
      </c>
      <c r="E115">
        <v>4.92</v>
      </c>
      <c r="F115">
        <v>1207085</v>
      </c>
      <c r="G115">
        <v>4.92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-0.52304609218436937</v>
      </c>
      <c r="Q115">
        <f t="shared" ref="Q115" si="551">F115*P115</f>
        <v>-631361.09218436945</v>
      </c>
      <c r="R115">
        <f t="shared" ref="R115" si="552">R116+Q115</f>
        <v>-26747482.850760434</v>
      </c>
      <c r="S115">
        <f t="shared" ref="S115" si="553">R115/100000</f>
        <v>-267.47482850760434</v>
      </c>
      <c r="T115">
        <f t="shared" ref="T115" si="554">S115/1000</f>
        <v>-0.26747482850760435</v>
      </c>
    </row>
    <row r="116" spans="1:20" x14ac:dyDescent="0.25">
      <c r="A116" s="5">
        <v>44477</v>
      </c>
      <c r="B116">
        <v>4.7320000000000002</v>
      </c>
      <c r="C116">
        <v>4.99</v>
      </c>
      <c r="D116">
        <v>4.702</v>
      </c>
      <c r="E116">
        <v>4.8680000000000003</v>
      </c>
      <c r="F116">
        <v>780916.7</v>
      </c>
      <c r="G116">
        <v>4.8680000000000003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0.15277777777777932</v>
      </c>
      <c r="Q116">
        <f t="shared" ref="Q116" si="556">F116*P116</f>
        <v>119306.71805555675</v>
      </c>
      <c r="R116">
        <f t="shared" ref="R116" si="557">R117+Q116</f>
        <v>-26116121.758576065</v>
      </c>
      <c r="S116">
        <f t="shared" ref="S116" si="558">R116/100000</f>
        <v>-261.16121758576065</v>
      </c>
      <c r="T116">
        <f t="shared" ref="T116" si="559">S116/1000</f>
        <v>-0.26116121758576066</v>
      </c>
    </row>
    <row r="117" spans="1:20" x14ac:dyDescent="0.25">
      <c r="A117" s="5">
        <v>44476</v>
      </c>
      <c r="B117">
        <v>4.6879999999999997</v>
      </c>
      <c r="C117">
        <v>4.9260000000000002</v>
      </c>
      <c r="D117">
        <v>4.57</v>
      </c>
      <c r="E117">
        <v>4.726</v>
      </c>
      <c r="F117">
        <v>766306.8</v>
      </c>
      <c r="G117">
        <v>4.726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-0.12359550561797893</v>
      </c>
      <c r="Q117">
        <f t="shared" ref="Q117" si="561">F117*P117</f>
        <v>-94712.076404495456</v>
      </c>
      <c r="R117">
        <f t="shared" ref="R117" si="562">R118+Q117</f>
        <v>-26235428.476631623</v>
      </c>
      <c r="S117">
        <f t="shared" ref="S117" si="563">R117/100000</f>
        <v>-262.35428476631625</v>
      </c>
      <c r="T117">
        <f t="shared" ref="T117" si="564">S117/1000</f>
        <v>-0.26235428476631628</v>
      </c>
    </row>
    <row r="118" spans="1:20" x14ac:dyDescent="0.25">
      <c r="A118" s="5">
        <v>44475</v>
      </c>
      <c r="B118">
        <v>4.9260000000000002</v>
      </c>
      <c r="C118">
        <v>4.9390000000000001</v>
      </c>
      <c r="D118">
        <v>4.4660000000000002</v>
      </c>
      <c r="E118">
        <v>4.7</v>
      </c>
      <c r="F118">
        <v>647013.9</v>
      </c>
      <c r="G118">
        <v>4.7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-1.0570824524312674E-2</v>
      </c>
      <c r="Q118">
        <f t="shared" ref="Q118" si="566">F118*P118</f>
        <v>-6839.4704016911883</v>
      </c>
      <c r="R118">
        <f t="shared" ref="R118" si="567">R119+Q118</f>
        <v>-26140716.400227126</v>
      </c>
      <c r="S118">
        <f t="shared" ref="S118" si="568">R118/100000</f>
        <v>-261.40716400227126</v>
      </c>
      <c r="T118">
        <f t="shared" ref="T118" si="569">S118/1000</f>
        <v>-0.26140716400227126</v>
      </c>
    </row>
    <row r="119" spans="1:20" x14ac:dyDescent="0.25">
      <c r="A119" s="5">
        <v>44474</v>
      </c>
      <c r="B119">
        <v>4.7699999999999996</v>
      </c>
      <c r="C119">
        <v>5.18</v>
      </c>
      <c r="D119">
        <v>4.7430000000000003</v>
      </c>
      <c r="E119">
        <v>4.9279999999999999</v>
      </c>
      <c r="F119">
        <v>605262.80000000005</v>
      </c>
      <c r="G119">
        <v>4.9279999999999999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-0.15331807780320428</v>
      </c>
      <c r="Q119">
        <f t="shared" ref="Q119" si="571">F119*P119</f>
        <v>-92797.72906178527</v>
      </c>
      <c r="R119">
        <f t="shared" ref="R119" si="572">R120+Q119</f>
        <v>-26133876.929825436</v>
      </c>
      <c r="S119">
        <f t="shared" ref="S119" si="573">R119/100000</f>
        <v>-261.33876929825436</v>
      </c>
      <c r="T119">
        <f t="shared" ref="T119" si="574">S119/1000</f>
        <v>-0.26133876929825434</v>
      </c>
    </row>
    <row r="120" spans="1:20" x14ac:dyDescent="0.25">
      <c r="A120" s="5">
        <v>44473</v>
      </c>
      <c r="B120">
        <v>4.9480000000000004</v>
      </c>
      <c r="C120">
        <v>4.9640000000000004</v>
      </c>
      <c r="D120">
        <v>4.7380000000000004</v>
      </c>
      <c r="E120">
        <v>4.7939999999999996</v>
      </c>
      <c r="F120">
        <v>221448.2</v>
      </c>
      <c r="G120">
        <v>4.7939999999999996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-0.50442477876106928</v>
      </c>
      <c r="Q120">
        <f t="shared" ref="Q120" si="576">F120*P120</f>
        <v>-111703.95929203703</v>
      </c>
      <c r="R120">
        <f t="shared" ref="R120" si="577">R121+Q120</f>
        <v>-26041079.20076365</v>
      </c>
      <c r="S120">
        <f t="shared" ref="S120" si="578">R120/100000</f>
        <v>-260.41079200763653</v>
      </c>
      <c r="T120">
        <f t="shared" ref="T120" si="579">S120/1000</f>
        <v>-0.2604107920076365</v>
      </c>
    </row>
    <row r="121" spans="1:20" x14ac:dyDescent="0.25">
      <c r="A121" s="5">
        <v>44472</v>
      </c>
      <c r="B121">
        <v>4.9589999999999996</v>
      </c>
      <c r="C121">
        <v>5.1289999999999996</v>
      </c>
      <c r="D121">
        <v>4.8239999999999998</v>
      </c>
      <c r="E121">
        <v>4.9320000000000004</v>
      </c>
      <c r="F121">
        <v>438886.9</v>
      </c>
      <c r="G121">
        <v>4.9320000000000004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-0.29180327868852041</v>
      </c>
      <c r="Q121">
        <f t="shared" ref="Q121" si="581">F121*P121</f>
        <v>-128068.6363934408</v>
      </c>
      <c r="R121">
        <f t="shared" ref="R121" si="582">R122+Q121</f>
        <v>-25929375.241471615</v>
      </c>
      <c r="S121">
        <f t="shared" ref="S121" si="583">R121/100000</f>
        <v>-259.29375241471615</v>
      </c>
      <c r="T121">
        <f t="shared" ref="T121" si="584">S121/1000</f>
        <v>-0.25929375241471614</v>
      </c>
    </row>
    <row r="122" spans="1:20" x14ac:dyDescent="0.25">
      <c r="A122" s="5">
        <v>44471</v>
      </c>
      <c r="B122">
        <v>4.6980000000000004</v>
      </c>
      <c r="C122">
        <v>5.2</v>
      </c>
      <c r="D122">
        <v>4.6429999999999998</v>
      </c>
      <c r="E122">
        <v>4.9539999999999997</v>
      </c>
      <c r="F122">
        <v>620463.19999999995</v>
      </c>
      <c r="G122">
        <v>4.9539999999999997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0.11669658886893979</v>
      </c>
      <c r="Q122">
        <f t="shared" ref="Q122" si="586">F122*P122</f>
        <v>72405.938958706756</v>
      </c>
      <c r="R122">
        <f t="shared" ref="R122" si="587">R123+Q122</f>
        <v>-25801306.605078176</v>
      </c>
      <c r="S122">
        <f t="shared" ref="S122" si="588">R122/100000</f>
        <v>-258.01306605078173</v>
      </c>
      <c r="T122">
        <f t="shared" ref="T122" si="589">S122/1000</f>
        <v>-0.25801306605078173</v>
      </c>
    </row>
    <row r="123" spans="1:20" x14ac:dyDescent="0.25">
      <c r="A123" s="5">
        <v>44470</v>
      </c>
      <c r="B123">
        <v>4.3140000000000001</v>
      </c>
      <c r="C123">
        <v>4.7729999999999997</v>
      </c>
      <c r="D123">
        <v>4.2619999999999996</v>
      </c>
      <c r="E123">
        <v>4.6970000000000001</v>
      </c>
      <c r="F123">
        <v>462941.3</v>
      </c>
      <c r="G123">
        <v>4.6970000000000001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0.70254403131115617</v>
      </c>
      <c r="Q123">
        <f t="shared" ref="Q123" si="591">F123*P123</f>
        <v>325236.64716242731</v>
      </c>
      <c r="R123">
        <f t="shared" ref="R123" si="592">R124+Q123</f>
        <v>-25873712.544036884</v>
      </c>
      <c r="S123">
        <f t="shared" ref="S123" si="593">R123/100000</f>
        <v>-258.73712544036886</v>
      </c>
      <c r="T123">
        <f t="shared" ref="T123" si="594">S123/1000</f>
        <v>-0.25873712544036886</v>
      </c>
    </row>
    <row r="124" spans="1:20" x14ac:dyDescent="0.25">
      <c r="A124" s="5">
        <v>44469</v>
      </c>
      <c r="B124">
        <v>4.2729999999999997</v>
      </c>
      <c r="C124">
        <v>4.3650000000000002</v>
      </c>
      <c r="D124">
        <v>4.1669999999999998</v>
      </c>
      <c r="E124">
        <v>4.3140000000000001</v>
      </c>
      <c r="F124">
        <v>321512.40000000002</v>
      </c>
      <c r="G124">
        <v>4.3140000000000001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0.48484848484848431</v>
      </c>
      <c r="Q124">
        <f t="shared" ref="Q124" si="596">F124*P124</f>
        <v>155884.79999999984</v>
      </c>
      <c r="R124">
        <f t="shared" ref="R124" si="597">R125+Q124</f>
        <v>-26198949.19119931</v>
      </c>
      <c r="S124">
        <f t="shared" ref="S124" si="598">R124/100000</f>
        <v>-261.98949191199313</v>
      </c>
      <c r="T124">
        <f t="shared" ref="T124" si="599">S124/1000</f>
        <v>-0.26198949191199311</v>
      </c>
    </row>
    <row r="125" spans="1:20" x14ac:dyDescent="0.25">
      <c r="A125" s="5">
        <v>44468</v>
      </c>
      <c r="B125">
        <v>4.0990000000000002</v>
      </c>
      <c r="C125">
        <v>4.33</v>
      </c>
      <c r="D125">
        <v>4.08</v>
      </c>
      <c r="E125">
        <v>4.2729999999999997</v>
      </c>
      <c r="F125">
        <v>244169.3</v>
      </c>
      <c r="G125">
        <v>4.2729999999999997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0.54399999999999693</v>
      </c>
      <c r="Q125">
        <f t="shared" ref="Q125" si="601">F125*P125</f>
        <v>132828.09919999924</v>
      </c>
      <c r="R125">
        <f t="shared" ref="R125" si="602">R126+Q125</f>
        <v>-26354833.991199311</v>
      </c>
      <c r="S125">
        <f t="shared" ref="S125" si="603">R125/100000</f>
        <v>-263.54833991199308</v>
      </c>
      <c r="T125">
        <f t="shared" ref="T125" si="604">S125/1000</f>
        <v>-0.26354833991199306</v>
      </c>
    </row>
    <row r="126" spans="1:20" x14ac:dyDescent="0.25">
      <c r="A126" s="5">
        <v>44467</v>
      </c>
      <c r="B126">
        <v>4.3239999999999998</v>
      </c>
      <c r="C126">
        <v>4.4569999999999999</v>
      </c>
      <c r="D126">
        <v>4.0759999999999996</v>
      </c>
      <c r="E126">
        <v>4.1059999999999999</v>
      </c>
      <c r="F126">
        <v>301966.01</v>
      </c>
      <c r="G126">
        <v>4.1059999999999999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-0.84251968503936892</v>
      </c>
      <c r="Q126">
        <f t="shared" ref="Q126" si="606">F126*P126</f>
        <v>-254412.30763779493</v>
      </c>
      <c r="R126">
        <f t="shared" ref="R126" si="607">R127+Q126</f>
        <v>-26487662.09039931</v>
      </c>
      <c r="S126">
        <f t="shared" ref="S126" si="608">R126/100000</f>
        <v>-264.87662090399311</v>
      </c>
      <c r="T126">
        <f t="shared" ref="T126" si="609">S126/1000</f>
        <v>-0.26487662090399311</v>
      </c>
    </row>
    <row r="127" spans="1:20" x14ac:dyDescent="0.25">
      <c r="A127" s="5">
        <v>44466</v>
      </c>
      <c r="B127">
        <v>4.5270000000000001</v>
      </c>
      <c r="C127">
        <v>4.8929999999999998</v>
      </c>
      <c r="D127">
        <v>4.3250000000000002</v>
      </c>
      <c r="E127">
        <v>4.3250000000000002</v>
      </c>
      <c r="F127">
        <v>928139.8</v>
      </c>
      <c r="G127">
        <v>4.3250000000000002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-928139.8</v>
      </c>
      <c r="R127">
        <f t="shared" ref="R127" si="612">R128+Q127</f>
        <v>-26233249.782761514</v>
      </c>
      <c r="S127">
        <f t="shared" ref="S127" si="613">R127/100000</f>
        <v>-262.33249782761516</v>
      </c>
      <c r="T127">
        <f t="shared" ref="T127" si="614">S127/1000</f>
        <v>-0.26233249782761514</v>
      </c>
    </row>
    <row r="128" spans="1:20" x14ac:dyDescent="0.25">
      <c r="A128" s="5">
        <v>44465</v>
      </c>
      <c r="B128">
        <v>4.7519999999999998</v>
      </c>
      <c r="C128">
        <v>4.7610000000000001</v>
      </c>
      <c r="D128">
        <v>4.1369999999999996</v>
      </c>
      <c r="E128">
        <v>4.5330000000000004</v>
      </c>
      <c r="F128">
        <v>647908.74</v>
      </c>
      <c r="G128">
        <v>4.5330000000000004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0.26923076923077066</v>
      </c>
      <c r="Q128">
        <f t="shared" ref="Q128" si="616">F128*P128</f>
        <v>174436.96846153939</v>
      </c>
      <c r="R128">
        <f t="shared" ref="R128" si="617">R129+Q128</f>
        <v>-25305109.982761513</v>
      </c>
      <c r="S128">
        <f t="shared" ref="S128" si="618">R128/100000</f>
        <v>-253.05109982761513</v>
      </c>
      <c r="T128">
        <f t="shared" ref="T128" si="619">S128/1000</f>
        <v>-0.25305109982761514</v>
      </c>
    </row>
    <row r="129" spans="1:20" x14ac:dyDescent="0.25">
      <c r="A129" s="5">
        <v>44464</v>
      </c>
      <c r="B129">
        <v>4.7519999999999998</v>
      </c>
      <c r="C129">
        <v>5.04</v>
      </c>
      <c r="D129">
        <v>4.601</v>
      </c>
      <c r="E129">
        <v>4.758</v>
      </c>
      <c r="F129">
        <v>945886.8</v>
      </c>
      <c r="G129">
        <v>4.758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-0.28473804100227784</v>
      </c>
      <c r="Q129">
        <f t="shared" ref="Q129" si="621">F129*P129</f>
        <v>-269329.9544419134</v>
      </c>
      <c r="R129">
        <f t="shared" ref="R129" si="622">R130+Q129</f>
        <v>-25479546.951223053</v>
      </c>
      <c r="S129">
        <f t="shared" ref="S129" si="623">R129/100000</f>
        <v>-254.79546951223054</v>
      </c>
      <c r="T129">
        <f t="shared" ref="T129" si="624">S129/1000</f>
        <v>-0.25479546951223053</v>
      </c>
    </row>
    <row r="130" spans="1:20" x14ac:dyDescent="0.25">
      <c r="A130" s="5">
        <v>44463</v>
      </c>
      <c r="B130">
        <v>5.1879999999999997</v>
      </c>
      <c r="C130">
        <v>5.2409999999999997</v>
      </c>
      <c r="D130">
        <v>4.3120000000000003</v>
      </c>
      <c r="E130">
        <v>4.7489999999999997</v>
      </c>
      <c r="F130">
        <v>1026143.12</v>
      </c>
      <c r="G130">
        <v>4.7489999999999997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-5.9203444564048052E-2</v>
      </c>
      <c r="Q130">
        <f t="shared" ref="Q130" si="626">F130*P130</f>
        <v>-60751.207319699308</v>
      </c>
      <c r="R130">
        <f t="shared" ref="R130" si="627">R131+Q130</f>
        <v>-25210216.996781141</v>
      </c>
      <c r="S130">
        <f t="shared" ref="S130" si="628">R130/100000</f>
        <v>-252.10216996781139</v>
      </c>
      <c r="T130">
        <f t="shared" ref="T130" si="629">S130/1000</f>
        <v>-0.25210216996781137</v>
      </c>
    </row>
    <row r="131" spans="1:20" x14ac:dyDescent="0.25">
      <c r="A131" s="5">
        <v>44462</v>
      </c>
      <c r="B131">
        <v>5.1639999999999997</v>
      </c>
      <c r="C131">
        <v>5.4240000000000004</v>
      </c>
      <c r="D131">
        <v>4.9279999999999999</v>
      </c>
      <c r="E131">
        <v>5.1879999999999997</v>
      </c>
      <c r="F131">
        <v>955038.2</v>
      </c>
      <c r="G131">
        <v>5.1879999999999997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4.8387096774191757E-2</v>
      </c>
      <c r="Q131">
        <f t="shared" ref="Q131" si="631">F131*P131</f>
        <v>46211.525806449899</v>
      </c>
      <c r="R131">
        <f t="shared" ref="R131" si="632">R132+Q131</f>
        <v>-25149465.789461441</v>
      </c>
      <c r="S131">
        <f t="shared" ref="S131" si="633">R131/100000</f>
        <v>-251.49465789461442</v>
      </c>
      <c r="T131">
        <f t="shared" ref="T131" si="634">S131/1000</f>
        <v>-0.25149465789461439</v>
      </c>
    </row>
    <row r="132" spans="1:20" x14ac:dyDescent="0.25">
      <c r="A132" s="5">
        <v>44461</v>
      </c>
      <c r="B132">
        <v>4.5330000000000004</v>
      </c>
      <c r="C132">
        <v>5.2</v>
      </c>
      <c r="D132">
        <v>4.4379999999999997</v>
      </c>
      <c r="E132">
        <v>5.1689999999999996</v>
      </c>
      <c r="F132">
        <v>510037.4</v>
      </c>
      <c r="G132">
        <v>5.1689999999999996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0.91863517060367306</v>
      </c>
      <c r="Q132">
        <f t="shared" ref="Q132" si="636">F132*P132</f>
        <v>468538.29396325385</v>
      </c>
      <c r="R132">
        <f t="shared" ref="R132" si="637">R133+Q132</f>
        <v>-25195677.315267891</v>
      </c>
      <c r="S132">
        <f t="shared" ref="S132" si="638">R132/100000</f>
        <v>-251.95677315267892</v>
      </c>
      <c r="T132">
        <f t="shared" ref="T132" si="639">S132/1000</f>
        <v>-0.25195677315267895</v>
      </c>
    </row>
    <row r="133" spans="1:20" x14ac:dyDescent="0.25">
      <c r="A133" s="5">
        <v>44460</v>
      </c>
      <c r="B133">
        <v>4.907</v>
      </c>
      <c r="C133">
        <v>5.0970000000000004</v>
      </c>
      <c r="D133">
        <v>4.3769999999999998</v>
      </c>
      <c r="E133">
        <v>4.532</v>
      </c>
      <c r="F133">
        <v>549440.82999999996</v>
      </c>
      <c r="G133">
        <v>4.532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-0.56944444444444409</v>
      </c>
      <c r="Q133">
        <f t="shared" ref="Q133" si="641">F133*P133</f>
        <v>-312876.0281944442</v>
      </c>
      <c r="R133">
        <f t="shared" ref="R133" si="642">R134+Q133</f>
        <v>-25664215.609231144</v>
      </c>
      <c r="S133">
        <f t="shared" ref="S133" si="643">R133/100000</f>
        <v>-256.64215609231144</v>
      </c>
      <c r="T133">
        <f t="shared" ref="T133" si="644">S133/1000</f>
        <v>-0.25664215609231145</v>
      </c>
    </row>
    <row r="134" spans="1:20" x14ac:dyDescent="0.25">
      <c r="A134" s="5">
        <v>44459</v>
      </c>
      <c r="B134">
        <v>5.9630000000000001</v>
      </c>
      <c r="C134">
        <v>5.9960000000000004</v>
      </c>
      <c r="D134">
        <v>5.3620000000000001</v>
      </c>
      <c r="E134">
        <v>5.4820000000000002</v>
      </c>
      <c r="F134">
        <v>466873.2</v>
      </c>
      <c r="G134">
        <v>5.4820000000000002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-0.62145110410094628</v>
      </c>
      <c r="Q134">
        <f t="shared" ref="Q134" si="646">F134*P134</f>
        <v>-290138.86561514193</v>
      </c>
      <c r="R134">
        <f t="shared" ref="R134" si="647">R135+Q134</f>
        <v>-25351339.581036702</v>
      </c>
      <c r="S134">
        <f t="shared" ref="S134" si="648">R134/100000</f>
        <v>-253.51339581036703</v>
      </c>
      <c r="T134">
        <f t="shared" ref="T134" si="649">S134/1000</f>
        <v>-0.25351339581036703</v>
      </c>
    </row>
    <row r="135" spans="1:20" x14ac:dyDescent="0.25">
      <c r="A135" s="5">
        <v>44458</v>
      </c>
      <c r="B135">
        <v>6.1189999999999998</v>
      </c>
      <c r="C135">
        <v>7.05</v>
      </c>
      <c r="D135">
        <v>5.9029999999999996</v>
      </c>
      <c r="E135">
        <v>5.96</v>
      </c>
      <c r="F135">
        <v>2004884.1</v>
      </c>
      <c r="G135">
        <v>5.96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-0.90061028770706131</v>
      </c>
      <c r="Q135">
        <f t="shared" ref="Q135" si="651">F135*P135</f>
        <v>-1805619.2461203127</v>
      </c>
      <c r="R135">
        <f t="shared" ref="R135" si="652">R136+Q135</f>
        <v>-25061200.715421561</v>
      </c>
      <c r="S135">
        <f t="shared" ref="S135" si="653">R135/100000</f>
        <v>-250.6120071542156</v>
      </c>
      <c r="T135">
        <f t="shared" ref="T135" si="654">S135/1000</f>
        <v>-0.25061200715421561</v>
      </c>
    </row>
    <row r="136" spans="1:20" x14ac:dyDescent="0.25">
      <c r="A136" s="5">
        <v>44457</v>
      </c>
      <c r="B136">
        <v>5.8410000000000002</v>
      </c>
      <c r="C136">
        <v>7.08</v>
      </c>
      <c r="D136">
        <v>5.8289999999999997</v>
      </c>
      <c r="E136">
        <v>6.1120000000000001</v>
      </c>
      <c r="F136">
        <v>1860180.9</v>
      </c>
      <c r="G136">
        <v>6.1120000000000001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-0.54756195043964784</v>
      </c>
      <c r="Q136">
        <f t="shared" ref="Q136" si="656">F136*P136</f>
        <v>-1018564.2817745794</v>
      </c>
      <c r="R136">
        <f t="shared" ref="R136" si="657">R137+Q136</f>
        <v>-23255581.46930125</v>
      </c>
      <c r="S136">
        <f t="shared" ref="S136" si="658">R136/100000</f>
        <v>-232.55581469301251</v>
      </c>
      <c r="T136">
        <f t="shared" ref="T136" si="659">S136/1000</f>
        <v>-0.23255581469301251</v>
      </c>
    </row>
    <row r="137" spans="1:20" x14ac:dyDescent="0.25">
      <c r="A137" s="5">
        <v>44456</v>
      </c>
      <c r="B137">
        <v>6.0510000000000002</v>
      </c>
      <c r="C137">
        <v>6.0549999999999997</v>
      </c>
      <c r="D137">
        <v>5.7290000000000001</v>
      </c>
      <c r="E137">
        <v>5.8470000000000004</v>
      </c>
      <c r="F137">
        <v>275647.40000000002</v>
      </c>
      <c r="G137">
        <v>5.8470000000000004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-0.27607361963189903</v>
      </c>
      <c r="Q137">
        <f t="shared" ref="Q137" si="661">F137*P137</f>
        <v>-76098.975460121932</v>
      </c>
      <c r="R137">
        <f t="shared" ref="R137" si="662">R138+Q137</f>
        <v>-22237017.187526669</v>
      </c>
      <c r="S137">
        <f t="shared" ref="S137" si="663">R137/100000</f>
        <v>-222.37017187526669</v>
      </c>
      <c r="T137">
        <f t="shared" ref="T137" si="664">S137/1000</f>
        <v>-0.2223701718752667</v>
      </c>
    </row>
    <row r="138" spans="1:20" x14ac:dyDescent="0.25">
      <c r="A138" s="5">
        <v>44455</v>
      </c>
      <c r="B138">
        <v>6.1669999999999998</v>
      </c>
      <c r="C138">
        <v>6.5</v>
      </c>
      <c r="D138">
        <v>5.8639999999999999</v>
      </c>
      <c r="E138">
        <v>6.0510000000000002</v>
      </c>
      <c r="F138">
        <v>706650.2</v>
      </c>
      <c r="G138">
        <v>6.0510000000000002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-0.41194968553459044</v>
      </c>
      <c r="Q138">
        <f t="shared" ref="Q138" si="666">F138*P138</f>
        <v>-291104.32767295541</v>
      </c>
      <c r="R138">
        <f t="shared" ref="R138" si="667">R139+Q138</f>
        <v>-22160918.212066546</v>
      </c>
      <c r="S138">
        <f t="shared" ref="S138" si="668">R138/100000</f>
        <v>-221.60918212066545</v>
      </c>
      <c r="T138">
        <f t="shared" ref="T138" si="669">S138/1000</f>
        <v>-0.22160918212066544</v>
      </c>
    </row>
    <row r="139" spans="1:20" x14ac:dyDescent="0.25">
      <c r="A139" s="5">
        <v>44454</v>
      </c>
      <c r="B139">
        <v>5.9870000000000001</v>
      </c>
      <c r="C139">
        <v>6.5439999999999996</v>
      </c>
      <c r="D139">
        <v>5.8929999999999998</v>
      </c>
      <c r="E139">
        <v>6.1669999999999998</v>
      </c>
      <c r="F139">
        <v>948108.7</v>
      </c>
      <c r="G139">
        <v>6.1669999999999998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-0.15821812596006113</v>
      </c>
      <c r="Q139">
        <f t="shared" ref="Q139" si="671">F139*P139</f>
        <v>-150007.98172042982</v>
      </c>
      <c r="R139">
        <f t="shared" ref="R139" si="672">R140+Q139</f>
        <v>-21869813.884393591</v>
      </c>
      <c r="S139">
        <f t="shared" ref="S139" si="673">R139/100000</f>
        <v>-218.69813884393591</v>
      </c>
      <c r="T139">
        <f t="shared" ref="T139" si="674">S139/1000</f>
        <v>-0.21869813884393591</v>
      </c>
    </row>
    <row r="140" spans="1:20" x14ac:dyDescent="0.25">
      <c r="A140" s="5">
        <v>44453</v>
      </c>
      <c r="B140">
        <v>5.5679999999999996</v>
      </c>
      <c r="C140">
        <v>6.0940000000000003</v>
      </c>
      <c r="D140">
        <v>5.5419999999999998</v>
      </c>
      <c r="E140">
        <v>5.9859999999999998</v>
      </c>
      <c r="F140">
        <v>484462.9</v>
      </c>
      <c r="G140">
        <v>5.9859999999999998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0.60869565217391142</v>
      </c>
      <c r="Q140">
        <f t="shared" ref="Q140" si="676">F140*P140</f>
        <v>294890.46086956444</v>
      </c>
      <c r="R140">
        <f t="shared" ref="R140" si="677">R141+Q140</f>
        <v>-21719805.902673163</v>
      </c>
      <c r="S140">
        <f t="shared" ref="S140" si="678">R140/100000</f>
        <v>-217.19805902673161</v>
      </c>
      <c r="T140">
        <f t="shared" ref="T140" si="679">S140/1000</f>
        <v>-0.21719805902673162</v>
      </c>
    </row>
    <row r="141" spans="1:20" x14ac:dyDescent="0.25">
      <c r="A141" s="5">
        <v>44452</v>
      </c>
      <c r="B141">
        <v>6.0389999999999997</v>
      </c>
      <c r="C141">
        <v>6.0940000000000003</v>
      </c>
      <c r="D141">
        <v>5.3440000000000003</v>
      </c>
      <c r="E141">
        <v>5.5789999999999997</v>
      </c>
      <c r="F141">
        <v>525841.69999999995</v>
      </c>
      <c r="G141">
        <v>5.5789999999999997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-0.37333333333333485</v>
      </c>
      <c r="Q141">
        <f t="shared" ref="Q141" si="681">F141*P141</f>
        <v>-196314.23466666744</v>
      </c>
      <c r="R141">
        <f t="shared" ref="R141" si="682">R142+Q141</f>
        <v>-22014696.363542728</v>
      </c>
      <c r="S141">
        <f t="shared" ref="S141" si="683">R141/100000</f>
        <v>-220.14696363542728</v>
      </c>
      <c r="T141">
        <f t="shared" ref="T141" si="684">S141/1000</f>
        <v>-0.2201469636354273</v>
      </c>
    </row>
    <row r="142" spans="1:20" x14ac:dyDescent="0.25">
      <c r="A142" s="5">
        <v>44451</v>
      </c>
      <c r="B142">
        <v>5.4960000000000004</v>
      </c>
      <c r="C142">
        <v>6.3310000000000004</v>
      </c>
      <c r="D142">
        <v>5.4820000000000002</v>
      </c>
      <c r="E142">
        <v>6.0389999999999997</v>
      </c>
      <c r="F142">
        <v>891695</v>
      </c>
      <c r="G142">
        <v>6.0389999999999997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0.31213191990576999</v>
      </c>
      <c r="Q142">
        <f t="shared" ref="Q142" si="686">F142*P142</f>
        <v>278326.47232037556</v>
      </c>
      <c r="R142">
        <f t="shared" ref="R142" si="687">R143+Q142</f>
        <v>-21818382.12887606</v>
      </c>
      <c r="S142">
        <f t="shared" ref="S142" si="688">R142/100000</f>
        <v>-218.18382128876061</v>
      </c>
      <c r="T142">
        <f t="shared" ref="T142" si="689">S142/1000</f>
        <v>-0.2181838212887606</v>
      </c>
    </row>
    <row r="143" spans="1:20" x14ac:dyDescent="0.25">
      <c r="A143" s="5">
        <v>44450</v>
      </c>
      <c r="B143">
        <v>5.4320000000000004</v>
      </c>
      <c r="C143">
        <v>5.742</v>
      </c>
      <c r="D143">
        <v>5.3609999999999998</v>
      </c>
      <c r="E143">
        <v>5.492</v>
      </c>
      <c r="F143">
        <v>400694.7</v>
      </c>
      <c r="G143">
        <v>5.492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-0.31233595800524855</v>
      </c>
      <c r="Q143">
        <f t="shared" ref="Q143" si="691">F143*P143</f>
        <v>-125151.36299212567</v>
      </c>
      <c r="R143">
        <f t="shared" ref="R143" si="692">R144+Q143</f>
        <v>-22096708.601196434</v>
      </c>
      <c r="S143">
        <f t="shared" ref="S143" si="693">R143/100000</f>
        <v>-220.96708601196434</v>
      </c>
      <c r="T143">
        <f t="shared" ref="T143" si="694">S143/1000</f>
        <v>-0.22096708601196435</v>
      </c>
    </row>
    <row r="144" spans="1:20" x14ac:dyDescent="0.25">
      <c r="A144" s="5">
        <v>44449</v>
      </c>
      <c r="B144">
        <v>5.8760000000000003</v>
      </c>
      <c r="C144">
        <v>6.2</v>
      </c>
      <c r="D144">
        <v>5.258</v>
      </c>
      <c r="E144">
        <v>5.4349999999999996</v>
      </c>
      <c r="F144">
        <v>692715.9</v>
      </c>
      <c r="G144">
        <v>5.4349999999999996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-0.62420382165605182</v>
      </c>
      <c r="Q144">
        <f t="shared" ref="Q144" si="696">F144*P144</f>
        <v>-432395.91210191144</v>
      </c>
      <c r="R144">
        <f t="shared" ref="R144" si="697">R145+Q144</f>
        <v>-21971557.238204308</v>
      </c>
      <c r="S144">
        <f t="shared" ref="S144" si="698">R144/100000</f>
        <v>-219.71557238204309</v>
      </c>
      <c r="T144">
        <f t="shared" ref="T144" si="699">S144/1000</f>
        <v>-0.21971557238204309</v>
      </c>
    </row>
    <row r="145" spans="1:20" x14ac:dyDescent="0.25">
      <c r="A145" s="5">
        <v>44448</v>
      </c>
      <c r="B145">
        <v>5.4560000000000004</v>
      </c>
      <c r="C145">
        <v>6.31</v>
      </c>
      <c r="D145">
        <v>5.4390000000000001</v>
      </c>
      <c r="E145">
        <v>5.8760000000000003</v>
      </c>
      <c r="F145">
        <v>1005770.4</v>
      </c>
      <c r="G145">
        <v>5.8760000000000003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3.4443168771538502E-3</v>
      </c>
      <c r="Q145">
        <f t="shared" ref="Q145" si="701">F145*P145</f>
        <v>3464.1919632617787</v>
      </c>
      <c r="R145">
        <f t="shared" ref="R145" si="702">R146+Q145</f>
        <v>-21539161.326102395</v>
      </c>
      <c r="S145">
        <f t="shared" ref="S145" si="703">R145/100000</f>
        <v>-215.39161326102393</v>
      </c>
      <c r="T145">
        <f t="shared" ref="T145" si="704">S145/1000</f>
        <v>-0.21539161326102393</v>
      </c>
    </row>
    <row r="146" spans="1:20" x14ac:dyDescent="0.25">
      <c r="A146" s="5">
        <v>44447</v>
      </c>
      <c r="B146">
        <v>5.7190000000000003</v>
      </c>
      <c r="C146">
        <v>5.9660000000000002</v>
      </c>
      <c r="D146">
        <v>4.9550000000000001</v>
      </c>
      <c r="E146">
        <v>5.4539999999999997</v>
      </c>
      <c r="F146">
        <v>1112098.3999999999</v>
      </c>
      <c r="G146">
        <v>5.4539999999999997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-1.2858555885262895E-2</v>
      </c>
      <c r="Q146">
        <f t="shared" ref="Q146" si="706">F146*P146</f>
        <v>-14299.979426311447</v>
      </c>
      <c r="R146">
        <f t="shared" ref="R146" si="707">R147+Q146</f>
        <v>-21542625.518065657</v>
      </c>
      <c r="S146">
        <f t="shared" ref="S146" si="708">R146/100000</f>
        <v>-215.42625518065657</v>
      </c>
      <c r="T146">
        <f t="shared" ref="T146" si="709">S146/1000</f>
        <v>-0.21542625518065656</v>
      </c>
    </row>
    <row r="147" spans="1:20" x14ac:dyDescent="0.25">
      <c r="A147" s="5">
        <v>44446</v>
      </c>
      <c r="B147">
        <v>6.8369999999999997</v>
      </c>
      <c r="C147">
        <v>6.8840000000000003</v>
      </c>
      <c r="D147">
        <v>5.101</v>
      </c>
      <c r="E147">
        <v>5.718</v>
      </c>
      <c r="F147">
        <v>1546082.6</v>
      </c>
      <c r="G147">
        <v>5.718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-0.30790802019069002</v>
      </c>
      <c r="Q147">
        <f t="shared" ref="Q147" si="711">F147*P147</f>
        <v>-476051.23241727456</v>
      </c>
      <c r="R147">
        <f t="shared" ref="R147" si="712">R148+Q147</f>
        <v>-21528325.538639344</v>
      </c>
      <c r="S147">
        <f t="shared" ref="S147" si="713">R147/100000</f>
        <v>-215.28325538639345</v>
      </c>
      <c r="T147">
        <f t="shared" ref="T147" si="714">S147/1000</f>
        <v>-0.21528325538639345</v>
      </c>
    </row>
    <row r="148" spans="1:20" x14ac:dyDescent="0.25">
      <c r="A148" s="5">
        <v>44445</v>
      </c>
      <c r="B148">
        <v>6.867</v>
      </c>
      <c r="C148">
        <v>7.07</v>
      </c>
      <c r="D148">
        <v>6.5380000000000003</v>
      </c>
      <c r="E148">
        <v>6.85</v>
      </c>
      <c r="F148">
        <v>1149182</v>
      </c>
      <c r="G148">
        <v>6.85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0.1729323308270653</v>
      </c>
      <c r="Q148">
        <f t="shared" ref="Q148" si="716">F148*P148</f>
        <v>198730.72180450856</v>
      </c>
      <c r="R148">
        <f t="shared" ref="R148" si="717">R149+Q148</f>
        <v>-21052274.30622207</v>
      </c>
      <c r="S148">
        <f t="shared" ref="S148" si="718">R148/100000</f>
        <v>-210.52274306222071</v>
      </c>
      <c r="T148">
        <f t="shared" ref="T148" si="719">S148/1000</f>
        <v>-0.21052274306222071</v>
      </c>
    </row>
    <row r="149" spans="1:20" x14ac:dyDescent="0.25">
      <c r="A149" s="5">
        <v>44444</v>
      </c>
      <c r="B149">
        <v>6.8929999999999998</v>
      </c>
      <c r="C149">
        <v>7.1639999999999997</v>
      </c>
      <c r="D149">
        <v>6.718</v>
      </c>
      <c r="E149">
        <v>6.8810000000000002</v>
      </c>
      <c r="F149">
        <v>1146193.6000000001</v>
      </c>
      <c r="G149">
        <v>6.8810000000000002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-0.26905829596412395</v>
      </c>
      <c r="Q149">
        <f t="shared" ref="Q149" si="721">F149*P149</f>
        <v>-308392.89686098474</v>
      </c>
      <c r="R149">
        <f t="shared" ref="R149" si="722">R150+Q149</f>
        <v>-21251005.028026577</v>
      </c>
      <c r="S149">
        <f t="shared" ref="S149" si="723">R149/100000</f>
        <v>-212.51005028026577</v>
      </c>
      <c r="T149">
        <f t="shared" ref="T149" si="724">S149/1000</f>
        <v>-0.21251005028026576</v>
      </c>
    </row>
    <row r="150" spans="1:20" x14ac:dyDescent="0.25">
      <c r="A150" s="5">
        <v>44443</v>
      </c>
      <c r="B150">
        <v>7.2640000000000002</v>
      </c>
      <c r="C150">
        <v>7.3209999999999997</v>
      </c>
      <c r="D150">
        <v>6.8259999999999996</v>
      </c>
      <c r="E150">
        <v>6.8860000000000001</v>
      </c>
      <c r="F150">
        <v>1522906.3</v>
      </c>
      <c r="G150">
        <v>6.8860000000000001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-0.75757575757575557</v>
      </c>
      <c r="Q150">
        <f t="shared" ref="Q150" si="726">F150*P150</f>
        <v>-1153716.893939391</v>
      </c>
      <c r="R150">
        <f t="shared" ref="R150" si="727">R151+Q150</f>
        <v>-20942612.131165594</v>
      </c>
      <c r="S150">
        <f t="shared" ref="S150" si="728">R150/100000</f>
        <v>-209.42612131165595</v>
      </c>
      <c r="T150">
        <f t="shared" ref="T150" si="729">S150/1000</f>
        <v>-0.20942612131165594</v>
      </c>
    </row>
    <row r="151" spans="1:20" x14ac:dyDescent="0.25">
      <c r="A151" s="5">
        <v>44442</v>
      </c>
      <c r="B151">
        <v>7.069</v>
      </c>
      <c r="C151">
        <v>8.49</v>
      </c>
      <c r="D151">
        <v>6.6970000000000001</v>
      </c>
      <c r="E151">
        <v>7.2610000000000001</v>
      </c>
      <c r="F151">
        <v>9949405.8000000007</v>
      </c>
      <c r="G151">
        <v>7.2610000000000001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-0.37088678192972668</v>
      </c>
      <c r="Q151">
        <f t="shared" ref="Q151" si="731">F151*P151</f>
        <v>-3690103.099274958</v>
      </c>
      <c r="R151">
        <f t="shared" ref="R151" si="732">R152+Q151</f>
        <v>-19788895.237226203</v>
      </c>
      <c r="S151">
        <f t="shared" ref="S151" si="733">R151/100000</f>
        <v>-197.88895237226203</v>
      </c>
      <c r="T151">
        <f t="shared" ref="T151" si="734">S151/1000</f>
        <v>-0.19788895237226203</v>
      </c>
    </row>
    <row r="152" spans="1:20" x14ac:dyDescent="0.25">
      <c r="A152" s="5">
        <v>44441</v>
      </c>
      <c r="B152">
        <v>5.2679999999999998</v>
      </c>
      <c r="C152">
        <v>8.7550000000000008</v>
      </c>
      <c r="D152">
        <v>5.2149999999999999</v>
      </c>
      <c r="E152">
        <v>7.0709999999999997</v>
      </c>
      <c r="F152">
        <v>17201638.23</v>
      </c>
      <c r="G152">
        <v>7.0709999999999997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4.8587570621468582E-2</v>
      </c>
      <c r="Q152">
        <f t="shared" ref="Q152" si="736">F152*P152</f>
        <v>835785.81230507884</v>
      </c>
      <c r="R152">
        <f t="shared" ref="R152" si="737">R153+Q152</f>
        <v>-16098792.137951244</v>
      </c>
      <c r="S152">
        <f t="shared" ref="S152" si="738">R152/100000</f>
        <v>-160.98792137951244</v>
      </c>
      <c r="T152">
        <f t="shared" ref="T152" si="739">S152/1000</f>
        <v>-0.16098792137951246</v>
      </c>
    </row>
    <row r="153" spans="1:20" x14ac:dyDescent="0.25">
      <c r="A153" s="5">
        <v>44440</v>
      </c>
      <c r="B153">
        <v>5.0990000000000002</v>
      </c>
      <c r="C153">
        <v>5.45</v>
      </c>
      <c r="D153">
        <v>4.9569999999999999</v>
      </c>
      <c r="E153">
        <v>5.27</v>
      </c>
      <c r="F153">
        <v>1162328.3</v>
      </c>
      <c r="G153">
        <v>5.27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0.26977687626774649</v>
      </c>
      <c r="Q153">
        <f t="shared" ref="Q153" si="741">F153*P153</f>
        <v>313569.29797160014</v>
      </c>
      <c r="R153">
        <f t="shared" ref="R153" si="742">R154+Q153</f>
        <v>-16934577.950256322</v>
      </c>
      <c r="S153">
        <f t="shared" ref="S153" si="743">R153/100000</f>
        <v>-169.3457795025632</v>
      </c>
      <c r="T153">
        <f t="shared" ref="T153" si="744">S153/1000</f>
        <v>-0.16934577950256322</v>
      </c>
    </row>
    <row r="154" spans="1:20" x14ac:dyDescent="0.25">
      <c r="A154" s="5">
        <v>44439</v>
      </c>
      <c r="B154">
        <v>4.68</v>
      </c>
      <c r="C154">
        <v>5.5359999999999996</v>
      </c>
      <c r="D154">
        <v>4.6289999999999996</v>
      </c>
      <c r="E154">
        <v>5.1020000000000003</v>
      </c>
      <c r="F154">
        <v>1465170.48</v>
      </c>
      <c r="G154">
        <v>5.1020000000000003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4.2998897464169211E-2</v>
      </c>
      <c r="Q154">
        <f t="shared" ref="Q154" si="746">F154*P154</f>
        <v>63000.715237047589</v>
      </c>
      <c r="R154">
        <f t="shared" ref="R154" si="747">R155+Q154</f>
        <v>-17248147.24822792</v>
      </c>
      <c r="S154">
        <f t="shared" ref="S154" si="748">R154/100000</f>
        <v>-172.4814724822792</v>
      </c>
      <c r="T154">
        <f t="shared" ref="T154" si="749">S154/1000</f>
        <v>-0.17248147248227921</v>
      </c>
    </row>
    <row r="155" spans="1:20" x14ac:dyDescent="0.25">
      <c r="A155" s="5">
        <v>44438</v>
      </c>
      <c r="B155">
        <v>4.952</v>
      </c>
      <c r="C155">
        <v>4.968</v>
      </c>
      <c r="D155">
        <v>4.6390000000000002</v>
      </c>
      <c r="E155">
        <v>4.6719999999999997</v>
      </c>
      <c r="F155">
        <v>335110.40000000002</v>
      </c>
      <c r="G155">
        <v>4.6719999999999997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-0.79939209726444072</v>
      </c>
      <c r="Q155">
        <f t="shared" ref="Q155" si="751">F155*P155</f>
        <v>-267884.60547112563</v>
      </c>
      <c r="R155">
        <f t="shared" ref="R155" si="752">R156+Q155</f>
        <v>-17311147.963464968</v>
      </c>
      <c r="S155">
        <f t="shared" ref="S155" si="753">R155/100000</f>
        <v>-173.11147963464967</v>
      </c>
      <c r="T155">
        <f t="shared" ref="T155" si="754">S155/1000</f>
        <v>-0.17311147963464968</v>
      </c>
    </row>
    <row r="156" spans="1:20" x14ac:dyDescent="0.25">
      <c r="A156" s="5">
        <v>44437</v>
      </c>
      <c r="B156">
        <v>4.8810000000000002</v>
      </c>
      <c r="C156">
        <v>5.0049999999999999</v>
      </c>
      <c r="D156">
        <v>4.7409999999999997</v>
      </c>
      <c r="E156">
        <v>4.952</v>
      </c>
      <c r="F156">
        <v>294927.24</v>
      </c>
      <c r="G156">
        <v>4.952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0.59848484848484929</v>
      </c>
      <c r="Q156">
        <f t="shared" ref="Q156" si="756">F156*P156</f>
        <v>176509.48454545479</v>
      </c>
      <c r="R156">
        <f t="shared" ref="R156" si="757">R157+Q156</f>
        <v>-17043263.357993841</v>
      </c>
      <c r="S156">
        <f t="shared" ref="S156" si="758">R156/100000</f>
        <v>-170.43263357993843</v>
      </c>
      <c r="T156">
        <f t="shared" ref="T156" si="759">S156/1000</f>
        <v>-0.17043263357993843</v>
      </c>
    </row>
    <row r="157" spans="1:20" x14ac:dyDescent="0.25">
      <c r="A157" s="5">
        <v>44436</v>
      </c>
      <c r="B157">
        <v>4.8890000000000002</v>
      </c>
      <c r="C157">
        <v>4.9580000000000002</v>
      </c>
      <c r="D157">
        <v>4.7969999999999997</v>
      </c>
      <c r="E157">
        <v>4.8719999999999999</v>
      </c>
      <c r="F157">
        <v>247558.8</v>
      </c>
      <c r="G157">
        <v>4.8719999999999999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-6.8322981366460173E-2</v>
      </c>
      <c r="Q157">
        <f t="shared" ref="Q157" si="761">F157*P157</f>
        <v>-16913.95527950324</v>
      </c>
      <c r="R157">
        <f t="shared" ref="R157" si="762">R158+Q157</f>
        <v>-17219772.842539296</v>
      </c>
      <c r="S157">
        <f t="shared" ref="S157" si="763">R157/100000</f>
        <v>-172.19772842539297</v>
      </c>
      <c r="T157">
        <f t="shared" ref="T157" si="764">S157/1000</f>
        <v>-0.17219772842539297</v>
      </c>
    </row>
    <row r="158" spans="1:20" x14ac:dyDescent="0.25">
      <c r="A158" s="5">
        <v>44435</v>
      </c>
      <c r="B158">
        <v>4.6230000000000002</v>
      </c>
      <c r="C158">
        <v>4.931</v>
      </c>
      <c r="D158">
        <v>4.5140000000000002</v>
      </c>
      <c r="E158">
        <v>4.8739999999999997</v>
      </c>
      <c r="F158">
        <v>399292.97</v>
      </c>
      <c r="G158">
        <v>4.8739999999999997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0.72661870503596926</v>
      </c>
      <c r="Q158">
        <f t="shared" ref="Q158" si="766">F158*P158</f>
        <v>290133.74079136609</v>
      </c>
      <c r="R158">
        <f t="shared" ref="R158" si="767">R159+Q158</f>
        <v>-17202858.887259793</v>
      </c>
      <c r="S158">
        <f t="shared" ref="S158" si="768">R158/100000</f>
        <v>-172.02858887259794</v>
      </c>
      <c r="T158">
        <f t="shared" ref="T158" si="769">S158/1000</f>
        <v>-0.17202858887259795</v>
      </c>
    </row>
    <row r="159" spans="1:20" x14ac:dyDescent="0.25">
      <c r="A159" s="5">
        <v>44434</v>
      </c>
      <c r="B159">
        <v>5.1738</v>
      </c>
      <c r="C159">
        <v>5.1917</v>
      </c>
      <c r="D159">
        <v>4.6040000000000001</v>
      </c>
      <c r="E159">
        <v>4.6180000000000003</v>
      </c>
      <c r="F159">
        <v>601715.72</v>
      </c>
      <c r="G159">
        <v>4.6180000000000003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-0.95235664454653657</v>
      </c>
      <c r="Q159">
        <f t="shared" ref="Q159" si="771">F159*P159</f>
        <v>-573047.96407010325</v>
      </c>
      <c r="R159">
        <f t="shared" ref="R159" si="772">R160+Q159</f>
        <v>-17492992.628051158</v>
      </c>
      <c r="S159">
        <f t="shared" ref="S159" si="773">R159/100000</f>
        <v>-174.92992628051158</v>
      </c>
      <c r="T159">
        <f t="shared" ref="T159" si="774">S159/1000</f>
        <v>-0.17492992628051157</v>
      </c>
    </row>
    <row r="160" spans="1:20" x14ac:dyDescent="0.25">
      <c r="A160" s="5">
        <v>44433</v>
      </c>
      <c r="B160">
        <v>4.9339000000000004</v>
      </c>
      <c r="C160">
        <v>5.1875999999999998</v>
      </c>
      <c r="D160">
        <v>4.7549999999999999</v>
      </c>
      <c r="E160">
        <v>5.1611000000000002</v>
      </c>
      <c r="F160">
        <v>748148.59</v>
      </c>
      <c r="G160">
        <v>5.1611000000000002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0.87748497457235541</v>
      </c>
      <c r="Q160">
        <f t="shared" ref="Q160" si="776">F160*P160</f>
        <v>656489.14647249354</v>
      </c>
      <c r="R160">
        <f t="shared" ref="R160" si="777">R161+Q160</f>
        <v>-16919944.663981054</v>
      </c>
      <c r="S160">
        <f t="shared" ref="S160" si="778">R160/100000</f>
        <v>-169.19944663981053</v>
      </c>
      <c r="T160">
        <f t="shared" ref="T160" si="779">S160/1000</f>
        <v>-0.16919944663981054</v>
      </c>
    </row>
    <row r="161" spans="1:20" x14ac:dyDescent="0.25">
      <c r="A161" s="5">
        <v>44432</v>
      </c>
      <c r="B161">
        <v>5.4737</v>
      </c>
      <c r="C161">
        <v>5.55</v>
      </c>
      <c r="D161">
        <v>4.9294000000000002</v>
      </c>
      <c r="E161">
        <v>4.9481000000000002</v>
      </c>
      <c r="F161">
        <v>656842.65</v>
      </c>
      <c r="G161">
        <v>4.9481000000000002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-0.93973573960683221</v>
      </c>
      <c r="Q161">
        <f t="shared" ref="Q161" si="781">F161*P161</f>
        <v>-617258.51350306161</v>
      </c>
      <c r="R161">
        <f t="shared" ref="R161" si="782">R162+Q161</f>
        <v>-17576433.810453549</v>
      </c>
      <c r="S161">
        <f t="shared" ref="S161" si="783">R161/100000</f>
        <v>-175.76433810453548</v>
      </c>
      <c r="T161">
        <f t="shared" ref="T161" si="784">S161/1000</f>
        <v>-0.17576433810453548</v>
      </c>
    </row>
    <row r="162" spans="1:20" x14ac:dyDescent="0.25">
      <c r="A162" s="5">
        <v>44431</v>
      </c>
      <c r="B162">
        <v>5.2984999999999998</v>
      </c>
      <c r="C162">
        <v>5.5735000000000001</v>
      </c>
      <c r="D162">
        <v>5.26</v>
      </c>
      <c r="E162">
        <v>5.4596</v>
      </c>
      <c r="F162">
        <v>686868.27</v>
      </c>
      <c r="G162">
        <v>5.4596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0.27336523125996814</v>
      </c>
      <c r="Q162">
        <f t="shared" ref="Q162" si="786">F162*P162</f>
        <v>187765.90347368424</v>
      </c>
      <c r="R162">
        <f t="shared" ref="R162" si="787">R163+Q162</f>
        <v>-16959175.296950489</v>
      </c>
      <c r="S162">
        <f t="shared" ref="S162" si="788">R162/100000</f>
        <v>-169.59175296950488</v>
      </c>
      <c r="T162">
        <f t="shared" ref="T162" si="789">S162/1000</f>
        <v>-0.16959175296950488</v>
      </c>
    </row>
    <row r="163" spans="1:20" x14ac:dyDescent="0.25">
      <c r="A163" s="5">
        <v>44430</v>
      </c>
      <c r="B163">
        <v>5.3855000000000004</v>
      </c>
      <c r="C163">
        <v>5.4893000000000001</v>
      </c>
      <c r="D163">
        <v>5.2826000000000004</v>
      </c>
      <c r="E163">
        <v>5.38</v>
      </c>
      <c r="F163">
        <v>158902.42000000001</v>
      </c>
      <c r="G163">
        <v>5.38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-5.7571359458155336E-2</v>
      </c>
      <c r="Q163">
        <f t="shared" ref="Q163" si="791">F163*P163</f>
        <v>-9148.2283405907729</v>
      </c>
      <c r="R163">
        <f t="shared" ref="R163" si="792">R164+Q163</f>
        <v>-17146941.200424172</v>
      </c>
      <c r="S163">
        <f t="shared" ref="S163" si="793">R163/100000</f>
        <v>-171.46941200424172</v>
      </c>
      <c r="T163">
        <f t="shared" ref="T163" si="794">S163/1000</f>
        <v>-0.17146941200424171</v>
      </c>
    </row>
    <row r="164" spans="1:20" x14ac:dyDescent="0.25">
      <c r="A164" s="5">
        <v>44429</v>
      </c>
      <c r="B164">
        <v>5.1397000000000004</v>
      </c>
      <c r="C164">
        <v>5.6398999999999999</v>
      </c>
      <c r="D164">
        <v>5.0583999999999998</v>
      </c>
      <c r="E164">
        <v>5.3855000000000004</v>
      </c>
      <c r="F164">
        <v>960617.02</v>
      </c>
      <c r="G164">
        <v>5.3855000000000004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0.12502149613069832</v>
      </c>
      <c r="Q164">
        <f t="shared" ref="Q164" si="796">F164*P164</f>
        <v>120097.77704901296</v>
      </c>
      <c r="R164">
        <f t="shared" ref="R164" si="797">R165+Q164</f>
        <v>-17137792.97208358</v>
      </c>
      <c r="S164">
        <f t="shared" ref="S164" si="798">R164/100000</f>
        <v>-171.37792972083579</v>
      </c>
      <c r="T164">
        <f t="shared" ref="T164" si="799">S164/1000</f>
        <v>-0.17137792972083579</v>
      </c>
    </row>
    <row r="165" spans="1:20" x14ac:dyDescent="0.25">
      <c r="A165" s="5">
        <v>44428</v>
      </c>
      <c r="B165">
        <v>4.8116000000000003</v>
      </c>
      <c r="C165">
        <v>5.1999000000000004</v>
      </c>
      <c r="D165">
        <v>4.7980999999999998</v>
      </c>
      <c r="E165">
        <v>5.1375999999999999</v>
      </c>
      <c r="F165">
        <v>995012.59</v>
      </c>
      <c r="G165">
        <v>5.1375999999999999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0.68989547038327337</v>
      </c>
      <c r="Q165">
        <f t="shared" ref="Q165" si="801">F165*P165</f>
        <v>686454.6788153291</v>
      </c>
      <c r="R165">
        <f t="shared" ref="R165" si="802">R166+Q165</f>
        <v>-17257890.749132592</v>
      </c>
      <c r="S165">
        <f t="shared" ref="S165" si="803">R165/100000</f>
        <v>-172.57890749132594</v>
      </c>
      <c r="T165">
        <f t="shared" ref="T165" si="804">S165/1000</f>
        <v>-0.17257890749132593</v>
      </c>
    </row>
    <row r="166" spans="1:20" x14ac:dyDescent="0.25">
      <c r="A166" s="5">
        <v>44427</v>
      </c>
      <c r="B166">
        <v>4.6604000000000001</v>
      </c>
      <c r="C166">
        <v>4.8116000000000003</v>
      </c>
      <c r="D166">
        <v>4.4471999999999996</v>
      </c>
      <c r="E166">
        <v>4.8116000000000003</v>
      </c>
      <c r="F166">
        <v>603499.53</v>
      </c>
      <c r="G166">
        <v>4.8116000000000003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1</v>
      </c>
      <c r="Q166">
        <f t="shared" ref="Q166" si="806">F166*P166</f>
        <v>603499.53</v>
      </c>
      <c r="R166">
        <f t="shared" ref="R166" si="807">R167+Q166</f>
        <v>-17944345.42794792</v>
      </c>
      <c r="S166">
        <f t="shared" ref="S166" si="808">R166/100000</f>
        <v>-179.4434542794792</v>
      </c>
      <c r="T166">
        <f t="shared" ref="T166" si="809">S166/1000</f>
        <v>-0.17944345427947919</v>
      </c>
    </row>
    <row r="167" spans="1:20" x14ac:dyDescent="0.25">
      <c r="A167" s="5">
        <v>44426</v>
      </c>
      <c r="B167">
        <v>4.7500999999999998</v>
      </c>
      <c r="C167">
        <v>4.9157000000000002</v>
      </c>
      <c r="D167">
        <v>4.5448000000000004</v>
      </c>
      <c r="E167">
        <v>4.6673</v>
      </c>
      <c r="F167">
        <v>584005.23</v>
      </c>
      <c r="G167">
        <v>4.6673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-0.33944459423025247</v>
      </c>
      <c r="Q167">
        <f t="shared" ref="Q167" si="811">F167*P167</f>
        <v>-198237.41832569527</v>
      </c>
      <c r="R167">
        <f t="shared" ref="R167" si="812">R168+Q167</f>
        <v>-18547844.957947921</v>
      </c>
      <c r="S167">
        <f t="shared" ref="S167" si="813">R167/100000</f>
        <v>-185.47844957947922</v>
      </c>
      <c r="T167">
        <f t="shared" ref="T167" si="814">S167/1000</f>
        <v>-0.1854784495794792</v>
      </c>
    </row>
    <row r="168" spans="1:20" x14ac:dyDescent="0.25">
      <c r="A168" s="5">
        <v>44425</v>
      </c>
      <c r="B168">
        <v>4.9922000000000004</v>
      </c>
      <c r="C168">
        <v>5.1798000000000002</v>
      </c>
      <c r="D168">
        <v>4.6867999999999999</v>
      </c>
      <c r="E168">
        <v>4.7487000000000004</v>
      </c>
      <c r="F168">
        <v>601985.24</v>
      </c>
      <c r="G168">
        <v>4.7487000000000004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-0.74888438133874047</v>
      </c>
      <c r="Q168">
        <f t="shared" ref="Q168" si="816">F168*P168</f>
        <v>-450817.3440324532</v>
      </c>
      <c r="R168">
        <f t="shared" ref="R168" si="817">R169+Q168</f>
        <v>-18349607.539622225</v>
      </c>
      <c r="S168">
        <f t="shared" ref="S168" si="818">R168/100000</f>
        <v>-183.49607539622224</v>
      </c>
      <c r="T168">
        <f t="shared" ref="T168" si="819">S168/1000</f>
        <v>-0.18349607539622223</v>
      </c>
    </row>
    <row r="169" spans="1:20" x14ac:dyDescent="0.25">
      <c r="A169" s="5">
        <v>44424</v>
      </c>
      <c r="B169">
        <v>5.0787000000000004</v>
      </c>
      <c r="C169">
        <v>5.3215000000000003</v>
      </c>
      <c r="D169">
        <v>4.9638</v>
      </c>
      <c r="E169">
        <v>5.0160999999999998</v>
      </c>
      <c r="F169">
        <v>771967.48</v>
      </c>
      <c r="G169">
        <v>5.0160999999999998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-0.70757618115739596</v>
      </c>
      <c r="Q169">
        <f t="shared" ref="Q169" si="821">F169*P169</f>
        <v>-546225.80147609848</v>
      </c>
      <c r="R169">
        <f t="shared" ref="R169" si="822">R170+Q169</f>
        <v>-17898790.195589773</v>
      </c>
      <c r="S169">
        <f t="shared" ref="S169" si="823">R169/100000</f>
        <v>-178.98790195589774</v>
      </c>
      <c r="T169">
        <f t="shared" ref="T169" si="824">S169/1000</f>
        <v>-0.17898790195589773</v>
      </c>
    </row>
    <row r="170" spans="1:20" x14ac:dyDescent="0.25">
      <c r="A170" s="5">
        <v>44423</v>
      </c>
      <c r="B170">
        <v>5.1615000000000002</v>
      </c>
      <c r="C170">
        <v>5.1914999999999996</v>
      </c>
      <c r="D170">
        <v>4.8449999999999998</v>
      </c>
      <c r="E170">
        <v>5.0789999999999997</v>
      </c>
      <c r="F170">
        <v>1798497.5</v>
      </c>
      <c r="G170">
        <v>5.0789999999999997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0.35064935064935132</v>
      </c>
      <c r="Q170">
        <f t="shared" ref="Q170" si="826">F170*P170</f>
        <v>630641.9805194817</v>
      </c>
      <c r="R170">
        <f t="shared" ref="R170" si="827">R171+Q170</f>
        <v>-17352564.394113675</v>
      </c>
      <c r="S170">
        <f t="shared" ref="S170" si="828">R170/100000</f>
        <v>-173.52564394113674</v>
      </c>
      <c r="T170">
        <f t="shared" ref="T170" si="829">S170/1000</f>
        <v>-0.17352564394113673</v>
      </c>
    </row>
    <row r="171" spans="1:20" x14ac:dyDescent="0.25">
      <c r="A171" s="5">
        <v>44422</v>
      </c>
      <c r="B171">
        <v>5.0186000000000002</v>
      </c>
      <c r="C171">
        <v>5.3737000000000004</v>
      </c>
      <c r="D171">
        <v>4.8266</v>
      </c>
      <c r="E171">
        <v>5.1615000000000002</v>
      </c>
      <c r="F171">
        <v>846280.74</v>
      </c>
      <c r="G171">
        <v>5.1615000000000002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0.22427344178395164</v>
      </c>
      <c r="Q171">
        <f t="shared" ref="Q171" si="831">F171*P171</f>
        <v>189798.29427526952</v>
      </c>
      <c r="R171">
        <f t="shared" ref="R171" si="832">R172+Q171</f>
        <v>-17983206.374633156</v>
      </c>
      <c r="S171">
        <f t="shared" ref="S171" si="833">R171/100000</f>
        <v>-179.83206374633156</v>
      </c>
      <c r="T171">
        <f t="shared" ref="T171" si="834">S171/1000</f>
        <v>-0.17983206374633157</v>
      </c>
    </row>
    <row r="172" spans="1:20" x14ac:dyDescent="0.25">
      <c r="A172" s="5">
        <v>44421</v>
      </c>
      <c r="B172">
        <v>4.6087999999999996</v>
      </c>
      <c r="C172">
        <v>5.0334000000000003</v>
      </c>
      <c r="D172">
        <v>4.5758999999999999</v>
      </c>
      <c r="E172">
        <v>5.0186999999999999</v>
      </c>
      <c r="F172">
        <v>556097.53</v>
      </c>
      <c r="G172">
        <v>5.0186999999999999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0.93573770491803121</v>
      </c>
      <c r="Q172">
        <f t="shared" ref="Q172" si="836">F172*P172</f>
        <v>520361.42643278604</v>
      </c>
      <c r="R172">
        <f t="shared" ref="R172" si="837">R173+Q172</f>
        <v>-18173004.668908425</v>
      </c>
      <c r="S172">
        <f t="shared" ref="S172" si="838">R172/100000</f>
        <v>-181.73004668908425</v>
      </c>
      <c r="T172">
        <f t="shared" ref="T172" si="839">S172/1000</f>
        <v>-0.18173004668908424</v>
      </c>
    </row>
    <row r="173" spans="1:20" x14ac:dyDescent="0.25">
      <c r="A173" s="5">
        <v>44420</v>
      </c>
      <c r="B173">
        <v>4.7611999999999997</v>
      </c>
      <c r="C173">
        <v>4.9400000000000004</v>
      </c>
      <c r="D173">
        <v>4.4169999999999998</v>
      </c>
      <c r="E173">
        <v>4.6087999999999996</v>
      </c>
      <c r="F173">
        <v>551776.47</v>
      </c>
      <c r="G173">
        <v>4.6087999999999996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-0.26653919694072836</v>
      </c>
      <c r="Q173">
        <f t="shared" ref="Q173" si="841">F173*P173</f>
        <v>-147070.05720458989</v>
      </c>
      <c r="R173">
        <f t="shared" ref="R173" si="842">R174+Q173</f>
        <v>-18693366.095341209</v>
      </c>
      <c r="S173">
        <f t="shared" ref="S173" si="843">R173/100000</f>
        <v>-186.9336609534121</v>
      </c>
      <c r="T173">
        <f t="shared" ref="T173" si="844">S173/1000</f>
        <v>-0.1869336609534121</v>
      </c>
    </row>
    <row r="174" spans="1:20" x14ac:dyDescent="0.25">
      <c r="A174" s="5">
        <v>44419</v>
      </c>
      <c r="B174">
        <v>4.5842999999999998</v>
      </c>
      <c r="C174">
        <v>4.9433999999999996</v>
      </c>
      <c r="D174">
        <v>4.5499000000000001</v>
      </c>
      <c r="E174">
        <v>4.7602000000000002</v>
      </c>
      <c r="F174">
        <v>1013451.92</v>
      </c>
      <c r="G174">
        <v>4.7602000000000002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6.8869123252861056E-2</v>
      </c>
      <c r="Q174">
        <f t="shared" ref="Q174" si="846">F174*P174</f>
        <v>69795.545189328681</v>
      </c>
      <c r="R174">
        <f t="shared" ref="R174" si="847">R175+Q174</f>
        <v>-18546296.03813662</v>
      </c>
      <c r="S174">
        <f t="shared" ref="S174" si="848">R174/100000</f>
        <v>-185.4629603813662</v>
      </c>
      <c r="T174">
        <f t="shared" ref="T174" si="849">S174/1000</f>
        <v>-0.1854629603813662</v>
      </c>
    </row>
    <row r="175" spans="1:20" x14ac:dyDescent="0.25">
      <c r="A175" s="5">
        <v>44418</v>
      </c>
      <c r="B175">
        <v>4.5716999999999999</v>
      </c>
      <c r="C175">
        <v>4.6428000000000003</v>
      </c>
      <c r="D175">
        <v>4.4200999999999997</v>
      </c>
      <c r="E175">
        <v>4.5867000000000004</v>
      </c>
      <c r="F175">
        <v>451828.81</v>
      </c>
      <c r="G175">
        <v>4.5867000000000004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0.49618320610687316</v>
      </c>
      <c r="Q175">
        <f t="shared" ref="Q175" si="851">F175*P175</f>
        <v>224189.86755725322</v>
      </c>
      <c r="R175">
        <f t="shared" ref="R175" si="852">R176+Q175</f>
        <v>-18616091.583325949</v>
      </c>
      <c r="S175">
        <f t="shared" ref="S175" si="853">R175/100000</f>
        <v>-186.16091583325948</v>
      </c>
      <c r="T175">
        <f t="shared" ref="T175" si="854">S175/1000</f>
        <v>-0.18616091583325947</v>
      </c>
    </row>
    <row r="176" spans="1:20" x14ac:dyDescent="0.25">
      <c r="A176" s="5">
        <v>44417</v>
      </c>
      <c r="B176">
        <v>4.3307000000000002</v>
      </c>
      <c r="C176">
        <v>4.8460000000000001</v>
      </c>
      <c r="D176">
        <v>4.2187000000000001</v>
      </c>
      <c r="E176">
        <v>4.5830000000000002</v>
      </c>
      <c r="F176">
        <v>832042.25</v>
      </c>
      <c r="G176">
        <v>4.5830000000000002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0.16148573250438414</v>
      </c>
      <c r="Q176">
        <f t="shared" ref="Q176" si="856">F176*P176</f>
        <v>134362.9522158459</v>
      </c>
      <c r="R176">
        <f t="shared" ref="R176" si="857">R177+Q176</f>
        <v>-18840281.450883202</v>
      </c>
      <c r="S176">
        <f t="shared" ref="S176" si="858">R176/100000</f>
        <v>-188.40281450883202</v>
      </c>
      <c r="T176">
        <f t="shared" ref="T176" si="859">S176/1000</f>
        <v>-0.18840281450883203</v>
      </c>
    </row>
    <row r="177" spans="1:20" x14ac:dyDescent="0.25">
      <c r="A177" s="5">
        <v>44416</v>
      </c>
      <c r="B177">
        <v>4.4203999999999999</v>
      </c>
      <c r="C177">
        <v>4.6500000000000004</v>
      </c>
      <c r="D177">
        <v>4.2270000000000003</v>
      </c>
      <c r="E177">
        <v>4.3296000000000001</v>
      </c>
      <c r="F177">
        <v>632491.32999999996</v>
      </c>
      <c r="G177">
        <v>4.3296000000000001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-0.51489361702127756</v>
      </c>
      <c r="Q177">
        <f t="shared" ref="Q177" si="861">F177*P177</f>
        <v>-325665.74863829848</v>
      </c>
      <c r="R177">
        <f t="shared" ref="R177" si="862">R178+Q177</f>
        <v>-18974644.403099049</v>
      </c>
      <c r="S177">
        <f t="shared" ref="S177" si="863">R177/100000</f>
        <v>-189.74644403099049</v>
      </c>
      <c r="T177">
        <f t="shared" ref="T177" si="864">S177/1000</f>
        <v>-0.1897464440309905</v>
      </c>
    </row>
    <row r="178" spans="1:20" x14ac:dyDescent="0.25">
      <c r="A178" s="5">
        <v>44415</v>
      </c>
      <c r="B178">
        <v>4.1456999999999997</v>
      </c>
      <c r="C178">
        <v>4.6482000000000001</v>
      </c>
      <c r="D178">
        <v>4.1100000000000003</v>
      </c>
      <c r="E178">
        <v>4.4256000000000002</v>
      </c>
      <c r="F178">
        <v>1398751.19</v>
      </c>
      <c r="G178">
        <v>4.4256000000000002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0.17279821627647715</v>
      </c>
      <c r="Q178">
        <f t="shared" ref="Q178" si="866">F178*P178</f>
        <v>241701.71064659976</v>
      </c>
      <c r="R178">
        <f t="shared" ref="R178" si="867">R179+Q178</f>
        <v>-18648978.654460751</v>
      </c>
      <c r="S178">
        <f t="shared" ref="S178" si="868">R178/100000</f>
        <v>-186.48978654460751</v>
      </c>
      <c r="T178">
        <f t="shared" ref="T178" si="869">S178/1000</f>
        <v>-0.18648978654460752</v>
      </c>
    </row>
    <row r="179" spans="1:20" x14ac:dyDescent="0.25">
      <c r="A179" s="5">
        <v>44414</v>
      </c>
      <c r="B179">
        <v>3.9266999999999999</v>
      </c>
      <c r="C179">
        <v>4.1719999999999997</v>
      </c>
      <c r="D179">
        <v>3.8464</v>
      </c>
      <c r="E179">
        <v>4.1458000000000004</v>
      </c>
      <c r="F179">
        <v>641260.76</v>
      </c>
      <c r="G179">
        <v>4.1458000000000004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0.83906633906634298</v>
      </c>
      <c r="Q179">
        <f t="shared" ref="Q179" si="871">F179*P179</f>
        <v>538060.31828010082</v>
      </c>
      <c r="R179">
        <f t="shared" ref="R179" si="872">R180+Q179</f>
        <v>-18890680.36510735</v>
      </c>
      <c r="S179">
        <f t="shared" ref="S179" si="873">R179/100000</f>
        <v>-188.90680365107349</v>
      </c>
      <c r="T179">
        <f t="shared" ref="T179" si="874">S179/1000</f>
        <v>-0.18890680365107348</v>
      </c>
    </row>
    <row r="180" spans="1:20" x14ac:dyDescent="0.25">
      <c r="A180" s="5">
        <v>44413</v>
      </c>
      <c r="B180">
        <v>3.8119000000000001</v>
      </c>
      <c r="C180">
        <v>4.109</v>
      </c>
      <c r="D180">
        <v>3.6680000000000001</v>
      </c>
      <c r="E180">
        <v>3.9266999999999999</v>
      </c>
      <c r="F180">
        <v>1086871.92</v>
      </c>
      <c r="G180">
        <v>3.9266999999999999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0.17324263038548665</v>
      </c>
      <c r="Q180">
        <f t="shared" ref="Q180" si="876">F180*P180</f>
        <v>188292.5503129242</v>
      </c>
      <c r="R180">
        <f t="shared" ref="R180" si="877">R181+Q180</f>
        <v>-19428740.683387451</v>
      </c>
      <c r="S180">
        <f t="shared" ref="S180" si="878">R180/100000</f>
        <v>-194.28740683387451</v>
      </c>
      <c r="T180">
        <f t="shared" ref="T180" si="879">S180/1000</f>
        <v>-0.19428740683387452</v>
      </c>
    </row>
    <row r="181" spans="1:20" x14ac:dyDescent="0.25">
      <c r="A181" s="5">
        <v>44412</v>
      </c>
      <c r="B181">
        <v>3.6953</v>
      </c>
      <c r="C181">
        <v>3.8531</v>
      </c>
      <c r="D181">
        <v>3.6318999999999999</v>
      </c>
      <c r="E181">
        <v>3.8046000000000002</v>
      </c>
      <c r="F181">
        <v>390766.67</v>
      </c>
      <c r="G181">
        <v>3.8046000000000002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0.56148282097649416</v>
      </c>
      <c r="Q181">
        <f t="shared" ref="Q181" si="881">F181*P181</f>
        <v>219408.77221519075</v>
      </c>
      <c r="R181">
        <f t="shared" ref="R181" si="882">R182+Q181</f>
        <v>-19617033.233700376</v>
      </c>
      <c r="S181">
        <f t="shared" ref="S181" si="883">R181/100000</f>
        <v>-196.17033233700377</v>
      </c>
      <c r="T181">
        <f t="shared" ref="T181" si="884">S181/1000</f>
        <v>-0.19617033233700376</v>
      </c>
    </row>
    <row r="182" spans="1:20" x14ac:dyDescent="0.25">
      <c r="A182" s="5">
        <v>44411</v>
      </c>
      <c r="B182">
        <v>3.8254000000000001</v>
      </c>
      <c r="C182">
        <v>3.8643000000000001</v>
      </c>
      <c r="D182">
        <v>3.6269999999999998</v>
      </c>
      <c r="E182">
        <v>3.6981999999999999</v>
      </c>
      <c r="F182">
        <v>460102.9</v>
      </c>
      <c r="G182">
        <v>3.6981999999999999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-0.39991571849978874</v>
      </c>
      <c r="Q182">
        <f t="shared" ref="Q182" si="886">F182*P182</f>
        <v>-184002.38183733646</v>
      </c>
      <c r="R182">
        <f t="shared" ref="R182" si="887">R183+Q182</f>
        <v>-19836442.005915567</v>
      </c>
      <c r="S182">
        <f t="shared" ref="S182" si="888">R182/100000</f>
        <v>-198.36442005915566</v>
      </c>
      <c r="T182">
        <f t="shared" ref="T182" si="889">S182/1000</f>
        <v>-0.19836442005915567</v>
      </c>
    </row>
    <row r="183" spans="1:20" x14ac:dyDescent="0.25">
      <c r="A183" s="5">
        <v>44410</v>
      </c>
      <c r="B183">
        <v>3.8778000000000001</v>
      </c>
      <c r="C183">
        <v>3.9590999999999998</v>
      </c>
      <c r="D183">
        <v>3.7850999999999999</v>
      </c>
      <c r="E183">
        <v>3.8254000000000001</v>
      </c>
      <c r="F183">
        <v>699492.46</v>
      </c>
      <c r="G183">
        <v>3.8254000000000001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-0.53678160919539952</v>
      </c>
      <c r="Q183">
        <f t="shared" ref="Q183" si="891">F183*P183</f>
        <v>-375474.68829884863</v>
      </c>
      <c r="R183">
        <f t="shared" ref="R183" si="892">R184+Q183</f>
        <v>-19652439.624078229</v>
      </c>
      <c r="S183">
        <f t="shared" ref="S183" si="893">R183/100000</f>
        <v>-196.52439624078229</v>
      </c>
      <c r="T183">
        <f t="shared" ref="T183" si="894">S183/1000</f>
        <v>-0.1965243962407823</v>
      </c>
    </row>
    <row r="184" spans="1:20" x14ac:dyDescent="0.25">
      <c r="A184" s="5">
        <v>44409</v>
      </c>
      <c r="B184">
        <v>4.0209999999999999</v>
      </c>
      <c r="C184">
        <v>4.1559999999999997</v>
      </c>
      <c r="D184">
        <v>3.8201000000000001</v>
      </c>
      <c r="E184">
        <v>3.8780999999999999</v>
      </c>
      <c r="F184">
        <v>660400</v>
      </c>
      <c r="G184">
        <v>3.8780999999999999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-0.65465912473950649</v>
      </c>
      <c r="Q184">
        <f t="shared" ref="Q184" si="896">F184*P184</f>
        <v>-432336.88597797009</v>
      </c>
      <c r="R184">
        <f t="shared" ref="R184" si="897">R185+Q184</f>
        <v>-19276964.935779382</v>
      </c>
      <c r="S184">
        <f t="shared" ref="S184" si="898">R184/100000</f>
        <v>-192.76964935779381</v>
      </c>
      <c r="T184">
        <f t="shared" ref="T184" si="899">S184/1000</f>
        <v>-0.19276964935779381</v>
      </c>
    </row>
    <row r="185" spans="1:20" x14ac:dyDescent="0.25">
      <c r="A185" s="5">
        <v>44408</v>
      </c>
      <c r="B185">
        <v>4.0171000000000001</v>
      </c>
      <c r="C185">
        <v>4.1391</v>
      </c>
      <c r="D185">
        <v>3.8887</v>
      </c>
      <c r="E185">
        <v>4.0113000000000003</v>
      </c>
      <c r="F185">
        <v>860287.38</v>
      </c>
      <c r="G185">
        <v>4.0113000000000003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-2.0766773162937013E-2</v>
      </c>
      <c r="Q185">
        <f t="shared" ref="Q185" si="901">F185*P185</f>
        <v>-17865.392875397396</v>
      </c>
      <c r="R185">
        <f t="shared" ref="R185" si="902">R186+Q185</f>
        <v>-18844628.049801413</v>
      </c>
      <c r="S185">
        <f t="shared" ref="S185" si="903">R185/100000</f>
        <v>-188.44628049801412</v>
      </c>
      <c r="T185">
        <f t="shared" ref="T185" si="904">S185/1000</f>
        <v>-0.18844628049801412</v>
      </c>
    </row>
    <row r="186" spans="1:20" x14ac:dyDescent="0.25">
      <c r="A186" s="5">
        <v>44407</v>
      </c>
      <c r="B186">
        <v>4.0155000000000003</v>
      </c>
      <c r="C186">
        <v>4.1161000000000003</v>
      </c>
      <c r="D186">
        <v>3.8237999999999999</v>
      </c>
      <c r="E186">
        <v>4.0171000000000001</v>
      </c>
      <c r="F186">
        <v>890912.66</v>
      </c>
      <c r="G186">
        <v>4.0171000000000001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0.32261375299349948</v>
      </c>
      <c r="Q186">
        <f t="shared" ref="Q186" si="906">F186*P186</f>
        <v>287420.67683202162</v>
      </c>
      <c r="R186">
        <f t="shared" ref="R186" si="907">R187+Q186</f>
        <v>-18826762.656926017</v>
      </c>
      <c r="S186">
        <f t="shared" ref="S186" si="908">R186/100000</f>
        <v>-188.26762656926016</v>
      </c>
      <c r="T186">
        <f t="shared" ref="T186" si="909">S186/1000</f>
        <v>-0.18826762656926016</v>
      </c>
    </row>
    <row r="187" spans="1:20" x14ac:dyDescent="0.25">
      <c r="A187" s="5">
        <v>44406</v>
      </c>
      <c r="B187">
        <v>3.9565999999999999</v>
      </c>
      <c r="C187">
        <v>4.0438000000000001</v>
      </c>
      <c r="D187">
        <v>3.8752</v>
      </c>
      <c r="E187">
        <v>4.0166000000000004</v>
      </c>
      <c r="F187">
        <v>523943.61</v>
      </c>
      <c r="G187">
        <v>4.0166000000000004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0.6773428232503006</v>
      </c>
      <c r="Q187">
        <f t="shared" ref="Q187" si="911">F187*P187</f>
        <v>354889.44402135443</v>
      </c>
      <c r="R187">
        <f t="shared" ref="R187" si="912">R188+Q187</f>
        <v>-19114183.333758038</v>
      </c>
      <c r="S187">
        <f t="shared" ref="S187" si="913">R187/100000</f>
        <v>-191.14183333758038</v>
      </c>
      <c r="T187">
        <f t="shared" ref="T187" si="914">S187/1000</f>
        <v>-0.19114183333758039</v>
      </c>
    </row>
    <row r="188" spans="1:20" x14ac:dyDescent="0.25">
      <c r="A188" s="5">
        <v>44405</v>
      </c>
      <c r="B188">
        <v>4.2256</v>
      </c>
      <c r="C188">
        <v>4.4292999999999996</v>
      </c>
      <c r="D188">
        <v>3.9045999999999998</v>
      </c>
      <c r="E188">
        <v>3.9565999999999999</v>
      </c>
      <c r="F188">
        <v>1450708.92</v>
      </c>
      <c r="G188">
        <v>3.9565999999999999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-0.80179149990470722</v>
      </c>
      <c r="Q188">
        <f t="shared" ref="Q188" si="916">F188*P188</f>
        <v>-1163166.0808919379</v>
      </c>
      <c r="R188">
        <f t="shared" ref="R188" si="917">R189+Q188</f>
        <v>-19469072.777779393</v>
      </c>
      <c r="S188">
        <f t="shared" ref="S188" si="918">R188/100000</f>
        <v>-194.69072777779394</v>
      </c>
      <c r="T188">
        <f t="shared" ref="T188" si="919">S188/1000</f>
        <v>-0.19469072777779395</v>
      </c>
    </row>
    <row r="189" spans="1:20" x14ac:dyDescent="0.25">
      <c r="A189" s="5">
        <v>44404</v>
      </c>
      <c r="B189">
        <v>3.6246999999999998</v>
      </c>
      <c r="C189">
        <v>4.54</v>
      </c>
      <c r="D189">
        <v>3.5291999999999999</v>
      </c>
      <c r="E189">
        <v>4.2344999999999997</v>
      </c>
      <c r="F189">
        <v>2093684.31</v>
      </c>
      <c r="G189">
        <v>4.2344999999999997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0.39552829442026061</v>
      </c>
      <c r="Q189">
        <f t="shared" ref="Q189" si="921">F189*P189</f>
        <v>828111.38418876019</v>
      </c>
      <c r="R189">
        <f t="shared" ref="R189" si="922">R190+Q189</f>
        <v>-18305906.696887456</v>
      </c>
      <c r="S189">
        <f t="shared" ref="S189" si="923">R189/100000</f>
        <v>-183.05906696887456</v>
      </c>
      <c r="T189">
        <f t="shared" ref="T189" si="924">S189/1000</f>
        <v>-0.18305906696887456</v>
      </c>
    </row>
    <row r="190" spans="1:20" x14ac:dyDescent="0.25">
      <c r="A190" s="5">
        <v>44403</v>
      </c>
      <c r="B190">
        <v>3.6848999999999998</v>
      </c>
      <c r="C190">
        <v>3.8485</v>
      </c>
      <c r="D190">
        <v>3.6</v>
      </c>
      <c r="E190">
        <v>3.6276000000000002</v>
      </c>
      <c r="F190">
        <v>586228.82999999996</v>
      </c>
      <c r="G190">
        <v>3.6276000000000002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-0.77786720321931524</v>
      </c>
      <c r="Q190">
        <f t="shared" ref="Q190" si="926">F190*P190</f>
        <v>-456008.18043863139</v>
      </c>
      <c r="R190">
        <f t="shared" ref="R190" si="927">R191+Q190</f>
        <v>-19134018.081076216</v>
      </c>
      <c r="S190">
        <f t="shared" ref="S190" si="928">R190/100000</f>
        <v>-191.34018081076215</v>
      </c>
      <c r="T190">
        <f t="shared" ref="T190" si="929">S190/1000</f>
        <v>-0.19134018081076215</v>
      </c>
    </row>
    <row r="191" spans="1:20" x14ac:dyDescent="0.25">
      <c r="A191" s="5">
        <v>44402</v>
      </c>
      <c r="B191">
        <v>3.5356999999999998</v>
      </c>
      <c r="C191">
        <v>3.6875</v>
      </c>
      <c r="D191">
        <v>3.4447999999999999</v>
      </c>
      <c r="E191">
        <v>3.6781000000000001</v>
      </c>
      <c r="F191">
        <v>505316.21</v>
      </c>
      <c r="G191">
        <v>3.6781000000000001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0.92253811289658139</v>
      </c>
      <c r="Q191">
        <f t="shared" ref="Q191" si="931">F191*P191</f>
        <v>466173.46278945263</v>
      </c>
      <c r="R191">
        <f t="shared" ref="R191" si="932">R192+Q191</f>
        <v>-18678009.900637586</v>
      </c>
      <c r="S191">
        <f t="shared" ref="S191" si="933">R191/100000</f>
        <v>-186.78009900637585</v>
      </c>
      <c r="T191">
        <f t="shared" ref="T191:T197" si="934">S191/1000</f>
        <v>-0.18678009900637585</v>
      </c>
    </row>
    <row r="192" spans="1:20" x14ac:dyDescent="0.25">
      <c r="A192" s="5">
        <v>44401</v>
      </c>
      <c r="B192">
        <v>3.3782000000000001</v>
      </c>
      <c r="C192">
        <v>3.6107</v>
      </c>
      <c r="D192">
        <v>3.3199000000000001</v>
      </c>
      <c r="E192">
        <v>3.5276000000000001</v>
      </c>
      <c r="F192">
        <v>827632.75</v>
      </c>
      <c r="G192">
        <v>3.5276000000000001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0.42847317744154079</v>
      </c>
      <c r="Q192">
        <f t="shared" ref="Q192" si="936">F192*P192</f>
        <v>354618.43414718035</v>
      </c>
      <c r="R192">
        <f t="shared" ref="R192" si="937">R193+Q192</f>
        <v>-19144183.363427039</v>
      </c>
      <c r="S192">
        <f t="shared" ref="S192" si="938">R192/100000</f>
        <v>-191.44183363427038</v>
      </c>
      <c r="T192">
        <f t="shared" si="934"/>
        <v>-0.19144183363427039</v>
      </c>
    </row>
    <row r="193" spans="1:20" x14ac:dyDescent="0.25">
      <c r="A193" s="5">
        <v>44400</v>
      </c>
      <c r="B193">
        <v>3.3409</v>
      </c>
      <c r="C193">
        <v>3.4323000000000001</v>
      </c>
      <c r="D193">
        <v>3.1800999999999999</v>
      </c>
      <c r="E193">
        <v>3.3793000000000002</v>
      </c>
      <c r="F193">
        <v>722040.38</v>
      </c>
      <c r="G193">
        <v>3.3793000000000002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0.57969865186360114</v>
      </c>
      <c r="Q193">
        <f t="shared" ref="Q193" si="940">F193*P193</f>
        <v>418565.83487708226</v>
      </c>
      <c r="R193">
        <f t="shared" ref="R193" si="941">R194+Q193</f>
        <v>-19498801.797574218</v>
      </c>
      <c r="S193">
        <f t="shared" ref="S193" si="942">R193/100000</f>
        <v>-194.9880179757422</v>
      </c>
      <c r="T193">
        <f t="shared" si="934"/>
        <v>-0.19498801797574219</v>
      </c>
    </row>
    <row r="194" spans="1:20" x14ac:dyDescent="0.25">
      <c r="A194" s="5">
        <v>44399</v>
      </c>
      <c r="B194">
        <v>3.2805</v>
      </c>
      <c r="C194">
        <v>3.3755999999999999</v>
      </c>
      <c r="D194">
        <v>3.2490999999999999</v>
      </c>
      <c r="E194">
        <v>3.3409</v>
      </c>
      <c r="F194">
        <v>329617.64</v>
      </c>
      <c r="G194">
        <v>3.3409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0.45138339920948717</v>
      </c>
      <c r="Q194">
        <f t="shared" ref="Q194" si="944">F194*P194</f>
        <v>148783.93078260904</v>
      </c>
      <c r="R194">
        <f t="shared" ref="R194" si="945">R195+Q194</f>
        <v>-19917367.6324513</v>
      </c>
      <c r="S194">
        <f t="shared" ref="S194" si="946">R194/100000</f>
        <v>-199.173676324513</v>
      </c>
      <c r="T194">
        <f t="shared" si="934"/>
        <v>-0.19917367632451299</v>
      </c>
    </row>
    <row r="195" spans="1:20" x14ac:dyDescent="0.25">
      <c r="A195" s="5">
        <v>44398</v>
      </c>
      <c r="B195">
        <v>3.1187999999999998</v>
      </c>
      <c r="C195">
        <v>3.3672</v>
      </c>
      <c r="D195">
        <v>3.0882999999999998</v>
      </c>
      <c r="E195">
        <v>3.2885</v>
      </c>
      <c r="F195">
        <v>433888.71</v>
      </c>
      <c r="G195">
        <v>3.2885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0.43564001434205846</v>
      </c>
      <c r="Q195">
        <f t="shared" ref="Q195" si="948">F195*P195</f>
        <v>189019.28384725726</v>
      </c>
      <c r="R195">
        <f t="shared" ref="R195" si="949">R196+Q195</f>
        <v>-20066151.563233908</v>
      </c>
      <c r="S195">
        <f t="shared" ref="S195" si="950">R195/100000</f>
        <v>-200.66151563233907</v>
      </c>
      <c r="T195">
        <f t="shared" si="934"/>
        <v>-0.20066151563233908</v>
      </c>
    </row>
    <row r="196" spans="1:20" x14ac:dyDescent="0.25">
      <c r="A196" s="5">
        <v>44397</v>
      </c>
      <c r="B196">
        <v>3.5792000000000002</v>
      </c>
      <c r="C196">
        <v>3.5960999999999999</v>
      </c>
      <c r="D196">
        <v>3.0036</v>
      </c>
      <c r="E196">
        <v>3.1187999999999998</v>
      </c>
      <c r="F196">
        <v>722359.77</v>
      </c>
      <c r="G196">
        <v>3.1187999999999998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-0.61113924050632984</v>
      </c>
      <c r="Q196">
        <f t="shared" ref="Q196" si="952">F196*P196</f>
        <v>-441462.40121012711</v>
      </c>
      <c r="R196">
        <f t="shared" ref="R196" si="953">R197+Q196</f>
        <v>-20255170.847081166</v>
      </c>
      <c r="S196">
        <f t="shared" ref="S196" si="954">R196/100000</f>
        <v>-202.55170847081166</v>
      </c>
      <c r="T196">
        <f t="shared" si="934"/>
        <v>-0.20255170847081166</v>
      </c>
    </row>
    <row r="197" spans="1:20" x14ac:dyDescent="0.25">
      <c r="A197" s="5">
        <v>44396</v>
      </c>
      <c r="B197">
        <v>3.4731000000000001</v>
      </c>
      <c r="C197">
        <v>3.6110000000000002</v>
      </c>
      <c r="D197">
        <v>3.2721</v>
      </c>
      <c r="E197">
        <v>3.5768</v>
      </c>
      <c r="F197">
        <v>721020.44</v>
      </c>
      <c r="G197">
        <v>2.99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0.79817055178518614</v>
      </c>
      <c r="Q197">
        <f t="shared" ref="Q197" si="956">F197*P197</f>
        <v>575497.28244319768</v>
      </c>
      <c r="R197">
        <f t="shared" ref="R197" si="957">R198+Q197</f>
        <v>-19813708.44587104</v>
      </c>
      <c r="S197">
        <f t="shared" ref="S197" si="958">R197/100000</f>
        <v>-198.1370844587104</v>
      </c>
      <c r="T197">
        <f t="shared" si="934"/>
        <v>-0.19813708445871039</v>
      </c>
    </row>
    <row r="198" spans="1:20" x14ac:dyDescent="0.25">
      <c r="A198" s="5">
        <v>44395</v>
      </c>
      <c r="B198">
        <v>3.4456000000000002</v>
      </c>
      <c r="C198">
        <v>3.72</v>
      </c>
      <c r="D198">
        <v>3.4392999999999998</v>
      </c>
      <c r="E198">
        <v>3.4716999999999998</v>
      </c>
      <c r="F198">
        <v>554786.4</v>
      </c>
      <c r="G198">
        <v>0.76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-0.76914855717848285</v>
      </c>
      <c r="Q198">
        <f t="shared" ref="Q198:Q261" si="960">F198*P198</f>
        <v>-426713.15910224465</v>
      </c>
      <c r="R198">
        <f t="shared" ref="R198:R261" si="961">R199+Q198</f>
        <v>-20389205.72831424</v>
      </c>
      <c r="S198">
        <f t="shared" ref="S198:S261" si="962">R198/100000</f>
        <v>-203.89205728314241</v>
      </c>
      <c r="T198">
        <f t="shared" ref="T198:T261" si="963">S198/1000</f>
        <v>-0.20389205728314241</v>
      </c>
    </row>
    <row r="199" spans="1:20" x14ac:dyDescent="0.25">
      <c r="A199" s="5">
        <v>44394</v>
      </c>
      <c r="B199">
        <v>3.3500999999999999</v>
      </c>
      <c r="C199">
        <v>3.5606</v>
      </c>
      <c r="D199">
        <v>3.3250000000000002</v>
      </c>
      <c r="E199">
        <v>3.4449999999999998</v>
      </c>
      <c r="F199">
        <v>429189.23</v>
      </c>
      <c r="G199">
        <v>2.83</v>
      </c>
      <c r="L199" t="s">
        <v>7</v>
      </c>
      <c r="M199" t="s">
        <v>7</v>
      </c>
      <c r="N199" t="s">
        <v>8</v>
      </c>
      <c r="P199">
        <f t="shared" si="959"/>
        <v>1.8675721561967399E-2</v>
      </c>
      <c r="Q199">
        <f t="shared" si="960"/>
        <v>8015.4185568751845</v>
      </c>
      <c r="R199">
        <f t="shared" si="961"/>
        <v>-19962492.569211993</v>
      </c>
      <c r="S199">
        <f t="shared" si="962"/>
        <v>-199.62492569211994</v>
      </c>
      <c r="T199">
        <f t="shared" si="963"/>
        <v>-0.19962492569211995</v>
      </c>
    </row>
    <row r="200" spans="1:20" x14ac:dyDescent="0.25">
      <c r="A200" s="5">
        <v>44393</v>
      </c>
      <c r="B200">
        <v>3.4626000000000001</v>
      </c>
      <c r="C200">
        <v>3.5449999999999999</v>
      </c>
      <c r="D200">
        <v>3.3500999999999999</v>
      </c>
      <c r="E200">
        <v>3.3548</v>
      </c>
      <c r="F200">
        <v>191520.12</v>
      </c>
      <c r="G200">
        <v>-3.11</v>
      </c>
      <c r="L200" t="s">
        <v>7</v>
      </c>
      <c r="M200" t="s">
        <v>7</v>
      </c>
      <c r="N200" t="s">
        <v>8</v>
      </c>
      <c r="P200">
        <f t="shared" si="959"/>
        <v>-0.9517701385325793</v>
      </c>
      <c r="Q200">
        <f t="shared" si="960"/>
        <v>-182283.13114417621</v>
      </c>
      <c r="R200">
        <f t="shared" si="961"/>
        <v>-19970507.98776887</v>
      </c>
      <c r="S200">
        <f t="shared" si="962"/>
        <v>-199.70507987768869</v>
      </c>
      <c r="T200">
        <f t="shared" si="963"/>
        <v>-0.19970507987768868</v>
      </c>
    </row>
    <row r="201" spans="1:20" x14ac:dyDescent="0.25">
      <c r="A201" s="5">
        <v>44392</v>
      </c>
      <c r="B201">
        <v>3.6257000000000001</v>
      </c>
      <c r="C201">
        <v>3.6833999999999998</v>
      </c>
      <c r="D201">
        <v>3.3978999999999999</v>
      </c>
      <c r="E201">
        <v>3.4605999999999999</v>
      </c>
      <c r="F201">
        <v>376412.63</v>
      </c>
      <c r="G201">
        <v>-4.55</v>
      </c>
      <c r="L201" t="s">
        <v>8</v>
      </c>
      <c r="M201" t="s">
        <v>7</v>
      </c>
      <c r="N201" t="s">
        <v>8</v>
      </c>
      <c r="P201">
        <f t="shared" si="959"/>
        <v>-0.56077057793345009</v>
      </c>
      <c r="Q201">
        <f t="shared" si="960"/>
        <v>-211081.12806654992</v>
      </c>
      <c r="R201">
        <f t="shared" si="961"/>
        <v>-19788224.856624693</v>
      </c>
      <c r="S201">
        <f t="shared" si="962"/>
        <v>-197.88224856624691</v>
      </c>
      <c r="T201">
        <f t="shared" si="963"/>
        <v>-0.19788224856624692</v>
      </c>
    </row>
    <row r="202" spans="1:20" x14ac:dyDescent="0.25">
      <c r="A202" s="5">
        <v>44391</v>
      </c>
      <c r="B202">
        <v>3.5068999999999999</v>
      </c>
      <c r="C202">
        <v>3.6576</v>
      </c>
      <c r="D202">
        <v>3.3039999999999998</v>
      </c>
      <c r="E202">
        <v>3.6324000000000001</v>
      </c>
      <c r="F202">
        <v>604052.5</v>
      </c>
      <c r="G202">
        <v>3.58</v>
      </c>
      <c r="L202" t="s">
        <v>7</v>
      </c>
      <c r="M202" t="s">
        <v>7</v>
      </c>
      <c r="N202" t="s">
        <v>8</v>
      </c>
      <c r="P202">
        <f t="shared" si="959"/>
        <v>0.85746606334841702</v>
      </c>
      <c r="Q202">
        <f t="shared" si="960"/>
        <v>517954.51923076966</v>
      </c>
      <c r="R202">
        <f t="shared" si="961"/>
        <v>-19577143.728558142</v>
      </c>
      <c r="S202">
        <f t="shared" si="962"/>
        <v>-195.77143728558141</v>
      </c>
      <c r="T202">
        <f t="shared" si="963"/>
        <v>-0.19577143728558141</v>
      </c>
    </row>
    <row r="203" spans="1:20" x14ac:dyDescent="0.25">
      <c r="A203" s="5">
        <v>44390</v>
      </c>
      <c r="B203">
        <v>3.6486000000000001</v>
      </c>
      <c r="C203">
        <v>3.6528999999999998</v>
      </c>
      <c r="D203">
        <v>3.4775999999999998</v>
      </c>
      <c r="E203">
        <v>3.4998999999999998</v>
      </c>
      <c r="F203">
        <v>417931.37</v>
      </c>
      <c r="G203">
        <v>-4.08</v>
      </c>
      <c r="L203" t="s">
        <v>7</v>
      </c>
      <c r="M203" t="s">
        <v>7</v>
      </c>
      <c r="N203" t="s">
        <v>8</v>
      </c>
      <c r="P203">
        <f t="shared" si="959"/>
        <v>-0.7455790074158587</v>
      </c>
      <c r="Q203">
        <f t="shared" si="960"/>
        <v>-311600.85601255001</v>
      </c>
      <c r="R203">
        <f t="shared" si="961"/>
        <v>-20095098.24778891</v>
      </c>
      <c r="S203">
        <f t="shared" si="962"/>
        <v>-200.95098247788908</v>
      </c>
      <c r="T203">
        <f t="shared" si="963"/>
        <v>-0.20095098247788909</v>
      </c>
    </row>
    <row r="204" spans="1:20" x14ac:dyDescent="0.25">
      <c r="A204" s="5">
        <v>44389</v>
      </c>
      <c r="B204">
        <v>3.8087</v>
      </c>
      <c r="C204">
        <v>3.95</v>
      </c>
      <c r="D204">
        <v>3.5949</v>
      </c>
      <c r="E204">
        <v>3.6568000000000001</v>
      </c>
      <c r="F204">
        <v>432524.63</v>
      </c>
      <c r="G204">
        <v>-3.99</v>
      </c>
      <c r="L204" t="s">
        <v>8</v>
      </c>
      <c r="M204" t="s">
        <v>8</v>
      </c>
      <c r="N204" t="s">
        <v>8</v>
      </c>
      <c r="P204">
        <f t="shared" si="959"/>
        <v>-0.65136581244719782</v>
      </c>
      <c r="Q204">
        <f t="shared" si="960"/>
        <v>-281731.75702337362</v>
      </c>
      <c r="R204">
        <f t="shared" si="961"/>
        <v>-19783497.391776361</v>
      </c>
      <c r="S204">
        <f t="shared" si="962"/>
        <v>-197.83497391776362</v>
      </c>
      <c r="T204">
        <f t="shared" si="963"/>
        <v>-0.19783497391776361</v>
      </c>
    </row>
    <row r="205" spans="1:20" x14ac:dyDescent="0.25">
      <c r="A205" s="5">
        <v>44388</v>
      </c>
      <c r="B205">
        <v>3.6118999999999999</v>
      </c>
      <c r="C205">
        <v>3.8954</v>
      </c>
      <c r="D205">
        <v>3.6118999999999999</v>
      </c>
      <c r="E205">
        <v>3.8087</v>
      </c>
      <c r="F205">
        <v>463614.51</v>
      </c>
      <c r="G205">
        <v>5.45</v>
      </c>
      <c r="L205" t="s">
        <v>8</v>
      </c>
      <c r="M205" t="s">
        <v>8</v>
      </c>
      <c r="N205" t="s">
        <v>8</v>
      </c>
      <c r="P205">
        <f t="shared" si="959"/>
        <v>0.38835978835978857</v>
      </c>
      <c r="Q205">
        <f t="shared" si="960"/>
        <v>180049.2329841271</v>
      </c>
      <c r="R205">
        <f t="shared" si="961"/>
        <v>-19501765.634752989</v>
      </c>
      <c r="S205">
        <f t="shared" si="962"/>
        <v>-195.01765634752988</v>
      </c>
      <c r="T205">
        <f t="shared" si="963"/>
        <v>-0.19501765634752988</v>
      </c>
    </row>
    <row r="206" spans="1:20" x14ac:dyDescent="0.25">
      <c r="A206" s="5">
        <v>44387</v>
      </c>
      <c r="B206">
        <v>3.6899000000000002</v>
      </c>
      <c r="C206">
        <v>3.7458</v>
      </c>
      <c r="D206">
        <v>3.5884999999999998</v>
      </c>
      <c r="E206">
        <v>3.6131000000000002</v>
      </c>
      <c r="F206">
        <v>134549.94</v>
      </c>
      <c r="G206">
        <v>-2.08</v>
      </c>
      <c r="L206" t="s">
        <v>7</v>
      </c>
      <c r="M206" t="s">
        <v>8</v>
      </c>
      <c r="N206" t="s">
        <v>8</v>
      </c>
      <c r="P206">
        <f t="shared" si="959"/>
        <v>-0.68722186904004623</v>
      </c>
      <c r="Q206">
        <f t="shared" si="960"/>
        <v>-92465.66124602608</v>
      </c>
      <c r="R206">
        <f t="shared" si="961"/>
        <v>-19681814.867737114</v>
      </c>
      <c r="S206">
        <f t="shared" si="962"/>
        <v>-196.81814867737114</v>
      </c>
      <c r="T206">
        <f t="shared" si="963"/>
        <v>-0.19681814867737113</v>
      </c>
    </row>
    <row r="207" spans="1:20" x14ac:dyDescent="0.25">
      <c r="A207" s="5">
        <v>44386</v>
      </c>
      <c r="B207">
        <v>3.6259999999999999</v>
      </c>
      <c r="C207">
        <v>3.73</v>
      </c>
      <c r="D207">
        <v>3.56</v>
      </c>
      <c r="E207">
        <v>3.6899000000000002</v>
      </c>
      <c r="F207">
        <v>355334.49</v>
      </c>
      <c r="G207">
        <v>1.76</v>
      </c>
      <c r="L207" t="s">
        <v>7</v>
      </c>
      <c r="M207" t="s">
        <v>8</v>
      </c>
      <c r="N207" t="s">
        <v>8</v>
      </c>
      <c r="P207">
        <f t="shared" si="959"/>
        <v>0.52823529411764913</v>
      </c>
      <c r="Q207">
        <f t="shared" si="960"/>
        <v>187700.21883529486</v>
      </c>
      <c r="R207">
        <f t="shared" si="961"/>
        <v>-19589349.206491087</v>
      </c>
      <c r="S207">
        <f t="shared" si="962"/>
        <v>-195.89349206491087</v>
      </c>
      <c r="T207">
        <f t="shared" si="963"/>
        <v>-0.19589349206491088</v>
      </c>
    </row>
    <row r="208" spans="1:20" x14ac:dyDescent="0.25">
      <c r="A208" s="5">
        <v>44385</v>
      </c>
      <c r="B208">
        <v>3.9308000000000001</v>
      </c>
      <c r="C208">
        <v>3.9531000000000001</v>
      </c>
      <c r="D208">
        <v>3.6017000000000001</v>
      </c>
      <c r="E208">
        <v>3.6271</v>
      </c>
      <c r="F208">
        <v>883715.02</v>
      </c>
      <c r="G208">
        <v>-7.73</v>
      </c>
      <c r="L208" t="s">
        <v>7</v>
      </c>
      <c r="M208" t="s">
        <v>8</v>
      </c>
      <c r="N208" t="s">
        <v>8</v>
      </c>
      <c r="P208">
        <f t="shared" si="959"/>
        <v>-0.85543540125213502</v>
      </c>
      <c r="Q208">
        <f t="shared" si="960"/>
        <v>-755961.11272623856</v>
      </c>
      <c r="R208">
        <f t="shared" si="961"/>
        <v>-19777049.425326381</v>
      </c>
      <c r="S208">
        <f t="shared" si="962"/>
        <v>-197.77049425326382</v>
      </c>
      <c r="T208">
        <f t="shared" si="963"/>
        <v>-0.19777049425326382</v>
      </c>
    </row>
    <row r="209" spans="1:20" x14ac:dyDescent="0.25">
      <c r="A209" s="5">
        <v>44384</v>
      </c>
      <c r="B209">
        <v>4.0415000000000001</v>
      </c>
      <c r="C209">
        <v>4.1562000000000001</v>
      </c>
      <c r="D209">
        <v>3.9152</v>
      </c>
      <c r="E209">
        <v>3.9420999999999999</v>
      </c>
      <c r="F209">
        <v>835418.68</v>
      </c>
      <c r="G209">
        <v>-2.46</v>
      </c>
      <c r="L209" t="s">
        <v>7</v>
      </c>
      <c r="M209" t="s">
        <v>8</v>
      </c>
      <c r="N209" t="s">
        <v>8</v>
      </c>
      <c r="P209">
        <f t="shared" si="959"/>
        <v>-0.77676348547717911</v>
      </c>
      <c r="Q209">
        <f t="shared" si="960"/>
        <v>-648922.72570954415</v>
      </c>
      <c r="R209">
        <f t="shared" si="961"/>
        <v>-19021088.312600143</v>
      </c>
      <c r="S209">
        <f t="shared" si="962"/>
        <v>-190.21088312600142</v>
      </c>
      <c r="T209">
        <f t="shared" si="963"/>
        <v>-0.19021088312600143</v>
      </c>
    </row>
    <row r="210" spans="1:20" x14ac:dyDescent="0.25">
      <c r="A210" s="5">
        <v>44383</v>
      </c>
      <c r="B210">
        <v>3.5771999999999999</v>
      </c>
      <c r="C210">
        <v>4.1856</v>
      </c>
      <c r="D210">
        <v>3.5638000000000001</v>
      </c>
      <c r="E210">
        <v>4.0491000000000001</v>
      </c>
      <c r="F210">
        <v>1594691.29</v>
      </c>
      <c r="G210">
        <v>13.19</v>
      </c>
      <c r="L210" t="s">
        <v>8</v>
      </c>
      <c r="M210" t="s">
        <v>8</v>
      </c>
      <c r="N210" t="s">
        <v>8</v>
      </c>
      <c r="P210">
        <f t="shared" si="959"/>
        <v>0.56095207462206542</v>
      </c>
      <c r="Q210">
        <f t="shared" si="960"/>
        <v>894545.38750723784</v>
      </c>
      <c r="R210">
        <f t="shared" si="961"/>
        <v>-18372165.586890601</v>
      </c>
      <c r="S210">
        <f t="shared" si="962"/>
        <v>-183.721655868906</v>
      </c>
      <c r="T210">
        <f t="shared" si="963"/>
        <v>-0.18372165586890599</v>
      </c>
    </row>
    <row r="211" spans="1:20" x14ac:dyDescent="0.25">
      <c r="A211" s="5">
        <v>44382</v>
      </c>
      <c r="B211">
        <v>3.7589000000000001</v>
      </c>
      <c r="C211">
        <v>3.7589000000000001</v>
      </c>
      <c r="D211">
        <v>3.5175999999999998</v>
      </c>
      <c r="E211">
        <v>3.5741000000000001</v>
      </c>
      <c r="F211">
        <v>639500.99</v>
      </c>
      <c r="G211">
        <v>-4.92</v>
      </c>
      <c r="L211" t="s">
        <v>7</v>
      </c>
      <c r="M211" t="s">
        <v>8</v>
      </c>
      <c r="N211" t="s">
        <v>7</v>
      </c>
      <c r="P211">
        <f t="shared" si="959"/>
        <v>-0.53170327393286243</v>
      </c>
      <c r="Q211">
        <f t="shared" si="960"/>
        <v>-340024.77006630669</v>
      </c>
      <c r="R211">
        <f t="shared" si="961"/>
        <v>-19266710.974397838</v>
      </c>
      <c r="S211">
        <f t="shared" si="962"/>
        <v>-192.66710974397839</v>
      </c>
      <c r="T211">
        <f t="shared" si="963"/>
        <v>-0.19266710974397838</v>
      </c>
    </row>
    <row r="212" spans="1:20" x14ac:dyDescent="0.25">
      <c r="A212" s="5">
        <v>44381</v>
      </c>
      <c r="B212">
        <v>3.7006999999999999</v>
      </c>
      <c r="C212">
        <v>3.93</v>
      </c>
      <c r="D212">
        <v>3.6082000000000001</v>
      </c>
      <c r="E212">
        <v>3.7601</v>
      </c>
      <c r="F212">
        <v>2410903.11</v>
      </c>
      <c r="G212">
        <v>1.61</v>
      </c>
      <c r="L212" t="s">
        <v>8</v>
      </c>
      <c r="M212" t="s">
        <v>8</v>
      </c>
      <c r="N212" t="s">
        <v>7</v>
      </c>
      <c r="P212">
        <f t="shared" si="959"/>
        <v>-5.5935363579863992E-2</v>
      </c>
      <c r="Q212">
        <f t="shared" si="960"/>
        <v>-134854.74201367481</v>
      </c>
      <c r="R212">
        <f t="shared" si="961"/>
        <v>-18926686.204331532</v>
      </c>
      <c r="S212">
        <f t="shared" si="962"/>
        <v>-189.26686204331531</v>
      </c>
      <c r="T212">
        <f t="shared" si="963"/>
        <v>-0.1892668620433153</v>
      </c>
    </row>
    <row r="213" spans="1:20" x14ac:dyDescent="0.25">
      <c r="A213" s="5">
        <v>44380</v>
      </c>
      <c r="B213">
        <v>3.6757</v>
      </c>
      <c r="C213">
        <v>3.7709999999999999</v>
      </c>
      <c r="D213">
        <v>3.5819000000000001</v>
      </c>
      <c r="E213">
        <v>3.7006999999999999</v>
      </c>
      <c r="F213">
        <v>1490263.89</v>
      </c>
      <c r="G213">
        <v>0.68</v>
      </c>
      <c r="L213" t="s">
        <v>8</v>
      </c>
      <c r="M213" t="s">
        <v>7</v>
      </c>
      <c r="N213" t="s">
        <v>7</v>
      </c>
      <c r="P213">
        <f t="shared" si="959"/>
        <v>0.25647805393971346</v>
      </c>
      <c r="Q213">
        <f t="shared" si="960"/>
        <v>382219.98236382718</v>
      </c>
      <c r="R213">
        <f t="shared" si="961"/>
        <v>-18791831.462317858</v>
      </c>
      <c r="S213">
        <f t="shared" si="962"/>
        <v>-187.91831462317859</v>
      </c>
      <c r="T213">
        <f t="shared" si="963"/>
        <v>-0.1879183146231786</v>
      </c>
    </row>
    <row r="214" spans="1:20" x14ac:dyDescent="0.25">
      <c r="A214" s="5">
        <v>44379</v>
      </c>
      <c r="B214">
        <v>3.4759000000000002</v>
      </c>
      <c r="C214">
        <v>3.8410000000000002</v>
      </c>
      <c r="D214">
        <v>3.3500999999999999</v>
      </c>
      <c r="E214">
        <v>3.6764000000000001</v>
      </c>
      <c r="F214">
        <v>5261426.17</v>
      </c>
      <c r="G214">
        <v>5.77</v>
      </c>
      <c r="L214" t="s">
        <v>8</v>
      </c>
      <c r="M214" t="s">
        <v>7</v>
      </c>
      <c r="N214" t="s">
        <v>7</v>
      </c>
      <c r="P214">
        <f t="shared" si="959"/>
        <v>0.32939498879608897</v>
      </c>
      <c r="Q214">
        <f t="shared" si="960"/>
        <v>1733087.4143185993</v>
      </c>
      <c r="R214">
        <f t="shared" si="961"/>
        <v>-19174051.444681685</v>
      </c>
      <c r="S214">
        <f t="shared" si="962"/>
        <v>-191.74051444681686</v>
      </c>
      <c r="T214">
        <f t="shared" si="963"/>
        <v>-0.19174051444681686</v>
      </c>
    </row>
    <row r="215" spans="1:20" x14ac:dyDescent="0.25">
      <c r="A215" s="5">
        <v>44378</v>
      </c>
      <c r="B215">
        <v>3.7046999999999999</v>
      </c>
      <c r="C215">
        <v>3.7046999999999999</v>
      </c>
      <c r="D215">
        <v>3.3683999999999998</v>
      </c>
      <c r="E215">
        <v>3.4821</v>
      </c>
      <c r="F215">
        <v>1279238.67</v>
      </c>
      <c r="G215">
        <v>-6.01</v>
      </c>
      <c r="L215" t="s">
        <v>8</v>
      </c>
      <c r="M215" t="s">
        <v>7</v>
      </c>
      <c r="N215" t="s">
        <v>7</v>
      </c>
      <c r="P215">
        <f t="shared" si="959"/>
        <v>-0.3238180196253338</v>
      </c>
      <c r="Q215">
        <f t="shared" si="960"/>
        <v>-414240.53274754586</v>
      </c>
      <c r="R215">
        <f t="shared" si="961"/>
        <v>-20907138.859000284</v>
      </c>
      <c r="S215">
        <f t="shared" si="962"/>
        <v>-209.07138859000284</v>
      </c>
      <c r="T215">
        <f t="shared" si="963"/>
        <v>-0.20907138859000285</v>
      </c>
    </row>
    <row r="216" spans="1:20" x14ac:dyDescent="0.25">
      <c r="A216" s="5">
        <v>44377</v>
      </c>
      <c r="B216">
        <v>3.7158000000000002</v>
      </c>
      <c r="C216">
        <v>3.7507999999999999</v>
      </c>
      <c r="D216">
        <v>3.4119000000000002</v>
      </c>
      <c r="E216">
        <v>3.7029000000000001</v>
      </c>
      <c r="F216">
        <v>500555.39</v>
      </c>
      <c r="G216">
        <v>-0.35</v>
      </c>
      <c r="L216" t="s">
        <v>7</v>
      </c>
      <c r="M216" t="s">
        <v>8</v>
      </c>
      <c r="N216" t="s">
        <v>7</v>
      </c>
      <c r="P216">
        <f t="shared" si="959"/>
        <v>0.71732074358217846</v>
      </c>
      <c r="Q216">
        <f t="shared" si="960"/>
        <v>359058.76455886732</v>
      </c>
      <c r="R216">
        <f t="shared" si="961"/>
        <v>-20492898.32625274</v>
      </c>
      <c r="S216">
        <f t="shared" si="962"/>
        <v>-204.9289832625274</v>
      </c>
      <c r="T216">
        <f t="shared" si="963"/>
        <v>-0.2049289832625274</v>
      </c>
    </row>
    <row r="217" spans="1:20" x14ac:dyDescent="0.25">
      <c r="A217" s="5">
        <v>44376</v>
      </c>
      <c r="B217">
        <v>3.5213999999999999</v>
      </c>
      <c r="C217">
        <v>3.9470999999999998</v>
      </c>
      <c r="D217">
        <v>3.5</v>
      </c>
      <c r="E217">
        <v>3.7246999999999999</v>
      </c>
      <c r="F217">
        <v>990466.94</v>
      </c>
      <c r="G217">
        <v>5.77</v>
      </c>
      <c r="L217" t="s">
        <v>8</v>
      </c>
      <c r="M217" t="s">
        <v>8</v>
      </c>
      <c r="N217" t="s">
        <v>7</v>
      </c>
      <c r="P217">
        <f t="shared" si="959"/>
        <v>5.1442630284052101E-3</v>
      </c>
      <c r="Q217">
        <f t="shared" si="960"/>
        <v>5095.2224602996412</v>
      </c>
      <c r="R217">
        <f t="shared" si="961"/>
        <v>-20851957.090811606</v>
      </c>
      <c r="S217">
        <f t="shared" si="962"/>
        <v>-208.51957090811607</v>
      </c>
      <c r="T217">
        <f t="shared" si="963"/>
        <v>-0.20851957090811607</v>
      </c>
    </row>
    <row r="218" spans="1:20" x14ac:dyDescent="0.25">
      <c r="A218" s="5">
        <v>44375</v>
      </c>
      <c r="B218">
        <v>3.5173000000000001</v>
      </c>
      <c r="C218">
        <v>3.6402000000000001</v>
      </c>
      <c r="D218">
        <v>3.3250000000000002</v>
      </c>
      <c r="E218">
        <v>3.5183</v>
      </c>
      <c r="F218">
        <v>872986.3</v>
      </c>
      <c r="G218">
        <v>0.03</v>
      </c>
      <c r="L218" t="s">
        <v>7</v>
      </c>
      <c r="M218" t="s">
        <v>7</v>
      </c>
      <c r="N218" t="s">
        <v>7</v>
      </c>
      <c r="P218">
        <f t="shared" si="959"/>
        <v>0.22652284263959296</v>
      </c>
      <c r="Q218">
        <f t="shared" si="960"/>
        <v>197751.33826142052</v>
      </c>
      <c r="R218">
        <f t="shared" si="961"/>
        <v>-20857052.313271906</v>
      </c>
      <c r="S218">
        <f t="shared" si="962"/>
        <v>-208.57052313271907</v>
      </c>
      <c r="T218">
        <f t="shared" si="963"/>
        <v>-0.20857052313271907</v>
      </c>
    </row>
    <row r="219" spans="1:20" x14ac:dyDescent="0.25">
      <c r="A219" s="5">
        <v>44374</v>
      </c>
      <c r="B219">
        <v>3.4319000000000002</v>
      </c>
      <c r="C219">
        <v>3.7225000000000001</v>
      </c>
      <c r="D219">
        <v>3.2921</v>
      </c>
      <c r="E219">
        <v>3.5146000000000002</v>
      </c>
      <c r="F219">
        <v>4342069.95</v>
      </c>
      <c r="G219">
        <v>2.41</v>
      </c>
      <c r="L219" t="s">
        <v>8</v>
      </c>
      <c r="M219" t="s">
        <v>7</v>
      </c>
      <c r="N219" t="s">
        <v>7</v>
      </c>
      <c r="P219">
        <f t="shared" si="959"/>
        <v>3.3921933085502239E-2</v>
      </c>
      <c r="Q219">
        <f t="shared" si="960"/>
        <v>147291.40629647006</v>
      </c>
      <c r="R219">
        <f t="shared" si="961"/>
        <v>-21054803.651533328</v>
      </c>
      <c r="S219">
        <f t="shared" si="962"/>
        <v>-210.54803651533328</v>
      </c>
      <c r="T219">
        <f t="shared" si="963"/>
        <v>-0.21054803651533327</v>
      </c>
    </row>
    <row r="220" spans="1:20" x14ac:dyDescent="0.25">
      <c r="A220" s="5">
        <v>44373</v>
      </c>
      <c r="B220">
        <v>3.2696999999999998</v>
      </c>
      <c r="C220">
        <v>3.4344999999999999</v>
      </c>
      <c r="D220">
        <v>3.1030000000000002</v>
      </c>
      <c r="E220">
        <v>3.4289000000000001</v>
      </c>
      <c r="F220">
        <v>2868540.5</v>
      </c>
      <c r="G220">
        <v>4.87</v>
      </c>
      <c r="L220" t="s">
        <v>7</v>
      </c>
      <c r="M220" t="s">
        <v>7</v>
      </c>
      <c r="N220" t="s">
        <v>7</v>
      </c>
      <c r="P220">
        <f t="shared" si="959"/>
        <v>0.96621417797888487</v>
      </c>
      <c r="Q220">
        <f t="shared" si="960"/>
        <v>2771624.5012066392</v>
      </c>
      <c r="R220">
        <f t="shared" si="961"/>
        <v>-21202095.057829797</v>
      </c>
      <c r="S220">
        <f t="shared" si="962"/>
        <v>-212.02095057829797</v>
      </c>
      <c r="T220">
        <f t="shared" si="963"/>
        <v>-0.21202095057829798</v>
      </c>
    </row>
    <row r="221" spans="1:20" x14ac:dyDescent="0.25">
      <c r="A221" s="5">
        <v>44372</v>
      </c>
      <c r="B221">
        <v>3.5524</v>
      </c>
      <c r="C221">
        <v>3.7633999999999999</v>
      </c>
      <c r="D221">
        <v>3.2263999999999999</v>
      </c>
      <c r="E221">
        <v>3.2686000000000002</v>
      </c>
      <c r="F221">
        <v>2510490.92</v>
      </c>
      <c r="G221">
        <v>-7.99</v>
      </c>
      <c r="L221" t="s">
        <v>7</v>
      </c>
      <c r="M221" t="s">
        <v>8</v>
      </c>
      <c r="N221" t="s">
        <v>7</v>
      </c>
      <c r="P221">
        <f t="shared" si="959"/>
        <v>-0.842830540037243</v>
      </c>
      <c r="Q221">
        <f t="shared" si="960"/>
        <v>-2115918.4178621951</v>
      </c>
      <c r="R221">
        <f t="shared" si="961"/>
        <v>-23973719.559036437</v>
      </c>
      <c r="S221">
        <f t="shared" si="962"/>
        <v>-239.73719559036437</v>
      </c>
      <c r="T221">
        <f t="shared" si="963"/>
        <v>-0.23973719559036435</v>
      </c>
    </row>
    <row r="222" spans="1:20" x14ac:dyDescent="0.25">
      <c r="A222" s="5">
        <v>44371</v>
      </c>
      <c r="B222">
        <v>3.5598000000000001</v>
      </c>
      <c r="C222">
        <v>3.78</v>
      </c>
      <c r="D222">
        <v>3.3902999999999999</v>
      </c>
      <c r="E222">
        <v>3.5693999999999999</v>
      </c>
      <c r="F222">
        <v>2565737.1</v>
      </c>
      <c r="G222">
        <v>0.27</v>
      </c>
      <c r="L222" t="s">
        <v>7</v>
      </c>
      <c r="M222" t="s">
        <v>8</v>
      </c>
      <c r="N222" t="s">
        <v>7</v>
      </c>
      <c r="P222">
        <f t="shared" si="959"/>
        <v>-8.0831408775981176E-2</v>
      </c>
      <c r="Q222">
        <f t="shared" si="960"/>
        <v>-207392.14434180051</v>
      </c>
      <c r="R222">
        <f t="shared" si="961"/>
        <v>-21857801.141174242</v>
      </c>
      <c r="S222">
        <f t="shared" si="962"/>
        <v>-218.57801141174241</v>
      </c>
      <c r="T222">
        <f t="shared" si="963"/>
        <v>-0.21857801141174241</v>
      </c>
    </row>
    <row r="223" spans="1:20" x14ac:dyDescent="0.25">
      <c r="A223" s="5">
        <v>44370</v>
      </c>
      <c r="B223">
        <v>3.4514999999999998</v>
      </c>
      <c r="C223">
        <v>3.7875999999999999</v>
      </c>
      <c r="D223">
        <v>3.2837999999999998</v>
      </c>
      <c r="E223">
        <v>3.5550999999999999</v>
      </c>
      <c r="F223">
        <v>681638.02</v>
      </c>
      <c r="G223">
        <v>3</v>
      </c>
      <c r="L223" t="s">
        <v>8</v>
      </c>
      <c r="M223" t="s">
        <v>8</v>
      </c>
      <c r="N223" t="s">
        <v>7</v>
      </c>
      <c r="P223">
        <f t="shared" si="959"/>
        <v>7.7014688368400488E-2</v>
      </c>
      <c r="Q223">
        <f t="shared" si="960"/>
        <v>52496.139690353542</v>
      </c>
      <c r="R223">
        <f t="shared" si="961"/>
        <v>-21650408.996832442</v>
      </c>
      <c r="S223">
        <f t="shared" si="962"/>
        <v>-216.50408996832442</v>
      </c>
      <c r="T223">
        <f t="shared" si="963"/>
        <v>-0.21650408996832443</v>
      </c>
    </row>
    <row r="224" spans="1:20" x14ac:dyDescent="0.25">
      <c r="A224" s="5">
        <v>44369</v>
      </c>
      <c r="B224">
        <v>3.1636000000000002</v>
      </c>
      <c r="C224">
        <v>3.68</v>
      </c>
      <c r="D224">
        <v>3.0470999999999999</v>
      </c>
      <c r="E224">
        <v>3.444</v>
      </c>
      <c r="F224">
        <v>1871220</v>
      </c>
      <c r="G224">
        <v>8.86</v>
      </c>
      <c r="L224" t="s">
        <v>7</v>
      </c>
      <c r="M224" t="s">
        <v>7</v>
      </c>
      <c r="N224" t="s">
        <v>7</v>
      </c>
      <c r="P224">
        <f t="shared" si="959"/>
        <v>0.25422657607836902</v>
      </c>
      <c r="Q224">
        <f t="shared" si="960"/>
        <v>475713.85368936567</v>
      </c>
      <c r="R224">
        <f t="shared" si="961"/>
        <v>-21702905.136522796</v>
      </c>
      <c r="S224">
        <f t="shared" si="962"/>
        <v>-217.02905136522796</v>
      </c>
      <c r="T224">
        <f t="shared" si="963"/>
        <v>-0.21702905136522796</v>
      </c>
    </row>
    <row r="225" spans="1:20" x14ac:dyDescent="0.25">
      <c r="A225" s="5">
        <v>44368</v>
      </c>
      <c r="B225">
        <v>4.0993000000000004</v>
      </c>
      <c r="C225">
        <v>4.1222000000000003</v>
      </c>
      <c r="D225">
        <v>3.1534</v>
      </c>
      <c r="E225">
        <v>3.1535000000000002</v>
      </c>
      <c r="F225">
        <v>618338.72</v>
      </c>
      <c r="G225">
        <v>-23.07</v>
      </c>
      <c r="L225" t="s">
        <v>7</v>
      </c>
      <c r="M225" t="s">
        <v>7</v>
      </c>
      <c r="N225" t="s">
        <v>7</v>
      </c>
      <c r="P225">
        <f t="shared" si="959"/>
        <v>-0.99979355904211353</v>
      </c>
      <c r="Q225">
        <f t="shared" si="960"/>
        <v>-618211.06956234493</v>
      </c>
      <c r="R225">
        <f t="shared" si="961"/>
        <v>-22178618.990212161</v>
      </c>
      <c r="S225">
        <f t="shared" si="962"/>
        <v>-221.78618990212161</v>
      </c>
      <c r="T225">
        <f t="shared" si="963"/>
        <v>-0.22178618990212159</v>
      </c>
    </row>
    <row r="226" spans="1:20" x14ac:dyDescent="0.25">
      <c r="A226" s="5">
        <v>44367</v>
      </c>
      <c r="B226">
        <v>3.9811999999999999</v>
      </c>
      <c r="C226">
        <v>4.1913</v>
      </c>
      <c r="D226">
        <v>3.8481000000000001</v>
      </c>
      <c r="E226">
        <v>4.1005000000000003</v>
      </c>
      <c r="F226">
        <v>689154.58</v>
      </c>
      <c r="G226">
        <v>3</v>
      </c>
      <c r="L226" t="s">
        <v>7</v>
      </c>
      <c r="M226" t="s">
        <v>7</v>
      </c>
      <c r="N226" t="s">
        <v>7</v>
      </c>
      <c r="P226">
        <f t="shared" si="959"/>
        <v>0.47086247086247213</v>
      </c>
      <c r="Q226">
        <f t="shared" si="960"/>
        <v>324497.02834498917</v>
      </c>
      <c r="R226">
        <f t="shared" si="961"/>
        <v>-21560407.920649815</v>
      </c>
      <c r="S226">
        <f t="shared" si="962"/>
        <v>-215.60407920649814</v>
      </c>
      <c r="T226">
        <f t="shared" si="963"/>
        <v>-0.21560407920649813</v>
      </c>
    </row>
    <row r="227" spans="1:20" x14ac:dyDescent="0.25">
      <c r="A227" s="5">
        <v>44366</v>
      </c>
      <c r="B227">
        <v>4.1654999999999998</v>
      </c>
      <c r="C227">
        <v>4.1977000000000002</v>
      </c>
      <c r="D227">
        <v>3.9794999999999998</v>
      </c>
      <c r="E227">
        <v>3.9801000000000002</v>
      </c>
      <c r="F227">
        <v>272107.49</v>
      </c>
      <c r="G227">
        <v>-4.45</v>
      </c>
      <c r="L227" t="s">
        <v>7</v>
      </c>
      <c r="M227" t="s">
        <v>7</v>
      </c>
      <c r="N227" t="s">
        <v>7</v>
      </c>
      <c r="P227">
        <f t="shared" si="959"/>
        <v>-0.99450045829513867</v>
      </c>
      <c r="Q227">
        <f t="shared" si="960"/>
        <v>-270611.02351053985</v>
      </c>
      <c r="R227">
        <f t="shared" si="961"/>
        <v>-21884904.948994804</v>
      </c>
      <c r="S227">
        <f t="shared" si="962"/>
        <v>-218.84904948994804</v>
      </c>
      <c r="T227">
        <f t="shared" si="963"/>
        <v>-0.21884904948994804</v>
      </c>
    </row>
    <row r="228" spans="1:20" x14ac:dyDescent="0.25">
      <c r="A228" s="5">
        <v>44365</v>
      </c>
      <c r="B228">
        <v>4.4272999999999998</v>
      </c>
      <c r="C228">
        <v>4.5681000000000003</v>
      </c>
      <c r="D228">
        <v>4.0351999999999997</v>
      </c>
      <c r="E228">
        <v>4.1665000000000001</v>
      </c>
      <c r="F228">
        <v>792525.45</v>
      </c>
      <c r="G228">
        <v>-5.89</v>
      </c>
      <c r="L228" t="s">
        <v>7</v>
      </c>
      <c r="M228" t="s">
        <v>7</v>
      </c>
      <c r="N228" t="s">
        <v>7</v>
      </c>
      <c r="P228">
        <f t="shared" si="959"/>
        <v>-0.50722462000375201</v>
      </c>
      <c r="Q228">
        <f t="shared" si="960"/>
        <v>-401988.42021955253</v>
      </c>
      <c r="R228">
        <f t="shared" si="961"/>
        <v>-21614293.925484266</v>
      </c>
      <c r="S228">
        <f t="shared" si="962"/>
        <v>-216.14293925484267</v>
      </c>
      <c r="T228">
        <f t="shared" si="963"/>
        <v>-0.21614293925484268</v>
      </c>
    </row>
    <row r="229" spans="1:20" x14ac:dyDescent="0.25">
      <c r="A229" s="5">
        <v>44364</v>
      </c>
      <c r="B229">
        <v>4.6616999999999997</v>
      </c>
      <c r="C229">
        <v>5</v>
      </c>
      <c r="D229">
        <v>4.3135000000000003</v>
      </c>
      <c r="E229">
        <v>4.4198000000000004</v>
      </c>
      <c r="F229">
        <v>1569762.44</v>
      </c>
      <c r="G229">
        <v>-5.19</v>
      </c>
      <c r="L229" t="s">
        <v>7</v>
      </c>
      <c r="M229" t="s">
        <v>8</v>
      </c>
      <c r="N229" t="s">
        <v>7</v>
      </c>
      <c r="P229">
        <f t="shared" si="959"/>
        <v>-0.69031318281136167</v>
      </c>
      <c r="Q229">
        <f t="shared" si="960"/>
        <v>-1083627.7062141292</v>
      </c>
      <c r="R229">
        <f t="shared" si="961"/>
        <v>-21212305.505264714</v>
      </c>
      <c r="S229">
        <f t="shared" si="962"/>
        <v>-212.12305505264715</v>
      </c>
      <c r="T229">
        <f t="shared" si="963"/>
        <v>-0.21212305505264714</v>
      </c>
    </row>
    <row r="230" spans="1:20" x14ac:dyDescent="0.25">
      <c r="A230" s="5">
        <v>44363</v>
      </c>
      <c r="B230">
        <v>4.58</v>
      </c>
      <c r="C230">
        <v>4.7784000000000004</v>
      </c>
      <c r="D230">
        <v>4.4065000000000003</v>
      </c>
      <c r="E230">
        <v>4.6616999999999997</v>
      </c>
      <c r="F230">
        <v>639244.54</v>
      </c>
      <c r="G230">
        <v>1.78</v>
      </c>
      <c r="L230" t="s">
        <v>7</v>
      </c>
      <c r="M230" t="s">
        <v>8</v>
      </c>
      <c r="N230" t="s">
        <v>7</v>
      </c>
      <c r="P230">
        <f t="shared" si="959"/>
        <v>0.37241193869319356</v>
      </c>
      <c r="Q230">
        <f t="shared" si="960"/>
        <v>238062.29844043872</v>
      </c>
      <c r="R230">
        <f t="shared" si="961"/>
        <v>-20128677.799050584</v>
      </c>
      <c r="S230">
        <f t="shared" si="962"/>
        <v>-201.28677799050584</v>
      </c>
      <c r="T230">
        <f t="shared" si="963"/>
        <v>-0.20128677799050584</v>
      </c>
    </row>
    <row r="231" spans="1:20" x14ac:dyDescent="0.25">
      <c r="A231" s="5">
        <v>44362</v>
      </c>
      <c r="B231">
        <v>4.7131999999999996</v>
      </c>
      <c r="C231">
        <v>4.9589999999999996</v>
      </c>
      <c r="D231">
        <v>4.4802</v>
      </c>
      <c r="E231">
        <v>4.5936000000000003</v>
      </c>
      <c r="F231">
        <v>1184000.71</v>
      </c>
      <c r="G231">
        <v>-2.54</v>
      </c>
      <c r="L231" t="s">
        <v>8</v>
      </c>
      <c r="M231" t="s">
        <v>8</v>
      </c>
      <c r="N231" t="s">
        <v>7</v>
      </c>
      <c r="P231">
        <f t="shared" si="959"/>
        <v>-0.52631578947368229</v>
      </c>
      <c r="Q231">
        <f t="shared" si="960"/>
        <v>-623158.26842105039</v>
      </c>
      <c r="R231">
        <f t="shared" si="961"/>
        <v>-20366740.097491022</v>
      </c>
      <c r="S231">
        <f t="shared" si="962"/>
        <v>-203.66740097491021</v>
      </c>
      <c r="T231">
        <f t="shared" si="963"/>
        <v>-0.20366740097491021</v>
      </c>
    </row>
    <row r="232" spans="1:20" x14ac:dyDescent="0.25">
      <c r="A232" s="5">
        <v>44361</v>
      </c>
      <c r="B232">
        <v>4.4212999999999996</v>
      </c>
      <c r="C232">
        <v>4.7142999999999997</v>
      </c>
      <c r="D232">
        <v>4.3600000000000003</v>
      </c>
      <c r="E232">
        <v>4.7049000000000003</v>
      </c>
      <c r="F232">
        <v>853633.46</v>
      </c>
      <c r="G232">
        <v>6.41</v>
      </c>
      <c r="L232" t="s">
        <v>8</v>
      </c>
      <c r="M232" t="s">
        <v>8</v>
      </c>
      <c r="N232" t="s">
        <v>7</v>
      </c>
      <c r="P232">
        <f t="shared" si="959"/>
        <v>0.94693762348292732</v>
      </c>
      <c r="Q232">
        <f t="shared" si="960"/>
        <v>808337.63993790851</v>
      </c>
      <c r="R232">
        <f t="shared" si="961"/>
        <v>-19743581.829069972</v>
      </c>
      <c r="S232">
        <f t="shared" si="962"/>
        <v>-197.43581829069973</v>
      </c>
      <c r="T232">
        <f t="shared" si="963"/>
        <v>-0.19743581829069973</v>
      </c>
    </row>
    <row r="233" spans="1:20" x14ac:dyDescent="0.25">
      <c r="A233" s="5">
        <v>44360</v>
      </c>
      <c r="B233">
        <v>4.3196000000000003</v>
      </c>
      <c r="C233">
        <v>4.5834999999999999</v>
      </c>
      <c r="D233">
        <v>4.1296999999999997</v>
      </c>
      <c r="E233">
        <v>4.4215</v>
      </c>
      <c r="F233">
        <v>955459.52</v>
      </c>
      <c r="G233">
        <v>2.36</v>
      </c>
      <c r="L233" t="s">
        <v>8</v>
      </c>
      <c r="M233" t="s">
        <v>8</v>
      </c>
      <c r="N233" t="s">
        <v>7</v>
      </c>
      <c r="P233">
        <f t="shared" si="959"/>
        <v>0.28602908770383495</v>
      </c>
      <c r="Q233">
        <f t="shared" si="960"/>
        <v>273289.21484354406</v>
      </c>
      <c r="R233">
        <f t="shared" si="961"/>
        <v>-20551919.469007879</v>
      </c>
      <c r="S233">
        <f t="shared" si="962"/>
        <v>-205.51919469007879</v>
      </c>
      <c r="T233">
        <f t="shared" si="963"/>
        <v>-0.20551919469007879</v>
      </c>
    </row>
    <row r="234" spans="1:20" x14ac:dyDescent="0.25">
      <c r="A234" s="5">
        <v>44359</v>
      </c>
      <c r="B234">
        <v>4.4053000000000004</v>
      </c>
      <c r="C234">
        <v>4.55</v>
      </c>
      <c r="D234">
        <v>3.8115000000000001</v>
      </c>
      <c r="E234">
        <v>4.3209999999999997</v>
      </c>
      <c r="F234">
        <v>1692330.93</v>
      </c>
      <c r="G234">
        <v>-1.91</v>
      </c>
      <c r="L234" t="s">
        <v>7</v>
      </c>
      <c r="M234" t="s">
        <v>7</v>
      </c>
      <c r="N234" t="s">
        <v>7</v>
      </c>
      <c r="P234">
        <f t="shared" si="959"/>
        <v>0.37982396750169212</v>
      </c>
      <c r="Q234">
        <f t="shared" si="960"/>
        <v>642787.84815842833</v>
      </c>
      <c r="R234">
        <f t="shared" si="961"/>
        <v>-20825208.683851425</v>
      </c>
      <c r="S234">
        <f t="shared" si="962"/>
        <v>-208.25208683851426</v>
      </c>
      <c r="T234">
        <f t="shared" si="963"/>
        <v>-0.20825208683851426</v>
      </c>
    </row>
    <row r="235" spans="1:20" x14ac:dyDescent="0.25">
      <c r="A235" s="5">
        <v>44358</v>
      </c>
      <c r="B235">
        <v>4.3121999999999998</v>
      </c>
      <c r="C235">
        <v>4.5483000000000002</v>
      </c>
      <c r="D235">
        <v>4.1486999999999998</v>
      </c>
      <c r="E235">
        <v>4.3963000000000001</v>
      </c>
      <c r="F235">
        <v>1660285.99</v>
      </c>
      <c r="G235">
        <v>1.95</v>
      </c>
      <c r="L235" t="s">
        <v>7</v>
      </c>
      <c r="M235" t="s">
        <v>7</v>
      </c>
      <c r="N235" t="s">
        <v>7</v>
      </c>
      <c r="P235">
        <f t="shared" si="959"/>
        <v>0.23923923923923932</v>
      </c>
      <c r="Q235">
        <f t="shared" si="960"/>
        <v>397205.55716716731</v>
      </c>
      <c r="R235">
        <f t="shared" si="961"/>
        <v>-21467996.532009851</v>
      </c>
      <c r="S235">
        <f t="shared" si="962"/>
        <v>-214.67996532009852</v>
      </c>
      <c r="T235">
        <f t="shared" si="963"/>
        <v>-0.21467996532009853</v>
      </c>
    </row>
    <row r="236" spans="1:20" x14ac:dyDescent="0.25">
      <c r="A236" s="5">
        <v>44357</v>
      </c>
      <c r="B236">
        <v>4.7172000000000001</v>
      </c>
      <c r="C236">
        <v>4.7504</v>
      </c>
      <c r="D236">
        <v>4.2442000000000002</v>
      </c>
      <c r="E236">
        <v>4.3029000000000002</v>
      </c>
      <c r="F236">
        <v>1998749.44</v>
      </c>
      <c r="G236">
        <v>-8.7799999999999994</v>
      </c>
      <c r="L236" t="s">
        <v>7</v>
      </c>
      <c r="M236" t="s">
        <v>7</v>
      </c>
      <c r="N236" t="s">
        <v>7</v>
      </c>
      <c r="P236">
        <f t="shared" si="959"/>
        <v>-0.76807585934413269</v>
      </c>
      <c r="Q236">
        <f t="shared" si="960"/>
        <v>-1535191.193741604</v>
      </c>
      <c r="R236">
        <f t="shared" si="961"/>
        <v>-21865202.08917702</v>
      </c>
      <c r="S236">
        <f t="shared" si="962"/>
        <v>-218.65202089177021</v>
      </c>
      <c r="T236">
        <f t="shared" si="963"/>
        <v>-0.21865202089177022</v>
      </c>
    </row>
    <row r="237" spans="1:20" x14ac:dyDescent="0.25">
      <c r="A237" s="5">
        <v>44356</v>
      </c>
      <c r="B237">
        <v>4.6113999999999997</v>
      </c>
      <c r="C237">
        <v>4.8</v>
      </c>
      <c r="D237">
        <v>4.3266</v>
      </c>
      <c r="E237">
        <v>4.7102000000000004</v>
      </c>
      <c r="F237">
        <v>1748093.39</v>
      </c>
      <c r="G237">
        <v>2.14</v>
      </c>
      <c r="L237" t="s">
        <v>8</v>
      </c>
      <c r="M237" t="s">
        <v>7</v>
      </c>
      <c r="N237" t="s">
        <v>7</v>
      </c>
      <c r="P237">
        <f t="shared" si="959"/>
        <v>0.62061681453316653</v>
      </c>
      <c r="Q237">
        <f t="shared" si="960"/>
        <v>1084896.1512082843</v>
      </c>
      <c r="R237">
        <f t="shared" si="961"/>
        <v>-20330010.895435415</v>
      </c>
      <c r="S237">
        <f t="shared" si="962"/>
        <v>-203.30010895435416</v>
      </c>
      <c r="T237">
        <f t="shared" si="963"/>
        <v>-0.20330010895435416</v>
      </c>
    </row>
    <row r="238" spans="1:20" x14ac:dyDescent="0.25">
      <c r="A238" s="5">
        <v>44355</v>
      </c>
      <c r="B238">
        <v>4.7786999999999997</v>
      </c>
      <c r="C238">
        <v>4.8735999999999997</v>
      </c>
      <c r="D238">
        <v>4.1641000000000004</v>
      </c>
      <c r="E238">
        <v>4.6242999999999999</v>
      </c>
      <c r="F238">
        <v>1506344.74</v>
      </c>
      <c r="G238">
        <v>-3.23</v>
      </c>
      <c r="L238" t="s">
        <v>7</v>
      </c>
      <c r="M238" t="s">
        <v>7</v>
      </c>
      <c r="N238" t="s">
        <v>7</v>
      </c>
      <c r="P238">
        <f t="shared" si="959"/>
        <v>0.29725158562367843</v>
      </c>
      <c r="Q238">
        <f t="shared" si="960"/>
        <v>447763.36246088764</v>
      </c>
      <c r="R238">
        <f t="shared" si="961"/>
        <v>-21414907.0466437</v>
      </c>
      <c r="S238">
        <f t="shared" si="962"/>
        <v>-214.149070466437</v>
      </c>
      <c r="T238">
        <f t="shared" si="963"/>
        <v>-0.214149070466437</v>
      </c>
    </row>
    <row r="239" spans="1:20" x14ac:dyDescent="0.25">
      <c r="A239" s="5">
        <v>44354</v>
      </c>
      <c r="B239">
        <v>5.5282999999999998</v>
      </c>
      <c r="C239">
        <v>5.5515999999999996</v>
      </c>
      <c r="D239">
        <v>4.7286000000000001</v>
      </c>
      <c r="E239">
        <v>4.7816999999999998</v>
      </c>
      <c r="F239">
        <v>1275745.3899999999</v>
      </c>
      <c r="G239">
        <v>-13.51</v>
      </c>
      <c r="L239" t="s">
        <v>7</v>
      </c>
      <c r="M239" t="s">
        <v>7</v>
      </c>
      <c r="N239" t="s">
        <v>8</v>
      </c>
      <c r="P239">
        <f t="shared" si="959"/>
        <v>-0.87095990279465441</v>
      </c>
      <c r="Q239">
        <f t="shared" si="960"/>
        <v>-1111123.0808651284</v>
      </c>
      <c r="R239">
        <f t="shared" si="961"/>
        <v>-21862670.409104589</v>
      </c>
      <c r="S239">
        <f t="shared" si="962"/>
        <v>-218.62670409104589</v>
      </c>
      <c r="T239">
        <f t="shared" si="963"/>
        <v>-0.2186267040910459</v>
      </c>
    </row>
    <row r="240" spans="1:20" x14ac:dyDescent="0.25">
      <c r="A240" s="5">
        <v>44353</v>
      </c>
      <c r="B240">
        <v>4.9983000000000004</v>
      </c>
      <c r="C240">
        <v>6.1235999999999997</v>
      </c>
      <c r="D240">
        <v>4.9695</v>
      </c>
      <c r="E240">
        <v>5.5510000000000002</v>
      </c>
      <c r="F240">
        <v>4027562.37</v>
      </c>
      <c r="G240">
        <v>11.06</v>
      </c>
      <c r="L240" t="s">
        <v>8</v>
      </c>
      <c r="M240" t="s">
        <v>8</v>
      </c>
      <c r="N240" t="s">
        <v>8</v>
      </c>
      <c r="P240">
        <f t="shared" si="959"/>
        <v>7.7116367732437191E-3</v>
      </c>
      <c r="Q240">
        <f t="shared" si="960"/>
        <v>31059.098079024625</v>
      </c>
      <c r="R240">
        <f t="shared" si="961"/>
        <v>-20751547.32823946</v>
      </c>
      <c r="S240">
        <f t="shared" si="962"/>
        <v>-207.51547328239459</v>
      </c>
      <c r="T240">
        <f t="shared" si="963"/>
        <v>-0.20751547328239459</v>
      </c>
    </row>
    <row r="241" spans="1:20" x14ac:dyDescent="0.25">
      <c r="A241" s="5">
        <v>44352</v>
      </c>
      <c r="B241">
        <v>4.4913999999999996</v>
      </c>
      <c r="C241">
        <v>5.4198000000000004</v>
      </c>
      <c r="D241">
        <v>4.4248000000000003</v>
      </c>
      <c r="E241">
        <v>5.0061</v>
      </c>
      <c r="F241">
        <v>3018805.67</v>
      </c>
      <c r="G241">
        <v>11.46</v>
      </c>
      <c r="L241" t="s">
        <v>8</v>
      </c>
      <c r="M241" t="s">
        <v>8</v>
      </c>
      <c r="N241" t="s">
        <v>8</v>
      </c>
      <c r="P241">
        <f t="shared" si="959"/>
        <v>0.16844221105527565</v>
      </c>
      <c r="Q241">
        <f t="shared" si="960"/>
        <v>508494.30180100282</v>
      </c>
      <c r="R241">
        <f t="shared" si="961"/>
        <v>-20782606.426318485</v>
      </c>
      <c r="S241">
        <f t="shared" si="962"/>
        <v>-207.82606426318486</v>
      </c>
      <c r="T241">
        <f t="shared" si="963"/>
        <v>-0.20782606426318487</v>
      </c>
    </row>
    <row r="242" spans="1:20" x14ac:dyDescent="0.25">
      <c r="A242" s="5">
        <v>44351</v>
      </c>
      <c r="B242">
        <v>5.0726000000000004</v>
      </c>
      <c r="C242">
        <v>5.12</v>
      </c>
      <c r="D242">
        <v>4.2633999999999999</v>
      </c>
      <c r="E242">
        <v>4.4958</v>
      </c>
      <c r="F242">
        <v>1277531.6399999999</v>
      </c>
      <c r="G242">
        <v>-11.37</v>
      </c>
      <c r="L242" t="s">
        <v>7</v>
      </c>
      <c r="M242" t="s">
        <v>7</v>
      </c>
      <c r="N242" t="s">
        <v>8</v>
      </c>
      <c r="P242">
        <f t="shared" si="959"/>
        <v>-0.45738968013074927</v>
      </c>
      <c r="Q242">
        <f t="shared" si="960"/>
        <v>-584329.78817651153</v>
      </c>
      <c r="R242">
        <f t="shared" si="961"/>
        <v>-21291100.728119489</v>
      </c>
      <c r="S242">
        <f t="shared" si="962"/>
        <v>-212.91100728119488</v>
      </c>
      <c r="T242">
        <f t="shared" si="963"/>
        <v>-0.21291100728119489</v>
      </c>
    </row>
    <row r="243" spans="1:20" x14ac:dyDescent="0.25">
      <c r="A243" s="5">
        <v>44350</v>
      </c>
      <c r="B243">
        <v>4.8432000000000004</v>
      </c>
      <c r="C243">
        <v>5.1391</v>
      </c>
      <c r="D243">
        <v>4.7106000000000003</v>
      </c>
      <c r="E243">
        <v>5.0701000000000001</v>
      </c>
      <c r="F243">
        <v>1297608.08</v>
      </c>
      <c r="G243">
        <v>4.68</v>
      </c>
      <c r="L243" t="s">
        <v>8</v>
      </c>
      <c r="M243" t="s">
        <v>7</v>
      </c>
      <c r="N243" t="s">
        <v>8</v>
      </c>
      <c r="P243">
        <f t="shared" si="959"/>
        <v>0.67794632438739788</v>
      </c>
      <c r="Q243">
        <f t="shared" si="960"/>
        <v>879708.62833138858</v>
      </c>
      <c r="R243">
        <f t="shared" si="961"/>
        <v>-20706770.939942978</v>
      </c>
      <c r="S243">
        <f t="shared" si="962"/>
        <v>-207.06770939942979</v>
      </c>
      <c r="T243">
        <f t="shared" si="963"/>
        <v>-0.20706770939942978</v>
      </c>
    </row>
    <row r="244" spans="1:20" x14ac:dyDescent="0.25">
      <c r="A244" s="5">
        <v>44349</v>
      </c>
      <c r="B244">
        <v>4.7773000000000003</v>
      </c>
      <c r="C244">
        <v>5.01</v>
      </c>
      <c r="D244">
        <v>4.5967000000000002</v>
      </c>
      <c r="E244">
        <v>4.8349000000000002</v>
      </c>
      <c r="F244">
        <v>1362196.17</v>
      </c>
      <c r="G244">
        <v>1.21</v>
      </c>
      <c r="L244" t="s">
        <v>8</v>
      </c>
      <c r="M244" t="s">
        <v>7</v>
      </c>
      <c r="N244" t="s">
        <v>8</v>
      </c>
      <c r="P244">
        <f t="shared" si="959"/>
        <v>0.15267360270989705</v>
      </c>
      <c r="Q244">
        <f t="shared" si="960"/>
        <v>207971.39687152338</v>
      </c>
      <c r="R244">
        <f t="shared" si="961"/>
        <v>-21586479.568274368</v>
      </c>
      <c r="S244">
        <f t="shared" si="962"/>
        <v>-215.86479568274368</v>
      </c>
      <c r="T244">
        <f t="shared" si="963"/>
        <v>-0.21586479568274367</v>
      </c>
    </row>
    <row r="245" spans="1:20" x14ac:dyDescent="0.25">
      <c r="A245" s="5">
        <v>44348</v>
      </c>
      <c r="B245">
        <v>5.0045000000000002</v>
      </c>
      <c r="C245">
        <v>5.1787000000000001</v>
      </c>
      <c r="D245">
        <v>4.5643000000000002</v>
      </c>
      <c r="E245">
        <v>4.7839999999999998</v>
      </c>
      <c r="F245">
        <v>1887566</v>
      </c>
      <c r="G245">
        <v>-4.41</v>
      </c>
      <c r="L245" t="s">
        <v>7</v>
      </c>
      <c r="M245" t="s">
        <v>7</v>
      </c>
      <c r="N245" t="s">
        <v>8</v>
      </c>
      <c r="P245">
        <f t="shared" si="959"/>
        <v>-0.28483072916666791</v>
      </c>
      <c r="Q245">
        <f t="shared" si="960"/>
        <v>-537636.8001302107</v>
      </c>
      <c r="R245">
        <f t="shared" si="961"/>
        <v>-21794450.96514589</v>
      </c>
      <c r="S245">
        <f t="shared" si="962"/>
        <v>-217.9445096514589</v>
      </c>
      <c r="T245">
        <f t="shared" si="963"/>
        <v>-0.2179445096514589</v>
      </c>
    </row>
    <row r="246" spans="1:20" x14ac:dyDescent="0.25">
      <c r="A246" s="5">
        <v>44347</v>
      </c>
      <c r="B246">
        <v>4.1205999999999996</v>
      </c>
      <c r="C246">
        <v>5.63</v>
      </c>
      <c r="D246">
        <v>3.9531999999999998</v>
      </c>
      <c r="E246">
        <v>5.0068000000000001</v>
      </c>
      <c r="F246">
        <v>3018513.49</v>
      </c>
      <c r="G246">
        <v>21.51</v>
      </c>
      <c r="L246" t="s">
        <v>8</v>
      </c>
      <c r="M246" t="s">
        <v>8</v>
      </c>
      <c r="N246" t="s">
        <v>8</v>
      </c>
      <c r="P246">
        <f t="shared" si="959"/>
        <v>0.2566793893129774</v>
      </c>
      <c r="Q246">
        <f t="shared" si="960"/>
        <v>774790.1992461842</v>
      </c>
      <c r="R246">
        <f t="shared" si="961"/>
        <v>-21256814.165015679</v>
      </c>
      <c r="S246">
        <f t="shared" si="962"/>
        <v>-212.56814165015678</v>
      </c>
      <c r="T246">
        <f t="shared" si="963"/>
        <v>-0.21256814165015678</v>
      </c>
    </row>
    <row r="247" spans="1:20" x14ac:dyDescent="0.25">
      <c r="A247" s="5">
        <v>44346</v>
      </c>
      <c r="B247">
        <v>3.9862000000000002</v>
      </c>
      <c r="C247">
        <v>4.43</v>
      </c>
      <c r="D247">
        <v>3.7452000000000001</v>
      </c>
      <c r="E247">
        <v>4.1261000000000001</v>
      </c>
      <c r="F247">
        <v>2206715.9700000002</v>
      </c>
      <c r="G247">
        <v>3.51</v>
      </c>
      <c r="L247" t="s">
        <v>8</v>
      </c>
      <c r="M247" t="s">
        <v>8</v>
      </c>
      <c r="N247" t="s">
        <v>7</v>
      </c>
      <c r="P247">
        <f t="shared" si="959"/>
        <v>0.11244158878504737</v>
      </c>
      <c r="Q247">
        <f t="shared" si="960"/>
        <v>248126.64966413696</v>
      </c>
      <c r="R247">
        <f t="shared" si="961"/>
        <v>-22031604.364261862</v>
      </c>
      <c r="S247">
        <f t="shared" si="962"/>
        <v>-220.31604364261861</v>
      </c>
      <c r="T247">
        <f t="shared" si="963"/>
        <v>-0.22031604364261861</v>
      </c>
    </row>
    <row r="248" spans="1:20" x14ac:dyDescent="0.25">
      <c r="A248" s="5">
        <v>44345</v>
      </c>
      <c r="B248">
        <v>4.1311999999999998</v>
      </c>
      <c r="C248">
        <v>4.5677000000000003</v>
      </c>
      <c r="D248">
        <v>3.7132999999999998</v>
      </c>
      <c r="E248">
        <v>3.9910999999999999</v>
      </c>
      <c r="F248">
        <v>2541151.86</v>
      </c>
      <c r="G248">
        <v>-3.39</v>
      </c>
      <c r="L248" t="s">
        <v>7</v>
      </c>
      <c r="M248" t="s">
        <v>7</v>
      </c>
      <c r="N248" t="s">
        <v>7</v>
      </c>
      <c r="P248">
        <f t="shared" si="959"/>
        <v>-0.34971910112359578</v>
      </c>
      <c r="Q248">
        <f t="shared" si="960"/>
        <v>-888689.34429775341</v>
      </c>
      <c r="R248">
        <f t="shared" si="961"/>
        <v>-22279731.013925999</v>
      </c>
      <c r="S248">
        <f t="shared" si="962"/>
        <v>-222.79731013925999</v>
      </c>
      <c r="T248">
        <f t="shared" si="963"/>
        <v>-0.22279731013925999</v>
      </c>
    </row>
    <row r="249" spans="1:20" x14ac:dyDescent="0.25">
      <c r="A249" s="5">
        <v>44344</v>
      </c>
      <c r="B249">
        <v>4.9016999999999999</v>
      </c>
      <c r="C249">
        <v>4.9382000000000001</v>
      </c>
      <c r="D249">
        <v>3.9213</v>
      </c>
      <c r="E249">
        <v>4.1311999999999998</v>
      </c>
      <c r="F249">
        <v>1784321.01</v>
      </c>
      <c r="G249">
        <v>-15.72</v>
      </c>
      <c r="L249" t="s">
        <v>7</v>
      </c>
      <c r="M249" t="s">
        <v>7</v>
      </c>
      <c r="N249" t="s">
        <v>7</v>
      </c>
      <c r="P249">
        <f t="shared" si="959"/>
        <v>-0.58717671354115508</v>
      </c>
      <c r="Q249">
        <f t="shared" si="960"/>
        <v>-1047711.7465542345</v>
      </c>
      <c r="R249">
        <f t="shared" si="961"/>
        <v>-21391041.669628248</v>
      </c>
      <c r="S249">
        <f t="shared" si="962"/>
        <v>-213.91041669628248</v>
      </c>
      <c r="T249">
        <f t="shared" si="963"/>
        <v>-0.21391041669628247</v>
      </c>
    </row>
    <row r="250" spans="1:20" x14ac:dyDescent="0.25">
      <c r="A250" s="5">
        <v>44343</v>
      </c>
      <c r="B250">
        <v>5.3517000000000001</v>
      </c>
      <c r="C250">
        <v>5.3787000000000003</v>
      </c>
      <c r="D250">
        <v>4.7241999999999997</v>
      </c>
      <c r="E250">
        <v>4.8888999999999996</v>
      </c>
      <c r="F250">
        <v>2646529.1</v>
      </c>
      <c r="G250">
        <v>-8.65</v>
      </c>
      <c r="L250" t="s">
        <v>7</v>
      </c>
      <c r="M250" t="s">
        <v>7</v>
      </c>
      <c r="N250" t="s">
        <v>8</v>
      </c>
      <c r="P250">
        <f t="shared" si="959"/>
        <v>-0.49671504965622698</v>
      </c>
      <c r="Q250">
        <f t="shared" si="960"/>
        <v>-1314570.8333231497</v>
      </c>
      <c r="R250">
        <f t="shared" si="961"/>
        <v>-20343329.923074014</v>
      </c>
      <c r="S250">
        <f t="shared" si="962"/>
        <v>-203.43329923074015</v>
      </c>
      <c r="T250">
        <f t="shared" si="963"/>
        <v>-0.20343329923074013</v>
      </c>
    </row>
    <row r="251" spans="1:20" x14ac:dyDescent="0.25">
      <c r="A251" s="5">
        <v>44342</v>
      </c>
      <c r="B251">
        <v>4.4118000000000004</v>
      </c>
      <c r="C251">
        <v>5.7453000000000003</v>
      </c>
      <c r="D251">
        <v>4.3013000000000003</v>
      </c>
      <c r="E251">
        <v>5.3418999999999999</v>
      </c>
      <c r="F251">
        <v>3823280.86</v>
      </c>
      <c r="G251">
        <v>21.08</v>
      </c>
      <c r="L251" t="s">
        <v>8</v>
      </c>
      <c r="M251" t="s">
        <v>8</v>
      </c>
      <c r="N251" t="s">
        <v>8</v>
      </c>
      <c r="P251">
        <f t="shared" si="959"/>
        <v>0.44127423822714623</v>
      </c>
      <c r="Q251">
        <f t="shared" si="960"/>
        <v>1687115.3490249284</v>
      </c>
      <c r="R251">
        <f t="shared" si="961"/>
        <v>-19028759.089750864</v>
      </c>
      <c r="S251">
        <f t="shared" si="962"/>
        <v>-190.28759089750864</v>
      </c>
      <c r="T251">
        <f t="shared" si="963"/>
        <v>-0.19028759089750863</v>
      </c>
    </row>
    <row r="252" spans="1:20" x14ac:dyDescent="0.25">
      <c r="A252" s="5">
        <v>44341</v>
      </c>
      <c r="B252">
        <v>4.0763999999999996</v>
      </c>
      <c r="C252">
        <v>4.5949999999999998</v>
      </c>
      <c r="D252">
        <v>3.6758000000000002</v>
      </c>
      <c r="E252">
        <v>4.4208999999999996</v>
      </c>
      <c r="F252">
        <v>1554804.22</v>
      </c>
      <c r="G252">
        <v>8.4499999999999993</v>
      </c>
      <c r="L252" t="s">
        <v>8</v>
      </c>
      <c r="M252" t="s">
        <v>8</v>
      </c>
      <c r="N252" t="s">
        <v>8</v>
      </c>
      <c r="P252">
        <f t="shared" si="959"/>
        <v>0.62119234116623101</v>
      </c>
      <c r="Q252">
        <f t="shared" si="960"/>
        <v>965832.47347693564</v>
      </c>
      <c r="R252">
        <f t="shared" si="961"/>
        <v>-20715874.438775793</v>
      </c>
      <c r="S252">
        <f t="shared" si="962"/>
        <v>-207.15874438775793</v>
      </c>
      <c r="T252">
        <f t="shared" si="963"/>
        <v>-0.20715874438775794</v>
      </c>
    </row>
    <row r="253" spans="1:20" x14ac:dyDescent="0.25">
      <c r="A253" s="5">
        <v>44340</v>
      </c>
      <c r="B253">
        <v>3.3700999999999999</v>
      </c>
      <c r="C253">
        <v>4.09</v>
      </c>
      <c r="D253">
        <v>3.2</v>
      </c>
      <c r="E253">
        <v>4.0739000000000001</v>
      </c>
      <c r="F253">
        <v>1685973.24</v>
      </c>
      <c r="G253">
        <v>20.88</v>
      </c>
      <c r="L253" t="s">
        <v>8</v>
      </c>
      <c r="M253" t="s">
        <v>8</v>
      </c>
      <c r="N253" t="s">
        <v>8</v>
      </c>
      <c r="P253">
        <f t="shared" si="959"/>
        <v>0.96382022471910156</v>
      </c>
      <c r="Q253">
        <f t="shared" si="960"/>
        <v>1624975.1070471918</v>
      </c>
      <c r="R253">
        <f t="shared" si="961"/>
        <v>-21681706.912252728</v>
      </c>
      <c r="S253">
        <f t="shared" si="962"/>
        <v>-216.81706912252727</v>
      </c>
      <c r="T253">
        <f t="shared" si="963"/>
        <v>-0.21681706912252727</v>
      </c>
    </row>
    <row r="254" spans="1:20" x14ac:dyDescent="0.25">
      <c r="A254" s="5">
        <v>44339</v>
      </c>
      <c r="B254">
        <v>3.8826999999999998</v>
      </c>
      <c r="C254">
        <v>4.0427999999999997</v>
      </c>
      <c r="D254">
        <v>2.7783000000000002</v>
      </c>
      <c r="E254">
        <v>3.3580999999999999</v>
      </c>
      <c r="F254">
        <v>1650833.02</v>
      </c>
      <c r="G254">
        <v>-13.51</v>
      </c>
      <c r="L254" t="s">
        <v>7</v>
      </c>
      <c r="M254" t="s">
        <v>7</v>
      </c>
      <c r="N254" t="s">
        <v>7</v>
      </c>
      <c r="P254">
        <f t="shared" si="959"/>
        <v>-8.2957690786872484E-2</v>
      </c>
      <c r="Q254">
        <f t="shared" si="960"/>
        <v>-136949.29521391887</v>
      </c>
      <c r="R254">
        <f t="shared" si="961"/>
        <v>-23306682.019299921</v>
      </c>
      <c r="S254">
        <f t="shared" si="962"/>
        <v>-233.06682019299922</v>
      </c>
      <c r="T254">
        <f t="shared" si="963"/>
        <v>-0.23306682019299921</v>
      </c>
    </row>
    <row r="255" spans="1:20" x14ac:dyDescent="0.25">
      <c r="A255" s="5">
        <v>44338</v>
      </c>
      <c r="B255">
        <v>4.1524000000000001</v>
      </c>
      <c r="C255">
        <v>4.3476999999999997</v>
      </c>
      <c r="D255">
        <v>3.6034999999999999</v>
      </c>
      <c r="E255">
        <v>3.8938999999999999</v>
      </c>
      <c r="F255">
        <v>1455696.97</v>
      </c>
      <c r="G255">
        <v>-6.23</v>
      </c>
      <c r="L255" t="s">
        <v>7</v>
      </c>
      <c r="M255" t="s">
        <v>8</v>
      </c>
      <c r="N255" t="s">
        <v>7</v>
      </c>
      <c r="P255">
        <f t="shared" si="959"/>
        <v>-0.21956463316312796</v>
      </c>
      <c r="Q255">
        <f t="shared" si="960"/>
        <v>-319619.57121472689</v>
      </c>
      <c r="R255">
        <f t="shared" si="961"/>
        <v>-23169732.724086002</v>
      </c>
      <c r="S255">
        <f t="shared" si="962"/>
        <v>-231.69732724086001</v>
      </c>
      <c r="T255">
        <f t="shared" si="963"/>
        <v>-0.23169732724086001</v>
      </c>
    </row>
    <row r="256" spans="1:20" x14ac:dyDescent="0.25">
      <c r="A256" s="5">
        <v>44337</v>
      </c>
      <c r="B256">
        <v>5.0248999999999997</v>
      </c>
      <c r="C256">
        <v>5.4363999999999999</v>
      </c>
      <c r="D256">
        <v>3.5398000000000001</v>
      </c>
      <c r="E256">
        <v>4.1616</v>
      </c>
      <c r="F256">
        <v>1739590.14</v>
      </c>
      <c r="G256">
        <v>-17.18</v>
      </c>
      <c r="L256" t="s">
        <v>8</v>
      </c>
      <c r="M256" t="s">
        <v>7</v>
      </c>
      <c r="N256" t="s">
        <v>7</v>
      </c>
      <c r="P256">
        <f t="shared" si="959"/>
        <v>-0.34430032690076984</v>
      </c>
      <c r="Q256">
        <f t="shared" si="960"/>
        <v>-598941.45387535589</v>
      </c>
      <c r="R256">
        <f t="shared" si="961"/>
        <v>-22850113.152871273</v>
      </c>
      <c r="S256">
        <f t="shared" si="962"/>
        <v>-228.50113152871273</v>
      </c>
      <c r="T256">
        <f t="shared" si="963"/>
        <v>-0.22850113152871274</v>
      </c>
    </row>
    <row r="257" spans="1:20" x14ac:dyDescent="0.25">
      <c r="A257" s="5">
        <v>44336</v>
      </c>
      <c r="B257">
        <v>4.5</v>
      </c>
      <c r="C257">
        <v>5.2895000000000003</v>
      </c>
      <c r="D257">
        <v>3.8500999999999999</v>
      </c>
      <c r="E257">
        <v>4.9954000000000001</v>
      </c>
      <c r="F257">
        <v>2118436.27</v>
      </c>
      <c r="G257">
        <v>11.01</v>
      </c>
      <c r="L257" t="s">
        <v>8</v>
      </c>
      <c r="M257" t="s">
        <v>8</v>
      </c>
      <c r="N257" t="s">
        <v>8</v>
      </c>
      <c r="P257">
        <f t="shared" si="959"/>
        <v>0.59135751007364157</v>
      </c>
      <c r="Q257">
        <f t="shared" si="960"/>
        <v>1252753.1978768928</v>
      </c>
      <c r="R257">
        <f t="shared" si="961"/>
        <v>-22251171.698995918</v>
      </c>
      <c r="S257">
        <f t="shared" si="962"/>
        <v>-222.51171698995918</v>
      </c>
      <c r="T257">
        <f t="shared" si="963"/>
        <v>-0.2225117169899592</v>
      </c>
    </row>
    <row r="258" spans="1:20" x14ac:dyDescent="0.25">
      <c r="A258" s="5">
        <v>44335</v>
      </c>
      <c r="B258">
        <v>7.0514000000000001</v>
      </c>
      <c r="C258">
        <v>7.1329000000000002</v>
      </c>
      <c r="D258">
        <v>3.2602000000000002</v>
      </c>
      <c r="E258">
        <v>4.5</v>
      </c>
      <c r="F258">
        <v>2596503.29</v>
      </c>
      <c r="G258">
        <v>-36.18</v>
      </c>
      <c r="L258" t="s">
        <v>7</v>
      </c>
      <c r="M258" t="s">
        <v>7</v>
      </c>
      <c r="N258" t="s">
        <v>7</v>
      </c>
      <c r="P258">
        <f t="shared" si="959"/>
        <v>-0.35972319053890062</v>
      </c>
      <c r="Q258">
        <f t="shared" si="960"/>
        <v>-934022.44772355235</v>
      </c>
      <c r="R258">
        <f t="shared" si="961"/>
        <v>-23503924.896872811</v>
      </c>
      <c r="S258">
        <f t="shared" si="962"/>
        <v>-235.03924896872812</v>
      </c>
      <c r="T258">
        <f t="shared" si="963"/>
        <v>-0.2350392489687281</v>
      </c>
    </row>
    <row r="259" spans="1:20" x14ac:dyDescent="0.25">
      <c r="A259" s="5">
        <v>44334</v>
      </c>
      <c r="B259">
        <v>6.9046000000000003</v>
      </c>
      <c r="C259">
        <v>7.4749999999999996</v>
      </c>
      <c r="D259">
        <v>6.8045999999999998</v>
      </c>
      <c r="E259">
        <v>7.0472000000000001</v>
      </c>
      <c r="F259">
        <v>880345.46</v>
      </c>
      <c r="G259">
        <v>2.0699999999999998</v>
      </c>
      <c r="L259" t="s">
        <v>8</v>
      </c>
      <c r="M259" t="s">
        <v>7</v>
      </c>
      <c r="N259" t="s">
        <v>7</v>
      </c>
      <c r="P259">
        <f t="shared" si="959"/>
        <v>-0.27625298329355485</v>
      </c>
      <c r="Q259">
        <f t="shared" si="960"/>
        <v>-243198.05965393686</v>
      </c>
      <c r="R259">
        <f t="shared" si="961"/>
        <v>-22569902.449149258</v>
      </c>
      <c r="S259">
        <f t="shared" si="962"/>
        <v>-225.69902449149259</v>
      </c>
      <c r="T259">
        <f t="shared" si="963"/>
        <v>-0.22569902449149259</v>
      </c>
    </row>
    <row r="260" spans="1:20" x14ac:dyDescent="0.25">
      <c r="A260" s="5">
        <v>44333</v>
      </c>
      <c r="B260">
        <v>7.7420999999999998</v>
      </c>
      <c r="C260">
        <v>7.7511000000000001</v>
      </c>
      <c r="D260">
        <v>6.6685999999999996</v>
      </c>
      <c r="E260">
        <v>6.9046000000000003</v>
      </c>
      <c r="F260">
        <v>1162145.32</v>
      </c>
      <c r="G260">
        <v>-10.82</v>
      </c>
      <c r="L260" t="s">
        <v>7</v>
      </c>
      <c r="M260" t="s">
        <v>7</v>
      </c>
      <c r="N260" t="s">
        <v>7</v>
      </c>
      <c r="P260">
        <f t="shared" si="959"/>
        <v>-0.56397228637413288</v>
      </c>
      <c r="Q260">
        <f t="shared" si="960"/>
        <v>-655417.75321939832</v>
      </c>
      <c r="R260">
        <f t="shared" si="961"/>
        <v>-22326704.389495321</v>
      </c>
      <c r="S260">
        <f t="shared" si="962"/>
        <v>-223.26704389495322</v>
      </c>
      <c r="T260">
        <f t="shared" si="963"/>
        <v>-0.22326704389495322</v>
      </c>
    </row>
    <row r="261" spans="1:20" x14ac:dyDescent="0.25">
      <c r="A261" s="5">
        <v>44332</v>
      </c>
      <c r="B261">
        <v>7.6642999999999999</v>
      </c>
      <c r="C261">
        <v>8.73</v>
      </c>
      <c r="D261">
        <v>7.12</v>
      </c>
      <c r="E261">
        <v>7.7409999999999997</v>
      </c>
      <c r="F261">
        <v>1179138.8</v>
      </c>
      <c r="G261">
        <v>1</v>
      </c>
      <c r="L261" t="s">
        <v>7</v>
      </c>
      <c r="M261" t="s">
        <v>7</v>
      </c>
      <c r="N261" t="s">
        <v>7</v>
      </c>
      <c r="P261">
        <f t="shared" si="959"/>
        <v>-0.22857142857142929</v>
      </c>
      <c r="Q261">
        <f t="shared" si="960"/>
        <v>-269517.44000000088</v>
      </c>
      <c r="R261">
        <f t="shared" si="961"/>
        <v>-21671286.636275921</v>
      </c>
      <c r="S261">
        <f t="shared" si="962"/>
        <v>-216.7128663627592</v>
      </c>
      <c r="T261">
        <f t="shared" si="963"/>
        <v>-0.21671286636275919</v>
      </c>
    </row>
    <row r="262" spans="1:20" x14ac:dyDescent="0.25">
      <c r="A262" s="5">
        <v>44331</v>
      </c>
      <c r="B262">
        <v>8.4529999999999994</v>
      </c>
      <c r="C262">
        <v>8.8466000000000005</v>
      </c>
      <c r="D262">
        <v>7.6577999999999999</v>
      </c>
      <c r="E262">
        <v>7.6643999999999997</v>
      </c>
      <c r="F262">
        <v>850450.08</v>
      </c>
      <c r="G262">
        <v>-9.33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-0.988896366083446</v>
      </c>
      <c r="Q262">
        <f t="shared" ref="Q262:Q325" si="965">F262*P262</f>
        <v>-841006.99364737584</v>
      </c>
      <c r="R262">
        <f t="shared" ref="R262:R325" si="966">R263+Q262</f>
        <v>-21401769.19627592</v>
      </c>
      <c r="S262">
        <f t="shared" ref="S262:S325" si="967">R262/100000</f>
        <v>-214.01769196275919</v>
      </c>
      <c r="T262">
        <f t="shared" ref="T262:T325" si="968">S262/1000</f>
        <v>-0.21401769196275919</v>
      </c>
    </row>
    <row r="263" spans="1:20" x14ac:dyDescent="0.25">
      <c r="A263" s="5">
        <v>44330</v>
      </c>
      <c r="B263">
        <v>8.1572999999999993</v>
      </c>
      <c r="C263">
        <v>8.8049999999999997</v>
      </c>
      <c r="D263">
        <v>8.0787999999999993</v>
      </c>
      <c r="E263">
        <v>8.4680999999999997</v>
      </c>
      <c r="F263">
        <v>812975.72</v>
      </c>
      <c r="G263">
        <v>3.81</v>
      </c>
      <c r="L263" t="s">
        <v>8</v>
      </c>
      <c r="M263" t="s">
        <v>7</v>
      </c>
      <c r="N263" t="s">
        <v>7</v>
      </c>
      <c r="P263">
        <f t="shared" si="964"/>
        <v>7.2156430735335189E-2</v>
      </c>
      <c r="Q263">
        <f t="shared" si="965"/>
        <v>58661.426229689256</v>
      </c>
      <c r="R263">
        <f t="shared" si="966"/>
        <v>-20560762.202628545</v>
      </c>
      <c r="S263">
        <f t="shared" si="967"/>
        <v>-205.60762202628544</v>
      </c>
      <c r="T263">
        <f t="shared" si="968"/>
        <v>-0.20560762202628544</v>
      </c>
    </row>
    <row r="264" spans="1:20" x14ac:dyDescent="0.25">
      <c r="A264" s="5">
        <v>44329</v>
      </c>
      <c r="B264">
        <v>8.4108000000000001</v>
      </c>
      <c r="C264">
        <v>8.8614999999999995</v>
      </c>
      <c r="D264">
        <v>7.7880000000000003</v>
      </c>
      <c r="E264">
        <v>8.1678999999999995</v>
      </c>
      <c r="F264">
        <v>1156886.0900000001</v>
      </c>
      <c r="G264">
        <v>-2.89</v>
      </c>
      <c r="L264" t="s">
        <v>7</v>
      </c>
      <c r="M264" t="s">
        <v>7</v>
      </c>
      <c r="N264" t="s">
        <v>7</v>
      </c>
      <c r="P264">
        <f t="shared" si="964"/>
        <v>-0.29222170470423936</v>
      </c>
      <c r="Q264">
        <f t="shared" si="965"/>
        <v>-338067.22536842211</v>
      </c>
      <c r="R264">
        <f t="shared" si="966"/>
        <v>-20619423.628858235</v>
      </c>
      <c r="S264">
        <f t="shared" si="967"/>
        <v>-206.19423628858235</v>
      </c>
      <c r="T264">
        <f t="shared" si="968"/>
        <v>-0.20619423628858236</v>
      </c>
    </row>
    <row r="265" spans="1:20" x14ac:dyDescent="0.25">
      <c r="A265" s="5">
        <v>44328</v>
      </c>
      <c r="B265">
        <v>9.7692999999999994</v>
      </c>
      <c r="C265">
        <v>10.111700000000001</v>
      </c>
      <c r="D265">
        <v>8.2261000000000006</v>
      </c>
      <c r="E265">
        <v>8.4259000000000004</v>
      </c>
      <c r="F265">
        <v>905796.52</v>
      </c>
      <c r="G265">
        <v>-13.75</v>
      </c>
      <c r="L265" t="s">
        <v>7</v>
      </c>
      <c r="M265" t="s">
        <v>7</v>
      </c>
      <c r="N265" t="s">
        <v>7</v>
      </c>
      <c r="P265">
        <f t="shared" si="964"/>
        <v>-0.78807806533729341</v>
      </c>
      <c r="Q265">
        <f t="shared" si="965"/>
        <v>-713838.36907085299</v>
      </c>
      <c r="R265">
        <f t="shared" si="966"/>
        <v>-20281356.403489813</v>
      </c>
      <c r="S265">
        <f t="shared" si="967"/>
        <v>-202.81356403489812</v>
      </c>
      <c r="T265">
        <f t="shared" si="968"/>
        <v>-0.20281356403489811</v>
      </c>
    </row>
    <row r="266" spans="1:20" x14ac:dyDescent="0.25">
      <c r="A266" s="5">
        <v>44327</v>
      </c>
      <c r="B266">
        <v>9.1936999999999998</v>
      </c>
      <c r="C266">
        <v>10.240600000000001</v>
      </c>
      <c r="D266">
        <v>8.6982999999999997</v>
      </c>
      <c r="E266">
        <v>9.7843</v>
      </c>
      <c r="F266">
        <v>1130915.24</v>
      </c>
      <c r="G266">
        <v>6.42</v>
      </c>
      <c r="L266" t="s">
        <v>8</v>
      </c>
      <c r="M266" t="s">
        <v>7</v>
      </c>
      <c r="N266" t="s">
        <v>7</v>
      </c>
      <c r="P266">
        <f t="shared" si="964"/>
        <v>0.40828632561758371</v>
      </c>
      <c r="Q266">
        <f t="shared" si="965"/>
        <v>461737.22792452783</v>
      </c>
      <c r="R266">
        <f t="shared" si="966"/>
        <v>-19567518.034418959</v>
      </c>
      <c r="S266">
        <f t="shared" si="967"/>
        <v>-195.67518034418958</v>
      </c>
      <c r="T266">
        <f t="shared" si="968"/>
        <v>-0.1956751803441896</v>
      </c>
    </row>
    <row r="267" spans="1:20" x14ac:dyDescent="0.25">
      <c r="A267" s="5">
        <v>44326</v>
      </c>
      <c r="B267">
        <v>10.193199999999999</v>
      </c>
      <c r="C267">
        <v>10.485799999999999</v>
      </c>
      <c r="D267">
        <v>8.75</v>
      </c>
      <c r="E267">
        <v>9.1980000000000004</v>
      </c>
      <c r="F267">
        <v>934893.8</v>
      </c>
      <c r="G267">
        <v>-9.76</v>
      </c>
      <c r="L267" t="s">
        <v>7</v>
      </c>
      <c r="M267" t="s">
        <v>7</v>
      </c>
      <c r="N267" t="s">
        <v>7</v>
      </c>
      <c r="P267">
        <f t="shared" si="964"/>
        <v>-0.48381149902062387</v>
      </c>
      <c r="Q267">
        <f t="shared" si="965"/>
        <v>-452312.37080308737</v>
      </c>
      <c r="R267">
        <f t="shared" si="966"/>
        <v>-20029255.262343489</v>
      </c>
      <c r="S267">
        <f t="shared" si="967"/>
        <v>-200.29255262343489</v>
      </c>
      <c r="T267">
        <f t="shared" si="968"/>
        <v>-0.2002925526234349</v>
      </c>
    </row>
    <row r="268" spans="1:20" x14ac:dyDescent="0.25">
      <c r="A268" s="5">
        <v>44325</v>
      </c>
      <c r="B268">
        <v>10.285500000000001</v>
      </c>
      <c r="C268">
        <v>10.5601</v>
      </c>
      <c r="D268">
        <v>9.7195999999999998</v>
      </c>
      <c r="E268">
        <v>10.173400000000001</v>
      </c>
      <c r="F268">
        <v>784682.25</v>
      </c>
      <c r="G268">
        <v>-1.0900000000000001</v>
      </c>
      <c r="L268" t="s">
        <v>7</v>
      </c>
      <c r="M268" t="s">
        <v>7</v>
      </c>
      <c r="N268" t="s">
        <v>8</v>
      </c>
      <c r="P268">
        <f t="shared" si="964"/>
        <v>7.9833432480668265E-2</v>
      </c>
      <c r="Q268">
        <f t="shared" si="965"/>
        <v>62643.877424153856</v>
      </c>
      <c r="R268">
        <f t="shared" si="966"/>
        <v>-19576942.891540401</v>
      </c>
      <c r="S268">
        <f t="shared" si="967"/>
        <v>-195.76942891540401</v>
      </c>
      <c r="T268">
        <f t="shared" si="968"/>
        <v>-0.195769428915404</v>
      </c>
    </row>
    <row r="269" spans="1:20" x14ac:dyDescent="0.25">
      <c r="A269" s="5">
        <v>44324</v>
      </c>
      <c r="B269">
        <v>10.6736</v>
      </c>
      <c r="C269">
        <v>10.89</v>
      </c>
      <c r="D269">
        <v>10.1793</v>
      </c>
      <c r="E269">
        <v>10.297000000000001</v>
      </c>
      <c r="F269">
        <v>1144651.9099999999</v>
      </c>
      <c r="G269">
        <v>-3.53</v>
      </c>
      <c r="L269" t="s">
        <v>7</v>
      </c>
      <c r="M269" t="s">
        <v>7</v>
      </c>
      <c r="N269" t="s">
        <v>8</v>
      </c>
      <c r="P269">
        <f t="shared" si="964"/>
        <v>-0.66877726185450725</v>
      </c>
      <c r="Q269">
        <f t="shared" si="965"/>
        <v>-765517.17014633177</v>
      </c>
      <c r="R269">
        <f t="shared" si="966"/>
        <v>-19639586.768964555</v>
      </c>
      <c r="S269">
        <f t="shared" si="967"/>
        <v>-196.39586768964554</v>
      </c>
      <c r="T269">
        <f t="shared" si="968"/>
        <v>-0.19639586768964554</v>
      </c>
    </row>
    <row r="270" spans="1:20" x14ac:dyDescent="0.25">
      <c r="A270" s="5">
        <v>44323</v>
      </c>
      <c r="B270">
        <v>9.7929999999999993</v>
      </c>
      <c r="C270">
        <v>12.0786</v>
      </c>
      <c r="D270">
        <v>9.6626999999999992</v>
      </c>
      <c r="E270">
        <v>10.671200000000001</v>
      </c>
      <c r="F270">
        <v>3510294.69</v>
      </c>
      <c r="G270">
        <v>8.9700000000000006</v>
      </c>
      <c r="L270" t="s">
        <v>8</v>
      </c>
      <c r="M270" t="s">
        <v>8</v>
      </c>
      <c r="N270" t="s">
        <v>8</v>
      </c>
      <c r="P270">
        <f t="shared" si="964"/>
        <v>-0.16511445010141043</v>
      </c>
      <c r="Q270">
        <f t="shared" si="965"/>
        <v>-579600.37743325101</v>
      </c>
      <c r="R270">
        <f t="shared" si="966"/>
        <v>-18874069.598818224</v>
      </c>
      <c r="S270">
        <f t="shared" si="967"/>
        <v>-188.74069598818224</v>
      </c>
      <c r="T270">
        <f t="shared" si="968"/>
        <v>-0.18874069598818224</v>
      </c>
    </row>
    <row r="271" spans="1:20" x14ac:dyDescent="0.25">
      <c r="A271" s="5">
        <v>44322</v>
      </c>
      <c r="B271">
        <v>9.3376999999999999</v>
      </c>
      <c r="C271">
        <v>9.9454999999999991</v>
      </c>
      <c r="D271">
        <v>9.0015000000000001</v>
      </c>
      <c r="E271">
        <v>9.8017000000000003</v>
      </c>
      <c r="F271">
        <v>1090932.8400000001</v>
      </c>
      <c r="G271">
        <v>4.97</v>
      </c>
      <c r="L271" t="s">
        <v>8</v>
      </c>
      <c r="M271" t="s">
        <v>8</v>
      </c>
      <c r="N271" t="s">
        <v>8</v>
      </c>
      <c r="P271">
        <f t="shared" si="964"/>
        <v>0.69533898305084962</v>
      </c>
      <c r="Q271">
        <f t="shared" si="965"/>
        <v>758568.13154237531</v>
      </c>
      <c r="R271">
        <f t="shared" si="966"/>
        <v>-18294469.221384972</v>
      </c>
      <c r="S271">
        <f t="shared" si="967"/>
        <v>-182.94469221384972</v>
      </c>
      <c r="T271">
        <f t="shared" si="968"/>
        <v>-0.18294469221384971</v>
      </c>
    </row>
    <row r="272" spans="1:20" x14ac:dyDescent="0.25">
      <c r="A272" s="5">
        <v>44321</v>
      </c>
      <c r="B272">
        <v>8.5660000000000007</v>
      </c>
      <c r="C272">
        <v>9.3949999999999996</v>
      </c>
      <c r="D272">
        <v>8.4780999999999995</v>
      </c>
      <c r="E272">
        <v>9.3175000000000008</v>
      </c>
      <c r="F272">
        <v>854018.61</v>
      </c>
      <c r="G272">
        <v>8.77</v>
      </c>
      <c r="L272" t="s">
        <v>8</v>
      </c>
      <c r="M272" t="s">
        <v>7</v>
      </c>
      <c r="N272" t="s">
        <v>8</v>
      </c>
      <c r="P272">
        <f t="shared" si="964"/>
        <v>0.83095212127822271</v>
      </c>
      <c r="Q272">
        <f t="shared" si="965"/>
        <v>709648.57559057919</v>
      </c>
      <c r="R272">
        <f t="shared" si="966"/>
        <v>-19053037.352927346</v>
      </c>
      <c r="S272">
        <f t="shared" si="967"/>
        <v>-190.53037352927345</v>
      </c>
      <c r="T272">
        <f t="shared" si="968"/>
        <v>-0.19053037352927343</v>
      </c>
    </row>
    <row r="273" spans="1:20" x14ac:dyDescent="0.25">
      <c r="A273" s="5">
        <v>44320</v>
      </c>
      <c r="B273">
        <v>9.8584999999999994</v>
      </c>
      <c r="C273">
        <v>9.8632000000000009</v>
      </c>
      <c r="D273">
        <v>8.4555000000000007</v>
      </c>
      <c r="E273">
        <v>8.5710999999999995</v>
      </c>
      <c r="F273">
        <v>1081941.7</v>
      </c>
      <c r="G273">
        <v>-13.06</v>
      </c>
      <c r="L273" t="s">
        <v>7</v>
      </c>
      <c r="M273" t="s">
        <v>7</v>
      </c>
      <c r="N273" t="s">
        <v>8</v>
      </c>
      <c r="P273">
        <f t="shared" si="964"/>
        <v>-0.83576046032535511</v>
      </c>
      <c r="Q273">
        <f t="shared" si="965"/>
        <v>-904244.09323719726</v>
      </c>
      <c r="R273">
        <f t="shared" si="966"/>
        <v>-19762685.928517926</v>
      </c>
      <c r="S273">
        <f t="shared" si="967"/>
        <v>-197.62685928517928</v>
      </c>
      <c r="T273">
        <f t="shared" si="968"/>
        <v>-0.19762685928517928</v>
      </c>
    </row>
    <row r="274" spans="1:20" x14ac:dyDescent="0.25">
      <c r="A274" s="5">
        <v>44319</v>
      </c>
      <c r="B274">
        <v>9.5151000000000003</v>
      </c>
      <c r="C274">
        <v>10.160600000000001</v>
      </c>
      <c r="D274">
        <v>9.5151000000000003</v>
      </c>
      <c r="E274">
        <v>9.8506999999999998</v>
      </c>
      <c r="F274">
        <v>719801.49</v>
      </c>
      <c r="G274">
        <v>3.53</v>
      </c>
      <c r="L274" t="s">
        <v>8</v>
      </c>
      <c r="M274" t="s">
        <v>8</v>
      </c>
      <c r="N274" t="s">
        <v>8</v>
      </c>
      <c r="P274">
        <f t="shared" si="964"/>
        <v>3.981409759875866E-2</v>
      </c>
      <c r="Q274">
        <f t="shared" si="965"/>
        <v>28658.246774591906</v>
      </c>
      <c r="R274">
        <f t="shared" si="966"/>
        <v>-18858441.835280728</v>
      </c>
      <c r="S274">
        <f t="shared" si="967"/>
        <v>-188.58441835280726</v>
      </c>
      <c r="T274">
        <f t="shared" si="968"/>
        <v>-0.18858441835280726</v>
      </c>
    </row>
    <row r="275" spans="1:20" x14ac:dyDescent="0.25">
      <c r="A275" s="5">
        <v>44318</v>
      </c>
      <c r="B275">
        <v>9.9177999999999997</v>
      </c>
      <c r="C275">
        <v>9.9247999999999994</v>
      </c>
      <c r="D275">
        <v>9.1866000000000003</v>
      </c>
      <c r="E275">
        <v>9.5128000000000004</v>
      </c>
      <c r="F275">
        <v>603375.81999999995</v>
      </c>
      <c r="G275">
        <v>-4.08</v>
      </c>
      <c r="L275" t="s">
        <v>7</v>
      </c>
      <c r="M275" t="s">
        <v>8</v>
      </c>
      <c r="N275" t="s">
        <v>8</v>
      </c>
      <c r="P275">
        <f t="shared" si="964"/>
        <v>-0.11622866431861162</v>
      </c>
      <c r="Q275">
        <f t="shared" si="965"/>
        <v>-70129.565640747023</v>
      </c>
      <c r="R275">
        <f t="shared" si="966"/>
        <v>-18887100.082055319</v>
      </c>
      <c r="S275">
        <f t="shared" si="967"/>
        <v>-188.87100082055318</v>
      </c>
      <c r="T275">
        <f t="shared" si="968"/>
        <v>-0.18887100082055316</v>
      </c>
    </row>
    <row r="276" spans="1:20" x14ac:dyDescent="0.25">
      <c r="A276" s="5">
        <v>44317</v>
      </c>
      <c r="B276">
        <v>9.9459</v>
      </c>
      <c r="C276">
        <v>10.215999999999999</v>
      </c>
      <c r="D276">
        <v>9.6616999999999997</v>
      </c>
      <c r="E276">
        <v>9.9023000000000003</v>
      </c>
      <c r="F276">
        <v>669744.25</v>
      </c>
      <c r="G276">
        <v>-0.44</v>
      </c>
      <c r="L276" t="s">
        <v>7</v>
      </c>
      <c r="M276" t="s">
        <v>8</v>
      </c>
      <c r="N276" t="s">
        <v>8</v>
      </c>
      <c r="P276">
        <f t="shared" si="964"/>
        <v>-0.13187804438029668</v>
      </c>
      <c r="Q276">
        <f t="shared" si="965"/>
        <v>-88324.561924948517</v>
      </c>
      <c r="R276">
        <f t="shared" si="966"/>
        <v>-18816970.516414572</v>
      </c>
      <c r="S276">
        <f t="shared" si="967"/>
        <v>-188.16970516414571</v>
      </c>
      <c r="T276">
        <f t="shared" si="968"/>
        <v>-0.18816970516414572</v>
      </c>
    </row>
    <row r="277" spans="1:20" x14ac:dyDescent="0.25">
      <c r="A277" s="5">
        <v>44316</v>
      </c>
      <c r="B277">
        <v>9.9558</v>
      </c>
      <c r="C277">
        <v>10.399900000000001</v>
      </c>
      <c r="D277">
        <v>9.5761000000000003</v>
      </c>
      <c r="E277">
        <v>9.9308999999999994</v>
      </c>
      <c r="F277">
        <v>1051213.97</v>
      </c>
      <c r="G277">
        <v>-0.25</v>
      </c>
      <c r="L277" t="s">
        <v>8</v>
      </c>
      <c r="M277" t="s">
        <v>8</v>
      </c>
      <c r="N277" t="s">
        <v>8</v>
      </c>
      <c r="P277">
        <f t="shared" si="964"/>
        <v>-0.13862588006798013</v>
      </c>
      <c r="Q277">
        <f t="shared" si="965"/>
        <v>-145725.46173100526</v>
      </c>
      <c r="R277">
        <f t="shared" si="966"/>
        <v>-18728645.954489622</v>
      </c>
      <c r="S277">
        <f t="shared" si="967"/>
        <v>-187.28645954489622</v>
      </c>
      <c r="T277">
        <f t="shared" si="968"/>
        <v>-0.18728645954489623</v>
      </c>
    </row>
    <row r="278" spans="1:20" x14ac:dyDescent="0.25">
      <c r="A278" s="5">
        <v>44315</v>
      </c>
      <c r="B278">
        <v>9.27</v>
      </c>
      <c r="C278">
        <v>9.9600000000000009</v>
      </c>
      <c r="D278">
        <v>8.7391000000000005</v>
      </c>
      <c r="E278">
        <v>9.9558999999999997</v>
      </c>
      <c r="F278">
        <v>1185884.8899999999</v>
      </c>
      <c r="G278">
        <v>7.4</v>
      </c>
      <c r="L278" t="s">
        <v>8</v>
      </c>
      <c r="M278" t="s">
        <v>8</v>
      </c>
      <c r="N278" t="s">
        <v>8</v>
      </c>
      <c r="P278">
        <f t="shared" si="964"/>
        <v>0.99328364321402063</v>
      </c>
      <c r="Q278">
        <f t="shared" si="965"/>
        <v>1177920.063971658</v>
      </c>
      <c r="R278">
        <f t="shared" si="966"/>
        <v>-18582920.492758617</v>
      </c>
      <c r="S278">
        <f t="shared" si="967"/>
        <v>-185.82920492758618</v>
      </c>
      <c r="T278">
        <f t="shared" si="968"/>
        <v>-0.18582920492758617</v>
      </c>
    </row>
    <row r="279" spans="1:20" x14ac:dyDescent="0.25">
      <c r="A279" s="5">
        <v>44314</v>
      </c>
      <c r="B279">
        <v>8.9316999999999993</v>
      </c>
      <c r="C279">
        <v>9.4189000000000007</v>
      </c>
      <c r="D279">
        <v>8.3887999999999998</v>
      </c>
      <c r="E279">
        <v>9.2657000000000007</v>
      </c>
      <c r="F279">
        <v>949288.57</v>
      </c>
      <c r="G279">
        <v>3.74</v>
      </c>
      <c r="L279" t="s">
        <v>8</v>
      </c>
      <c r="M279" t="s">
        <v>8</v>
      </c>
      <c r="N279" t="s">
        <v>7</v>
      </c>
      <c r="P279">
        <f t="shared" si="964"/>
        <v>0.70255315017959452</v>
      </c>
      <c r="Q279">
        <f t="shared" si="965"/>
        <v>666925.67528298253</v>
      </c>
      <c r="R279">
        <f t="shared" si="966"/>
        <v>-19760840.556730274</v>
      </c>
      <c r="S279">
        <f t="shared" si="967"/>
        <v>-197.60840556730275</v>
      </c>
      <c r="T279">
        <f t="shared" si="968"/>
        <v>-0.19760840556730275</v>
      </c>
    </row>
    <row r="280" spans="1:20" x14ac:dyDescent="0.25">
      <c r="A280" s="5">
        <v>44313</v>
      </c>
      <c r="B280">
        <v>8.5914000000000001</v>
      </c>
      <c r="C280">
        <v>9.2219999999999995</v>
      </c>
      <c r="D280">
        <v>8.5128000000000004</v>
      </c>
      <c r="E280">
        <v>8.9316999999999993</v>
      </c>
      <c r="F280">
        <v>1000297.84</v>
      </c>
      <c r="G280">
        <v>3.96</v>
      </c>
      <c r="L280" t="s">
        <v>8</v>
      </c>
      <c r="M280" t="s">
        <v>8</v>
      </c>
      <c r="N280" t="s">
        <v>7</v>
      </c>
      <c r="P280">
        <f t="shared" si="964"/>
        <v>0.18133107727016196</v>
      </c>
      <c r="Q280">
        <f t="shared" si="965"/>
        <v>181385.0849182161</v>
      </c>
      <c r="R280">
        <f t="shared" si="966"/>
        <v>-20427766.232013255</v>
      </c>
      <c r="S280">
        <f t="shared" si="967"/>
        <v>-204.27766232013255</v>
      </c>
      <c r="T280">
        <f t="shared" si="968"/>
        <v>-0.20427766232013256</v>
      </c>
    </row>
    <row r="281" spans="1:20" x14ac:dyDescent="0.25">
      <c r="A281" s="5">
        <v>44312</v>
      </c>
      <c r="B281">
        <v>7.8571999999999997</v>
      </c>
      <c r="C281">
        <v>8.8080999999999996</v>
      </c>
      <c r="D281">
        <v>7.7872000000000003</v>
      </c>
      <c r="E281">
        <v>8.5936000000000003</v>
      </c>
      <c r="F281">
        <v>1049757.25</v>
      </c>
      <c r="G281">
        <v>9.3699999999999992</v>
      </c>
      <c r="L281" t="s">
        <v>8</v>
      </c>
      <c r="M281" t="s">
        <v>8</v>
      </c>
      <c r="N281" t="s">
        <v>7</v>
      </c>
      <c r="P281">
        <f t="shared" si="964"/>
        <v>0.57978254481340108</v>
      </c>
      <c r="Q281">
        <f t="shared" si="965"/>
        <v>608630.9298413177</v>
      </c>
      <c r="R281">
        <f t="shared" si="966"/>
        <v>-20609151.316931471</v>
      </c>
      <c r="S281">
        <f t="shared" si="967"/>
        <v>-206.09151316931471</v>
      </c>
      <c r="T281">
        <f t="shared" si="968"/>
        <v>-0.20609151316931471</v>
      </c>
    </row>
    <row r="282" spans="1:20" x14ac:dyDescent="0.25">
      <c r="A282" s="5">
        <v>44311</v>
      </c>
      <c r="B282">
        <v>7.4922000000000004</v>
      </c>
      <c r="C282">
        <v>8.15</v>
      </c>
      <c r="D282">
        <v>7.2850000000000001</v>
      </c>
      <c r="E282">
        <v>7.8514999999999997</v>
      </c>
      <c r="F282">
        <v>806573.53</v>
      </c>
      <c r="G282">
        <v>4.8</v>
      </c>
      <c r="L282" t="s">
        <v>7</v>
      </c>
      <c r="M282" t="s">
        <v>8</v>
      </c>
      <c r="N282" t="s">
        <v>7</v>
      </c>
      <c r="P282">
        <f t="shared" si="964"/>
        <v>0.3098265895953744</v>
      </c>
      <c r="Q282">
        <f t="shared" si="965"/>
        <v>249897.92605780243</v>
      </c>
      <c r="R282">
        <f t="shared" si="966"/>
        <v>-21217782.246772788</v>
      </c>
      <c r="S282">
        <f t="shared" si="967"/>
        <v>-212.17782246772788</v>
      </c>
      <c r="T282">
        <f t="shared" si="968"/>
        <v>-0.21217782246772787</v>
      </c>
    </row>
    <row r="283" spans="1:20" x14ac:dyDescent="0.25">
      <c r="A283" s="5">
        <v>44310</v>
      </c>
      <c r="B283">
        <v>8.1508000000000003</v>
      </c>
      <c r="C283">
        <v>8.1805000000000003</v>
      </c>
      <c r="D283">
        <v>7.3795000000000002</v>
      </c>
      <c r="E283">
        <v>7.5058999999999996</v>
      </c>
      <c r="F283">
        <v>1238784.8400000001</v>
      </c>
      <c r="G283">
        <v>-7.91</v>
      </c>
      <c r="L283" t="s">
        <v>8</v>
      </c>
      <c r="M283" t="s">
        <v>8</v>
      </c>
      <c r="N283" t="s">
        <v>7</v>
      </c>
      <c r="P283">
        <f t="shared" si="964"/>
        <v>-0.68439450686641856</v>
      </c>
      <c r="Q283">
        <f t="shared" si="965"/>
        <v>-847817.53968539531</v>
      </c>
      <c r="R283">
        <f t="shared" si="966"/>
        <v>-21467680.172830589</v>
      </c>
      <c r="S283">
        <f t="shared" si="967"/>
        <v>-214.67680172830589</v>
      </c>
      <c r="T283">
        <f t="shared" si="968"/>
        <v>-0.21467680172830589</v>
      </c>
    </row>
    <row r="284" spans="1:20" x14ac:dyDescent="0.25">
      <c r="A284" s="5">
        <v>44309</v>
      </c>
      <c r="B284">
        <v>8.2216000000000005</v>
      </c>
      <c r="C284">
        <v>8.4719999999999995</v>
      </c>
      <c r="D284">
        <v>7.02</v>
      </c>
      <c r="E284">
        <v>8.1508000000000003</v>
      </c>
      <c r="F284">
        <v>1954906.87</v>
      </c>
      <c r="G284">
        <v>-0.86</v>
      </c>
      <c r="L284" t="s">
        <v>7</v>
      </c>
      <c r="M284" t="s">
        <v>7</v>
      </c>
      <c r="N284" t="s">
        <v>7</v>
      </c>
      <c r="P284">
        <f t="shared" si="964"/>
        <v>0.55757575757575861</v>
      </c>
      <c r="Q284">
        <f t="shared" si="965"/>
        <v>1090008.679030305</v>
      </c>
      <c r="R284">
        <f t="shared" si="966"/>
        <v>-20619862.633145195</v>
      </c>
      <c r="S284">
        <f t="shared" si="967"/>
        <v>-206.19862633145195</v>
      </c>
      <c r="T284">
        <f t="shared" si="968"/>
        <v>-0.20619862633145195</v>
      </c>
    </row>
    <row r="285" spans="1:20" x14ac:dyDescent="0.25">
      <c r="A285" s="5">
        <v>44308</v>
      </c>
      <c r="B285">
        <v>8.6364000000000001</v>
      </c>
      <c r="C285">
        <v>10.024100000000001</v>
      </c>
      <c r="D285">
        <v>7.9424999999999999</v>
      </c>
      <c r="E285">
        <v>8.2125000000000004</v>
      </c>
      <c r="F285">
        <v>2191756.35</v>
      </c>
      <c r="G285">
        <v>-4.91</v>
      </c>
      <c r="L285" t="s">
        <v>8</v>
      </c>
      <c r="M285" t="s">
        <v>8</v>
      </c>
      <c r="N285" t="s">
        <v>8</v>
      </c>
      <c r="P285">
        <f t="shared" si="964"/>
        <v>-0.74058416602613342</v>
      </c>
      <c r="Q285">
        <f t="shared" si="965"/>
        <v>-1623180.0485972322</v>
      </c>
      <c r="R285">
        <f t="shared" si="966"/>
        <v>-21709871.312175501</v>
      </c>
      <c r="S285">
        <f t="shared" si="967"/>
        <v>-217.098713121755</v>
      </c>
      <c r="T285">
        <f t="shared" si="968"/>
        <v>-0.21709871312175499</v>
      </c>
    </row>
    <row r="286" spans="1:20" x14ac:dyDescent="0.25">
      <c r="A286" s="5">
        <v>44307</v>
      </c>
      <c r="B286">
        <v>8.3865999999999996</v>
      </c>
      <c r="C286">
        <v>9.6170000000000009</v>
      </c>
      <c r="D286">
        <v>8.1501999999999999</v>
      </c>
      <c r="E286">
        <v>8.6483000000000008</v>
      </c>
      <c r="F286">
        <v>1557395.77</v>
      </c>
      <c r="G286">
        <v>3.12</v>
      </c>
      <c r="L286" t="s">
        <v>8</v>
      </c>
      <c r="M286" t="s">
        <v>8</v>
      </c>
      <c r="N286" t="s">
        <v>7</v>
      </c>
      <c r="P286">
        <f t="shared" si="964"/>
        <v>-0.32083446959367257</v>
      </c>
      <c r="Q286">
        <f t="shared" si="965"/>
        <v>-499666.24581537925</v>
      </c>
      <c r="R286">
        <f t="shared" si="966"/>
        <v>-20086691.26357827</v>
      </c>
      <c r="S286">
        <f t="shared" si="967"/>
        <v>-200.86691263578268</v>
      </c>
      <c r="T286">
        <f t="shared" si="968"/>
        <v>-0.20086691263578269</v>
      </c>
    </row>
    <row r="287" spans="1:20" x14ac:dyDescent="0.25">
      <c r="A287" s="5">
        <v>44306</v>
      </c>
      <c r="B287">
        <v>8.0363000000000007</v>
      </c>
      <c r="C287">
        <v>8.5533000000000001</v>
      </c>
      <c r="D287">
        <v>7.3273000000000001</v>
      </c>
      <c r="E287">
        <v>8.3806999999999992</v>
      </c>
      <c r="F287">
        <v>1133790.5</v>
      </c>
      <c r="G287">
        <v>4.29</v>
      </c>
      <c r="L287" t="s">
        <v>7</v>
      </c>
      <c r="M287" t="s">
        <v>7</v>
      </c>
      <c r="N287" t="s">
        <v>7</v>
      </c>
      <c r="P287">
        <f t="shared" si="964"/>
        <v>0.71843393148450085</v>
      </c>
      <c r="Q287">
        <f t="shared" si="965"/>
        <v>814553.56639477797</v>
      </c>
      <c r="R287">
        <f t="shared" si="966"/>
        <v>-19587025.017762892</v>
      </c>
      <c r="S287">
        <f t="shared" si="967"/>
        <v>-195.87025017762892</v>
      </c>
      <c r="T287">
        <f t="shared" si="968"/>
        <v>-0.19587025017762891</v>
      </c>
    </row>
    <row r="288" spans="1:20" x14ac:dyDescent="0.25">
      <c r="A288" s="5">
        <v>44305</v>
      </c>
      <c r="B288">
        <v>8.7748000000000008</v>
      </c>
      <c r="C288">
        <v>9.2821999999999996</v>
      </c>
      <c r="D288">
        <v>7.7272999999999996</v>
      </c>
      <c r="E288">
        <v>8.0143000000000004</v>
      </c>
      <c r="F288">
        <v>1340793.3600000001</v>
      </c>
      <c r="G288">
        <v>-8.67</v>
      </c>
      <c r="L288" t="s">
        <v>8</v>
      </c>
      <c r="M288" t="s">
        <v>8</v>
      </c>
      <c r="N288" t="s">
        <v>7</v>
      </c>
      <c r="P288">
        <f t="shared" si="964"/>
        <v>-0.63084442729435874</v>
      </c>
      <c r="Q288">
        <f t="shared" si="965"/>
        <v>-845832.01930927904</v>
      </c>
      <c r="R288">
        <f t="shared" si="966"/>
        <v>-20401578.584157668</v>
      </c>
      <c r="S288">
        <f t="shared" si="967"/>
        <v>-204.01578584157667</v>
      </c>
      <c r="T288">
        <f t="shared" si="968"/>
        <v>-0.20401578584157667</v>
      </c>
    </row>
    <row r="289" spans="1:20" x14ac:dyDescent="0.25">
      <c r="A289" s="5">
        <v>44304</v>
      </c>
      <c r="B289">
        <v>10.3447</v>
      </c>
      <c r="C289">
        <v>10.5556</v>
      </c>
      <c r="D289">
        <v>7.3098000000000001</v>
      </c>
      <c r="E289">
        <v>8.7942999999999998</v>
      </c>
      <c r="F289">
        <v>1997363.3</v>
      </c>
      <c r="G289">
        <v>-14.99</v>
      </c>
      <c r="L289" t="s">
        <v>7</v>
      </c>
      <c r="M289" t="s">
        <v>7</v>
      </c>
      <c r="N289" t="s">
        <v>7</v>
      </c>
      <c r="P289">
        <f t="shared" si="964"/>
        <v>-8.5279438043009609E-2</v>
      </c>
      <c r="Q289">
        <f t="shared" si="965"/>
        <v>-170334.01979173123</v>
      </c>
      <c r="R289">
        <f t="shared" si="966"/>
        <v>-19555746.564848389</v>
      </c>
      <c r="S289">
        <f t="shared" si="967"/>
        <v>-195.55746564848388</v>
      </c>
      <c r="T289">
        <f t="shared" si="968"/>
        <v>-0.19555746564848389</v>
      </c>
    </row>
    <row r="290" spans="1:20" x14ac:dyDescent="0.25">
      <c r="A290" s="5">
        <v>44303</v>
      </c>
      <c r="B290">
        <v>10.280200000000001</v>
      </c>
      <c r="C290">
        <v>10.908300000000001</v>
      </c>
      <c r="D290">
        <v>10.143800000000001</v>
      </c>
      <c r="E290">
        <v>10.3447</v>
      </c>
      <c r="F290">
        <v>1034054.94</v>
      </c>
      <c r="G290">
        <v>0.63</v>
      </c>
      <c r="L290" t="s">
        <v>8</v>
      </c>
      <c r="M290" t="s">
        <v>7</v>
      </c>
      <c r="N290" t="s">
        <v>7</v>
      </c>
      <c r="P290">
        <f t="shared" si="964"/>
        <v>-0.47442773054284115</v>
      </c>
      <c r="Q290">
        <f t="shared" si="965"/>
        <v>-490584.33844081376</v>
      </c>
      <c r="R290">
        <f t="shared" si="966"/>
        <v>-19385412.54505666</v>
      </c>
      <c r="S290">
        <f t="shared" si="967"/>
        <v>-193.85412545056658</v>
      </c>
      <c r="T290">
        <f t="shared" si="968"/>
        <v>-0.19385412545056657</v>
      </c>
    </row>
    <row r="291" spans="1:20" x14ac:dyDescent="0.25">
      <c r="A291" s="5">
        <v>44302</v>
      </c>
      <c r="B291">
        <v>11.180099999999999</v>
      </c>
      <c r="C291">
        <v>11.2</v>
      </c>
      <c r="D291">
        <v>9.9901</v>
      </c>
      <c r="E291">
        <v>10.2712</v>
      </c>
      <c r="F291">
        <v>1246345.43</v>
      </c>
      <c r="G291">
        <v>-8.1300000000000008</v>
      </c>
      <c r="L291" t="s">
        <v>7</v>
      </c>
      <c r="M291" t="s">
        <v>7</v>
      </c>
      <c r="N291" t="s">
        <v>7</v>
      </c>
      <c r="P291">
        <f t="shared" si="964"/>
        <v>-0.53533349863625013</v>
      </c>
      <c r="Q291">
        <f t="shared" si="965"/>
        <v>-667210.45955120155</v>
      </c>
      <c r="R291">
        <f t="shared" si="966"/>
        <v>-18894828.206615847</v>
      </c>
      <c r="S291">
        <f t="shared" si="967"/>
        <v>-188.94828206615847</v>
      </c>
      <c r="T291">
        <f t="shared" si="968"/>
        <v>-0.18894828206615846</v>
      </c>
    </row>
    <row r="292" spans="1:20" x14ac:dyDescent="0.25">
      <c r="A292" s="5">
        <v>44301</v>
      </c>
      <c r="B292">
        <v>10.4724</v>
      </c>
      <c r="C292">
        <v>11.2</v>
      </c>
      <c r="D292">
        <v>10.244999999999999</v>
      </c>
      <c r="E292">
        <v>11.1945</v>
      </c>
      <c r="F292">
        <v>1140403.56</v>
      </c>
      <c r="G292">
        <v>6.9</v>
      </c>
      <c r="L292" t="s">
        <v>8</v>
      </c>
      <c r="M292" t="s">
        <v>7</v>
      </c>
      <c r="N292" t="s">
        <v>7</v>
      </c>
      <c r="P292">
        <f t="shared" si="964"/>
        <v>0.98848167539267096</v>
      </c>
      <c r="Q292">
        <f t="shared" si="965"/>
        <v>1127268.0216125664</v>
      </c>
      <c r="R292">
        <f t="shared" si="966"/>
        <v>-18227617.747064646</v>
      </c>
      <c r="S292">
        <f t="shared" si="967"/>
        <v>-182.27617747064647</v>
      </c>
      <c r="T292">
        <f t="shared" si="968"/>
        <v>-0.18227617747064648</v>
      </c>
    </row>
    <row r="293" spans="1:20" x14ac:dyDescent="0.25">
      <c r="A293" s="5">
        <v>44300</v>
      </c>
      <c r="B293">
        <v>10.995200000000001</v>
      </c>
      <c r="C293">
        <v>11.1114</v>
      </c>
      <c r="D293">
        <v>9.9823000000000004</v>
      </c>
      <c r="E293">
        <v>10.4633</v>
      </c>
      <c r="F293">
        <v>921921.34</v>
      </c>
      <c r="G293">
        <v>-4.84</v>
      </c>
      <c r="L293" t="s">
        <v>7</v>
      </c>
      <c r="M293" t="s">
        <v>7</v>
      </c>
      <c r="N293" t="s">
        <v>7</v>
      </c>
      <c r="P293">
        <f t="shared" si="964"/>
        <v>-0.14799397750420662</v>
      </c>
      <c r="Q293">
        <f t="shared" si="965"/>
        <v>-136438.80605260801</v>
      </c>
      <c r="R293">
        <f t="shared" si="966"/>
        <v>-19354885.768677212</v>
      </c>
      <c r="S293">
        <f t="shared" si="967"/>
        <v>-193.54885768677212</v>
      </c>
      <c r="T293">
        <f t="shared" si="968"/>
        <v>-0.19354885768677213</v>
      </c>
    </row>
    <row r="294" spans="1:20" x14ac:dyDescent="0.25">
      <c r="A294" s="5">
        <v>44299</v>
      </c>
      <c r="B294">
        <v>10.5474</v>
      </c>
      <c r="C294">
        <v>11.3</v>
      </c>
      <c r="D294">
        <v>10.199999999999999</v>
      </c>
      <c r="E294">
        <v>11</v>
      </c>
      <c r="F294">
        <v>856248.73</v>
      </c>
      <c r="G294">
        <v>4.29</v>
      </c>
      <c r="L294" t="s">
        <v>8</v>
      </c>
      <c r="M294" t="s">
        <v>7</v>
      </c>
      <c r="N294" t="s">
        <v>7</v>
      </c>
      <c r="P294">
        <f t="shared" si="964"/>
        <v>0.45454545454545398</v>
      </c>
      <c r="Q294">
        <f t="shared" si="965"/>
        <v>389203.96818181768</v>
      </c>
      <c r="R294">
        <f t="shared" si="966"/>
        <v>-19218446.962624606</v>
      </c>
      <c r="S294">
        <f t="shared" si="967"/>
        <v>-192.18446962624606</v>
      </c>
      <c r="T294">
        <f t="shared" si="968"/>
        <v>-0.19218446962624605</v>
      </c>
    </row>
    <row r="295" spans="1:20" x14ac:dyDescent="0.25">
      <c r="A295" s="5">
        <v>44298</v>
      </c>
      <c r="B295">
        <v>11.2189</v>
      </c>
      <c r="C295">
        <v>11.624700000000001</v>
      </c>
      <c r="D295">
        <v>10.2311</v>
      </c>
      <c r="E295">
        <v>10.5372</v>
      </c>
      <c r="F295">
        <v>1096373.18</v>
      </c>
      <c r="G295">
        <v>-6.08</v>
      </c>
      <c r="L295" t="s">
        <v>7</v>
      </c>
      <c r="M295" t="s">
        <v>7</v>
      </c>
      <c r="N295" t="s">
        <v>7</v>
      </c>
      <c r="P295">
        <f t="shared" si="964"/>
        <v>-0.56070608495981566</v>
      </c>
      <c r="Q295">
        <f t="shared" si="965"/>
        <v>-614743.1134127432</v>
      </c>
      <c r="R295">
        <f t="shared" si="966"/>
        <v>-19607650.930806424</v>
      </c>
      <c r="S295">
        <f t="shared" si="967"/>
        <v>-196.07650930806423</v>
      </c>
      <c r="T295">
        <f t="shared" si="968"/>
        <v>-0.19607650930806422</v>
      </c>
    </row>
    <row r="296" spans="1:20" x14ac:dyDescent="0.25">
      <c r="A296" s="5">
        <v>44297</v>
      </c>
      <c r="B296">
        <v>11.6351</v>
      </c>
      <c r="C296">
        <v>11.673999999999999</v>
      </c>
      <c r="D296">
        <v>10.7089</v>
      </c>
      <c r="E296">
        <v>11.214499999999999</v>
      </c>
      <c r="F296">
        <v>864073.15</v>
      </c>
      <c r="G296">
        <v>-3.61</v>
      </c>
      <c r="L296" t="s">
        <v>7</v>
      </c>
      <c r="M296" t="s">
        <v>7</v>
      </c>
      <c r="N296" t="s">
        <v>7</v>
      </c>
      <c r="P296">
        <f t="shared" si="964"/>
        <v>4.776707076986754E-2</v>
      </c>
      <c r="Q296">
        <f t="shared" si="965"/>
        <v>41274.243306392375</v>
      </c>
      <c r="R296">
        <f t="shared" si="966"/>
        <v>-18992907.817393683</v>
      </c>
      <c r="S296">
        <f t="shared" si="967"/>
        <v>-189.92907817393683</v>
      </c>
      <c r="T296">
        <f t="shared" si="968"/>
        <v>-0.18992907817393684</v>
      </c>
    </row>
    <row r="297" spans="1:20" x14ac:dyDescent="0.25">
      <c r="A297" s="5">
        <v>44296</v>
      </c>
      <c r="B297">
        <v>12.2301</v>
      </c>
      <c r="C297">
        <v>12.3644</v>
      </c>
      <c r="D297">
        <v>11.25</v>
      </c>
      <c r="E297">
        <v>11.6297</v>
      </c>
      <c r="F297">
        <v>855618.62</v>
      </c>
      <c r="G297">
        <v>-4.91</v>
      </c>
      <c r="L297" t="s">
        <v>7</v>
      </c>
      <c r="M297" t="s">
        <v>8</v>
      </c>
      <c r="N297" t="s">
        <v>7</v>
      </c>
      <c r="P297">
        <f t="shared" si="964"/>
        <v>-0.31855707106963432</v>
      </c>
      <c r="Q297">
        <f t="shared" si="965"/>
        <v>-272563.36153984244</v>
      </c>
      <c r="R297">
        <f t="shared" si="966"/>
        <v>-19034182.060700074</v>
      </c>
      <c r="S297">
        <f t="shared" si="967"/>
        <v>-190.34182060700073</v>
      </c>
      <c r="T297">
        <f t="shared" si="968"/>
        <v>-0.19034182060700072</v>
      </c>
    </row>
    <row r="298" spans="1:20" x14ac:dyDescent="0.25">
      <c r="A298" s="5">
        <v>44295</v>
      </c>
      <c r="B298">
        <v>12.1174</v>
      </c>
      <c r="C298">
        <v>12.98</v>
      </c>
      <c r="D298">
        <v>11.6126</v>
      </c>
      <c r="E298">
        <v>12.230700000000001</v>
      </c>
      <c r="F298">
        <v>1312367.58</v>
      </c>
      <c r="G298">
        <v>0.94</v>
      </c>
      <c r="L298" t="s">
        <v>8</v>
      </c>
      <c r="M298" t="s">
        <v>8</v>
      </c>
      <c r="N298" t="s">
        <v>7</v>
      </c>
      <c r="P298">
        <f t="shared" si="964"/>
        <v>-9.5948515430744313E-2</v>
      </c>
      <c r="Q298">
        <f t="shared" si="965"/>
        <v>-125919.72100043859</v>
      </c>
      <c r="R298">
        <f t="shared" si="966"/>
        <v>-18761618.699160233</v>
      </c>
      <c r="S298">
        <f t="shared" si="967"/>
        <v>-187.61618699160232</v>
      </c>
      <c r="T298">
        <f t="shared" si="968"/>
        <v>-0.18761618699160232</v>
      </c>
    </row>
    <row r="299" spans="1:20" x14ac:dyDescent="0.25">
      <c r="A299" s="5">
        <v>44294</v>
      </c>
      <c r="B299">
        <v>11.095000000000001</v>
      </c>
      <c r="C299">
        <v>12.4</v>
      </c>
      <c r="D299">
        <v>10.967000000000001</v>
      </c>
      <c r="E299">
        <v>12.108599999999999</v>
      </c>
      <c r="F299">
        <v>1100755.8600000001</v>
      </c>
      <c r="G299">
        <v>9.14</v>
      </c>
      <c r="L299" t="s">
        <v>8</v>
      </c>
      <c r="M299" t="s">
        <v>7</v>
      </c>
      <c r="N299" t="s">
        <v>7</v>
      </c>
      <c r="P299">
        <f t="shared" si="964"/>
        <v>0.59330076762037509</v>
      </c>
      <c r="Q299">
        <f t="shared" si="965"/>
        <v>653079.29670062615</v>
      </c>
      <c r="R299">
        <f t="shared" si="966"/>
        <v>-18635698.978159793</v>
      </c>
      <c r="S299">
        <f t="shared" si="967"/>
        <v>-186.35698978159792</v>
      </c>
      <c r="T299">
        <f t="shared" si="968"/>
        <v>-0.18635698978159793</v>
      </c>
    </row>
    <row r="300" spans="1:20" x14ac:dyDescent="0.25">
      <c r="A300" s="5">
        <v>44293</v>
      </c>
      <c r="B300">
        <v>12.5253</v>
      </c>
      <c r="C300">
        <v>12.8758</v>
      </c>
      <c r="D300">
        <v>10.4191</v>
      </c>
      <c r="E300">
        <v>11.0909</v>
      </c>
      <c r="F300">
        <v>1822794.5</v>
      </c>
      <c r="G300">
        <v>-11.45</v>
      </c>
      <c r="L300" t="s">
        <v>7</v>
      </c>
      <c r="M300" t="s">
        <v>7</v>
      </c>
      <c r="N300" t="s">
        <v>7</v>
      </c>
      <c r="P300">
        <f t="shared" si="964"/>
        <v>-0.45308747506818142</v>
      </c>
      <c r="Q300">
        <f t="shared" si="965"/>
        <v>-825885.35757316824</v>
      </c>
      <c r="R300">
        <f t="shared" si="966"/>
        <v>-19288778.274860419</v>
      </c>
      <c r="S300">
        <f t="shared" si="967"/>
        <v>-192.8877827486042</v>
      </c>
      <c r="T300">
        <f t="shared" si="968"/>
        <v>-0.19288778274860419</v>
      </c>
    </row>
    <row r="301" spans="1:20" x14ac:dyDescent="0.25">
      <c r="A301" s="5">
        <v>44292</v>
      </c>
      <c r="B301">
        <v>13.079800000000001</v>
      </c>
      <c r="C301">
        <v>14.98</v>
      </c>
      <c r="D301">
        <v>12.2828</v>
      </c>
      <c r="E301">
        <v>12.533899999999999</v>
      </c>
      <c r="F301">
        <v>2882224.24</v>
      </c>
      <c r="G301">
        <v>-4.17</v>
      </c>
      <c r="L301" t="s">
        <v>8</v>
      </c>
      <c r="M301" t="s">
        <v>8</v>
      </c>
      <c r="N301" t="s">
        <v>8</v>
      </c>
      <c r="P301">
        <f t="shared" si="964"/>
        <v>-0.81380691087053303</v>
      </c>
      <c r="Q301">
        <f t="shared" si="965"/>
        <v>-2345574.0051905699</v>
      </c>
      <c r="R301">
        <f t="shared" si="966"/>
        <v>-18462892.917287253</v>
      </c>
      <c r="S301">
        <f t="shared" si="967"/>
        <v>-184.62892917287252</v>
      </c>
      <c r="T301">
        <f t="shared" si="968"/>
        <v>-0.18462892917287252</v>
      </c>
    </row>
    <row r="302" spans="1:20" x14ac:dyDescent="0.25">
      <c r="A302" s="5">
        <v>44291</v>
      </c>
      <c r="B302">
        <v>11.330399999999999</v>
      </c>
      <c r="C302">
        <v>13.266400000000001</v>
      </c>
      <c r="D302">
        <v>11.2865</v>
      </c>
      <c r="E302">
        <v>13.075100000000001</v>
      </c>
      <c r="F302">
        <v>1894347.07</v>
      </c>
      <c r="G302">
        <v>15.4</v>
      </c>
      <c r="L302" t="s">
        <v>8</v>
      </c>
      <c r="M302" t="s">
        <v>8</v>
      </c>
      <c r="N302" t="s">
        <v>8</v>
      </c>
      <c r="P302">
        <f t="shared" si="964"/>
        <v>0.80675791706651856</v>
      </c>
      <c r="Q302">
        <f t="shared" si="965"/>
        <v>1528279.4963942624</v>
      </c>
      <c r="R302">
        <f t="shared" si="966"/>
        <v>-16117318.912096683</v>
      </c>
      <c r="S302">
        <f t="shared" si="967"/>
        <v>-161.17318912096684</v>
      </c>
      <c r="T302">
        <f t="shared" si="968"/>
        <v>-0.16117318912096684</v>
      </c>
    </row>
    <row r="303" spans="1:20" x14ac:dyDescent="0.25">
      <c r="A303" s="5">
        <v>44290</v>
      </c>
      <c r="B303">
        <v>10.6957</v>
      </c>
      <c r="C303">
        <v>11.974399999999999</v>
      </c>
      <c r="D303">
        <v>10.519299999999999</v>
      </c>
      <c r="E303">
        <v>11.330399999999999</v>
      </c>
      <c r="F303">
        <v>3303963.83</v>
      </c>
      <c r="G303">
        <v>5.93</v>
      </c>
      <c r="L303" t="s">
        <v>7</v>
      </c>
      <c r="M303" t="s">
        <v>7</v>
      </c>
      <c r="N303" t="s">
        <v>8</v>
      </c>
      <c r="P303">
        <f t="shared" si="964"/>
        <v>0.11483746821524267</v>
      </c>
      <c r="Q303">
        <f t="shared" si="965"/>
        <v>379418.84131193644</v>
      </c>
      <c r="R303">
        <f t="shared" si="966"/>
        <v>-17645598.408490945</v>
      </c>
      <c r="S303">
        <f t="shared" si="967"/>
        <v>-176.45598408490946</v>
      </c>
      <c r="T303">
        <f t="shared" si="968"/>
        <v>-0.17645598408490945</v>
      </c>
    </row>
    <row r="304" spans="1:20" x14ac:dyDescent="0.25">
      <c r="A304" s="5">
        <v>44289</v>
      </c>
      <c r="B304">
        <v>11.6671</v>
      </c>
      <c r="C304">
        <v>12.4178</v>
      </c>
      <c r="D304">
        <v>10.5723</v>
      </c>
      <c r="E304">
        <v>10.694599999999999</v>
      </c>
      <c r="F304">
        <v>1296151.8400000001</v>
      </c>
      <c r="G304">
        <v>-8.34</v>
      </c>
      <c r="L304" t="s">
        <v>7</v>
      </c>
      <c r="M304" t="s">
        <v>7</v>
      </c>
      <c r="N304" t="s">
        <v>8</v>
      </c>
      <c r="P304">
        <f t="shared" si="964"/>
        <v>-0.86746139257653831</v>
      </c>
      <c r="Q304">
        <f t="shared" si="965"/>
        <v>-1124361.6801170425</v>
      </c>
      <c r="R304">
        <f t="shared" si="966"/>
        <v>-18025017.24980288</v>
      </c>
      <c r="S304">
        <f t="shared" si="967"/>
        <v>-180.2501724980288</v>
      </c>
      <c r="T304">
        <f t="shared" si="968"/>
        <v>-0.1802501724980288</v>
      </c>
    </row>
    <row r="305" spans="1:20" x14ac:dyDescent="0.25">
      <c r="A305" s="5">
        <v>44288</v>
      </c>
      <c r="B305">
        <v>11.770300000000001</v>
      </c>
      <c r="C305">
        <v>13.65</v>
      </c>
      <c r="D305">
        <v>11.4171</v>
      </c>
      <c r="E305">
        <v>11.673999999999999</v>
      </c>
      <c r="F305">
        <v>3459946.13</v>
      </c>
      <c r="G305">
        <v>-0.82</v>
      </c>
      <c r="L305" t="s">
        <v>8</v>
      </c>
      <c r="M305" t="s">
        <v>8</v>
      </c>
      <c r="N305" t="s">
        <v>8</v>
      </c>
      <c r="P305">
        <f t="shared" si="964"/>
        <v>-0.76989565139504701</v>
      </c>
      <c r="Q305">
        <f t="shared" si="965"/>
        <v>-2663797.4795481218</v>
      </c>
      <c r="R305">
        <f t="shared" si="966"/>
        <v>-16900655.569685839</v>
      </c>
      <c r="S305">
        <f t="shared" si="967"/>
        <v>-169.00655569685838</v>
      </c>
      <c r="T305">
        <f t="shared" si="968"/>
        <v>-0.16900655569685838</v>
      </c>
    </row>
    <row r="306" spans="1:20" x14ac:dyDescent="0.25">
      <c r="A306" s="5">
        <v>44287</v>
      </c>
      <c r="B306">
        <v>10.791600000000001</v>
      </c>
      <c r="C306">
        <v>12.6477</v>
      </c>
      <c r="D306">
        <v>10.502000000000001</v>
      </c>
      <c r="E306">
        <v>11.770300000000001</v>
      </c>
      <c r="F306">
        <v>2514361.7400000002</v>
      </c>
      <c r="G306">
        <v>9.07</v>
      </c>
      <c r="L306" t="s">
        <v>8</v>
      </c>
      <c r="M306" t="s">
        <v>8</v>
      </c>
      <c r="N306" t="s">
        <v>8</v>
      </c>
      <c r="P306">
        <f t="shared" si="964"/>
        <v>0.1821783101085894</v>
      </c>
      <c r="Q306">
        <f t="shared" si="965"/>
        <v>458062.17279489245</v>
      </c>
      <c r="R306">
        <f t="shared" si="966"/>
        <v>-14236858.090137716</v>
      </c>
      <c r="S306">
        <f t="shared" si="967"/>
        <v>-142.36858090137716</v>
      </c>
      <c r="T306">
        <f t="shared" si="968"/>
        <v>-0.14236858090137716</v>
      </c>
    </row>
    <row r="307" spans="1:20" x14ac:dyDescent="0.25">
      <c r="A307" s="5">
        <v>44286</v>
      </c>
      <c r="B307">
        <v>11.763500000000001</v>
      </c>
      <c r="C307">
        <v>11.873699999999999</v>
      </c>
      <c r="D307">
        <v>10.31</v>
      </c>
      <c r="E307">
        <v>10.7906</v>
      </c>
      <c r="F307">
        <v>1796965.39</v>
      </c>
      <c r="G307">
        <v>-8.27</v>
      </c>
      <c r="L307" t="s">
        <v>7</v>
      </c>
      <c r="M307" t="s">
        <v>7</v>
      </c>
      <c r="N307" t="s">
        <v>8</v>
      </c>
      <c r="P307">
        <f t="shared" si="964"/>
        <v>-0.38530408646159836</v>
      </c>
      <c r="Q307">
        <f t="shared" si="965"/>
        <v>-692378.10799705982</v>
      </c>
      <c r="R307">
        <f t="shared" si="966"/>
        <v>-14694920.262932608</v>
      </c>
      <c r="S307">
        <f t="shared" si="967"/>
        <v>-146.94920262932607</v>
      </c>
      <c r="T307">
        <f t="shared" si="968"/>
        <v>-0.14694920262932606</v>
      </c>
    </row>
    <row r="308" spans="1:20" x14ac:dyDescent="0.25">
      <c r="A308" s="5">
        <v>44285</v>
      </c>
      <c r="B308">
        <v>9.31</v>
      </c>
      <c r="C308">
        <v>13.3863</v>
      </c>
      <c r="D308">
        <v>9.3001000000000005</v>
      </c>
      <c r="E308">
        <v>11.7934</v>
      </c>
      <c r="F308">
        <v>5651626.6399999997</v>
      </c>
      <c r="G308">
        <v>26.67</v>
      </c>
      <c r="L308" t="s">
        <v>8</v>
      </c>
      <c r="M308" t="s">
        <v>8</v>
      </c>
      <c r="N308" t="s">
        <v>8</v>
      </c>
      <c r="P308">
        <f t="shared" si="964"/>
        <v>0.22035142675346275</v>
      </c>
      <c r="Q308">
        <f t="shared" si="965"/>
        <v>1245343.9936018786</v>
      </c>
      <c r="R308">
        <f t="shared" si="966"/>
        <v>-14002542.154935548</v>
      </c>
      <c r="S308">
        <f t="shared" si="967"/>
        <v>-140.02542154935549</v>
      </c>
      <c r="T308">
        <f t="shared" si="968"/>
        <v>-0.14002542154935549</v>
      </c>
    </row>
    <row r="309" spans="1:20" x14ac:dyDescent="0.25">
      <c r="A309" s="5">
        <v>44284</v>
      </c>
      <c r="B309">
        <v>9.2447999999999997</v>
      </c>
      <c r="C309">
        <v>9.9</v>
      </c>
      <c r="D309">
        <v>9.0473999999999997</v>
      </c>
      <c r="E309">
        <v>9.31</v>
      </c>
      <c r="F309">
        <v>1532913.48</v>
      </c>
      <c r="G309">
        <v>0.71</v>
      </c>
      <c r="L309" t="s">
        <v>8</v>
      </c>
      <c r="M309" t="s">
        <v>7</v>
      </c>
      <c r="N309" t="s">
        <v>7</v>
      </c>
      <c r="P309">
        <f t="shared" si="964"/>
        <v>-0.38400187661271262</v>
      </c>
      <c r="Q309">
        <f t="shared" si="965"/>
        <v>-588641.65300492395</v>
      </c>
      <c r="R309">
        <f t="shared" si="966"/>
        <v>-15247886.148537427</v>
      </c>
      <c r="S309">
        <f t="shared" si="967"/>
        <v>-152.47886148537427</v>
      </c>
      <c r="T309">
        <f t="shared" si="968"/>
        <v>-0.15247886148537426</v>
      </c>
    </row>
    <row r="310" spans="1:20" x14ac:dyDescent="0.25">
      <c r="A310" s="5">
        <v>44283</v>
      </c>
      <c r="B310">
        <v>10.013999999999999</v>
      </c>
      <c r="C310">
        <v>10.189</v>
      </c>
      <c r="D310">
        <v>9.0920000000000005</v>
      </c>
      <c r="E310">
        <v>9.2612000000000005</v>
      </c>
      <c r="F310">
        <v>2075692.06</v>
      </c>
      <c r="G310">
        <v>-7.52</v>
      </c>
      <c r="L310" t="s">
        <v>7</v>
      </c>
      <c r="M310" t="s">
        <v>7</v>
      </c>
      <c r="N310" t="s">
        <v>7</v>
      </c>
      <c r="P310">
        <f t="shared" si="964"/>
        <v>-0.69152233363719218</v>
      </c>
      <c r="Q310">
        <f t="shared" si="965"/>
        <v>-1435387.4172433908</v>
      </c>
      <c r="R310">
        <f t="shared" si="966"/>
        <v>-14659244.495532503</v>
      </c>
      <c r="S310">
        <f t="shared" si="967"/>
        <v>-146.59244495532502</v>
      </c>
      <c r="T310">
        <f t="shared" si="968"/>
        <v>-0.14659244495532503</v>
      </c>
    </row>
    <row r="311" spans="1:20" x14ac:dyDescent="0.25">
      <c r="A311" s="5">
        <v>44282</v>
      </c>
      <c r="B311">
        <v>9.9</v>
      </c>
      <c r="C311">
        <v>10.66</v>
      </c>
      <c r="D311">
        <v>9.2859999999999996</v>
      </c>
      <c r="E311">
        <v>10.013999999999999</v>
      </c>
      <c r="F311">
        <v>3638558.59</v>
      </c>
      <c r="G311">
        <v>1.1499999999999999</v>
      </c>
      <c r="L311" t="s">
        <v>7</v>
      </c>
      <c r="M311" t="s">
        <v>7</v>
      </c>
      <c r="N311" t="s">
        <v>7</v>
      </c>
      <c r="P311">
        <f t="shared" si="964"/>
        <v>5.967976710334711E-2</v>
      </c>
      <c r="Q311">
        <f t="shared" si="965"/>
        <v>217148.32924308305</v>
      </c>
      <c r="R311">
        <f t="shared" si="966"/>
        <v>-13223857.078289112</v>
      </c>
      <c r="S311">
        <f t="shared" si="967"/>
        <v>-132.23857078289112</v>
      </c>
      <c r="T311">
        <f t="shared" si="968"/>
        <v>-0.13223857078289111</v>
      </c>
    </row>
    <row r="312" spans="1:20" x14ac:dyDescent="0.25">
      <c r="A312" s="5">
        <v>44281</v>
      </c>
      <c r="B312">
        <v>10.0794</v>
      </c>
      <c r="C312">
        <v>11.6999</v>
      </c>
      <c r="D312">
        <v>9.5969999999999995</v>
      </c>
      <c r="E312">
        <v>9.89</v>
      </c>
      <c r="F312">
        <v>8540821.1699999999</v>
      </c>
      <c r="G312">
        <v>-1.88</v>
      </c>
      <c r="L312" t="s">
        <v>7</v>
      </c>
      <c r="M312" t="s">
        <v>7</v>
      </c>
      <c r="N312" t="s">
        <v>7</v>
      </c>
      <c r="P312">
        <f t="shared" si="964"/>
        <v>-0.72133720100813059</v>
      </c>
      <c r="Q312">
        <f t="shared" si="965"/>
        <v>-6160812.0370787866</v>
      </c>
      <c r="R312">
        <f t="shared" si="966"/>
        <v>-13441005.407532195</v>
      </c>
      <c r="S312">
        <f t="shared" si="967"/>
        <v>-134.41005407532194</v>
      </c>
      <c r="T312">
        <f t="shared" si="968"/>
        <v>-0.13441005407532194</v>
      </c>
    </row>
    <row r="313" spans="1:20" x14ac:dyDescent="0.25">
      <c r="A313" s="5">
        <v>44280</v>
      </c>
      <c r="B313">
        <v>8.1629000000000005</v>
      </c>
      <c r="C313">
        <v>13.863899999999999</v>
      </c>
      <c r="D313">
        <v>8.0530000000000008</v>
      </c>
      <c r="E313">
        <v>10.121700000000001</v>
      </c>
      <c r="F313">
        <v>21463489.210000001</v>
      </c>
      <c r="G313">
        <v>24</v>
      </c>
      <c r="L313" t="s">
        <v>8</v>
      </c>
      <c r="M313" t="s">
        <v>8</v>
      </c>
      <c r="N313" t="s">
        <v>8</v>
      </c>
      <c r="P313">
        <f t="shared" si="964"/>
        <v>-0.28799325405703063</v>
      </c>
      <c r="Q313">
        <f t="shared" si="965"/>
        <v>-6181340.1010058662</v>
      </c>
      <c r="R313">
        <f t="shared" si="966"/>
        <v>-7280193.370453408</v>
      </c>
      <c r="S313">
        <f t="shared" si="967"/>
        <v>-72.801933704534079</v>
      </c>
      <c r="T313">
        <f t="shared" si="968"/>
        <v>-7.2801933704534083E-2</v>
      </c>
    </row>
    <row r="314" spans="1:20" x14ac:dyDescent="0.25">
      <c r="A314" s="5">
        <v>44279</v>
      </c>
      <c r="B314">
        <v>6.4562999999999997</v>
      </c>
      <c r="C314">
        <v>10.402799999999999</v>
      </c>
      <c r="D314">
        <v>6.2107999999999999</v>
      </c>
      <c r="E314">
        <v>8.1629000000000005</v>
      </c>
      <c r="F314">
        <v>7315109.0499999998</v>
      </c>
      <c r="G314">
        <v>26.43</v>
      </c>
      <c r="L314" t="s">
        <v>8</v>
      </c>
      <c r="M314" t="s">
        <v>8</v>
      </c>
      <c r="N314" t="s">
        <v>8</v>
      </c>
      <c r="P314">
        <f t="shared" si="964"/>
        <v>-6.8654580152671299E-2</v>
      </c>
      <c r="Q314">
        <f t="shared" si="965"/>
        <v>-502215.74059875618</v>
      </c>
      <c r="R314">
        <f t="shared" si="966"/>
        <v>-1098853.2694475423</v>
      </c>
      <c r="S314">
        <f t="shared" si="967"/>
        <v>-10.988532694475422</v>
      </c>
      <c r="T314">
        <f t="shared" si="968"/>
        <v>-1.0988532694475422E-2</v>
      </c>
    </row>
    <row r="315" spans="1:20" x14ac:dyDescent="0.25">
      <c r="A315" s="5">
        <v>44278</v>
      </c>
      <c r="B315">
        <v>6.7619999999999996</v>
      </c>
      <c r="C315">
        <v>6.9333</v>
      </c>
      <c r="D315">
        <v>6.1913999999999998</v>
      </c>
      <c r="E315">
        <v>6.4561000000000002</v>
      </c>
      <c r="F315">
        <v>1128448.3400000001</v>
      </c>
      <c r="G315">
        <v>-4.5199999999999996</v>
      </c>
      <c r="L315" t="s">
        <v>7</v>
      </c>
      <c r="M315" t="s">
        <v>7</v>
      </c>
      <c r="N315" t="s">
        <v>8</v>
      </c>
      <c r="P315">
        <f t="shared" si="964"/>
        <v>-0.28642674214853675</v>
      </c>
      <c r="Q315">
        <f t="shared" si="965"/>
        <v>-323217.78170912433</v>
      </c>
      <c r="R315">
        <f t="shared" si="966"/>
        <v>-596637.52884878602</v>
      </c>
      <c r="S315">
        <f t="shared" si="967"/>
        <v>-5.9663752884878605</v>
      </c>
      <c r="T315">
        <f t="shared" si="968"/>
        <v>-5.9663752884878607E-3</v>
      </c>
    </row>
    <row r="316" spans="1:20" x14ac:dyDescent="0.25">
      <c r="A316" s="5">
        <v>44277</v>
      </c>
      <c r="B316">
        <v>7.2321</v>
      </c>
      <c r="C316">
        <v>7.74</v>
      </c>
      <c r="D316">
        <v>6.6833</v>
      </c>
      <c r="E316">
        <v>6.7619999999999996</v>
      </c>
      <c r="F316">
        <v>1186021.4099999999</v>
      </c>
      <c r="G316">
        <v>-6.5</v>
      </c>
      <c r="L316" t="s">
        <v>8</v>
      </c>
      <c r="M316" t="s">
        <v>7</v>
      </c>
      <c r="N316" t="s">
        <v>8</v>
      </c>
      <c r="P316">
        <f t="shared" si="964"/>
        <v>-0.85104570833727733</v>
      </c>
      <c r="Q316">
        <f t="shared" si="965"/>
        <v>-1009358.4309766263</v>
      </c>
      <c r="R316">
        <f t="shared" si="966"/>
        <v>-273419.74713966169</v>
      </c>
      <c r="S316">
        <f t="shared" si="967"/>
        <v>-2.7341974713966168</v>
      </c>
      <c r="T316">
        <f t="shared" si="968"/>
        <v>-2.7341974713966169E-3</v>
      </c>
    </row>
    <row r="317" spans="1:20" x14ac:dyDescent="0.25">
      <c r="A317" s="5">
        <v>44276</v>
      </c>
      <c r="B317">
        <v>7.0621999999999998</v>
      </c>
      <c r="C317">
        <v>7.6</v>
      </c>
      <c r="D317">
        <v>6.6390000000000002</v>
      </c>
      <c r="E317">
        <v>7.2187000000000001</v>
      </c>
      <c r="F317">
        <v>1272171.73</v>
      </c>
      <c r="G317">
        <v>2.2200000000000002</v>
      </c>
      <c r="L317" t="s">
        <v>7</v>
      </c>
      <c r="M317" t="s">
        <v>7</v>
      </c>
      <c r="N317" t="s">
        <v>8</v>
      </c>
      <c r="P317">
        <f t="shared" si="964"/>
        <v>0.20645161290322631</v>
      </c>
      <c r="Q317">
        <f t="shared" si="965"/>
        <v>262641.90554838773</v>
      </c>
      <c r="R317">
        <f t="shared" si="966"/>
        <v>735938.68383696466</v>
      </c>
      <c r="S317">
        <f t="shared" si="967"/>
        <v>7.3593868383696464</v>
      </c>
      <c r="T317">
        <f t="shared" si="968"/>
        <v>7.3593868383696462E-3</v>
      </c>
    </row>
    <row r="318" spans="1:20" x14ac:dyDescent="0.25">
      <c r="A318" s="5">
        <v>44275</v>
      </c>
      <c r="B318">
        <v>7.0625</v>
      </c>
      <c r="C318">
        <v>7.85</v>
      </c>
      <c r="D318">
        <v>7.0067000000000004</v>
      </c>
      <c r="E318">
        <v>7.0621999999999998</v>
      </c>
      <c r="F318">
        <v>924091.61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-0.86837424404126762</v>
      </c>
      <c r="Q318">
        <f t="shared" si="965"/>
        <v>-802457.35325862793</v>
      </c>
      <c r="R318">
        <f t="shared" si="966"/>
        <v>473296.77828857698</v>
      </c>
      <c r="S318">
        <f t="shared" si="967"/>
        <v>4.7329677828857699</v>
      </c>
      <c r="T318">
        <f t="shared" si="968"/>
        <v>4.7329677828857695E-3</v>
      </c>
    </row>
    <row r="319" spans="1:20" x14ac:dyDescent="0.25">
      <c r="A319" s="5">
        <v>44274</v>
      </c>
      <c r="B319">
        <v>6.7302</v>
      </c>
      <c r="C319">
        <v>7.4158999999999997</v>
      </c>
      <c r="D319">
        <v>6.5323000000000002</v>
      </c>
      <c r="E319">
        <v>7.0609999999999999</v>
      </c>
      <c r="F319">
        <v>1114010.29</v>
      </c>
      <c r="G319">
        <v>4.92</v>
      </c>
      <c r="L319" t="s">
        <v>8</v>
      </c>
      <c r="M319" t="s">
        <v>8</v>
      </c>
      <c r="N319" t="s">
        <v>8</v>
      </c>
      <c r="P319">
        <f t="shared" si="964"/>
        <v>0.19669533725667729</v>
      </c>
      <c r="Q319">
        <f t="shared" si="965"/>
        <v>219120.62969895889</v>
      </c>
      <c r="R319">
        <f t="shared" si="966"/>
        <v>1275754.1315472049</v>
      </c>
      <c r="S319">
        <f t="shared" si="967"/>
        <v>12.75754131547205</v>
      </c>
      <c r="T319">
        <f t="shared" si="968"/>
        <v>1.275754131547205E-2</v>
      </c>
    </row>
    <row r="320" spans="1:20" x14ac:dyDescent="0.25">
      <c r="A320" s="5">
        <v>44273</v>
      </c>
      <c r="B320">
        <v>6.8541999999999996</v>
      </c>
      <c r="C320">
        <v>6.9355000000000002</v>
      </c>
      <c r="D320">
        <v>6.4512</v>
      </c>
      <c r="E320">
        <v>6.7427999999999999</v>
      </c>
      <c r="F320">
        <v>986467.24</v>
      </c>
      <c r="G320">
        <v>-1.63</v>
      </c>
      <c r="L320" t="s">
        <v>8</v>
      </c>
      <c r="M320" t="s">
        <v>7</v>
      </c>
      <c r="N320" t="s">
        <v>8</v>
      </c>
      <c r="P320">
        <f t="shared" si="964"/>
        <v>0.20421226512492155</v>
      </c>
      <c r="Q320">
        <f t="shared" si="965"/>
        <v>201448.70955192961</v>
      </c>
      <c r="R320">
        <f t="shared" si="966"/>
        <v>1056633.501848246</v>
      </c>
      <c r="S320">
        <f t="shared" si="967"/>
        <v>10.56633501848246</v>
      </c>
      <c r="T320">
        <f t="shared" si="968"/>
        <v>1.056633501848246E-2</v>
      </c>
    </row>
    <row r="321" spans="1:20" x14ac:dyDescent="0.25">
      <c r="A321" s="5">
        <v>44272</v>
      </c>
      <c r="B321">
        <v>6.8654000000000002</v>
      </c>
      <c r="C321">
        <v>7.0075000000000003</v>
      </c>
      <c r="D321">
        <v>6.3141999999999996</v>
      </c>
      <c r="E321">
        <v>6.8541999999999996</v>
      </c>
      <c r="F321">
        <v>1332567.1499999999</v>
      </c>
      <c r="G321">
        <v>-0.16</v>
      </c>
      <c r="L321" t="s">
        <v>7</v>
      </c>
      <c r="M321" t="s">
        <v>7</v>
      </c>
      <c r="N321" t="s">
        <v>8</v>
      </c>
      <c r="P321">
        <f t="shared" si="964"/>
        <v>0.557767200346169</v>
      </c>
      <c r="Q321">
        <f t="shared" si="965"/>
        <v>743262.24852877343</v>
      </c>
      <c r="R321">
        <f t="shared" si="966"/>
        <v>855184.79229631624</v>
      </c>
      <c r="S321">
        <f t="shared" si="967"/>
        <v>8.5518479229631623</v>
      </c>
      <c r="T321">
        <f t="shared" si="968"/>
        <v>8.5518479229631621E-3</v>
      </c>
    </row>
    <row r="322" spans="1:20" x14ac:dyDescent="0.25">
      <c r="A322" s="5">
        <v>44271</v>
      </c>
      <c r="B322">
        <v>6.7930000000000001</v>
      </c>
      <c r="C322">
        <v>7.8531000000000004</v>
      </c>
      <c r="D322">
        <v>6.4029999999999996</v>
      </c>
      <c r="E322">
        <v>6.8655999999999997</v>
      </c>
      <c r="F322">
        <v>3103711.87</v>
      </c>
      <c r="G322">
        <v>1.07</v>
      </c>
      <c r="L322" t="s">
        <v>8</v>
      </c>
      <c r="M322" t="s">
        <v>8</v>
      </c>
      <c r="N322" t="s">
        <v>8</v>
      </c>
      <c r="P322">
        <f t="shared" si="964"/>
        <v>-0.36197503620439991</v>
      </c>
      <c r="Q322">
        <f t="shared" si="965"/>
        <v>-1123466.2165112759</v>
      </c>
      <c r="R322">
        <f t="shared" si="966"/>
        <v>111922.54376754281</v>
      </c>
      <c r="S322">
        <f t="shared" si="967"/>
        <v>1.119225437675428</v>
      </c>
      <c r="T322">
        <f t="shared" si="968"/>
        <v>1.119225437675428E-3</v>
      </c>
    </row>
    <row r="323" spans="1:20" x14ac:dyDescent="0.25">
      <c r="A323" s="5">
        <v>44270</v>
      </c>
      <c r="B323">
        <v>5.8658999999999999</v>
      </c>
      <c r="C323">
        <v>7.5</v>
      </c>
      <c r="D323">
        <v>5.2995000000000001</v>
      </c>
      <c r="E323">
        <v>6.7756999999999996</v>
      </c>
      <c r="F323">
        <v>1886770.92</v>
      </c>
      <c r="G323">
        <v>15.51</v>
      </c>
      <c r="L323" t="s">
        <v>7</v>
      </c>
      <c r="M323" t="s">
        <v>8</v>
      </c>
      <c r="N323" t="s">
        <v>8</v>
      </c>
      <c r="P323">
        <f t="shared" si="964"/>
        <v>0.34169506930243088</v>
      </c>
      <c r="Q323">
        <f t="shared" si="965"/>
        <v>644700.32026721118</v>
      </c>
      <c r="R323">
        <f t="shared" si="966"/>
        <v>1235388.7602788187</v>
      </c>
      <c r="S323">
        <f t="shared" si="967"/>
        <v>12.353887602788186</v>
      </c>
      <c r="T323">
        <f t="shared" si="968"/>
        <v>1.2353887602788187E-2</v>
      </c>
    </row>
    <row r="324" spans="1:20" x14ac:dyDescent="0.25">
      <c r="A324" s="5">
        <v>44269</v>
      </c>
      <c r="B324">
        <v>5.6215999999999999</v>
      </c>
      <c r="C324">
        <v>6.1024000000000003</v>
      </c>
      <c r="D324">
        <v>5.4710000000000001</v>
      </c>
      <c r="E324">
        <v>5.86</v>
      </c>
      <c r="F324">
        <v>918707.96</v>
      </c>
      <c r="G324">
        <v>4.24</v>
      </c>
      <c r="L324" t="s">
        <v>7</v>
      </c>
      <c r="M324" t="s">
        <v>8</v>
      </c>
      <c r="N324" t="s">
        <v>7</v>
      </c>
      <c r="P324">
        <f t="shared" si="964"/>
        <v>0.23218245169464721</v>
      </c>
      <c r="Q324">
        <f t="shared" si="965"/>
        <v>213307.86654418788</v>
      </c>
      <c r="R324">
        <f t="shared" si="966"/>
        <v>590688.44001160748</v>
      </c>
      <c r="S324">
        <f t="shared" si="967"/>
        <v>5.9068844001160752</v>
      </c>
      <c r="T324">
        <f t="shared" si="968"/>
        <v>5.9068844001160751E-3</v>
      </c>
    </row>
    <row r="325" spans="1:20" x14ac:dyDescent="0.25">
      <c r="A325" s="5">
        <v>44268</v>
      </c>
      <c r="B325">
        <v>5.9878999999999998</v>
      </c>
      <c r="C325">
        <v>6.0056000000000003</v>
      </c>
      <c r="D325">
        <v>5.4947999999999997</v>
      </c>
      <c r="E325">
        <v>5.6106999999999996</v>
      </c>
      <c r="F325">
        <v>971784.86</v>
      </c>
      <c r="G325">
        <v>-6.3</v>
      </c>
      <c r="L325" t="s">
        <v>7</v>
      </c>
      <c r="M325" t="s">
        <v>8</v>
      </c>
      <c r="N325" t="s">
        <v>7</v>
      </c>
      <c r="P325">
        <f t="shared" si="964"/>
        <v>-0.5462020360219273</v>
      </c>
      <c r="Q325">
        <f t="shared" si="965"/>
        <v>-530790.86910728354</v>
      </c>
      <c r="R325">
        <f t="shared" si="966"/>
        <v>377380.5734674196</v>
      </c>
      <c r="S325">
        <f t="shared" si="967"/>
        <v>3.773805734674196</v>
      </c>
      <c r="T325">
        <f t="shared" si="968"/>
        <v>3.7738057346741959E-3</v>
      </c>
    </row>
    <row r="326" spans="1:20" x14ac:dyDescent="0.25">
      <c r="A326" s="5">
        <v>44267</v>
      </c>
      <c r="B326">
        <v>5.1051000000000002</v>
      </c>
      <c r="C326">
        <v>6.0854999999999997</v>
      </c>
      <c r="D326">
        <v>5.0031999999999996</v>
      </c>
      <c r="E326">
        <v>5.9939</v>
      </c>
      <c r="F326">
        <v>1418257.4</v>
      </c>
      <c r="G326">
        <v>17.41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0.830730850965537</v>
      </c>
      <c r="Q326">
        <f t="shared" ref="Q326:Q389" si="970">F326*P326</f>
        <v>1178190.1767901699</v>
      </c>
      <c r="R326">
        <f t="shared" ref="R326:R389" si="971">R327+Q326</f>
        <v>908171.44257470313</v>
      </c>
      <c r="S326">
        <f t="shared" ref="S326:S389" si="972">R326/100000</f>
        <v>9.0817144257470321</v>
      </c>
      <c r="T326">
        <f t="shared" ref="T326:T389" si="973">S326/1000</f>
        <v>9.0817144257470325E-3</v>
      </c>
    </row>
    <row r="327" spans="1:20" x14ac:dyDescent="0.25">
      <c r="A327" s="5">
        <v>44266</v>
      </c>
      <c r="B327">
        <v>5.1531000000000002</v>
      </c>
      <c r="C327">
        <v>5.2426000000000004</v>
      </c>
      <c r="D327">
        <v>4.5750999999999999</v>
      </c>
      <c r="E327">
        <v>5.0858999999999996</v>
      </c>
      <c r="F327">
        <v>745093.69</v>
      </c>
      <c r="G327">
        <v>-1.3</v>
      </c>
      <c r="L327" t="s">
        <v>7</v>
      </c>
      <c r="M327" t="s">
        <v>7</v>
      </c>
      <c r="N327" t="s">
        <v>7</v>
      </c>
      <c r="P327">
        <f t="shared" si="969"/>
        <v>0.53048689138576588</v>
      </c>
      <c r="Q327">
        <f t="shared" si="970"/>
        <v>395262.43539924949</v>
      </c>
      <c r="R327">
        <f t="shared" si="971"/>
        <v>-270018.73421546671</v>
      </c>
      <c r="S327">
        <f t="shared" si="972"/>
        <v>-2.7001873421546669</v>
      </c>
      <c r="T327">
        <f t="shared" si="973"/>
        <v>-2.7001873421546667E-3</v>
      </c>
    </row>
    <row r="328" spans="1:20" x14ac:dyDescent="0.25">
      <c r="A328" s="5">
        <v>44265</v>
      </c>
      <c r="B328">
        <v>5.4111000000000002</v>
      </c>
      <c r="C328">
        <v>5.4874999999999998</v>
      </c>
      <c r="D328">
        <v>5.0568999999999997</v>
      </c>
      <c r="E328">
        <v>5.1464999999999996</v>
      </c>
      <c r="F328">
        <v>514835.15</v>
      </c>
      <c r="G328">
        <v>-4.8899999999999997</v>
      </c>
      <c r="L328" t="s">
        <v>7</v>
      </c>
      <c r="M328" t="s">
        <v>7</v>
      </c>
      <c r="N328" t="s">
        <v>8</v>
      </c>
      <c r="P328">
        <f t="shared" si="969"/>
        <v>-0.58383650719925739</v>
      </c>
      <c r="Q328">
        <f t="shared" si="970"/>
        <v>-300579.55575940578</v>
      </c>
      <c r="R328">
        <f t="shared" si="971"/>
        <v>-665281.1696147162</v>
      </c>
      <c r="S328">
        <f t="shared" si="972"/>
        <v>-6.6528116961471619</v>
      </c>
      <c r="T328">
        <f t="shared" si="973"/>
        <v>-6.6528116961471623E-3</v>
      </c>
    </row>
    <row r="329" spans="1:20" x14ac:dyDescent="0.25">
      <c r="A329" s="5">
        <v>44264</v>
      </c>
      <c r="B329">
        <v>5.3430999999999997</v>
      </c>
      <c r="C329">
        <v>5.4669999999999996</v>
      </c>
      <c r="D329">
        <v>5.1645000000000003</v>
      </c>
      <c r="E329">
        <v>5.4001000000000001</v>
      </c>
      <c r="F329">
        <v>653402.59</v>
      </c>
      <c r="G329">
        <v>1.07</v>
      </c>
      <c r="L329" t="s">
        <v>8</v>
      </c>
      <c r="M329" t="s">
        <v>7</v>
      </c>
      <c r="N329" t="s">
        <v>8</v>
      </c>
      <c r="P329">
        <f t="shared" si="969"/>
        <v>0.55768595041322533</v>
      </c>
      <c r="Q329">
        <f t="shared" si="970"/>
        <v>364393.44440661301</v>
      </c>
      <c r="R329">
        <f t="shared" si="971"/>
        <v>-364701.61385531048</v>
      </c>
      <c r="S329">
        <f t="shared" si="972"/>
        <v>-3.6470161385531048</v>
      </c>
      <c r="T329">
        <f t="shared" si="973"/>
        <v>-3.6470161385531046E-3</v>
      </c>
    </row>
    <row r="330" spans="1:20" x14ac:dyDescent="0.25">
      <c r="A330" s="5">
        <v>44263</v>
      </c>
      <c r="B330">
        <v>5.0561999999999996</v>
      </c>
      <c r="C330">
        <v>5.4</v>
      </c>
      <c r="D330">
        <v>4.9458000000000002</v>
      </c>
      <c r="E330">
        <v>5.3331999999999997</v>
      </c>
      <c r="F330">
        <v>571442.80000000005</v>
      </c>
      <c r="G330">
        <v>5.48</v>
      </c>
      <c r="L330" t="s">
        <v>8</v>
      </c>
      <c r="M330" t="s">
        <v>7</v>
      </c>
      <c r="N330" t="s">
        <v>8</v>
      </c>
      <c r="P330">
        <f t="shared" si="969"/>
        <v>0.70585645090268334</v>
      </c>
      <c r="Q330">
        <f t="shared" si="970"/>
        <v>403356.58670189191</v>
      </c>
      <c r="R330">
        <f t="shared" si="971"/>
        <v>-729095.05826192349</v>
      </c>
      <c r="S330">
        <f t="shared" si="972"/>
        <v>-7.2909505826192351</v>
      </c>
      <c r="T330">
        <f t="shared" si="973"/>
        <v>-7.290950582619235E-3</v>
      </c>
    </row>
    <row r="331" spans="1:20" x14ac:dyDescent="0.25">
      <c r="A331" s="5">
        <v>44262</v>
      </c>
      <c r="B331">
        <v>5.0293999999999999</v>
      </c>
      <c r="C331">
        <v>5.2363</v>
      </c>
      <c r="D331">
        <v>4.952</v>
      </c>
      <c r="E331">
        <v>5.0563000000000002</v>
      </c>
      <c r="F331">
        <v>510596.82</v>
      </c>
      <c r="G331">
        <v>0.53</v>
      </c>
      <c r="L331" t="s">
        <v>8</v>
      </c>
      <c r="M331" t="s">
        <v>7</v>
      </c>
      <c r="N331" t="s">
        <v>8</v>
      </c>
      <c r="P331">
        <f t="shared" si="969"/>
        <v>-0.26626802673232303</v>
      </c>
      <c r="Q331">
        <f t="shared" si="970"/>
        <v>-135955.60771719913</v>
      </c>
      <c r="R331">
        <f t="shared" si="971"/>
        <v>-1132451.6449638153</v>
      </c>
      <c r="S331">
        <f t="shared" si="972"/>
        <v>-11.324516449638153</v>
      </c>
      <c r="T331">
        <f t="shared" si="973"/>
        <v>-1.1324516449638153E-2</v>
      </c>
    </row>
    <row r="332" spans="1:20" x14ac:dyDescent="0.25">
      <c r="A332" s="5">
        <v>44261</v>
      </c>
      <c r="B332">
        <v>5.0629</v>
      </c>
      <c r="C332">
        <v>5.0999999999999996</v>
      </c>
      <c r="D332">
        <v>4.8300999999999998</v>
      </c>
      <c r="E332">
        <v>5.0208000000000004</v>
      </c>
      <c r="F332">
        <v>389563.86</v>
      </c>
      <c r="G332">
        <v>-0.83</v>
      </c>
      <c r="L332" t="s">
        <v>7</v>
      </c>
      <c r="M332" t="s">
        <v>7</v>
      </c>
      <c r="N332" t="s">
        <v>8</v>
      </c>
      <c r="P332">
        <f t="shared" si="969"/>
        <v>0.41311596887736696</v>
      </c>
      <c r="Q332">
        <f t="shared" si="970"/>
        <v>160935.05146350694</v>
      </c>
      <c r="R332">
        <f t="shared" si="971"/>
        <v>-996496.03724661632</v>
      </c>
      <c r="S332">
        <f t="shared" si="972"/>
        <v>-9.9649603724661624</v>
      </c>
      <c r="T332">
        <f t="shared" si="973"/>
        <v>-9.9649603724661622E-3</v>
      </c>
    </row>
    <row r="333" spans="1:20" x14ac:dyDescent="0.25">
      <c r="A333" s="5">
        <v>44260</v>
      </c>
      <c r="B333">
        <v>5.3437999999999999</v>
      </c>
      <c r="C333">
        <v>5.3738000000000001</v>
      </c>
      <c r="D333">
        <v>4.8109000000000002</v>
      </c>
      <c r="E333">
        <v>5.0526</v>
      </c>
      <c r="F333">
        <v>777064.89</v>
      </c>
      <c r="G333">
        <v>-5.45</v>
      </c>
      <c r="L333" t="s">
        <v>8</v>
      </c>
      <c r="M333" t="s">
        <v>7</v>
      </c>
      <c r="N333" t="s">
        <v>8</v>
      </c>
      <c r="P333">
        <f t="shared" si="969"/>
        <v>-0.14123290104814418</v>
      </c>
      <c r="Q333">
        <f t="shared" si="970"/>
        <v>-109747.12871735705</v>
      </c>
      <c r="R333">
        <f t="shared" si="971"/>
        <v>-1157431.0887101232</v>
      </c>
      <c r="S333">
        <f t="shared" si="972"/>
        <v>-11.574310887101232</v>
      </c>
      <c r="T333">
        <f t="shared" si="973"/>
        <v>-1.1574310887101232E-2</v>
      </c>
    </row>
    <row r="334" spans="1:20" x14ac:dyDescent="0.25">
      <c r="A334" s="5">
        <v>44259</v>
      </c>
      <c r="B334">
        <v>5.1433999999999997</v>
      </c>
      <c r="C334">
        <v>5.48</v>
      </c>
      <c r="D334">
        <v>4.8133999999999997</v>
      </c>
      <c r="E334">
        <v>5.3437999999999999</v>
      </c>
      <c r="F334">
        <v>1392003.81</v>
      </c>
      <c r="G334">
        <v>3.9</v>
      </c>
      <c r="L334" t="s">
        <v>7</v>
      </c>
      <c r="M334" t="s">
        <v>7</v>
      </c>
      <c r="N334" t="s">
        <v>8</v>
      </c>
      <c r="P334">
        <f t="shared" si="969"/>
        <v>0.59135913591359024</v>
      </c>
      <c r="Q334">
        <f t="shared" si="970"/>
        <v>823174.1702700255</v>
      </c>
      <c r="R334">
        <f t="shared" si="971"/>
        <v>-1047683.9599927661</v>
      </c>
      <c r="S334">
        <f t="shared" si="972"/>
        <v>-10.476839599927661</v>
      </c>
      <c r="T334">
        <f t="shared" si="973"/>
        <v>-1.0476839599927661E-2</v>
      </c>
    </row>
    <row r="335" spans="1:20" x14ac:dyDescent="0.25">
      <c r="A335" s="5">
        <v>44258</v>
      </c>
      <c r="B335">
        <v>5.3413000000000004</v>
      </c>
      <c r="C335">
        <v>6.0373000000000001</v>
      </c>
      <c r="D335">
        <v>4.9619</v>
      </c>
      <c r="E335">
        <v>5.1433999999999997</v>
      </c>
      <c r="F335">
        <v>4076509.59</v>
      </c>
      <c r="G335">
        <v>-3.71</v>
      </c>
      <c r="L335" t="s">
        <v>7</v>
      </c>
      <c r="M335" t="s">
        <v>7</v>
      </c>
      <c r="N335" t="s">
        <v>8</v>
      </c>
      <c r="P335">
        <f t="shared" si="969"/>
        <v>-0.66245118095592381</v>
      </c>
      <c r="Q335">
        <f t="shared" si="970"/>
        <v>-2700488.5920736487</v>
      </c>
      <c r="R335">
        <f t="shared" si="971"/>
        <v>-1870858.1302627916</v>
      </c>
      <c r="S335">
        <f t="shared" si="972"/>
        <v>-18.708581302627916</v>
      </c>
      <c r="T335">
        <f t="shared" si="973"/>
        <v>-1.8708581302627918E-2</v>
      </c>
    </row>
    <row r="336" spans="1:20" x14ac:dyDescent="0.25">
      <c r="A336" s="5">
        <v>44257</v>
      </c>
      <c r="B336">
        <v>4.3501000000000003</v>
      </c>
      <c r="C336">
        <v>6.1680000000000001</v>
      </c>
      <c r="D336">
        <v>4.12</v>
      </c>
      <c r="E336">
        <v>5.3266999999999998</v>
      </c>
      <c r="F336">
        <v>4546732.1100000003</v>
      </c>
      <c r="G336">
        <v>22.45</v>
      </c>
      <c r="L336" t="s">
        <v>8</v>
      </c>
      <c r="M336" t="s">
        <v>8</v>
      </c>
      <c r="N336" t="s">
        <v>8</v>
      </c>
      <c r="P336">
        <f t="shared" si="969"/>
        <v>0.17841796874999966</v>
      </c>
      <c r="Q336">
        <f t="shared" si="970"/>
        <v>811218.70751660003</v>
      </c>
      <c r="R336">
        <f t="shared" si="971"/>
        <v>829630.46181085706</v>
      </c>
      <c r="S336">
        <f t="shared" si="972"/>
        <v>8.2963046181085698</v>
      </c>
      <c r="T336">
        <f t="shared" si="973"/>
        <v>8.2963046181085704E-3</v>
      </c>
    </row>
    <row r="337" spans="1:20" x14ac:dyDescent="0.25">
      <c r="A337" s="5">
        <v>44256</v>
      </c>
      <c r="B337">
        <v>3.8</v>
      </c>
      <c r="C337">
        <v>4.3677999999999999</v>
      </c>
      <c r="D337">
        <v>3.7982999999999998</v>
      </c>
      <c r="E337">
        <v>4.3501000000000003</v>
      </c>
      <c r="F337">
        <v>520798.27</v>
      </c>
      <c r="G337">
        <v>14.48</v>
      </c>
      <c r="L337" t="s">
        <v>8</v>
      </c>
      <c r="M337" t="s">
        <v>8</v>
      </c>
      <c r="N337" t="s">
        <v>7</v>
      </c>
      <c r="P337">
        <f t="shared" si="969"/>
        <v>0.93784021071115153</v>
      </c>
      <c r="Q337">
        <f t="shared" si="970"/>
        <v>488425.55927480321</v>
      </c>
      <c r="R337">
        <f t="shared" si="971"/>
        <v>18411.754294256971</v>
      </c>
      <c r="S337">
        <f t="shared" si="972"/>
        <v>0.18411754294256971</v>
      </c>
      <c r="T337">
        <f t="shared" si="973"/>
        <v>1.841175429425697E-4</v>
      </c>
    </row>
    <row r="338" spans="1:20" x14ac:dyDescent="0.25">
      <c r="A338" s="5">
        <v>44255</v>
      </c>
      <c r="B338">
        <v>4.2183999999999999</v>
      </c>
      <c r="C338">
        <v>4.2275</v>
      </c>
      <c r="D338">
        <v>3.5295000000000001</v>
      </c>
      <c r="E338">
        <v>3.8041999999999998</v>
      </c>
      <c r="F338">
        <v>736646.43</v>
      </c>
      <c r="G338">
        <v>-9.82</v>
      </c>
      <c r="L338" t="s">
        <v>7</v>
      </c>
      <c r="M338" t="s">
        <v>7</v>
      </c>
      <c r="N338" t="s">
        <v>7</v>
      </c>
      <c r="P338">
        <f t="shared" si="969"/>
        <v>-0.21289398280802366</v>
      </c>
      <c r="Q338">
        <f t="shared" si="970"/>
        <v>-156827.59240401202</v>
      </c>
      <c r="R338">
        <f t="shared" si="971"/>
        <v>-470013.80498054624</v>
      </c>
      <c r="S338">
        <f t="shared" si="972"/>
        <v>-4.7001380498054628</v>
      </c>
      <c r="T338">
        <f t="shared" si="973"/>
        <v>-4.7001380498054631E-3</v>
      </c>
    </row>
    <row r="339" spans="1:20" x14ac:dyDescent="0.25">
      <c r="A339" s="5">
        <v>44254</v>
      </c>
      <c r="B339">
        <v>4.1317000000000004</v>
      </c>
      <c r="C339">
        <v>4.4227999999999996</v>
      </c>
      <c r="D339">
        <v>4.05</v>
      </c>
      <c r="E339">
        <v>4.2333999999999996</v>
      </c>
      <c r="F339">
        <v>695403.66</v>
      </c>
      <c r="G339">
        <v>2.46</v>
      </c>
      <c r="L339" t="s">
        <v>8</v>
      </c>
      <c r="M339" t="s">
        <v>7</v>
      </c>
      <c r="N339" t="s">
        <v>7</v>
      </c>
      <c r="P339">
        <f t="shared" si="969"/>
        <v>-1.6094420600858989E-2</v>
      </c>
      <c r="Q339">
        <f t="shared" si="970"/>
        <v>-11192.118991416741</v>
      </c>
      <c r="R339">
        <f t="shared" si="971"/>
        <v>-313186.21257653425</v>
      </c>
      <c r="S339">
        <f t="shared" si="972"/>
        <v>-3.1318621257653425</v>
      </c>
      <c r="T339">
        <f t="shared" si="973"/>
        <v>-3.1318621257653426E-3</v>
      </c>
    </row>
    <row r="340" spans="1:20" x14ac:dyDescent="0.25">
      <c r="A340" s="5">
        <v>44253</v>
      </c>
      <c r="B340">
        <v>4.3322000000000003</v>
      </c>
      <c r="C340">
        <v>4.4047999999999998</v>
      </c>
      <c r="D340">
        <v>3.8632</v>
      </c>
      <c r="E340">
        <v>4.1170999999999998</v>
      </c>
      <c r="F340">
        <v>820193.36</v>
      </c>
      <c r="G340">
        <v>-4.97</v>
      </c>
      <c r="L340" t="s">
        <v>7</v>
      </c>
      <c r="M340" t="s">
        <v>7</v>
      </c>
      <c r="N340" t="s">
        <v>7</v>
      </c>
      <c r="P340">
        <f t="shared" si="969"/>
        <v>-6.2407680945347641E-2</v>
      </c>
      <c r="Q340">
        <f t="shared" si="970"/>
        <v>-51186.365524372653</v>
      </c>
      <c r="R340">
        <f t="shared" si="971"/>
        <v>-301994.09358511749</v>
      </c>
      <c r="S340">
        <f t="shared" si="972"/>
        <v>-3.0199409358511748</v>
      </c>
      <c r="T340">
        <f t="shared" si="973"/>
        <v>-3.0199409358511748E-3</v>
      </c>
    </row>
    <row r="341" spans="1:20" x14ac:dyDescent="0.25">
      <c r="A341" s="5">
        <v>44252</v>
      </c>
      <c r="B341">
        <v>4.7274000000000003</v>
      </c>
      <c r="C341">
        <v>4.9420000000000002</v>
      </c>
      <c r="D341">
        <v>4.3</v>
      </c>
      <c r="E341">
        <v>4.3329000000000004</v>
      </c>
      <c r="F341">
        <v>891345.28</v>
      </c>
      <c r="G341">
        <v>-8.34</v>
      </c>
      <c r="L341" t="s">
        <v>7</v>
      </c>
      <c r="M341" t="s">
        <v>7</v>
      </c>
      <c r="N341" t="s">
        <v>7</v>
      </c>
      <c r="P341">
        <f t="shared" si="969"/>
        <v>-0.89750778816199195</v>
      </c>
      <c r="Q341">
        <f t="shared" si="970"/>
        <v>-799989.33074143145</v>
      </c>
      <c r="R341">
        <f t="shared" si="971"/>
        <v>-250807.72806074482</v>
      </c>
      <c r="S341">
        <f t="shared" si="972"/>
        <v>-2.5080772806074481</v>
      </c>
      <c r="T341">
        <f t="shared" si="973"/>
        <v>-2.5080772806074479E-3</v>
      </c>
    </row>
    <row r="342" spans="1:20" x14ac:dyDescent="0.25">
      <c r="A342" s="5">
        <v>44251</v>
      </c>
      <c r="B342">
        <v>4.4554</v>
      </c>
      <c r="C342">
        <v>5.0585000000000004</v>
      </c>
      <c r="D342">
        <v>4.2300000000000004</v>
      </c>
      <c r="E342">
        <v>4.7271999999999998</v>
      </c>
      <c r="F342">
        <v>1012626.59</v>
      </c>
      <c r="G342">
        <v>6.1</v>
      </c>
      <c r="L342" t="s">
        <v>8</v>
      </c>
      <c r="M342" t="s">
        <v>8</v>
      </c>
      <c r="N342" t="s">
        <v>7</v>
      </c>
      <c r="P342">
        <f t="shared" si="969"/>
        <v>0.20024140012069863</v>
      </c>
      <c r="Q342">
        <f t="shared" si="970"/>
        <v>202769.76618104865</v>
      </c>
      <c r="R342">
        <f t="shared" si="971"/>
        <v>549181.60268068663</v>
      </c>
      <c r="S342">
        <f t="shared" si="972"/>
        <v>5.4918160268068661</v>
      </c>
      <c r="T342">
        <f t="shared" si="973"/>
        <v>5.4918160268068658E-3</v>
      </c>
    </row>
    <row r="343" spans="1:20" x14ac:dyDescent="0.25">
      <c r="A343" s="5">
        <v>44250</v>
      </c>
      <c r="B343">
        <v>5.3064</v>
      </c>
      <c r="C343">
        <v>5.3238000000000003</v>
      </c>
      <c r="D343">
        <v>3.8241999999999998</v>
      </c>
      <c r="E343">
        <v>4.4474</v>
      </c>
      <c r="F343">
        <v>1421254.47</v>
      </c>
      <c r="G343">
        <v>-16.190000000000001</v>
      </c>
      <c r="L343" t="s">
        <v>7</v>
      </c>
      <c r="M343" t="s">
        <v>7</v>
      </c>
      <c r="N343" t="s">
        <v>7</v>
      </c>
      <c r="P343">
        <f t="shared" si="969"/>
        <v>-0.16884502534009069</v>
      </c>
      <c r="Q343">
        <f t="shared" si="970"/>
        <v>-239971.74700186716</v>
      </c>
      <c r="R343">
        <f t="shared" si="971"/>
        <v>346411.83649963792</v>
      </c>
      <c r="S343">
        <f t="shared" si="972"/>
        <v>3.4641183649963794</v>
      </c>
      <c r="T343">
        <f t="shared" si="973"/>
        <v>3.4641183649963794E-3</v>
      </c>
    </row>
    <row r="344" spans="1:20" x14ac:dyDescent="0.25">
      <c r="A344" s="5">
        <v>44249</v>
      </c>
      <c r="B344">
        <v>5.8493000000000004</v>
      </c>
      <c r="C344">
        <v>6.6</v>
      </c>
      <c r="D344">
        <v>4.7534999999999998</v>
      </c>
      <c r="E344">
        <v>5.3178999999999998</v>
      </c>
      <c r="F344">
        <v>2015290.59</v>
      </c>
      <c r="G344">
        <v>-9.08</v>
      </c>
      <c r="L344" t="s">
        <v>7</v>
      </c>
      <c r="M344" t="s">
        <v>7</v>
      </c>
      <c r="N344" t="s">
        <v>7</v>
      </c>
      <c r="P344">
        <f t="shared" si="969"/>
        <v>-0.38868128892499315</v>
      </c>
      <c r="Q344">
        <f t="shared" si="970"/>
        <v>-783305.74407960998</v>
      </c>
      <c r="R344">
        <f t="shared" si="971"/>
        <v>586383.58350150508</v>
      </c>
      <c r="S344">
        <f t="shared" si="972"/>
        <v>5.8638358350150508</v>
      </c>
      <c r="T344">
        <f t="shared" si="973"/>
        <v>5.8638358350150506E-3</v>
      </c>
    </row>
    <row r="345" spans="1:20" x14ac:dyDescent="0.25">
      <c r="A345" s="5">
        <v>44248</v>
      </c>
      <c r="B345">
        <v>5.6463999999999999</v>
      </c>
      <c r="C345">
        <v>5.9187000000000003</v>
      </c>
      <c r="D345">
        <v>5.5140000000000002</v>
      </c>
      <c r="E345">
        <v>5.8346</v>
      </c>
      <c r="F345">
        <v>659868.91</v>
      </c>
      <c r="G345">
        <v>3.33</v>
      </c>
      <c r="L345" t="s">
        <v>7</v>
      </c>
      <c r="M345" t="s">
        <v>7</v>
      </c>
      <c r="N345" t="s">
        <v>7</v>
      </c>
      <c r="P345">
        <f t="shared" si="969"/>
        <v>0.58438349394613154</v>
      </c>
      <c r="Q345">
        <f t="shared" si="970"/>
        <v>385616.49917222542</v>
      </c>
      <c r="R345">
        <f t="shared" si="971"/>
        <v>1369689.3275811151</v>
      </c>
      <c r="S345">
        <f t="shared" si="972"/>
        <v>13.696893275811151</v>
      </c>
      <c r="T345">
        <f t="shared" si="973"/>
        <v>1.3696893275811152E-2</v>
      </c>
    </row>
    <row r="346" spans="1:20" x14ac:dyDescent="0.25">
      <c r="A346" s="5">
        <v>44247</v>
      </c>
      <c r="B346">
        <v>5.9617000000000004</v>
      </c>
      <c r="C346">
        <v>6.1599000000000004</v>
      </c>
      <c r="D346">
        <v>5.51</v>
      </c>
      <c r="E346">
        <v>5.6349999999999998</v>
      </c>
      <c r="F346">
        <v>825912.8</v>
      </c>
      <c r="G346">
        <v>-5.48</v>
      </c>
      <c r="L346" t="s">
        <v>7</v>
      </c>
      <c r="M346" t="s">
        <v>7</v>
      </c>
      <c r="N346" t="s">
        <v>7</v>
      </c>
      <c r="P346">
        <f t="shared" si="969"/>
        <v>-0.6153254346822592</v>
      </c>
      <c r="Q346">
        <f t="shared" si="970"/>
        <v>-508205.15266964183</v>
      </c>
      <c r="R346">
        <f t="shared" si="971"/>
        <v>984072.82840888971</v>
      </c>
      <c r="S346">
        <f t="shared" si="972"/>
        <v>9.8407282840888968</v>
      </c>
      <c r="T346">
        <f t="shared" si="973"/>
        <v>9.8407282840888965E-3</v>
      </c>
    </row>
    <row r="347" spans="1:20" x14ac:dyDescent="0.25">
      <c r="A347" s="5">
        <v>44246</v>
      </c>
      <c r="B347">
        <v>6.3429000000000002</v>
      </c>
      <c r="C347">
        <v>6.4271000000000003</v>
      </c>
      <c r="D347">
        <v>5.9263000000000003</v>
      </c>
      <c r="E347">
        <v>5.9447000000000001</v>
      </c>
      <c r="F347">
        <v>762400.92</v>
      </c>
      <c r="G347">
        <v>-6.28</v>
      </c>
      <c r="L347" t="s">
        <v>7</v>
      </c>
      <c r="M347" t="s">
        <v>8</v>
      </c>
      <c r="N347" t="s">
        <v>7</v>
      </c>
      <c r="P347">
        <f t="shared" si="969"/>
        <v>-0.92651757188498496</v>
      </c>
      <c r="Q347">
        <f t="shared" si="970"/>
        <v>-706377.84920127876</v>
      </c>
      <c r="R347">
        <f t="shared" si="971"/>
        <v>1492277.9810785316</v>
      </c>
      <c r="S347">
        <f t="shared" si="972"/>
        <v>14.922779810785316</v>
      </c>
      <c r="T347">
        <f t="shared" si="973"/>
        <v>1.4922779810785316E-2</v>
      </c>
    </row>
    <row r="348" spans="1:20" x14ac:dyDescent="0.25">
      <c r="A348" s="5">
        <v>44245</v>
      </c>
      <c r="B348">
        <v>6.1406999999999998</v>
      </c>
      <c r="C348">
        <v>6.4878</v>
      </c>
      <c r="D348">
        <v>5.9420000000000002</v>
      </c>
      <c r="E348">
        <v>6.3696000000000002</v>
      </c>
      <c r="F348">
        <v>737703.42</v>
      </c>
      <c r="G348">
        <v>3.73</v>
      </c>
      <c r="L348" t="s">
        <v>8</v>
      </c>
      <c r="M348" t="s">
        <v>8</v>
      </c>
      <c r="N348" t="s">
        <v>7</v>
      </c>
      <c r="P348">
        <f t="shared" si="969"/>
        <v>0.56687431293514146</v>
      </c>
      <c r="Q348">
        <f t="shared" si="970"/>
        <v>418185.1193624041</v>
      </c>
      <c r="R348">
        <f t="shared" si="971"/>
        <v>2198655.8302798104</v>
      </c>
      <c r="S348">
        <f t="shared" si="972"/>
        <v>21.986558302798105</v>
      </c>
      <c r="T348">
        <f t="shared" si="973"/>
        <v>2.1986558302798106E-2</v>
      </c>
    </row>
    <row r="349" spans="1:20" x14ac:dyDescent="0.25">
      <c r="A349" s="5">
        <v>44244</v>
      </c>
      <c r="B349">
        <v>5.7472000000000003</v>
      </c>
      <c r="C349">
        <v>6.1494</v>
      </c>
      <c r="D349">
        <v>5.3301999999999996</v>
      </c>
      <c r="E349">
        <v>6.1353999999999997</v>
      </c>
      <c r="F349">
        <v>770453.92</v>
      </c>
      <c r="G349">
        <v>6.75</v>
      </c>
      <c r="L349" t="s">
        <v>7</v>
      </c>
      <c r="M349" t="s">
        <v>8</v>
      </c>
      <c r="N349" t="s">
        <v>7</v>
      </c>
      <c r="P349">
        <f t="shared" si="969"/>
        <v>0.96582031249999944</v>
      </c>
      <c r="Q349">
        <f t="shared" si="970"/>
        <v>744120.04578124965</v>
      </c>
      <c r="R349">
        <f t="shared" si="971"/>
        <v>1780470.7109174062</v>
      </c>
      <c r="S349">
        <f t="shared" si="972"/>
        <v>17.804707109174064</v>
      </c>
      <c r="T349">
        <f t="shared" si="973"/>
        <v>1.7804707109174065E-2</v>
      </c>
    </row>
    <row r="350" spans="1:20" x14ac:dyDescent="0.25">
      <c r="A350" s="5">
        <v>44243</v>
      </c>
      <c r="B350">
        <v>5.9279000000000002</v>
      </c>
      <c r="C350">
        <v>6.2145999999999999</v>
      </c>
      <c r="D350">
        <v>5.4164000000000003</v>
      </c>
      <c r="E350">
        <v>5.7427999999999999</v>
      </c>
      <c r="F350">
        <v>1052736</v>
      </c>
      <c r="G350">
        <v>-3.12</v>
      </c>
      <c r="L350" t="s">
        <v>8</v>
      </c>
      <c r="M350" t="s">
        <v>8</v>
      </c>
      <c r="N350" t="s">
        <v>7</v>
      </c>
      <c r="P350">
        <f t="shared" si="969"/>
        <v>-0.18215985968429027</v>
      </c>
      <c r="Q350">
        <f t="shared" si="970"/>
        <v>-191766.24204460101</v>
      </c>
      <c r="R350">
        <f t="shared" si="971"/>
        <v>1036350.6651361567</v>
      </c>
      <c r="S350">
        <f t="shared" si="972"/>
        <v>10.363506651361567</v>
      </c>
      <c r="T350">
        <f t="shared" si="973"/>
        <v>1.0363506651361567E-2</v>
      </c>
    </row>
    <row r="351" spans="1:20" x14ac:dyDescent="0.25">
      <c r="A351" s="5">
        <v>44242</v>
      </c>
      <c r="B351">
        <v>6.5430000000000001</v>
      </c>
      <c r="C351">
        <v>6.5521000000000003</v>
      </c>
      <c r="D351">
        <v>5.0968999999999998</v>
      </c>
      <c r="E351">
        <v>5.9378000000000002</v>
      </c>
      <c r="F351">
        <v>1602611.47</v>
      </c>
      <c r="G351">
        <v>-9.25</v>
      </c>
      <c r="L351" t="s">
        <v>7</v>
      </c>
      <c r="M351" t="s">
        <v>7</v>
      </c>
      <c r="N351" t="s">
        <v>7</v>
      </c>
      <c r="P351">
        <f t="shared" si="969"/>
        <v>0.1557174271577792</v>
      </c>
      <c r="Q351">
        <f t="shared" si="970"/>
        <v>249554.53484194644</v>
      </c>
      <c r="R351">
        <f t="shared" si="971"/>
        <v>1228116.9071807577</v>
      </c>
      <c r="S351">
        <f t="shared" si="972"/>
        <v>12.281169071807577</v>
      </c>
      <c r="T351">
        <f t="shared" si="973"/>
        <v>1.2281169071807577E-2</v>
      </c>
    </row>
    <row r="352" spans="1:20" x14ac:dyDescent="0.25">
      <c r="A352" s="5">
        <v>44241</v>
      </c>
      <c r="B352">
        <v>7.1132999999999997</v>
      </c>
      <c r="C352">
        <v>7.49</v>
      </c>
      <c r="D352">
        <v>6.0477999999999996</v>
      </c>
      <c r="E352">
        <v>6.5359999999999996</v>
      </c>
      <c r="F352">
        <v>1386465.37</v>
      </c>
      <c r="G352">
        <v>-8.1199999999999992</v>
      </c>
      <c r="L352" t="s">
        <v>8</v>
      </c>
      <c r="M352" t="s">
        <v>8</v>
      </c>
      <c r="N352" t="s">
        <v>8</v>
      </c>
      <c r="P352">
        <f t="shared" si="969"/>
        <v>-0.32297878241575401</v>
      </c>
      <c r="Q352">
        <f t="shared" si="970"/>
        <v>-447798.89706420794</v>
      </c>
      <c r="R352">
        <f t="shared" si="971"/>
        <v>978562.37233881128</v>
      </c>
      <c r="S352">
        <f t="shared" si="972"/>
        <v>9.7856237233881131</v>
      </c>
      <c r="T352">
        <f t="shared" si="973"/>
        <v>9.7856237233881135E-3</v>
      </c>
    </row>
    <row r="353" spans="1:20" x14ac:dyDescent="0.25">
      <c r="A353" s="5">
        <v>44240</v>
      </c>
      <c r="B353">
        <v>6.9153000000000002</v>
      </c>
      <c r="C353">
        <v>7.3495999999999997</v>
      </c>
      <c r="D353">
        <v>6.1882999999999999</v>
      </c>
      <c r="E353">
        <v>7.1</v>
      </c>
      <c r="F353">
        <v>1726067.66</v>
      </c>
      <c r="G353">
        <v>2.67</v>
      </c>
      <c r="L353" t="s">
        <v>8</v>
      </c>
      <c r="M353" t="s">
        <v>8</v>
      </c>
      <c r="N353" t="s">
        <v>8</v>
      </c>
      <c r="P353">
        <f t="shared" si="969"/>
        <v>0.57013691552570378</v>
      </c>
      <c r="Q353">
        <f t="shared" si="970"/>
        <v>984094.89166106912</v>
      </c>
      <c r="R353">
        <f t="shared" si="971"/>
        <v>1426361.2694030192</v>
      </c>
      <c r="S353">
        <f t="shared" si="972"/>
        <v>14.263612694030192</v>
      </c>
      <c r="T353">
        <f t="shared" si="973"/>
        <v>1.4263612694030191E-2</v>
      </c>
    </row>
    <row r="354" spans="1:20" x14ac:dyDescent="0.25">
      <c r="A354" s="5">
        <v>44239</v>
      </c>
      <c r="B354">
        <v>6.2369000000000003</v>
      </c>
      <c r="C354">
        <v>7.0495000000000001</v>
      </c>
      <c r="D354">
        <v>6.2039</v>
      </c>
      <c r="E354">
        <v>6.9043000000000001</v>
      </c>
      <c r="F354">
        <v>1504106.36</v>
      </c>
      <c r="G354">
        <v>10.7</v>
      </c>
      <c r="L354" t="s">
        <v>8</v>
      </c>
      <c r="M354" t="s">
        <v>8</v>
      </c>
      <c r="N354" t="s">
        <v>8</v>
      </c>
      <c r="P354">
        <f t="shared" si="969"/>
        <v>0.6565752128666037</v>
      </c>
      <c r="Q354">
        <f t="shared" si="970"/>
        <v>987558.95349101257</v>
      </c>
      <c r="R354">
        <f t="shared" si="971"/>
        <v>442266.3777419501</v>
      </c>
      <c r="S354">
        <f t="shared" si="972"/>
        <v>4.4226637774195012</v>
      </c>
      <c r="T354">
        <f t="shared" si="973"/>
        <v>4.4226637774195015E-3</v>
      </c>
    </row>
    <row r="355" spans="1:20" x14ac:dyDescent="0.25">
      <c r="A355" s="5">
        <v>44238</v>
      </c>
      <c r="B355">
        <v>5.4955999999999996</v>
      </c>
      <c r="C355">
        <v>6.5838000000000001</v>
      </c>
      <c r="D355">
        <v>5.4465000000000003</v>
      </c>
      <c r="E355">
        <v>6.2328999999999999</v>
      </c>
      <c r="F355">
        <v>1374643.94</v>
      </c>
      <c r="G355">
        <v>13.42</v>
      </c>
      <c r="L355" t="s">
        <v>8</v>
      </c>
      <c r="M355" t="s">
        <v>8</v>
      </c>
      <c r="N355" t="s">
        <v>8</v>
      </c>
      <c r="P355">
        <f t="shared" si="969"/>
        <v>0.38292447023652459</v>
      </c>
      <c r="Q355">
        <f t="shared" si="970"/>
        <v>526384.80248834891</v>
      </c>
      <c r="R355">
        <f t="shared" si="971"/>
        <v>-545292.57574906247</v>
      </c>
      <c r="S355">
        <f t="shared" si="972"/>
        <v>-5.4529257574906245</v>
      </c>
      <c r="T355">
        <f t="shared" si="973"/>
        <v>-5.4529257574906249E-3</v>
      </c>
    </row>
    <row r="356" spans="1:20" x14ac:dyDescent="0.25">
      <c r="A356" s="5">
        <v>44237</v>
      </c>
      <c r="B356">
        <v>5.7851999999999997</v>
      </c>
      <c r="C356">
        <v>5.9776999999999996</v>
      </c>
      <c r="D356">
        <v>5.0098000000000003</v>
      </c>
      <c r="E356">
        <v>5.4846000000000004</v>
      </c>
      <c r="F356">
        <v>1057189.52</v>
      </c>
      <c r="G356">
        <v>-5.2</v>
      </c>
      <c r="L356" t="s">
        <v>8</v>
      </c>
      <c r="M356" t="s">
        <v>8</v>
      </c>
      <c r="N356" t="s">
        <v>8</v>
      </c>
      <c r="P356">
        <f t="shared" si="969"/>
        <v>-1.8906911871060139E-2</v>
      </c>
      <c r="Q356">
        <f t="shared" si="970"/>
        <v>-19988.18908564837</v>
      </c>
      <c r="R356">
        <f t="shared" si="971"/>
        <v>-1071677.3782374114</v>
      </c>
      <c r="S356">
        <f t="shared" si="972"/>
        <v>-10.716773782374114</v>
      </c>
      <c r="T356">
        <f t="shared" si="973"/>
        <v>-1.0716773782374114E-2</v>
      </c>
    </row>
    <row r="357" spans="1:20" x14ac:dyDescent="0.25">
      <c r="A357" s="5">
        <v>44236</v>
      </c>
      <c r="B357">
        <v>5.5686999999999998</v>
      </c>
      <c r="C357">
        <v>5.8550000000000004</v>
      </c>
      <c r="D357">
        <v>5.3365999999999998</v>
      </c>
      <c r="E357">
        <v>5.8009000000000004</v>
      </c>
      <c r="F357">
        <v>1049805.95</v>
      </c>
      <c r="G357">
        <v>4.17</v>
      </c>
      <c r="L357" t="s">
        <v>8</v>
      </c>
      <c r="M357" t="s">
        <v>8</v>
      </c>
      <c r="N357" t="s">
        <v>8</v>
      </c>
      <c r="P357">
        <f t="shared" si="969"/>
        <v>0.79128086419753096</v>
      </c>
      <c r="Q357">
        <f t="shared" si="970"/>
        <v>830691.35935570998</v>
      </c>
      <c r="R357">
        <f t="shared" si="971"/>
        <v>-1051689.189151763</v>
      </c>
      <c r="S357">
        <f t="shared" si="972"/>
        <v>-10.516891891517631</v>
      </c>
      <c r="T357">
        <f t="shared" si="973"/>
        <v>-1.0516891891517631E-2</v>
      </c>
    </row>
    <row r="358" spans="1:20" x14ac:dyDescent="0.25">
      <c r="A358" s="5">
        <v>44235</v>
      </c>
      <c r="B358">
        <v>5.1914999999999996</v>
      </c>
      <c r="C358">
        <v>5.7839</v>
      </c>
      <c r="D358">
        <v>5.0515999999999996</v>
      </c>
      <c r="E358">
        <v>5.5688000000000004</v>
      </c>
      <c r="F358">
        <v>1008822.27</v>
      </c>
      <c r="G358">
        <v>7.27</v>
      </c>
      <c r="L358" t="s">
        <v>8</v>
      </c>
      <c r="M358" t="s">
        <v>8</v>
      </c>
      <c r="N358" t="s">
        <v>8</v>
      </c>
      <c r="P358">
        <f t="shared" si="969"/>
        <v>0.41253584596476989</v>
      </c>
      <c r="Q358">
        <f t="shared" si="970"/>
        <v>416175.34858254949</v>
      </c>
      <c r="R358">
        <f t="shared" si="971"/>
        <v>-1882380.548507473</v>
      </c>
      <c r="S358">
        <f t="shared" si="972"/>
        <v>-18.823805485074729</v>
      </c>
      <c r="T358">
        <f t="shared" si="973"/>
        <v>-1.8823805485074729E-2</v>
      </c>
    </row>
    <row r="359" spans="1:20" x14ac:dyDescent="0.25">
      <c r="A359" s="5">
        <v>44234</v>
      </c>
      <c r="B359">
        <v>5.4667000000000003</v>
      </c>
      <c r="C359">
        <v>5.6035000000000004</v>
      </c>
      <c r="D359">
        <v>4.6413000000000002</v>
      </c>
      <c r="E359">
        <v>5.1912000000000003</v>
      </c>
      <c r="F359">
        <v>1084859.1100000001</v>
      </c>
      <c r="G359">
        <v>-5.04</v>
      </c>
      <c r="L359" t="s">
        <v>7</v>
      </c>
      <c r="M359" t="s">
        <v>7</v>
      </c>
      <c r="N359" t="s">
        <v>8</v>
      </c>
      <c r="P359">
        <f t="shared" si="969"/>
        <v>0.14300561213884838</v>
      </c>
      <c r="Q359">
        <f t="shared" si="970"/>
        <v>155140.94110995627</v>
      </c>
      <c r="R359">
        <f t="shared" si="971"/>
        <v>-2298555.8970900225</v>
      </c>
      <c r="S359">
        <f t="shared" si="972"/>
        <v>-22.985558970900225</v>
      </c>
      <c r="T359">
        <f t="shared" si="973"/>
        <v>-2.2985558970900224E-2</v>
      </c>
    </row>
    <row r="360" spans="1:20" x14ac:dyDescent="0.25">
      <c r="A360" s="5">
        <v>44233</v>
      </c>
      <c r="B360">
        <v>5.9261999999999997</v>
      </c>
      <c r="C360">
        <v>6.0841000000000003</v>
      </c>
      <c r="D360">
        <v>5.1020000000000003</v>
      </c>
      <c r="E360">
        <v>5.4781000000000004</v>
      </c>
      <c r="F360">
        <v>1576173.79</v>
      </c>
      <c r="G360">
        <v>-7.56</v>
      </c>
      <c r="L360" t="s">
        <v>7</v>
      </c>
      <c r="M360" t="s">
        <v>7</v>
      </c>
      <c r="N360" t="s">
        <v>8</v>
      </c>
      <c r="P360">
        <f t="shared" si="969"/>
        <v>-0.2340902148457385</v>
      </c>
      <c r="Q360">
        <f t="shared" si="970"/>
        <v>-368966.8611353219</v>
      </c>
      <c r="R360">
        <f t="shared" si="971"/>
        <v>-2453696.8381999787</v>
      </c>
      <c r="S360">
        <f t="shared" si="972"/>
        <v>-24.536968381999788</v>
      </c>
      <c r="T360">
        <f t="shared" si="973"/>
        <v>-2.4536968381999789E-2</v>
      </c>
    </row>
    <row r="361" spans="1:20" x14ac:dyDescent="0.25">
      <c r="A361" s="5">
        <v>44232</v>
      </c>
      <c r="B361">
        <v>4.5090000000000003</v>
      </c>
      <c r="C361">
        <v>6.6997999999999998</v>
      </c>
      <c r="D361">
        <v>4.5</v>
      </c>
      <c r="E361">
        <v>5.9454000000000002</v>
      </c>
      <c r="F361">
        <v>3471930.9</v>
      </c>
      <c r="G361">
        <v>31.86</v>
      </c>
      <c r="L361" t="s">
        <v>8</v>
      </c>
      <c r="M361" t="s">
        <v>8</v>
      </c>
      <c r="N361" t="s">
        <v>8</v>
      </c>
      <c r="P361">
        <f t="shared" si="969"/>
        <v>0.31411946540594637</v>
      </c>
      <c r="Q361">
        <f t="shared" si="970"/>
        <v>1090601.0782343862</v>
      </c>
      <c r="R361">
        <f t="shared" si="971"/>
        <v>-2084729.9770646566</v>
      </c>
      <c r="S361">
        <f t="shared" si="972"/>
        <v>-20.847299770646565</v>
      </c>
      <c r="T361">
        <f t="shared" si="973"/>
        <v>-2.0847299770646564E-2</v>
      </c>
    </row>
    <row r="362" spans="1:20" x14ac:dyDescent="0.25">
      <c r="A362" s="5">
        <v>44231</v>
      </c>
      <c r="B362">
        <v>4.2424999999999997</v>
      </c>
      <c r="C362">
        <v>4.8114999999999997</v>
      </c>
      <c r="D362">
        <v>4.1624999999999996</v>
      </c>
      <c r="E362">
        <v>4.5</v>
      </c>
      <c r="F362">
        <v>1105745.06</v>
      </c>
      <c r="G362">
        <v>6.07</v>
      </c>
      <c r="L362" t="s">
        <v>8</v>
      </c>
      <c r="M362" t="s">
        <v>8</v>
      </c>
      <c r="N362" t="s">
        <v>8</v>
      </c>
      <c r="P362">
        <f t="shared" si="969"/>
        <v>4.0061633281973326E-2</v>
      </c>
      <c r="Q362">
        <f t="shared" si="970"/>
        <v>44297.953097073594</v>
      </c>
      <c r="R362">
        <f t="shared" si="971"/>
        <v>-3175331.0552990427</v>
      </c>
      <c r="S362">
        <f t="shared" si="972"/>
        <v>-31.753310552990428</v>
      </c>
      <c r="T362">
        <f t="shared" si="973"/>
        <v>-3.1753310552990424E-2</v>
      </c>
    </row>
    <row r="363" spans="1:20" x14ac:dyDescent="0.25">
      <c r="A363" s="5">
        <v>44230</v>
      </c>
      <c r="B363">
        <v>4.1577999999999999</v>
      </c>
      <c r="C363">
        <v>4.3151000000000002</v>
      </c>
      <c r="D363">
        <v>4.0202</v>
      </c>
      <c r="E363">
        <v>4.2461000000000002</v>
      </c>
      <c r="F363">
        <v>959892.04</v>
      </c>
      <c r="G363">
        <v>2.12</v>
      </c>
      <c r="L363" t="s">
        <v>7</v>
      </c>
      <c r="M363" t="s">
        <v>8</v>
      </c>
      <c r="N363" t="s">
        <v>8</v>
      </c>
      <c r="P363">
        <f t="shared" si="969"/>
        <v>0.53204476093591102</v>
      </c>
      <c r="Q363">
        <f t="shared" si="970"/>
        <v>510705.53094608395</v>
      </c>
      <c r="R363">
        <f t="shared" si="971"/>
        <v>-3219629.0083961161</v>
      </c>
      <c r="S363">
        <f t="shared" si="972"/>
        <v>-32.196290083961159</v>
      </c>
      <c r="T363">
        <f t="shared" si="973"/>
        <v>-3.219629008396116E-2</v>
      </c>
    </row>
    <row r="364" spans="1:20" x14ac:dyDescent="0.25">
      <c r="A364" s="5">
        <v>44229</v>
      </c>
      <c r="B364">
        <v>4.2655000000000003</v>
      </c>
      <c r="C364">
        <v>4.3009000000000004</v>
      </c>
      <c r="D364">
        <v>4.0862999999999996</v>
      </c>
      <c r="E364">
        <v>4.1577999999999999</v>
      </c>
      <c r="F364">
        <v>360470.01</v>
      </c>
      <c r="G364">
        <v>-2.52</v>
      </c>
      <c r="L364" t="s">
        <v>7</v>
      </c>
      <c r="M364" t="s">
        <v>8</v>
      </c>
      <c r="N364" t="s">
        <v>8</v>
      </c>
      <c r="P364">
        <f t="shared" si="969"/>
        <v>-0.33364398881640189</v>
      </c>
      <c r="Q364">
        <f t="shared" si="970"/>
        <v>-120268.65198508828</v>
      </c>
      <c r="R364">
        <f t="shared" si="971"/>
        <v>-3730334.5393421999</v>
      </c>
      <c r="S364">
        <f t="shared" si="972"/>
        <v>-37.303345393421999</v>
      </c>
      <c r="T364">
        <f t="shared" si="973"/>
        <v>-3.7303345393421998E-2</v>
      </c>
    </row>
    <row r="365" spans="1:20" x14ac:dyDescent="0.25">
      <c r="A365" s="5">
        <v>44228</v>
      </c>
      <c r="B365">
        <v>4.1788999999999996</v>
      </c>
      <c r="C365">
        <v>4.5176999999999996</v>
      </c>
      <c r="D365">
        <v>4.0532000000000004</v>
      </c>
      <c r="E365">
        <v>4.2641</v>
      </c>
      <c r="F365">
        <v>628250.21</v>
      </c>
      <c r="G365">
        <v>2.04</v>
      </c>
      <c r="L365" t="s">
        <v>8</v>
      </c>
      <c r="M365" t="s">
        <v>8</v>
      </c>
      <c r="N365" t="s">
        <v>8</v>
      </c>
      <c r="P365">
        <f t="shared" si="969"/>
        <v>-9.1926803013993599E-2</v>
      </c>
      <c r="Q365">
        <f t="shared" si="970"/>
        <v>-57753.033298170107</v>
      </c>
      <c r="R365">
        <f t="shared" si="971"/>
        <v>-3610065.8873571116</v>
      </c>
      <c r="S365">
        <f t="shared" si="972"/>
        <v>-36.100658873571113</v>
      </c>
      <c r="T365">
        <f t="shared" si="973"/>
        <v>-3.6100658873571112E-2</v>
      </c>
    </row>
    <row r="366" spans="1:20" x14ac:dyDescent="0.25">
      <c r="A366" s="5">
        <v>44227</v>
      </c>
      <c r="B366">
        <v>3.9521999999999999</v>
      </c>
      <c r="C366">
        <v>4.3899999999999997</v>
      </c>
      <c r="D366">
        <v>3.8567999999999998</v>
      </c>
      <c r="E366">
        <v>4.1660000000000004</v>
      </c>
      <c r="F366">
        <v>765942.09</v>
      </c>
      <c r="G366">
        <v>5.41</v>
      </c>
      <c r="L366" t="s">
        <v>8</v>
      </c>
      <c r="M366" t="s">
        <v>8</v>
      </c>
      <c r="N366" t="s">
        <v>8</v>
      </c>
      <c r="P366">
        <f t="shared" si="969"/>
        <v>0.15978994748687414</v>
      </c>
      <c r="Q366">
        <f t="shared" si="970"/>
        <v>122389.84633908662</v>
      </c>
      <c r="R366">
        <f t="shared" si="971"/>
        <v>-3552312.8540589414</v>
      </c>
      <c r="S366">
        <f t="shared" si="972"/>
        <v>-35.523128540589411</v>
      </c>
      <c r="T366">
        <f t="shared" si="973"/>
        <v>-3.5523128540589415E-2</v>
      </c>
    </row>
    <row r="367" spans="1:20" x14ac:dyDescent="0.25">
      <c r="A367" s="5">
        <v>44226</v>
      </c>
      <c r="B367">
        <v>3.7545999999999999</v>
      </c>
      <c r="C367">
        <v>4.1249000000000002</v>
      </c>
      <c r="D367">
        <v>3.7208000000000001</v>
      </c>
      <c r="E367">
        <v>3.9521000000000002</v>
      </c>
      <c r="F367">
        <v>559365.75</v>
      </c>
      <c r="G367">
        <v>5.26</v>
      </c>
      <c r="L367" t="s">
        <v>8</v>
      </c>
      <c r="M367" t="s">
        <v>8</v>
      </c>
      <c r="N367" t="s">
        <v>8</v>
      </c>
      <c r="P367">
        <f t="shared" si="969"/>
        <v>0.14476614699331844</v>
      </c>
      <c r="Q367">
        <f t="shared" si="970"/>
        <v>80977.224387527807</v>
      </c>
      <c r="R367">
        <f t="shared" si="971"/>
        <v>-3674702.7003980279</v>
      </c>
      <c r="S367">
        <f t="shared" si="972"/>
        <v>-36.747027003980278</v>
      </c>
      <c r="T367">
        <f t="shared" si="973"/>
        <v>-3.6747027003980276E-2</v>
      </c>
    </row>
    <row r="368" spans="1:20" x14ac:dyDescent="0.25">
      <c r="A368" s="5">
        <v>44225</v>
      </c>
      <c r="B368">
        <v>3.8389000000000002</v>
      </c>
      <c r="C368">
        <v>3.9904999999999999</v>
      </c>
      <c r="D368">
        <v>3.5594000000000001</v>
      </c>
      <c r="E368">
        <v>3.7612000000000001</v>
      </c>
      <c r="F368">
        <v>486516.82</v>
      </c>
      <c r="G368">
        <v>-2.02</v>
      </c>
      <c r="L368" t="s">
        <v>7</v>
      </c>
      <c r="M368" t="s">
        <v>8</v>
      </c>
      <c r="N368" t="s">
        <v>8</v>
      </c>
      <c r="P368">
        <f t="shared" si="969"/>
        <v>-6.3790303873810877E-2</v>
      </c>
      <c r="Q368">
        <f t="shared" si="970"/>
        <v>-31035.055787520148</v>
      </c>
      <c r="R368">
        <f t="shared" si="971"/>
        <v>-3755679.9247855558</v>
      </c>
      <c r="S368">
        <f t="shared" si="972"/>
        <v>-37.556799247855558</v>
      </c>
      <c r="T368">
        <f t="shared" si="973"/>
        <v>-3.7556799247855557E-2</v>
      </c>
    </row>
    <row r="369" spans="1:20" x14ac:dyDescent="0.25">
      <c r="A369" s="5">
        <v>44224</v>
      </c>
      <c r="B369">
        <v>3.4975000000000001</v>
      </c>
      <c r="C369">
        <v>4.2</v>
      </c>
      <c r="D369">
        <v>3.4577</v>
      </c>
      <c r="E369">
        <v>3.8389000000000002</v>
      </c>
      <c r="F369">
        <v>632706.22</v>
      </c>
      <c r="G369">
        <v>9.76</v>
      </c>
      <c r="L369" t="s">
        <v>8</v>
      </c>
      <c r="M369" t="s">
        <v>8</v>
      </c>
      <c r="N369" t="s">
        <v>8</v>
      </c>
      <c r="P369">
        <f t="shared" si="969"/>
        <v>2.7078000808298832E-2</v>
      </c>
      <c r="Q369">
        <f t="shared" si="970"/>
        <v>17132.419536575697</v>
      </c>
      <c r="R369">
        <f t="shared" si="971"/>
        <v>-3724644.8689980358</v>
      </c>
      <c r="S369">
        <f t="shared" si="972"/>
        <v>-37.246448689980355</v>
      </c>
      <c r="T369">
        <f t="shared" si="973"/>
        <v>-3.7246448689980352E-2</v>
      </c>
    </row>
    <row r="370" spans="1:20" x14ac:dyDescent="0.25">
      <c r="A370" s="5">
        <v>44223</v>
      </c>
      <c r="B370">
        <v>4.0148999999999999</v>
      </c>
      <c r="C370">
        <v>4.0148999999999999</v>
      </c>
      <c r="D370">
        <v>3.4245000000000001</v>
      </c>
      <c r="E370">
        <v>3.484</v>
      </c>
      <c r="F370">
        <v>519028.66</v>
      </c>
      <c r="G370">
        <v>-13.22</v>
      </c>
      <c r="L370" t="s">
        <v>7</v>
      </c>
      <c r="M370" t="s">
        <v>7</v>
      </c>
      <c r="N370" t="s">
        <v>8</v>
      </c>
      <c r="P370">
        <f t="shared" si="969"/>
        <v>-0.79844173441734445</v>
      </c>
      <c r="Q370">
        <f t="shared" si="970"/>
        <v>-414414.14350271015</v>
      </c>
      <c r="R370">
        <f t="shared" si="971"/>
        <v>-3741777.2885346115</v>
      </c>
      <c r="S370">
        <f t="shared" si="972"/>
        <v>-37.417772885346118</v>
      </c>
      <c r="T370">
        <f t="shared" si="973"/>
        <v>-3.7417772885346118E-2</v>
      </c>
    </row>
    <row r="371" spans="1:20" x14ac:dyDescent="0.25">
      <c r="A371" s="5">
        <v>44222</v>
      </c>
      <c r="B371">
        <v>3.8847999999999998</v>
      </c>
      <c r="C371">
        <v>4.2069999999999999</v>
      </c>
      <c r="D371">
        <v>3.5760000000000001</v>
      </c>
      <c r="E371">
        <v>3.9918999999999998</v>
      </c>
      <c r="F371">
        <v>433267.42</v>
      </c>
      <c r="G371">
        <v>2.76</v>
      </c>
      <c r="L371" t="s">
        <v>7</v>
      </c>
      <c r="M371" t="s">
        <v>7</v>
      </c>
      <c r="N371" t="s">
        <v>8</v>
      </c>
      <c r="P371">
        <f t="shared" si="969"/>
        <v>0.31822503961965087</v>
      </c>
      <c r="Q371">
        <f t="shared" si="970"/>
        <v>137876.54189540391</v>
      </c>
      <c r="R371">
        <f t="shared" si="971"/>
        <v>-3327363.1450319015</v>
      </c>
      <c r="S371">
        <f t="shared" si="972"/>
        <v>-33.273631450319016</v>
      </c>
      <c r="T371">
        <f t="shared" si="973"/>
        <v>-3.3273631450319016E-2</v>
      </c>
    </row>
    <row r="372" spans="1:20" x14ac:dyDescent="0.25">
      <c r="A372" s="5">
        <v>44221</v>
      </c>
      <c r="B372">
        <v>4.2271999999999998</v>
      </c>
      <c r="C372">
        <v>4.3933</v>
      </c>
      <c r="D372">
        <v>3.86</v>
      </c>
      <c r="E372">
        <v>3.8702999999999999</v>
      </c>
      <c r="F372">
        <v>553943.62</v>
      </c>
      <c r="G372">
        <v>-8.44</v>
      </c>
      <c r="L372" t="s">
        <v>7</v>
      </c>
      <c r="M372" t="s">
        <v>8</v>
      </c>
      <c r="N372" t="s">
        <v>8</v>
      </c>
      <c r="P372">
        <f t="shared" si="969"/>
        <v>-0.96137258578661178</v>
      </c>
      <c r="Q372">
        <f t="shared" si="970"/>
        <v>-532546.21033939626</v>
      </c>
      <c r="R372">
        <f t="shared" si="971"/>
        <v>-3465239.6869273055</v>
      </c>
      <c r="S372">
        <f t="shared" si="972"/>
        <v>-34.652396869273055</v>
      </c>
      <c r="T372">
        <f t="shared" si="973"/>
        <v>-3.4652396869273058E-2</v>
      </c>
    </row>
    <row r="373" spans="1:20" x14ac:dyDescent="0.25">
      <c r="A373" s="5">
        <v>44220</v>
      </c>
      <c r="B373">
        <v>3.7046000000000001</v>
      </c>
      <c r="C373">
        <v>4.4146999999999998</v>
      </c>
      <c r="D373">
        <v>3.6789999999999998</v>
      </c>
      <c r="E373">
        <v>4.2194000000000003</v>
      </c>
      <c r="F373">
        <v>1490122.99</v>
      </c>
      <c r="G373">
        <v>13.9</v>
      </c>
      <c r="L373" t="s">
        <v>8</v>
      </c>
      <c r="M373" t="s">
        <v>8</v>
      </c>
      <c r="N373" t="s">
        <v>8</v>
      </c>
      <c r="P373">
        <f t="shared" si="969"/>
        <v>0.46907706945766053</v>
      </c>
      <c r="Q373">
        <f t="shared" si="970"/>
        <v>698982.52528068679</v>
      </c>
      <c r="R373">
        <f t="shared" si="971"/>
        <v>-2932693.4765879093</v>
      </c>
      <c r="S373">
        <f t="shared" si="972"/>
        <v>-29.326934765879091</v>
      </c>
      <c r="T373">
        <f t="shared" si="973"/>
        <v>-2.9326934765879092E-2</v>
      </c>
    </row>
    <row r="374" spans="1:20" x14ac:dyDescent="0.25">
      <c r="A374" s="5">
        <v>44219</v>
      </c>
      <c r="B374">
        <v>3.3654999999999999</v>
      </c>
      <c r="C374">
        <v>3.8891</v>
      </c>
      <c r="D374">
        <v>3.2650999999999999</v>
      </c>
      <c r="E374">
        <v>3.7132000000000001</v>
      </c>
      <c r="F374">
        <v>905639.91</v>
      </c>
      <c r="G374">
        <v>10.33</v>
      </c>
      <c r="L374" t="s">
        <v>8</v>
      </c>
      <c r="M374" t="s">
        <v>8</v>
      </c>
      <c r="N374" t="s">
        <v>7</v>
      </c>
      <c r="P374">
        <f t="shared" si="969"/>
        <v>0.436217948717949</v>
      </c>
      <c r="Q374">
        <f t="shared" si="970"/>
        <v>395056.38381730794</v>
      </c>
      <c r="R374">
        <f t="shared" si="971"/>
        <v>-3631676.0018685958</v>
      </c>
      <c r="S374">
        <f t="shared" si="972"/>
        <v>-36.316760018685962</v>
      </c>
      <c r="T374">
        <f t="shared" si="973"/>
        <v>-3.6316760018685959E-2</v>
      </c>
    </row>
    <row r="375" spans="1:20" x14ac:dyDescent="0.25">
      <c r="A375" s="5">
        <v>44218</v>
      </c>
      <c r="B375">
        <v>3.4205999999999999</v>
      </c>
      <c r="C375">
        <v>3.4864000000000002</v>
      </c>
      <c r="D375">
        <v>3.0205000000000002</v>
      </c>
      <c r="E375">
        <v>3.3555999999999999</v>
      </c>
      <c r="F375">
        <v>688217.84</v>
      </c>
      <c r="G375">
        <v>-1.9</v>
      </c>
      <c r="L375" t="s">
        <v>7</v>
      </c>
      <c r="M375" t="s">
        <v>7</v>
      </c>
      <c r="N375" t="s">
        <v>7</v>
      </c>
      <c r="P375">
        <f t="shared" si="969"/>
        <v>0.43850611719252947</v>
      </c>
      <c r="Q375">
        <f t="shared" si="970"/>
        <v>301787.73280102946</v>
      </c>
      <c r="R375">
        <f t="shared" si="971"/>
        <v>-4026732.385685904</v>
      </c>
      <c r="S375">
        <f t="shared" si="972"/>
        <v>-40.267323856859036</v>
      </c>
      <c r="T375">
        <f t="shared" si="973"/>
        <v>-4.0267323856859036E-2</v>
      </c>
    </row>
    <row r="376" spans="1:20" x14ac:dyDescent="0.25">
      <c r="A376" s="5">
        <v>44217</v>
      </c>
      <c r="B376">
        <v>4.0231000000000003</v>
      </c>
      <c r="C376">
        <v>4.0976999999999997</v>
      </c>
      <c r="D376">
        <v>3.41</v>
      </c>
      <c r="E376">
        <v>3.4333</v>
      </c>
      <c r="F376">
        <v>739649.19</v>
      </c>
      <c r="G376">
        <v>-14.66</v>
      </c>
      <c r="L376" t="s">
        <v>7</v>
      </c>
      <c r="M376" t="s">
        <v>7</v>
      </c>
      <c r="N376" t="s">
        <v>7</v>
      </c>
      <c r="P376">
        <f t="shared" si="969"/>
        <v>-0.93223789443071137</v>
      </c>
      <c r="Q376">
        <f t="shared" si="970"/>
        <v>-689529.00350298116</v>
      </c>
      <c r="R376">
        <f t="shared" si="971"/>
        <v>-4328520.1184869334</v>
      </c>
      <c r="S376">
        <f t="shared" si="972"/>
        <v>-43.285201184869337</v>
      </c>
      <c r="T376">
        <f t="shared" si="973"/>
        <v>-4.3285201184869337E-2</v>
      </c>
    </row>
    <row r="377" spans="1:20" x14ac:dyDescent="0.25">
      <c r="A377" s="5">
        <v>44216</v>
      </c>
      <c r="B377">
        <v>4.0004999999999997</v>
      </c>
      <c r="C377">
        <v>4.1753</v>
      </c>
      <c r="D377">
        <v>3.6884000000000001</v>
      </c>
      <c r="E377">
        <v>4.0115999999999996</v>
      </c>
      <c r="F377">
        <v>622489.52</v>
      </c>
      <c r="G377">
        <v>0.28000000000000003</v>
      </c>
      <c r="L377" t="s">
        <v>7</v>
      </c>
      <c r="M377" t="s">
        <v>7</v>
      </c>
      <c r="N377" t="s">
        <v>7</v>
      </c>
      <c r="P377">
        <f t="shared" si="969"/>
        <v>0.32758266584514095</v>
      </c>
      <c r="Q377">
        <f t="shared" si="970"/>
        <v>203916.77642226219</v>
      </c>
      <c r="R377">
        <f t="shared" si="971"/>
        <v>-3638991.1149839526</v>
      </c>
      <c r="S377">
        <f t="shared" si="972"/>
        <v>-36.389911149839527</v>
      </c>
      <c r="T377">
        <f t="shared" si="973"/>
        <v>-3.6389911149839527E-2</v>
      </c>
    </row>
    <row r="378" spans="1:20" x14ac:dyDescent="0.25">
      <c r="A378" s="5">
        <v>44215</v>
      </c>
      <c r="B378">
        <v>4.2702999999999998</v>
      </c>
      <c r="C378">
        <v>4.4145000000000003</v>
      </c>
      <c r="D378">
        <v>4</v>
      </c>
      <c r="E378">
        <v>4.0004999999999997</v>
      </c>
      <c r="F378">
        <v>725876.13</v>
      </c>
      <c r="G378">
        <v>-6.32</v>
      </c>
      <c r="L378" t="s">
        <v>7</v>
      </c>
      <c r="M378" t="s">
        <v>7</v>
      </c>
      <c r="N378" t="s">
        <v>8</v>
      </c>
      <c r="P378">
        <f t="shared" si="969"/>
        <v>-0.99758745476477817</v>
      </c>
      <c r="Q378">
        <f t="shared" si="970"/>
        <v>-724124.9210012072</v>
      </c>
      <c r="R378">
        <f t="shared" si="971"/>
        <v>-3842907.8914062148</v>
      </c>
      <c r="S378">
        <f t="shared" si="972"/>
        <v>-38.429078914062146</v>
      </c>
      <c r="T378">
        <f t="shared" si="973"/>
        <v>-3.8429078914062144E-2</v>
      </c>
    </row>
    <row r="379" spans="1:20" x14ac:dyDescent="0.25">
      <c r="A379" s="5">
        <v>44214</v>
      </c>
      <c r="B379">
        <v>4.8569000000000004</v>
      </c>
      <c r="C379">
        <v>5.0308999999999999</v>
      </c>
      <c r="D379">
        <v>4.1515000000000004</v>
      </c>
      <c r="E379">
        <v>4.2702999999999998</v>
      </c>
      <c r="F379">
        <v>1463948.48</v>
      </c>
      <c r="G379">
        <v>-12.08</v>
      </c>
      <c r="L379" t="s">
        <v>7</v>
      </c>
      <c r="M379" t="s">
        <v>7</v>
      </c>
      <c r="N379" t="s">
        <v>8</v>
      </c>
      <c r="P379">
        <f t="shared" si="969"/>
        <v>-0.72981578348874365</v>
      </c>
      <c r="Q379">
        <f t="shared" si="970"/>
        <v>-1068412.7069183553</v>
      </c>
      <c r="R379">
        <f t="shared" si="971"/>
        <v>-3118782.9704050077</v>
      </c>
      <c r="S379">
        <f t="shared" si="972"/>
        <v>-31.187829704050078</v>
      </c>
      <c r="T379">
        <f t="shared" si="973"/>
        <v>-3.1187829704050079E-2</v>
      </c>
    </row>
    <row r="380" spans="1:20" x14ac:dyDescent="0.25">
      <c r="A380" s="5">
        <v>44213</v>
      </c>
      <c r="B380">
        <v>3.5026999999999999</v>
      </c>
      <c r="C380">
        <v>5.2893999999999997</v>
      </c>
      <c r="D380">
        <v>3.4241000000000001</v>
      </c>
      <c r="E380">
        <v>4.8616000000000001</v>
      </c>
      <c r="F380">
        <v>3878328.75</v>
      </c>
      <c r="G380">
        <v>38.799999999999997</v>
      </c>
      <c r="L380" t="s">
        <v>8</v>
      </c>
      <c r="M380" t="s">
        <v>8</v>
      </c>
      <c r="N380" t="s">
        <v>8</v>
      </c>
      <c r="P380">
        <f t="shared" si="969"/>
        <v>0.54130702836004974</v>
      </c>
      <c r="Q380">
        <f t="shared" si="970"/>
        <v>2099366.6106658462</v>
      </c>
      <c r="R380">
        <f t="shared" si="971"/>
        <v>-2050370.2634866522</v>
      </c>
      <c r="S380">
        <f t="shared" si="972"/>
        <v>-20.503702634866521</v>
      </c>
      <c r="T380">
        <f t="shared" si="973"/>
        <v>-2.0503702634866519E-2</v>
      </c>
    </row>
    <row r="381" spans="1:20" x14ac:dyDescent="0.25">
      <c r="A381" s="5">
        <v>44212</v>
      </c>
      <c r="B381">
        <v>3.3458000000000001</v>
      </c>
      <c r="C381">
        <v>3.65</v>
      </c>
      <c r="D381">
        <v>3.3431000000000002</v>
      </c>
      <c r="E381">
        <v>3.4984000000000002</v>
      </c>
      <c r="F381">
        <v>609461.76000000001</v>
      </c>
      <c r="G381">
        <v>4.5599999999999996</v>
      </c>
      <c r="L381" t="s">
        <v>8</v>
      </c>
      <c r="M381" t="s">
        <v>8</v>
      </c>
      <c r="N381" t="s">
        <v>8</v>
      </c>
      <c r="P381">
        <f t="shared" si="969"/>
        <v>1.2056044314109683E-2</v>
      </c>
      <c r="Q381">
        <f t="shared" si="970"/>
        <v>7347.6979863152801</v>
      </c>
      <c r="R381">
        <f t="shared" si="971"/>
        <v>-4149736.8741524983</v>
      </c>
      <c r="S381">
        <f t="shared" si="972"/>
        <v>-41.49736874152498</v>
      </c>
      <c r="T381">
        <f t="shared" si="973"/>
        <v>-4.149736874152498E-2</v>
      </c>
    </row>
    <row r="382" spans="1:20" x14ac:dyDescent="0.25">
      <c r="A382" s="5">
        <v>44211</v>
      </c>
      <c r="B382">
        <v>3.2799</v>
      </c>
      <c r="C382">
        <v>3.5760999999999998</v>
      </c>
      <c r="D382">
        <v>3.1</v>
      </c>
      <c r="E382">
        <v>3.3492999999999999</v>
      </c>
      <c r="F382">
        <v>822544.44</v>
      </c>
      <c r="G382">
        <v>2.12</v>
      </c>
      <c r="L382" t="s">
        <v>8</v>
      </c>
      <c r="M382" t="s">
        <v>8</v>
      </c>
      <c r="N382" t="s">
        <v>8</v>
      </c>
      <c r="P382">
        <f t="shared" si="969"/>
        <v>4.7258979206049101E-2</v>
      </c>
      <c r="Q382">
        <f t="shared" si="970"/>
        <v>38872.610586011302</v>
      </c>
      <c r="R382">
        <f t="shared" si="971"/>
        <v>-4157084.5721388138</v>
      </c>
      <c r="S382">
        <f t="shared" si="972"/>
        <v>-41.570845721388139</v>
      </c>
      <c r="T382">
        <f t="shared" si="973"/>
        <v>-4.1570845721388139E-2</v>
      </c>
    </row>
    <row r="383" spans="1:20" x14ac:dyDescent="0.25">
      <c r="A383" s="5">
        <v>44210</v>
      </c>
      <c r="B383">
        <v>3.2907000000000002</v>
      </c>
      <c r="C383">
        <v>3.5</v>
      </c>
      <c r="D383">
        <v>3.1747000000000001</v>
      </c>
      <c r="E383">
        <v>3.2799</v>
      </c>
      <c r="F383">
        <v>378650.66</v>
      </c>
      <c r="G383">
        <v>-0.33</v>
      </c>
      <c r="L383" t="s">
        <v>8</v>
      </c>
      <c r="M383" t="s">
        <v>7</v>
      </c>
      <c r="N383" t="s">
        <v>8</v>
      </c>
      <c r="P383">
        <f t="shared" si="969"/>
        <v>-0.35321241930525676</v>
      </c>
      <c r="Q383">
        <f t="shared" si="970"/>
        <v>-133744.1156901322</v>
      </c>
      <c r="R383">
        <f t="shared" si="971"/>
        <v>-4195957.1827248251</v>
      </c>
      <c r="S383">
        <f t="shared" si="972"/>
        <v>-41.959571827248254</v>
      </c>
      <c r="T383">
        <f t="shared" si="973"/>
        <v>-4.1959571827248257E-2</v>
      </c>
    </row>
    <row r="384" spans="1:20" x14ac:dyDescent="0.25">
      <c r="A384" s="5">
        <v>44209</v>
      </c>
      <c r="B384">
        <v>3.1556000000000002</v>
      </c>
      <c r="C384">
        <v>3.35</v>
      </c>
      <c r="D384">
        <v>3.0436999999999999</v>
      </c>
      <c r="E384">
        <v>3.2875000000000001</v>
      </c>
      <c r="F384">
        <v>309284.33</v>
      </c>
      <c r="G384">
        <v>4.18</v>
      </c>
      <c r="L384" t="s">
        <v>7</v>
      </c>
      <c r="M384" t="s">
        <v>7</v>
      </c>
      <c r="N384" t="s">
        <v>8</v>
      </c>
      <c r="P384">
        <f t="shared" si="969"/>
        <v>0.59190336271629151</v>
      </c>
      <c r="Q384">
        <f t="shared" si="970"/>
        <v>183066.43496245521</v>
      </c>
      <c r="R384">
        <f t="shared" si="971"/>
        <v>-4062213.0670346925</v>
      </c>
      <c r="S384">
        <f t="shared" si="972"/>
        <v>-40.622130670346927</v>
      </c>
      <c r="T384">
        <f t="shared" si="973"/>
        <v>-4.062213067034693E-2</v>
      </c>
    </row>
    <row r="385" spans="1:20" x14ac:dyDescent="0.25">
      <c r="A385" s="5">
        <v>44208</v>
      </c>
      <c r="B385">
        <v>3.3420000000000001</v>
      </c>
      <c r="C385">
        <v>3.3641999999999999</v>
      </c>
      <c r="D385">
        <v>3.0251000000000001</v>
      </c>
      <c r="E385">
        <v>3.1671</v>
      </c>
      <c r="F385">
        <v>438162.58</v>
      </c>
      <c r="G385">
        <v>-5.23</v>
      </c>
      <c r="L385" t="s">
        <v>8</v>
      </c>
      <c r="M385" t="s">
        <v>7</v>
      </c>
      <c r="N385" t="s">
        <v>8</v>
      </c>
      <c r="P385">
        <f t="shared" si="969"/>
        <v>-0.16248894131524616</v>
      </c>
      <c r="Q385">
        <f t="shared" si="970"/>
        <v>-71196.57374815685</v>
      </c>
      <c r="R385">
        <f t="shared" si="971"/>
        <v>-4245279.5019971477</v>
      </c>
      <c r="S385">
        <f t="shared" si="972"/>
        <v>-42.452795019971475</v>
      </c>
      <c r="T385">
        <f t="shared" si="973"/>
        <v>-4.2452795019971477E-2</v>
      </c>
    </row>
    <row r="386" spans="1:20" x14ac:dyDescent="0.25">
      <c r="A386" s="5">
        <v>44207</v>
      </c>
      <c r="B386">
        <v>3.8260000000000001</v>
      </c>
      <c r="C386">
        <v>3.8460999999999999</v>
      </c>
      <c r="D386">
        <v>3.0259</v>
      </c>
      <c r="E386">
        <v>3.3420000000000001</v>
      </c>
      <c r="F386">
        <v>516260.24</v>
      </c>
      <c r="G386">
        <v>-12.65</v>
      </c>
      <c r="L386" t="s">
        <v>7</v>
      </c>
      <c r="M386" t="s">
        <v>7</v>
      </c>
      <c r="N386" t="s">
        <v>8</v>
      </c>
      <c r="P386">
        <f t="shared" si="969"/>
        <v>-0.22921238722262835</v>
      </c>
      <c r="Q386">
        <f t="shared" si="970"/>
        <v>-118333.24203852704</v>
      </c>
      <c r="R386">
        <f t="shared" si="971"/>
        <v>-4174082.9282489913</v>
      </c>
      <c r="S386">
        <f t="shared" si="972"/>
        <v>-41.740829282489912</v>
      </c>
      <c r="T386">
        <f t="shared" si="973"/>
        <v>-4.1740829282489914E-2</v>
      </c>
    </row>
    <row r="387" spans="1:20" x14ac:dyDescent="0.25">
      <c r="A387" s="5">
        <v>44206</v>
      </c>
      <c r="B387">
        <v>3.4863</v>
      </c>
      <c r="C387">
        <v>3.9434</v>
      </c>
      <c r="D387">
        <v>3.3801000000000001</v>
      </c>
      <c r="E387">
        <v>3.8195999999999999</v>
      </c>
      <c r="F387">
        <v>540460.15</v>
      </c>
      <c r="G387">
        <v>9.56</v>
      </c>
      <c r="L387" t="s">
        <v>8</v>
      </c>
      <c r="M387" t="s">
        <v>8</v>
      </c>
      <c r="N387" t="s">
        <v>8</v>
      </c>
      <c r="P387">
        <f t="shared" si="969"/>
        <v>0.56044736374933379</v>
      </c>
      <c r="Q387">
        <f t="shared" si="970"/>
        <v>302899.46627906954</v>
      </c>
      <c r="R387">
        <f t="shared" si="971"/>
        <v>-4055749.6862104642</v>
      </c>
      <c r="S387">
        <f t="shared" si="972"/>
        <v>-40.557496862104642</v>
      </c>
      <c r="T387">
        <f t="shared" si="973"/>
        <v>-4.0557496862104643E-2</v>
      </c>
    </row>
    <row r="388" spans="1:20" x14ac:dyDescent="0.25">
      <c r="A388" s="5">
        <v>44205</v>
      </c>
      <c r="B388">
        <v>3.2970999999999999</v>
      </c>
      <c r="C388">
        <v>3.6823999999999999</v>
      </c>
      <c r="D388">
        <v>3.1999</v>
      </c>
      <c r="E388">
        <v>3.4863</v>
      </c>
      <c r="F388">
        <v>770208.35</v>
      </c>
      <c r="G388">
        <v>5.74</v>
      </c>
      <c r="L388" t="s">
        <v>8</v>
      </c>
      <c r="M388" t="s">
        <v>7</v>
      </c>
      <c r="N388" t="s">
        <v>8</v>
      </c>
      <c r="P388">
        <f t="shared" si="969"/>
        <v>0.18715025906735763</v>
      </c>
      <c r="Q388">
        <f t="shared" si="970"/>
        <v>144144.69223834205</v>
      </c>
      <c r="R388">
        <f t="shared" si="971"/>
        <v>-4358649.1524895336</v>
      </c>
      <c r="S388">
        <f t="shared" si="972"/>
        <v>-43.586491524895337</v>
      </c>
      <c r="T388">
        <f t="shared" si="973"/>
        <v>-4.3586491524895334E-2</v>
      </c>
    </row>
    <row r="389" spans="1:20" x14ac:dyDescent="0.25">
      <c r="A389" s="5">
        <v>44204</v>
      </c>
      <c r="B389">
        <v>3.4710999999999999</v>
      </c>
      <c r="C389">
        <v>3.5966999999999998</v>
      </c>
      <c r="D389">
        <v>3.0991</v>
      </c>
      <c r="E389">
        <v>3.2970999999999999</v>
      </c>
      <c r="F389">
        <v>412260.32</v>
      </c>
      <c r="G389">
        <v>-5.01</v>
      </c>
      <c r="L389" t="s">
        <v>7</v>
      </c>
      <c r="M389" t="s">
        <v>7</v>
      </c>
      <c r="N389" t="s">
        <v>8</v>
      </c>
      <c r="P389">
        <f t="shared" si="969"/>
        <v>-0.20418006430868157</v>
      </c>
      <c r="Q389">
        <f t="shared" si="970"/>
        <v>-84175.338649517653</v>
      </c>
      <c r="R389">
        <f t="shared" si="971"/>
        <v>-4502793.8447278757</v>
      </c>
      <c r="S389">
        <f t="shared" si="972"/>
        <v>-45.027938447278757</v>
      </c>
      <c r="T389">
        <f t="shared" si="973"/>
        <v>-4.5027938447278759E-2</v>
      </c>
    </row>
    <row r="390" spans="1:20" x14ac:dyDescent="0.25">
      <c r="A390" s="5">
        <v>44203</v>
      </c>
      <c r="B390">
        <v>3.4719000000000002</v>
      </c>
      <c r="C390">
        <v>3.8376999999999999</v>
      </c>
      <c r="D390">
        <v>3.3</v>
      </c>
      <c r="E390">
        <v>3.4706999999999999</v>
      </c>
      <c r="F390">
        <v>741165.13</v>
      </c>
      <c r="G390">
        <v>-0.03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-0.36507346103775318</v>
      </c>
      <c r="Q390">
        <f t="shared" ref="Q390:Q453" si="975">F390*P390</f>
        <v>-270579.71920959628</v>
      </c>
      <c r="R390">
        <f t="shared" ref="R390:R453" si="976">R391+Q390</f>
        <v>-4418618.5060783578</v>
      </c>
      <c r="S390">
        <f t="shared" ref="S390:S453" si="977">R390/100000</f>
        <v>-44.186185060783579</v>
      </c>
      <c r="T390">
        <f t="shared" ref="T390:T453" si="978">S390/1000</f>
        <v>-4.4186185060783582E-2</v>
      </c>
    </row>
    <row r="391" spans="1:20" x14ac:dyDescent="0.25">
      <c r="A391" s="5">
        <v>44202</v>
      </c>
      <c r="B391">
        <v>3.3033999999999999</v>
      </c>
      <c r="C391">
        <v>3.6</v>
      </c>
      <c r="D391">
        <v>3.2892999999999999</v>
      </c>
      <c r="E391">
        <v>3.4719000000000002</v>
      </c>
      <c r="F391">
        <v>426940.68</v>
      </c>
      <c r="G391">
        <v>5.0999999999999996</v>
      </c>
      <c r="L391" t="s">
        <v>8</v>
      </c>
      <c r="M391" t="s">
        <v>8</v>
      </c>
      <c r="N391" t="s">
        <v>7</v>
      </c>
      <c r="P391">
        <f t="shared" si="974"/>
        <v>0.17541036369488383</v>
      </c>
      <c r="Q391">
        <f t="shared" si="975"/>
        <v>74889.81995494102</v>
      </c>
      <c r="R391">
        <f t="shared" si="976"/>
        <v>-4148038.7868687613</v>
      </c>
      <c r="S391">
        <f t="shared" si="977"/>
        <v>-41.480387868687615</v>
      </c>
      <c r="T391">
        <f t="shared" si="978"/>
        <v>-4.1480387868687615E-2</v>
      </c>
    </row>
    <row r="392" spans="1:20" x14ac:dyDescent="0.25">
      <c r="A392" s="5">
        <v>44201</v>
      </c>
      <c r="B392">
        <v>3.3388</v>
      </c>
      <c r="C392">
        <v>3.4222999999999999</v>
      </c>
      <c r="D392">
        <v>3.1789000000000001</v>
      </c>
      <c r="E392">
        <v>3.3003999999999998</v>
      </c>
      <c r="F392">
        <v>393143.89</v>
      </c>
      <c r="G392">
        <v>-1.1499999999999999</v>
      </c>
      <c r="L392" t="s">
        <v>7</v>
      </c>
      <c r="M392" t="s">
        <v>8</v>
      </c>
      <c r="N392" t="s">
        <v>7</v>
      </c>
      <c r="P392">
        <f t="shared" si="974"/>
        <v>-1.6433853738718172E-3</v>
      </c>
      <c r="Q392">
        <f t="shared" si="975"/>
        <v>-646.0869186530706</v>
      </c>
      <c r="R392">
        <f t="shared" si="976"/>
        <v>-4222928.6068237023</v>
      </c>
      <c r="S392">
        <f t="shared" si="977"/>
        <v>-42.229286068237023</v>
      </c>
      <c r="T392">
        <f t="shared" si="978"/>
        <v>-4.2229286068237025E-2</v>
      </c>
    </row>
    <row r="393" spans="1:20" x14ac:dyDescent="0.25">
      <c r="A393" s="5">
        <v>44200</v>
      </c>
      <c r="B393">
        <v>3.0596999999999999</v>
      </c>
      <c r="C393">
        <v>3.4338000000000002</v>
      </c>
      <c r="D393">
        <v>3.0575000000000001</v>
      </c>
      <c r="E393">
        <v>3.3395000000000001</v>
      </c>
      <c r="F393">
        <v>577711.28</v>
      </c>
      <c r="G393">
        <v>9.14</v>
      </c>
      <c r="L393" t="s">
        <v>8</v>
      </c>
      <c r="M393" t="s">
        <v>8</v>
      </c>
      <c r="N393" t="s">
        <v>7</v>
      </c>
      <c r="P393">
        <f t="shared" si="974"/>
        <v>0.49880414562848774</v>
      </c>
      <c r="Q393">
        <f t="shared" si="975"/>
        <v>288164.78144034004</v>
      </c>
      <c r="R393">
        <f t="shared" si="976"/>
        <v>-4222282.5199050494</v>
      </c>
      <c r="S393">
        <f t="shared" si="977"/>
        <v>-42.22282519905049</v>
      </c>
      <c r="T393">
        <f t="shared" si="978"/>
        <v>-4.222282519905049E-2</v>
      </c>
    </row>
    <row r="394" spans="1:20" x14ac:dyDescent="0.25">
      <c r="A394" s="5">
        <v>44199</v>
      </c>
      <c r="B394">
        <v>3.1084999999999998</v>
      </c>
      <c r="C394">
        <v>3.2103000000000002</v>
      </c>
      <c r="D394">
        <v>2.96</v>
      </c>
      <c r="E394">
        <v>3.0596999999999999</v>
      </c>
      <c r="F394">
        <v>356059.18</v>
      </c>
      <c r="G394">
        <v>-1.57</v>
      </c>
      <c r="L394" t="s">
        <v>7</v>
      </c>
      <c r="M394" t="s">
        <v>8</v>
      </c>
      <c r="N394" t="s">
        <v>7</v>
      </c>
      <c r="P394">
        <f t="shared" si="974"/>
        <v>-0.20335597283260229</v>
      </c>
      <c r="Q394">
        <f t="shared" si="975"/>
        <v>-72406.76093487865</v>
      </c>
      <c r="R394">
        <f t="shared" si="976"/>
        <v>-4510447.3013453893</v>
      </c>
      <c r="S394">
        <f t="shared" si="977"/>
        <v>-45.104473013453891</v>
      </c>
      <c r="T394">
        <f t="shared" si="978"/>
        <v>-4.510447301345389E-2</v>
      </c>
    </row>
    <row r="395" spans="1:20" x14ac:dyDescent="0.25">
      <c r="A395" s="5">
        <v>44198</v>
      </c>
      <c r="B395">
        <v>3.2199</v>
      </c>
      <c r="C395">
        <v>3.2252999999999998</v>
      </c>
      <c r="D395">
        <v>3.0003000000000002</v>
      </c>
      <c r="E395">
        <v>3.1084999999999998</v>
      </c>
      <c r="F395">
        <v>194395.43</v>
      </c>
      <c r="G395">
        <v>-3.46</v>
      </c>
      <c r="L395" t="s">
        <v>7</v>
      </c>
      <c r="M395" t="s">
        <v>8</v>
      </c>
      <c r="N395" t="s">
        <v>7</v>
      </c>
      <c r="P395">
        <f t="shared" si="974"/>
        <v>-3.8222222222223996E-2</v>
      </c>
      <c r="Q395">
        <f t="shared" si="975"/>
        <v>-7430.2253244447893</v>
      </c>
      <c r="R395">
        <f t="shared" si="976"/>
        <v>-4438040.5404105103</v>
      </c>
      <c r="S395">
        <f t="shared" si="977"/>
        <v>-44.380405404105105</v>
      </c>
      <c r="T395">
        <f t="shared" si="978"/>
        <v>-4.4380405404105101E-2</v>
      </c>
    </row>
    <row r="396" spans="1:20" x14ac:dyDescent="0.25">
      <c r="A396" s="5">
        <v>44197</v>
      </c>
      <c r="B396">
        <v>3.0562999999999998</v>
      </c>
      <c r="C396">
        <v>3.2503000000000002</v>
      </c>
      <c r="D396">
        <v>3.0468000000000002</v>
      </c>
      <c r="E396">
        <v>3.2204999999999999</v>
      </c>
      <c r="F396">
        <v>343879.24</v>
      </c>
      <c r="G396">
        <v>5.37</v>
      </c>
      <c r="L396" t="s">
        <v>8</v>
      </c>
      <c r="M396" t="s">
        <v>8</v>
      </c>
      <c r="N396" t="s">
        <v>7</v>
      </c>
      <c r="P396">
        <f t="shared" si="974"/>
        <v>0.70712530712530453</v>
      </c>
      <c r="Q396">
        <f t="shared" si="975"/>
        <v>243165.71319901629</v>
      </c>
      <c r="R396">
        <f t="shared" si="976"/>
        <v>-4430610.3150860658</v>
      </c>
      <c r="S396">
        <f t="shared" si="977"/>
        <v>-44.306103150860658</v>
      </c>
      <c r="T396">
        <f t="shared" si="978"/>
        <v>-4.4306103150860657E-2</v>
      </c>
    </row>
    <row r="397" spans="1:20" x14ac:dyDescent="0.25">
      <c r="A397" s="5">
        <v>44196</v>
      </c>
      <c r="B397">
        <v>3.0245000000000002</v>
      </c>
      <c r="C397">
        <v>3.0649999999999999</v>
      </c>
      <c r="D397">
        <v>2.9771999999999998</v>
      </c>
      <c r="E397">
        <v>3.0562999999999998</v>
      </c>
      <c r="F397">
        <v>152702.24</v>
      </c>
      <c r="G397">
        <v>1.05</v>
      </c>
      <c r="L397" t="s">
        <v>8</v>
      </c>
      <c r="M397" t="s">
        <v>8</v>
      </c>
      <c r="N397" t="s">
        <v>7</v>
      </c>
      <c r="P397">
        <f t="shared" si="974"/>
        <v>0.80182232346241133</v>
      </c>
      <c r="Q397">
        <f t="shared" si="975"/>
        <v>122440.06487471476</v>
      </c>
      <c r="R397">
        <f t="shared" si="976"/>
        <v>-4673776.0282850824</v>
      </c>
      <c r="S397">
        <f t="shared" si="977"/>
        <v>-46.737760282850822</v>
      </c>
      <c r="T397">
        <f t="shared" si="978"/>
        <v>-4.6737760282850822E-2</v>
      </c>
    </row>
    <row r="398" spans="1:20" x14ac:dyDescent="0.25">
      <c r="A398" s="5">
        <v>44195</v>
      </c>
      <c r="B398">
        <v>2.9883999999999999</v>
      </c>
      <c r="C398">
        <v>3.1042999999999998</v>
      </c>
      <c r="D398">
        <v>2.9238</v>
      </c>
      <c r="E398">
        <v>3.0247000000000002</v>
      </c>
      <c r="F398">
        <v>168189.55</v>
      </c>
      <c r="G398">
        <v>1.21</v>
      </c>
      <c r="L398" t="s">
        <v>8</v>
      </c>
      <c r="M398" t="s">
        <v>8</v>
      </c>
      <c r="N398" t="s">
        <v>7</v>
      </c>
      <c r="P398">
        <f t="shared" si="974"/>
        <v>0.11800554016620805</v>
      </c>
      <c r="Q398">
        <f t="shared" si="975"/>
        <v>19847.298698061455</v>
      </c>
      <c r="R398">
        <f t="shared" si="976"/>
        <v>-4796216.0931597976</v>
      </c>
      <c r="S398">
        <f t="shared" si="977"/>
        <v>-47.962160931597978</v>
      </c>
      <c r="T398">
        <f t="shared" si="978"/>
        <v>-4.7962160931597976E-2</v>
      </c>
    </row>
    <row r="399" spans="1:20" x14ac:dyDescent="0.25">
      <c r="A399" s="5">
        <v>44194</v>
      </c>
      <c r="B399">
        <v>2.9775999999999998</v>
      </c>
      <c r="C399">
        <v>3.0131999999999999</v>
      </c>
      <c r="D399">
        <v>2.9013</v>
      </c>
      <c r="E399">
        <v>2.9819</v>
      </c>
      <c r="F399">
        <v>167313.97</v>
      </c>
      <c r="G399">
        <v>0.14000000000000001</v>
      </c>
      <c r="L399" t="s">
        <v>8</v>
      </c>
      <c r="M399" t="s">
        <v>8</v>
      </c>
      <c r="N399" t="s">
        <v>7</v>
      </c>
      <c r="P399">
        <f t="shared" si="974"/>
        <v>0.44057193923145821</v>
      </c>
      <c r="Q399">
        <f t="shared" si="975"/>
        <v>73713.840223414023</v>
      </c>
      <c r="R399">
        <f t="shared" si="976"/>
        <v>-4816063.3918578587</v>
      </c>
      <c r="S399">
        <f t="shared" si="977"/>
        <v>-48.16063391857859</v>
      </c>
      <c r="T399">
        <f t="shared" si="978"/>
        <v>-4.8160633918578589E-2</v>
      </c>
    </row>
    <row r="400" spans="1:20" x14ac:dyDescent="0.25">
      <c r="A400" s="5">
        <v>44193</v>
      </c>
      <c r="B400">
        <v>2.8919999999999999</v>
      </c>
      <c r="C400">
        <v>3.0811000000000002</v>
      </c>
      <c r="D400">
        <v>2.8841000000000001</v>
      </c>
      <c r="E400">
        <v>2.9775</v>
      </c>
      <c r="F400">
        <v>343533.6</v>
      </c>
      <c r="G400">
        <v>2.96</v>
      </c>
      <c r="L400" t="s">
        <v>8</v>
      </c>
      <c r="M400" t="s">
        <v>8</v>
      </c>
      <c r="N400" t="s">
        <v>7</v>
      </c>
      <c r="P400">
        <f t="shared" si="974"/>
        <v>-5.1776649746193934E-2</v>
      </c>
      <c r="Q400">
        <f t="shared" si="975"/>
        <v>-17787.018883249086</v>
      </c>
      <c r="R400">
        <f t="shared" si="976"/>
        <v>-4889777.2320812726</v>
      </c>
      <c r="S400">
        <f t="shared" si="977"/>
        <v>-48.897772320812727</v>
      </c>
      <c r="T400">
        <f t="shared" si="978"/>
        <v>-4.889777232081273E-2</v>
      </c>
    </row>
    <row r="401" spans="1:20" x14ac:dyDescent="0.25">
      <c r="A401" s="5">
        <v>44192</v>
      </c>
      <c r="B401">
        <v>2.875</v>
      </c>
      <c r="C401">
        <v>3</v>
      </c>
      <c r="D401">
        <v>2.7549000000000001</v>
      </c>
      <c r="E401">
        <v>2.8976000000000002</v>
      </c>
      <c r="F401">
        <v>264874.68</v>
      </c>
      <c r="G401">
        <v>0.79</v>
      </c>
      <c r="L401" t="s">
        <v>8</v>
      </c>
      <c r="M401" t="s">
        <v>7</v>
      </c>
      <c r="N401" t="s">
        <v>7</v>
      </c>
      <c r="P401">
        <f t="shared" si="974"/>
        <v>0.16442268461852405</v>
      </c>
      <c r="Q401">
        <f t="shared" si="975"/>
        <v>43551.405973072477</v>
      </c>
      <c r="R401">
        <f t="shared" si="976"/>
        <v>-4871990.2131980238</v>
      </c>
      <c r="S401">
        <f t="shared" si="977"/>
        <v>-48.719902131980241</v>
      </c>
      <c r="T401">
        <f t="shared" si="978"/>
        <v>-4.8719902131980242E-2</v>
      </c>
    </row>
    <row r="402" spans="1:20" x14ac:dyDescent="0.25">
      <c r="A402" s="5">
        <v>44191</v>
      </c>
      <c r="B402">
        <v>2.8654999999999999</v>
      </c>
      <c r="C402">
        <v>2.9079000000000002</v>
      </c>
      <c r="D402">
        <v>2.823</v>
      </c>
      <c r="E402">
        <v>2.8733</v>
      </c>
      <c r="F402">
        <v>117230.21</v>
      </c>
      <c r="G402">
        <v>0.27</v>
      </c>
      <c r="L402" t="s">
        <v>8</v>
      </c>
      <c r="M402" t="s">
        <v>7</v>
      </c>
      <c r="N402" t="s">
        <v>7</v>
      </c>
      <c r="P402">
        <f t="shared" si="974"/>
        <v>0.18492343934039798</v>
      </c>
      <c r="Q402">
        <f t="shared" si="975"/>
        <v>21678.613627797116</v>
      </c>
      <c r="R402">
        <f t="shared" si="976"/>
        <v>-4915541.619171096</v>
      </c>
      <c r="S402">
        <f t="shared" si="977"/>
        <v>-49.155416191710962</v>
      </c>
      <c r="T402">
        <f t="shared" si="978"/>
        <v>-4.915541619171096E-2</v>
      </c>
    </row>
    <row r="403" spans="1:20" x14ac:dyDescent="0.25">
      <c r="A403" s="5">
        <v>44190</v>
      </c>
      <c r="B403">
        <v>2.7911000000000001</v>
      </c>
      <c r="C403">
        <v>2.9079999999999999</v>
      </c>
      <c r="D403">
        <v>2.7808999999999999</v>
      </c>
      <c r="E403">
        <v>2.8654999999999999</v>
      </c>
      <c r="F403">
        <v>156178.09</v>
      </c>
      <c r="G403">
        <v>2.67</v>
      </c>
      <c r="L403" t="s">
        <v>8</v>
      </c>
      <c r="M403" t="s">
        <v>7</v>
      </c>
      <c r="N403" t="s">
        <v>7</v>
      </c>
      <c r="P403">
        <f t="shared" si="974"/>
        <v>0.33123524783634956</v>
      </c>
      <c r="Q403">
        <f t="shared" si="975"/>
        <v>51731.688347757707</v>
      </c>
      <c r="R403">
        <f t="shared" si="976"/>
        <v>-4937220.232798893</v>
      </c>
      <c r="S403">
        <f t="shared" si="977"/>
        <v>-49.37220232798893</v>
      </c>
      <c r="T403">
        <f t="shared" si="978"/>
        <v>-4.9372202327988932E-2</v>
      </c>
    </row>
    <row r="404" spans="1:20" x14ac:dyDescent="0.25">
      <c r="A404" s="5">
        <v>44189</v>
      </c>
      <c r="B404">
        <v>2.6597</v>
      </c>
      <c r="C404">
        <v>2.7951000000000001</v>
      </c>
      <c r="D404">
        <v>2.6448</v>
      </c>
      <c r="E404">
        <v>2.7951000000000001</v>
      </c>
      <c r="F404">
        <v>175456.99</v>
      </c>
      <c r="G404">
        <v>5.09</v>
      </c>
      <c r="L404" t="s">
        <v>7</v>
      </c>
      <c r="M404" t="s">
        <v>7</v>
      </c>
      <c r="N404" t="s">
        <v>7</v>
      </c>
      <c r="P404">
        <f t="shared" si="974"/>
        <v>1</v>
      </c>
      <c r="Q404">
        <f t="shared" si="975"/>
        <v>175456.99</v>
      </c>
      <c r="R404">
        <f t="shared" si="976"/>
        <v>-4988951.9211466508</v>
      </c>
      <c r="S404">
        <f t="shared" si="977"/>
        <v>-49.889519211466506</v>
      </c>
      <c r="T404">
        <f t="shared" si="978"/>
        <v>-4.9889519211466504E-2</v>
      </c>
    </row>
    <row r="405" spans="1:20" x14ac:dyDescent="0.25">
      <c r="A405" s="5">
        <v>44188</v>
      </c>
      <c r="B405">
        <v>2.92</v>
      </c>
      <c r="C405">
        <v>2.9552</v>
      </c>
      <c r="D405">
        <v>2.6082999999999998</v>
      </c>
      <c r="E405">
        <v>2.6634000000000002</v>
      </c>
      <c r="F405">
        <v>217224.15</v>
      </c>
      <c r="G405">
        <v>-8.7899999999999991</v>
      </c>
      <c r="L405" t="s">
        <v>7</v>
      </c>
      <c r="M405" t="s">
        <v>7</v>
      </c>
      <c r="N405" t="s">
        <v>7</v>
      </c>
      <c r="P405">
        <f t="shared" si="974"/>
        <v>-0.68232920149898912</v>
      </c>
      <c r="Q405">
        <f t="shared" si="975"/>
        <v>-148218.38081579664</v>
      </c>
      <c r="R405">
        <f t="shared" si="976"/>
        <v>-5164408.911146651</v>
      </c>
      <c r="S405">
        <f t="shared" si="977"/>
        <v>-51.644089111466513</v>
      </c>
      <c r="T405">
        <f t="shared" si="978"/>
        <v>-5.1644089111466514E-2</v>
      </c>
    </row>
    <row r="406" spans="1:20" x14ac:dyDescent="0.25">
      <c r="A406" s="5">
        <v>44187</v>
      </c>
      <c r="B406">
        <v>2.8708</v>
      </c>
      <c r="C406">
        <v>2.97</v>
      </c>
      <c r="D406">
        <v>2.8163</v>
      </c>
      <c r="E406">
        <v>2.9249999999999998</v>
      </c>
      <c r="F406">
        <v>161453.65</v>
      </c>
      <c r="G406">
        <v>1.89</v>
      </c>
      <c r="L406" t="s">
        <v>7</v>
      </c>
      <c r="M406" t="s">
        <v>7</v>
      </c>
      <c r="N406" t="s">
        <v>7</v>
      </c>
      <c r="P406">
        <f t="shared" si="974"/>
        <v>0.4144437215354545</v>
      </c>
      <c r="Q406">
        <f t="shared" si="975"/>
        <v>66913.451561482725</v>
      </c>
      <c r="R406">
        <f t="shared" si="976"/>
        <v>-5016190.5303308545</v>
      </c>
      <c r="S406">
        <f t="shared" si="977"/>
        <v>-50.161905303308544</v>
      </c>
      <c r="T406">
        <f t="shared" si="978"/>
        <v>-5.0161905303308545E-2</v>
      </c>
    </row>
    <row r="407" spans="1:20" x14ac:dyDescent="0.25">
      <c r="A407" s="5">
        <v>44186</v>
      </c>
      <c r="B407">
        <v>3.1009000000000002</v>
      </c>
      <c r="C407">
        <v>3.1042000000000001</v>
      </c>
      <c r="D407">
        <v>2.8163</v>
      </c>
      <c r="E407">
        <v>2.8652000000000002</v>
      </c>
      <c r="F407">
        <v>154146.45000000001</v>
      </c>
      <c r="G407">
        <v>-7.6</v>
      </c>
      <c r="L407" t="s">
        <v>7</v>
      </c>
      <c r="M407" t="s">
        <v>7</v>
      </c>
      <c r="N407" t="s">
        <v>7</v>
      </c>
      <c r="P407">
        <f t="shared" si="974"/>
        <v>-0.66029871483153768</v>
      </c>
      <c r="Q407">
        <f t="shared" si="975"/>
        <v>-101782.70283084389</v>
      </c>
      <c r="R407">
        <f t="shared" si="976"/>
        <v>-5083103.9818923371</v>
      </c>
      <c r="S407">
        <f t="shared" si="977"/>
        <v>-50.831039818923372</v>
      </c>
      <c r="T407">
        <f t="shared" si="978"/>
        <v>-5.0831039818923375E-2</v>
      </c>
    </row>
    <row r="408" spans="1:20" x14ac:dyDescent="0.25">
      <c r="A408" s="5">
        <v>44185</v>
      </c>
      <c r="B408">
        <v>3.2014</v>
      </c>
      <c r="C408">
        <v>3.2046999999999999</v>
      </c>
      <c r="D408">
        <v>3.0402999999999998</v>
      </c>
      <c r="E408">
        <v>3.1074999999999999</v>
      </c>
      <c r="F408">
        <v>199836.03</v>
      </c>
      <c r="G408">
        <v>-2.93</v>
      </c>
      <c r="L408" t="s">
        <v>8</v>
      </c>
      <c r="M408" t="s">
        <v>7</v>
      </c>
      <c r="N408" t="s">
        <v>7</v>
      </c>
      <c r="P408">
        <f t="shared" si="974"/>
        <v>-0.18248175182481621</v>
      </c>
      <c r="Q408">
        <f t="shared" si="975"/>
        <v>-36466.42883211653</v>
      </c>
      <c r="R408">
        <f t="shared" si="976"/>
        <v>-4981321.2790614935</v>
      </c>
      <c r="S408">
        <f t="shared" si="977"/>
        <v>-49.813212790614934</v>
      </c>
      <c r="T408">
        <f t="shared" si="978"/>
        <v>-4.981321279061493E-2</v>
      </c>
    </row>
    <row r="409" spans="1:20" x14ac:dyDescent="0.25">
      <c r="A409" s="5">
        <v>44184</v>
      </c>
      <c r="B409">
        <v>3.1379000000000001</v>
      </c>
      <c r="C409">
        <v>3.2728999999999999</v>
      </c>
      <c r="D409">
        <v>3.1198000000000001</v>
      </c>
      <c r="E409">
        <v>3.2004999999999999</v>
      </c>
      <c r="F409">
        <v>265309.68</v>
      </c>
      <c r="G409">
        <v>1.99</v>
      </c>
      <c r="L409" t="s">
        <v>8</v>
      </c>
      <c r="M409" t="s">
        <v>7</v>
      </c>
      <c r="N409" t="s">
        <v>7</v>
      </c>
      <c r="P409">
        <f t="shared" si="974"/>
        <v>5.4212932723708446E-2</v>
      </c>
      <c r="Q409">
        <f t="shared" si="975"/>
        <v>14383.215832788615</v>
      </c>
      <c r="R409">
        <f t="shared" si="976"/>
        <v>-4944854.8502293769</v>
      </c>
      <c r="S409">
        <f t="shared" si="977"/>
        <v>-49.448548502293768</v>
      </c>
      <c r="T409">
        <f t="shared" si="978"/>
        <v>-4.9448548502293771E-2</v>
      </c>
    </row>
    <row r="410" spans="1:20" x14ac:dyDescent="0.25">
      <c r="A410" s="5">
        <v>44183</v>
      </c>
      <c r="B410">
        <v>3.1141000000000001</v>
      </c>
      <c r="C410">
        <v>3.2008000000000001</v>
      </c>
      <c r="D410">
        <v>3.0815000000000001</v>
      </c>
      <c r="E410">
        <v>3.1377999999999999</v>
      </c>
      <c r="F410">
        <v>161998.69</v>
      </c>
      <c r="G410">
        <v>0.76</v>
      </c>
      <c r="L410" t="s">
        <v>8</v>
      </c>
      <c r="M410" t="s">
        <v>7</v>
      </c>
      <c r="N410" t="s">
        <v>7</v>
      </c>
      <c r="P410">
        <f t="shared" si="974"/>
        <v>-5.6160938809726522E-2</v>
      </c>
      <c r="Q410">
        <f t="shared" si="975"/>
        <v>-9097.9985163458568</v>
      </c>
      <c r="R410">
        <f t="shared" si="976"/>
        <v>-4959238.0660621654</v>
      </c>
      <c r="S410">
        <f t="shared" si="977"/>
        <v>-49.592380660621657</v>
      </c>
      <c r="T410">
        <f t="shared" si="978"/>
        <v>-4.959238066062166E-2</v>
      </c>
    </row>
    <row r="411" spans="1:20" x14ac:dyDescent="0.25">
      <c r="A411" s="5">
        <v>44182</v>
      </c>
      <c r="B411">
        <v>3.1246999999999998</v>
      </c>
      <c r="C411">
        <v>3.2549999999999999</v>
      </c>
      <c r="D411">
        <v>3.0255000000000001</v>
      </c>
      <c r="E411">
        <v>3.1150000000000002</v>
      </c>
      <c r="F411">
        <v>368299.5</v>
      </c>
      <c r="G411">
        <v>-0.31</v>
      </c>
      <c r="L411" t="s">
        <v>8</v>
      </c>
      <c r="M411" t="s">
        <v>7</v>
      </c>
      <c r="N411" t="s">
        <v>7</v>
      </c>
      <c r="P411">
        <f t="shared" si="974"/>
        <v>-0.22004357298474764</v>
      </c>
      <c r="Q411">
        <f t="shared" si="975"/>
        <v>-81041.937908496067</v>
      </c>
      <c r="R411">
        <f t="shared" si="976"/>
        <v>-4950140.06754582</v>
      </c>
      <c r="S411">
        <f t="shared" si="977"/>
        <v>-49.5014006754582</v>
      </c>
      <c r="T411">
        <f t="shared" si="978"/>
        <v>-4.9501400675458197E-2</v>
      </c>
    </row>
    <row r="412" spans="1:20" x14ac:dyDescent="0.25">
      <c r="A412" s="5">
        <v>44181</v>
      </c>
      <c r="B412">
        <v>3.0695999999999999</v>
      </c>
      <c r="C412">
        <v>3.1541999999999999</v>
      </c>
      <c r="D412">
        <v>3.0286</v>
      </c>
      <c r="E412">
        <v>3.1202999999999999</v>
      </c>
      <c r="F412">
        <v>251175.18</v>
      </c>
      <c r="G412">
        <v>1.65</v>
      </c>
      <c r="L412" t="s">
        <v>8</v>
      </c>
      <c r="M412" t="s">
        <v>7</v>
      </c>
      <c r="N412" t="s">
        <v>7</v>
      </c>
      <c r="P412">
        <f t="shared" si="974"/>
        <v>0.46019108280254684</v>
      </c>
      <c r="Q412">
        <f t="shared" si="975"/>
        <v>115588.5780573246</v>
      </c>
      <c r="R412">
        <f t="shared" si="976"/>
        <v>-4869098.1296373243</v>
      </c>
      <c r="S412">
        <f t="shared" si="977"/>
        <v>-48.690981296373245</v>
      </c>
      <c r="T412">
        <f t="shared" si="978"/>
        <v>-4.8690981296373247E-2</v>
      </c>
    </row>
    <row r="413" spans="1:20" x14ac:dyDescent="0.25">
      <c r="A413" s="5">
        <v>44180</v>
      </c>
      <c r="B413">
        <v>2.9674999999999998</v>
      </c>
      <c r="C413">
        <v>3.15</v>
      </c>
      <c r="D413">
        <v>2.9405000000000001</v>
      </c>
      <c r="E413">
        <v>3.0680000000000001</v>
      </c>
      <c r="F413">
        <v>299548.64</v>
      </c>
      <c r="G413">
        <v>3.39</v>
      </c>
      <c r="L413" t="s">
        <v>8</v>
      </c>
      <c r="M413" t="s">
        <v>7</v>
      </c>
      <c r="N413" t="s">
        <v>7</v>
      </c>
      <c r="P413">
        <f t="shared" si="974"/>
        <v>0.21718377088305557</v>
      </c>
      <c r="Q413">
        <f t="shared" si="975"/>
        <v>65057.103198090896</v>
      </c>
      <c r="R413">
        <f t="shared" si="976"/>
        <v>-4984686.7076946488</v>
      </c>
      <c r="S413">
        <f t="shared" si="977"/>
        <v>-49.846867076946488</v>
      </c>
      <c r="T413">
        <f t="shared" si="978"/>
        <v>-4.9846867076946487E-2</v>
      </c>
    </row>
    <row r="414" spans="1:20" x14ac:dyDescent="0.25">
      <c r="A414" s="5">
        <v>44179</v>
      </c>
      <c r="B414">
        <v>3.0038</v>
      </c>
      <c r="C414">
        <v>3.02</v>
      </c>
      <c r="D414">
        <v>2.895</v>
      </c>
      <c r="E414">
        <v>2.9581</v>
      </c>
      <c r="F414">
        <v>111748.44</v>
      </c>
      <c r="G414">
        <v>-1.52</v>
      </c>
      <c r="L414" t="s">
        <v>8</v>
      </c>
      <c r="M414" t="s">
        <v>7</v>
      </c>
      <c r="N414" t="s">
        <v>7</v>
      </c>
      <c r="P414">
        <f t="shared" si="974"/>
        <v>9.5999999999989427E-3</v>
      </c>
      <c r="Q414">
        <f t="shared" si="975"/>
        <v>1072.7850239998818</v>
      </c>
      <c r="R414">
        <f t="shared" si="976"/>
        <v>-5049743.8108927393</v>
      </c>
      <c r="S414">
        <f t="shared" si="977"/>
        <v>-50.49743810892739</v>
      </c>
      <c r="T414">
        <f t="shared" si="978"/>
        <v>-5.0497438108927394E-2</v>
      </c>
    </row>
    <row r="415" spans="1:20" x14ac:dyDescent="0.25">
      <c r="A415" s="5">
        <v>44178</v>
      </c>
      <c r="B415">
        <v>2.9622999999999999</v>
      </c>
      <c r="C415">
        <v>3.0768</v>
      </c>
      <c r="D415">
        <v>2.9622999999999999</v>
      </c>
      <c r="E415">
        <v>3.0038999999999998</v>
      </c>
      <c r="F415">
        <v>101383.11</v>
      </c>
      <c r="G415">
        <v>1.4</v>
      </c>
      <c r="L415" t="s">
        <v>8</v>
      </c>
      <c r="M415" t="s">
        <v>7</v>
      </c>
      <c r="N415" t="s">
        <v>7</v>
      </c>
      <c r="P415">
        <f t="shared" si="974"/>
        <v>-0.27336244541484989</v>
      </c>
      <c r="Q415">
        <f t="shared" si="975"/>
        <v>-27714.334873362721</v>
      </c>
      <c r="R415">
        <f t="shared" si="976"/>
        <v>-5050816.5959167397</v>
      </c>
      <c r="S415">
        <f t="shared" si="977"/>
        <v>-50.5081659591674</v>
      </c>
      <c r="T415">
        <f t="shared" si="978"/>
        <v>-5.0508165959167399E-2</v>
      </c>
    </row>
    <row r="416" spans="1:20" x14ac:dyDescent="0.25">
      <c r="A416" s="5">
        <v>44177</v>
      </c>
      <c r="B416">
        <v>2.9062000000000001</v>
      </c>
      <c r="C416">
        <v>3.0112000000000001</v>
      </c>
      <c r="D416">
        <v>2.9062000000000001</v>
      </c>
      <c r="E416">
        <v>2.9622999999999999</v>
      </c>
      <c r="F416">
        <v>83623.89</v>
      </c>
      <c r="G416">
        <v>1.93</v>
      </c>
      <c r="L416" t="s">
        <v>7</v>
      </c>
      <c r="M416" t="s">
        <v>7</v>
      </c>
      <c r="N416" t="s">
        <v>7</v>
      </c>
      <c r="P416">
        <f t="shared" si="974"/>
        <v>6.8571428571425258E-2</v>
      </c>
      <c r="Q416">
        <f t="shared" si="975"/>
        <v>5734.2095999997227</v>
      </c>
      <c r="R416">
        <f t="shared" si="976"/>
        <v>-5023102.2610433772</v>
      </c>
      <c r="S416">
        <f t="shared" si="977"/>
        <v>-50.231022610433769</v>
      </c>
      <c r="T416">
        <f t="shared" si="978"/>
        <v>-5.0231022610433766E-2</v>
      </c>
    </row>
    <row r="417" spans="1:20" x14ac:dyDescent="0.25">
      <c r="A417" s="5">
        <v>44176</v>
      </c>
      <c r="B417">
        <v>3.0312999999999999</v>
      </c>
      <c r="C417">
        <v>3.0388000000000002</v>
      </c>
      <c r="D417">
        <v>2.82</v>
      </c>
      <c r="E417">
        <v>2.9039000000000001</v>
      </c>
      <c r="F417">
        <v>160022.73000000001</v>
      </c>
      <c r="G417">
        <v>-4.2</v>
      </c>
      <c r="L417" t="s">
        <v>7</v>
      </c>
      <c r="M417" t="s">
        <v>7</v>
      </c>
      <c r="N417" t="s">
        <v>7</v>
      </c>
      <c r="P417">
        <f t="shared" si="974"/>
        <v>-0.2330895795246784</v>
      </c>
      <c r="Q417">
        <f t="shared" si="975"/>
        <v>-37299.63085009114</v>
      </c>
      <c r="R417">
        <f t="shared" si="976"/>
        <v>-5028836.4706433769</v>
      </c>
      <c r="S417">
        <f t="shared" si="977"/>
        <v>-50.288364706433768</v>
      </c>
      <c r="T417">
        <f t="shared" si="978"/>
        <v>-5.0288364706433768E-2</v>
      </c>
    </row>
    <row r="418" spans="1:20" x14ac:dyDescent="0.25">
      <c r="A418" s="5">
        <v>44175</v>
      </c>
      <c r="B418">
        <v>3.0621</v>
      </c>
      <c r="C418">
        <v>3.0960000000000001</v>
      </c>
      <c r="D418">
        <v>2.9502000000000002</v>
      </c>
      <c r="E418">
        <v>3.0278</v>
      </c>
      <c r="F418">
        <v>170232.24</v>
      </c>
      <c r="G418">
        <v>-1.1200000000000001</v>
      </c>
      <c r="L418" t="s">
        <v>7</v>
      </c>
      <c r="M418" t="s">
        <v>7</v>
      </c>
      <c r="N418" t="s">
        <v>7</v>
      </c>
      <c r="P418">
        <f t="shared" si="974"/>
        <v>6.4471879286693123E-2</v>
      </c>
      <c r="Q418">
        <f t="shared" si="975"/>
        <v>10975.192427983371</v>
      </c>
      <c r="R418">
        <f t="shared" si="976"/>
        <v>-4991536.8397932854</v>
      </c>
      <c r="S418">
        <f t="shared" si="977"/>
        <v>-49.915368397932852</v>
      </c>
      <c r="T418">
        <f t="shared" si="978"/>
        <v>-4.9915368397932855E-2</v>
      </c>
    </row>
    <row r="419" spans="1:20" x14ac:dyDescent="0.25">
      <c r="A419" s="5">
        <v>44174</v>
      </c>
      <c r="B419">
        <v>3.0829</v>
      </c>
      <c r="C419">
        <v>3.1789999999999998</v>
      </c>
      <c r="D419">
        <v>3.02</v>
      </c>
      <c r="E419">
        <v>3.0626000000000002</v>
      </c>
      <c r="F419">
        <v>358590.22</v>
      </c>
      <c r="G419">
        <v>-0.66</v>
      </c>
      <c r="L419" t="s">
        <v>7</v>
      </c>
      <c r="M419" t="s">
        <v>7</v>
      </c>
      <c r="N419" t="s">
        <v>7</v>
      </c>
      <c r="P419">
        <f t="shared" si="974"/>
        <v>-0.46415094339622331</v>
      </c>
      <c r="Q419">
        <f t="shared" si="975"/>
        <v>-166439.98890565927</v>
      </c>
      <c r="R419">
        <f t="shared" si="976"/>
        <v>-5002512.0322212689</v>
      </c>
      <c r="S419">
        <f t="shared" si="977"/>
        <v>-50.025120322212686</v>
      </c>
      <c r="T419">
        <f t="shared" si="978"/>
        <v>-5.0025120322212686E-2</v>
      </c>
    </row>
    <row r="420" spans="1:20" x14ac:dyDescent="0.25">
      <c r="A420" s="5">
        <v>44173</v>
      </c>
      <c r="B420">
        <v>3.3898999999999999</v>
      </c>
      <c r="C420">
        <v>3.4367000000000001</v>
      </c>
      <c r="D420">
        <v>3.0672999999999999</v>
      </c>
      <c r="E420">
        <v>3.0832999999999999</v>
      </c>
      <c r="F420">
        <v>205231.83</v>
      </c>
      <c r="G420">
        <v>-9.0399999999999991</v>
      </c>
      <c r="L420" t="s">
        <v>7</v>
      </c>
      <c r="M420" t="s">
        <v>7</v>
      </c>
      <c r="N420" t="s">
        <v>7</v>
      </c>
      <c r="P420">
        <f t="shared" si="974"/>
        <v>-0.91337303735787756</v>
      </c>
      <c r="Q420">
        <f t="shared" si="975"/>
        <v>-187453.21992961556</v>
      </c>
      <c r="R420">
        <f t="shared" si="976"/>
        <v>-4836072.0433156099</v>
      </c>
      <c r="S420">
        <f t="shared" si="977"/>
        <v>-48.360720433156096</v>
      </c>
      <c r="T420">
        <f t="shared" si="978"/>
        <v>-4.8360720433156097E-2</v>
      </c>
    </row>
    <row r="421" spans="1:20" x14ac:dyDescent="0.25">
      <c r="A421" s="5">
        <v>44172</v>
      </c>
      <c r="B421">
        <v>3.4611000000000001</v>
      </c>
      <c r="C421">
        <v>3.4977</v>
      </c>
      <c r="D421">
        <v>3.3003999999999998</v>
      </c>
      <c r="E421">
        <v>3.3898999999999999</v>
      </c>
      <c r="F421">
        <v>268446.28000000003</v>
      </c>
      <c r="G421">
        <v>-2.06</v>
      </c>
      <c r="L421" t="s">
        <v>7</v>
      </c>
      <c r="M421" t="s">
        <v>8</v>
      </c>
      <c r="N421" t="s">
        <v>7</v>
      </c>
      <c r="P421">
        <f t="shared" si="974"/>
        <v>-9.275215408008089E-2</v>
      </c>
      <c r="Q421">
        <f t="shared" si="975"/>
        <v>-24898.97072478454</v>
      </c>
      <c r="R421">
        <f t="shared" si="976"/>
        <v>-4648618.823385994</v>
      </c>
      <c r="S421">
        <f t="shared" si="977"/>
        <v>-46.486188233859941</v>
      </c>
      <c r="T421">
        <f t="shared" si="978"/>
        <v>-4.6486188233859943E-2</v>
      </c>
    </row>
    <row r="422" spans="1:20" x14ac:dyDescent="0.25">
      <c r="A422" s="5">
        <v>44171</v>
      </c>
      <c r="B422">
        <v>3.28</v>
      </c>
      <c r="C422">
        <v>3.65</v>
      </c>
      <c r="D422">
        <v>3.2119</v>
      </c>
      <c r="E422">
        <v>3.4582999999999999</v>
      </c>
      <c r="F422">
        <v>386245.1</v>
      </c>
      <c r="G422">
        <v>5.44</v>
      </c>
      <c r="L422" t="s">
        <v>8</v>
      </c>
      <c r="M422" t="s">
        <v>8</v>
      </c>
      <c r="N422" t="s">
        <v>7</v>
      </c>
      <c r="P422">
        <f t="shared" si="974"/>
        <v>0.12485733850719009</v>
      </c>
      <c r="Q422">
        <f t="shared" si="975"/>
        <v>48225.535197443489</v>
      </c>
      <c r="R422">
        <f t="shared" si="976"/>
        <v>-4623719.8526612092</v>
      </c>
      <c r="S422">
        <f t="shared" si="977"/>
        <v>-46.23719852661209</v>
      </c>
      <c r="T422">
        <f t="shared" si="978"/>
        <v>-4.6237198526612087E-2</v>
      </c>
    </row>
    <row r="423" spans="1:20" x14ac:dyDescent="0.25">
      <c r="A423" s="5">
        <v>44170</v>
      </c>
      <c r="B423">
        <v>3.1890999999999998</v>
      </c>
      <c r="C423">
        <v>3.2850999999999999</v>
      </c>
      <c r="D423">
        <v>3.1536</v>
      </c>
      <c r="E423">
        <v>3.2850999999999999</v>
      </c>
      <c r="F423">
        <v>82502.64</v>
      </c>
      <c r="G423">
        <v>3.01</v>
      </c>
      <c r="L423" t="s">
        <v>7</v>
      </c>
      <c r="M423" t="s">
        <v>8</v>
      </c>
      <c r="N423" t="s">
        <v>7</v>
      </c>
      <c r="P423">
        <f t="shared" si="974"/>
        <v>1</v>
      </c>
      <c r="Q423">
        <f t="shared" si="975"/>
        <v>82502.64</v>
      </c>
      <c r="R423">
        <f t="shared" si="976"/>
        <v>-4671945.3878586525</v>
      </c>
      <c r="S423">
        <f t="shared" si="977"/>
        <v>-46.719453878586528</v>
      </c>
      <c r="T423">
        <f t="shared" si="978"/>
        <v>-4.6719453878586531E-2</v>
      </c>
    </row>
    <row r="424" spans="1:20" x14ac:dyDescent="0.25">
      <c r="A424" s="5">
        <v>44169</v>
      </c>
      <c r="B424">
        <v>3.3734000000000002</v>
      </c>
      <c r="C424">
        <v>3.4462000000000002</v>
      </c>
      <c r="D424">
        <v>3.1518999999999999</v>
      </c>
      <c r="E424">
        <v>3.19</v>
      </c>
      <c r="F424">
        <v>166113.21</v>
      </c>
      <c r="G424">
        <v>-5.44</v>
      </c>
      <c r="L424" t="s">
        <v>7</v>
      </c>
      <c r="M424" t="s">
        <v>8</v>
      </c>
      <c r="N424" t="s">
        <v>7</v>
      </c>
      <c r="P424">
        <f t="shared" si="974"/>
        <v>-0.74108053007135577</v>
      </c>
      <c r="Q424">
        <f t="shared" si="975"/>
        <v>-123103.26571865442</v>
      </c>
      <c r="R424">
        <f t="shared" si="976"/>
        <v>-4754448.0278586522</v>
      </c>
      <c r="S424">
        <f t="shared" si="977"/>
        <v>-47.544480278586519</v>
      </c>
      <c r="T424">
        <f t="shared" si="978"/>
        <v>-4.7544480278586522E-2</v>
      </c>
    </row>
    <row r="425" spans="1:20" x14ac:dyDescent="0.25">
      <c r="A425" s="5">
        <v>44168</v>
      </c>
      <c r="B425">
        <v>3.4296000000000002</v>
      </c>
      <c r="C425">
        <v>3.4813999999999998</v>
      </c>
      <c r="D425">
        <v>3.3256999999999999</v>
      </c>
      <c r="E425">
        <v>3.37</v>
      </c>
      <c r="F425">
        <v>137296.57999999999</v>
      </c>
      <c r="G425">
        <v>-1.74</v>
      </c>
      <c r="L425" t="s">
        <v>7</v>
      </c>
      <c r="M425" t="s">
        <v>8</v>
      </c>
      <c r="N425" t="s">
        <v>7</v>
      </c>
      <c r="P425">
        <f t="shared" si="974"/>
        <v>-0.43095696852921977</v>
      </c>
      <c r="Q425">
        <f t="shared" si="975"/>
        <v>-59168.917906229501</v>
      </c>
      <c r="R425">
        <f t="shared" si="976"/>
        <v>-4631344.7621399974</v>
      </c>
      <c r="S425">
        <f t="shared" si="977"/>
        <v>-46.313447621399973</v>
      </c>
      <c r="T425">
        <f t="shared" si="978"/>
        <v>-4.6313447621399974E-2</v>
      </c>
    </row>
    <row r="426" spans="1:20" x14ac:dyDescent="0.25">
      <c r="A426" s="5">
        <v>44167</v>
      </c>
      <c r="B426">
        <v>3.3111999999999999</v>
      </c>
      <c r="C426">
        <v>3.4994999999999998</v>
      </c>
      <c r="D426">
        <v>3.26</v>
      </c>
      <c r="E426">
        <v>3.4270999999999998</v>
      </c>
      <c r="F426">
        <v>349868.42</v>
      </c>
      <c r="G426">
        <v>3.5</v>
      </c>
      <c r="L426" t="s">
        <v>7</v>
      </c>
      <c r="M426" t="s">
        <v>8</v>
      </c>
      <c r="N426" t="s">
        <v>7</v>
      </c>
      <c r="P426">
        <f t="shared" si="974"/>
        <v>0.39540709812108554</v>
      </c>
      <c r="Q426">
        <f t="shared" si="975"/>
        <v>138340.45667640917</v>
      </c>
      <c r="R426">
        <f t="shared" si="976"/>
        <v>-4572175.8442337681</v>
      </c>
      <c r="S426">
        <f t="shared" si="977"/>
        <v>-45.721758442337681</v>
      </c>
      <c r="T426">
        <f t="shared" si="978"/>
        <v>-4.5721758442337682E-2</v>
      </c>
    </row>
    <row r="427" spans="1:20" x14ac:dyDescent="0.25">
      <c r="A427" s="5">
        <v>44166</v>
      </c>
      <c r="B427">
        <v>3.4270999999999998</v>
      </c>
      <c r="C427">
        <v>3.6587999999999998</v>
      </c>
      <c r="D427">
        <v>3.0962000000000001</v>
      </c>
      <c r="E427">
        <v>3.3130999999999999</v>
      </c>
      <c r="F427">
        <v>667887.62</v>
      </c>
      <c r="G427">
        <v>-3.33</v>
      </c>
      <c r="L427" t="s">
        <v>8</v>
      </c>
      <c r="M427" t="s">
        <v>8</v>
      </c>
      <c r="N427" t="s">
        <v>7</v>
      </c>
      <c r="P427">
        <f t="shared" si="974"/>
        <v>-0.2289370778528263</v>
      </c>
      <c r="Q427">
        <f t="shared" si="975"/>
        <v>-152904.24005687886</v>
      </c>
      <c r="R427">
        <f t="shared" si="976"/>
        <v>-4710516.3009101776</v>
      </c>
      <c r="S427">
        <f t="shared" si="977"/>
        <v>-47.10516300910178</v>
      </c>
      <c r="T427">
        <f t="shared" si="978"/>
        <v>-4.710516300910178E-2</v>
      </c>
    </row>
    <row r="428" spans="1:20" x14ac:dyDescent="0.25">
      <c r="A428" s="5">
        <v>44165</v>
      </c>
      <c r="B428">
        <v>3.2881999999999998</v>
      </c>
      <c r="C428">
        <v>3.4599000000000002</v>
      </c>
      <c r="D428">
        <v>3.2231999999999998</v>
      </c>
      <c r="E428">
        <v>3.4331999999999998</v>
      </c>
      <c r="F428">
        <v>249794.02</v>
      </c>
      <c r="G428">
        <v>4.41</v>
      </c>
      <c r="L428" t="s">
        <v>8</v>
      </c>
      <c r="M428" t="s">
        <v>7</v>
      </c>
      <c r="N428" t="s">
        <v>7</v>
      </c>
      <c r="P428">
        <f t="shared" si="974"/>
        <v>0.77439797211660033</v>
      </c>
      <c r="Q428">
        <f t="shared" si="975"/>
        <v>193439.98253485351</v>
      </c>
      <c r="R428">
        <f t="shared" si="976"/>
        <v>-4557612.0608532988</v>
      </c>
      <c r="S428">
        <f t="shared" si="977"/>
        <v>-45.576120608532989</v>
      </c>
      <c r="T428">
        <f t="shared" si="978"/>
        <v>-4.5576120608532986E-2</v>
      </c>
    </row>
    <row r="429" spans="1:20" x14ac:dyDescent="0.25">
      <c r="A429" s="5">
        <v>44164</v>
      </c>
      <c r="B429">
        <v>3.2614000000000001</v>
      </c>
      <c r="C429">
        <v>3.3222999999999998</v>
      </c>
      <c r="D429">
        <v>3.1545999999999998</v>
      </c>
      <c r="E429">
        <v>3.2839999999999998</v>
      </c>
      <c r="F429">
        <v>100288.34</v>
      </c>
      <c r="G429">
        <v>0.69</v>
      </c>
      <c r="L429" t="s">
        <v>7</v>
      </c>
      <c r="M429" t="s">
        <v>7</v>
      </c>
      <c r="N429" t="s">
        <v>7</v>
      </c>
      <c r="P429">
        <f t="shared" si="974"/>
        <v>0.54323196183661293</v>
      </c>
      <c r="Q429">
        <f t="shared" si="975"/>
        <v>54479.831687537262</v>
      </c>
      <c r="R429">
        <f t="shared" si="976"/>
        <v>-4751052.0433881525</v>
      </c>
      <c r="S429">
        <f t="shared" si="977"/>
        <v>-47.510520433881524</v>
      </c>
      <c r="T429">
        <f t="shared" si="978"/>
        <v>-4.7510520433881522E-2</v>
      </c>
    </row>
    <row r="430" spans="1:20" x14ac:dyDescent="0.25">
      <c r="A430" s="5">
        <v>44163</v>
      </c>
      <c r="B430">
        <v>3.1438000000000001</v>
      </c>
      <c r="C430">
        <v>3.3733</v>
      </c>
      <c r="D430">
        <v>3.117</v>
      </c>
      <c r="E430">
        <v>3.2614999999999998</v>
      </c>
      <c r="F430">
        <v>545366.17000000004</v>
      </c>
      <c r="G430">
        <v>3.74</v>
      </c>
      <c r="L430" t="s">
        <v>7</v>
      </c>
      <c r="M430" t="s">
        <v>7</v>
      </c>
      <c r="N430" t="s">
        <v>7</v>
      </c>
      <c r="P430">
        <f t="shared" si="974"/>
        <v>0.12758486149043985</v>
      </c>
      <c r="Q430">
        <f t="shared" si="975"/>
        <v>69580.46726102168</v>
      </c>
      <c r="R430">
        <f t="shared" si="976"/>
        <v>-4805531.8750756895</v>
      </c>
      <c r="S430">
        <f t="shared" si="977"/>
        <v>-48.055318750756896</v>
      </c>
      <c r="T430">
        <f t="shared" si="978"/>
        <v>-4.8055318750756894E-2</v>
      </c>
    </row>
    <row r="431" spans="1:20" x14ac:dyDescent="0.25">
      <c r="A431" s="5">
        <v>44162</v>
      </c>
      <c r="B431">
        <v>3.2639</v>
      </c>
      <c r="C431">
        <v>3.3662999999999998</v>
      </c>
      <c r="D431">
        <v>3.03</v>
      </c>
      <c r="E431">
        <v>3.1438000000000001</v>
      </c>
      <c r="F431">
        <v>317582.13</v>
      </c>
      <c r="G431">
        <v>-3.68</v>
      </c>
      <c r="L431" t="s">
        <v>8</v>
      </c>
      <c r="M431" t="s">
        <v>7</v>
      </c>
      <c r="N431" t="s">
        <v>7</v>
      </c>
      <c r="P431">
        <f t="shared" si="974"/>
        <v>-0.32322331251858261</v>
      </c>
      <c r="Q431">
        <f t="shared" si="975"/>
        <v>-102649.94805530713</v>
      </c>
      <c r="R431">
        <f t="shared" si="976"/>
        <v>-4875112.3423367115</v>
      </c>
      <c r="S431">
        <f t="shared" si="977"/>
        <v>-48.751123423367112</v>
      </c>
      <c r="T431">
        <f t="shared" si="978"/>
        <v>-4.8751123423367113E-2</v>
      </c>
    </row>
    <row r="432" spans="1:20" x14ac:dyDescent="0.25">
      <c r="A432" s="5">
        <v>44161</v>
      </c>
      <c r="B432">
        <v>3.7</v>
      </c>
      <c r="C432">
        <v>3.7528999999999999</v>
      </c>
      <c r="D432">
        <v>2.9735999999999998</v>
      </c>
      <c r="E432">
        <v>3.2639</v>
      </c>
      <c r="F432">
        <v>692677.42</v>
      </c>
      <c r="G432">
        <v>-11.79</v>
      </c>
      <c r="L432" t="s">
        <v>7</v>
      </c>
      <c r="M432" t="s">
        <v>7</v>
      </c>
      <c r="N432" t="s">
        <v>7</v>
      </c>
      <c r="P432">
        <f t="shared" si="974"/>
        <v>-0.25497241113820046</v>
      </c>
      <c r="Q432">
        <f t="shared" si="975"/>
        <v>-176613.63191838798</v>
      </c>
      <c r="R432">
        <f t="shared" si="976"/>
        <v>-4772462.3942814041</v>
      </c>
      <c r="S432">
        <f t="shared" si="977"/>
        <v>-47.724623942814041</v>
      </c>
      <c r="T432">
        <f t="shared" si="978"/>
        <v>-4.7724623942814043E-2</v>
      </c>
    </row>
    <row r="433" spans="1:20" x14ac:dyDescent="0.25">
      <c r="A433" s="5">
        <v>44160</v>
      </c>
      <c r="B433">
        <v>4.0458999999999996</v>
      </c>
      <c r="C433">
        <v>4.1087999999999996</v>
      </c>
      <c r="D433">
        <v>3.5804999999999998</v>
      </c>
      <c r="E433">
        <v>3.7000999999999999</v>
      </c>
      <c r="F433">
        <v>375383.25</v>
      </c>
      <c r="G433">
        <v>-8.5500000000000007</v>
      </c>
      <c r="L433" t="s">
        <v>7</v>
      </c>
      <c r="M433" t="s">
        <v>7</v>
      </c>
      <c r="N433" t="s">
        <v>8</v>
      </c>
      <c r="P433">
        <f t="shared" si="974"/>
        <v>-0.54722695438197921</v>
      </c>
      <c r="Q433">
        <f t="shared" si="975"/>
        <v>-205419.83262350911</v>
      </c>
      <c r="R433">
        <f t="shared" si="976"/>
        <v>-4595848.7623630157</v>
      </c>
      <c r="S433">
        <f t="shared" si="977"/>
        <v>-45.958487623630155</v>
      </c>
      <c r="T433">
        <f t="shared" si="978"/>
        <v>-4.5958487623630154E-2</v>
      </c>
    </row>
    <row r="434" spans="1:20" x14ac:dyDescent="0.25">
      <c r="A434" s="5">
        <v>44159</v>
      </c>
      <c r="B434">
        <v>4.1582999999999997</v>
      </c>
      <c r="C434">
        <v>4.3128000000000002</v>
      </c>
      <c r="D434">
        <v>3.9323999999999999</v>
      </c>
      <c r="E434">
        <v>4.0347</v>
      </c>
      <c r="F434">
        <v>489281.97</v>
      </c>
      <c r="G434">
        <v>-2.97</v>
      </c>
      <c r="L434" t="s">
        <v>7</v>
      </c>
      <c r="M434" t="s">
        <v>8</v>
      </c>
      <c r="N434" t="s">
        <v>8</v>
      </c>
      <c r="P434">
        <f t="shared" si="974"/>
        <v>-0.46214511041009476</v>
      </c>
      <c r="Q434">
        <f t="shared" si="975"/>
        <v>-226119.27004731866</v>
      </c>
      <c r="R434">
        <f t="shared" si="976"/>
        <v>-4390428.9297395069</v>
      </c>
      <c r="S434">
        <f t="shared" si="977"/>
        <v>-43.904289297395067</v>
      </c>
      <c r="T434">
        <f t="shared" si="978"/>
        <v>-4.3904289297395066E-2</v>
      </c>
    </row>
    <row r="435" spans="1:20" x14ac:dyDescent="0.25">
      <c r="A435" s="5">
        <v>44158</v>
      </c>
      <c r="B435">
        <v>3.9089999999999998</v>
      </c>
      <c r="C435">
        <v>4.58</v>
      </c>
      <c r="D435">
        <v>3.8698999999999999</v>
      </c>
      <c r="E435">
        <v>4.1584000000000003</v>
      </c>
      <c r="F435">
        <v>590777.59</v>
      </c>
      <c r="G435">
        <v>6.38</v>
      </c>
      <c r="L435" t="s">
        <v>8</v>
      </c>
      <c r="M435" t="s">
        <v>8</v>
      </c>
      <c r="N435" t="s">
        <v>8</v>
      </c>
      <c r="P435">
        <f t="shared" si="974"/>
        <v>-0.18743838895930051</v>
      </c>
      <c r="Q435">
        <f t="shared" si="975"/>
        <v>-110734.39970285817</v>
      </c>
      <c r="R435">
        <f t="shared" si="976"/>
        <v>-4164309.6596921883</v>
      </c>
      <c r="S435">
        <f t="shared" si="977"/>
        <v>-41.643096596921886</v>
      </c>
      <c r="T435">
        <f t="shared" si="978"/>
        <v>-4.1643096596921884E-2</v>
      </c>
    </row>
    <row r="436" spans="1:20" x14ac:dyDescent="0.25">
      <c r="A436" s="5">
        <v>44157</v>
      </c>
      <c r="B436">
        <v>3.4878999999999998</v>
      </c>
      <c r="C436">
        <v>4.2855999999999996</v>
      </c>
      <c r="D436">
        <v>3.4866000000000001</v>
      </c>
      <c r="E436">
        <v>3.9089999999999998</v>
      </c>
      <c r="F436">
        <v>1326010.28</v>
      </c>
      <c r="G436">
        <v>12.07</v>
      </c>
      <c r="L436" t="s">
        <v>8</v>
      </c>
      <c r="M436" t="s">
        <v>8</v>
      </c>
      <c r="N436" t="s">
        <v>8</v>
      </c>
      <c r="P436">
        <f t="shared" si="974"/>
        <v>5.7321652065081191E-2</v>
      </c>
      <c r="Q436">
        <f t="shared" si="975"/>
        <v>76009.099904880888</v>
      </c>
      <c r="R436">
        <f t="shared" si="976"/>
        <v>-4053575.2599893301</v>
      </c>
      <c r="S436">
        <f t="shared" si="977"/>
        <v>-40.5357525998933</v>
      </c>
      <c r="T436">
        <f t="shared" si="978"/>
        <v>-4.0535752599893303E-2</v>
      </c>
    </row>
    <row r="437" spans="1:20" x14ac:dyDescent="0.25">
      <c r="A437" s="5">
        <v>44156</v>
      </c>
      <c r="B437">
        <v>3.1334</v>
      </c>
      <c r="C437">
        <v>3.5038</v>
      </c>
      <c r="D437">
        <v>3.1334</v>
      </c>
      <c r="E437">
        <v>3.4866000000000001</v>
      </c>
      <c r="F437">
        <v>372613.68</v>
      </c>
      <c r="G437">
        <v>11.27</v>
      </c>
      <c r="L437" t="s">
        <v>8</v>
      </c>
      <c r="M437" t="s">
        <v>7</v>
      </c>
      <c r="N437" t="s">
        <v>7</v>
      </c>
      <c r="P437">
        <f t="shared" si="974"/>
        <v>0.90712742980561623</v>
      </c>
      <c r="Q437">
        <f t="shared" si="975"/>
        <v>338008.08984881232</v>
      </c>
      <c r="R437">
        <f t="shared" si="976"/>
        <v>-4129584.3598942109</v>
      </c>
      <c r="S437">
        <f t="shared" si="977"/>
        <v>-41.295843598942106</v>
      </c>
      <c r="T437">
        <f t="shared" si="978"/>
        <v>-4.1295843598942103E-2</v>
      </c>
    </row>
    <row r="438" spans="1:20" x14ac:dyDescent="0.25">
      <c r="A438" s="5">
        <v>44155</v>
      </c>
      <c r="B438">
        <v>3.0703999999999998</v>
      </c>
      <c r="C438">
        <v>3.25</v>
      </c>
      <c r="D438">
        <v>3.0703999999999998</v>
      </c>
      <c r="E438">
        <v>3.1301000000000001</v>
      </c>
      <c r="F438">
        <v>171206.23</v>
      </c>
      <c r="G438">
        <v>1.94</v>
      </c>
      <c r="L438" t="s">
        <v>8</v>
      </c>
      <c r="M438" t="s">
        <v>7</v>
      </c>
      <c r="N438" t="s">
        <v>7</v>
      </c>
      <c r="P438">
        <f t="shared" si="974"/>
        <v>-0.33518930957683474</v>
      </c>
      <c r="Q438">
        <f t="shared" si="975"/>
        <v>-57386.498028952774</v>
      </c>
      <c r="R438">
        <f t="shared" si="976"/>
        <v>-4467592.4497430231</v>
      </c>
      <c r="S438">
        <f t="shared" si="977"/>
        <v>-44.675924497430231</v>
      </c>
      <c r="T438">
        <f t="shared" si="978"/>
        <v>-4.4675924497430228E-2</v>
      </c>
    </row>
    <row r="439" spans="1:20" x14ac:dyDescent="0.25">
      <c r="A439" s="5">
        <v>44154</v>
      </c>
      <c r="B439">
        <v>3.1800999999999999</v>
      </c>
      <c r="C439">
        <v>3.1879</v>
      </c>
      <c r="D439">
        <v>3.0019999999999998</v>
      </c>
      <c r="E439">
        <v>3.0689000000000002</v>
      </c>
      <c r="F439">
        <v>184343.26</v>
      </c>
      <c r="G439">
        <v>-3.5</v>
      </c>
      <c r="L439" t="s">
        <v>7</v>
      </c>
      <c r="M439" t="s">
        <v>7</v>
      </c>
      <c r="N439" t="s">
        <v>7</v>
      </c>
      <c r="P439">
        <f t="shared" si="974"/>
        <v>-0.28025820333512275</v>
      </c>
      <c r="Q439">
        <f t="shared" si="975"/>
        <v>-51663.710844539404</v>
      </c>
      <c r="R439">
        <f t="shared" si="976"/>
        <v>-4410205.9517140705</v>
      </c>
      <c r="S439">
        <f t="shared" si="977"/>
        <v>-44.102059517140702</v>
      </c>
      <c r="T439">
        <f t="shared" si="978"/>
        <v>-4.4102059517140704E-2</v>
      </c>
    </row>
    <row r="440" spans="1:20" x14ac:dyDescent="0.25">
      <c r="A440" s="5">
        <v>44153</v>
      </c>
      <c r="B440">
        <v>3.33</v>
      </c>
      <c r="C440">
        <v>3.6</v>
      </c>
      <c r="D440">
        <v>2.9912999999999998</v>
      </c>
      <c r="E440">
        <v>3.1859000000000002</v>
      </c>
      <c r="F440">
        <v>650004.97</v>
      </c>
      <c r="G440">
        <v>-4.33</v>
      </c>
      <c r="L440" t="s">
        <v>7</v>
      </c>
      <c r="M440" t="s">
        <v>7</v>
      </c>
      <c r="N440" t="s">
        <v>7</v>
      </c>
      <c r="P440">
        <f t="shared" si="974"/>
        <v>-0.36060456711023409</v>
      </c>
      <c r="Q440">
        <f t="shared" si="975"/>
        <v>-234394.76082635068</v>
      </c>
      <c r="R440">
        <f t="shared" si="976"/>
        <v>-4358542.2408695314</v>
      </c>
      <c r="S440">
        <f t="shared" si="977"/>
        <v>-43.585422408695315</v>
      </c>
      <c r="T440">
        <f t="shared" si="978"/>
        <v>-4.3585422408695312E-2</v>
      </c>
    </row>
    <row r="441" spans="1:20" x14ac:dyDescent="0.25">
      <c r="A441" s="5">
        <v>44152</v>
      </c>
      <c r="B441">
        <v>3.2763</v>
      </c>
      <c r="C441">
        <v>3.4001999999999999</v>
      </c>
      <c r="D441">
        <v>3.1501000000000001</v>
      </c>
      <c r="E441">
        <v>3.3315000000000001</v>
      </c>
      <c r="F441">
        <v>341418.8</v>
      </c>
      <c r="G441">
        <v>1.68</v>
      </c>
      <c r="L441" t="s">
        <v>7</v>
      </c>
      <c r="M441" t="s">
        <v>8</v>
      </c>
      <c r="N441" t="s">
        <v>7</v>
      </c>
      <c r="P441">
        <f t="shared" si="974"/>
        <v>0.45061975209916172</v>
      </c>
      <c r="Q441">
        <f t="shared" si="975"/>
        <v>153850.05501799326</v>
      </c>
      <c r="R441">
        <f t="shared" si="976"/>
        <v>-4124147.4800431808</v>
      </c>
      <c r="S441">
        <f t="shared" si="977"/>
        <v>-41.24147480043181</v>
      </c>
      <c r="T441">
        <f t="shared" si="978"/>
        <v>-4.1241474800431811E-2</v>
      </c>
    </row>
    <row r="442" spans="1:20" x14ac:dyDescent="0.25">
      <c r="A442" s="5">
        <v>44151</v>
      </c>
      <c r="B442">
        <v>3.2241</v>
      </c>
      <c r="C442">
        <v>3.32</v>
      </c>
      <c r="D442">
        <v>3.1880000000000002</v>
      </c>
      <c r="E442">
        <v>3.2763</v>
      </c>
      <c r="F442">
        <v>144434.35999999999</v>
      </c>
      <c r="G442">
        <v>1.62</v>
      </c>
      <c r="L442" t="s">
        <v>7</v>
      </c>
      <c r="M442" t="s">
        <v>8</v>
      </c>
      <c r="N442" t="s">
        <v>7</v>
      </c>
      <c r="P442">
        <f t="shared" si="974"/>
        <v>0.3378787878787885</v>
      </c>
      <c r="Q442">
        <f t="shared" si="975"/>
        <v>48801.306484848566</v>
      </c>
      <c r="R442">
        <f t="shared" si="976"/>
        <v>-4277997.5350611741</v>
      </c>
      <c r="S442">
        <f t="shared" si="977"/>
        <v>-42.779975350611743</v>
      </c>
      <c r="T442">
        <f t="shared" si="978"/>
        <v>-4.2779975350611746E-2</v>
      </c>
    </row>
    <row r="443" spans="1:20" x14ac:dyDescent="0.25">
      <c r="A443" s="5">
        <v>44150</v>
      </c>
      <c r="B443">
        <v>3.3060999999999998</v>
      </c>
      <c r="C443">
        <v>3.3784000000000001</v>
      </c>
      <c r="D443">
        <v>3.1655000000000002</v>
      </c>
      <c r="E443">
        <v>3.2341000000000002</v>
      </c>
      <c r="F443">
        <v>128881.83</v>
      </c>
      <c r="G443">
        <v>-2.1800000000000002</v>
      </c>
      <c r="L443" t="s">
        <v>7</v>
      </c>
      <c r="M443" t="s">
        <v>8</v>
      </c>
      <c r="N443" t="s">
        <v>7</v>
      </c>
      <c r="P443">
        <f t="shared" si="974"/>
        <v>-0.35556599342414247</v>
      </c>
      <c r="Q443">
        <f t="shared" si="975"/>
        <v>-45825.995918271445</v>
      </c>
      <c r="R443">
        <f t="shared" si="976"/>
        <v>-4326798.8415460223</v>
      </c>
      <c r="S443">
        <f t="shared" si="977"/>
        <v>-43.267988415460223</v>
      </c>
      <c r="T443">
        <f t="shared" si="978"/>
        <v>-4.3267988415460222E-2</v>
      </c>
    </row>
    <row r="444" spans="1:20" x14ac:dyDescent="0.25">
      <c r="A444" s="5">
        <v>44149</v>
      </c>
      <c r="B444">
        <v>3.4937999999999998</v>
      </c>
      <c r="C444">
        <v>3.4939</v>
      </c>
      <c r="D444">
        <v>3.2159</v>
      </c>
      <c r="E444">
        <v>3.3060999999999998</v>
      </c>
      <c r="F444">
        <v>105829.04</v>
      </c>
      <c r="G444">
        <v>-5.37</v>
      </c>
      <c r="L444" t="s">
        <v>7</v>
      </c>
      <c r="M444" t="s">
        <v>8</v>
      </c>
      <c r="N444" t="s">
        <v>7</v>
      </c>
      <c r="P444">
        <f t="shared" si="974"/>
        <v>-0.35107913669064872</v>
      </c>
      <c r="Q444">
        <f t="shared" si="975"/>
        <v>-37154.368000000126</v>
      </c>
      <c r="R444">
        <f t="shared" si="976"/>
        <v>-4280972.8456277512</v>
      </c>
      <c r="S444">
        <f t="shared" si="977"/>
        <v>-42.809728456277512</v>
      </c>
      <c r="T444">
        <f t="shared" si="978"/>
        <v>-4.2809728456277514E-2</v>
      </c>
    </row>
    <row r="445" spans="1:20" x14ac:dyDescent="0.25">
      <c r="A445" s="5">
        <v>44148</v>
      </c>
      <c r="B445">
        <v>3.2126999999999999</v>
      </c>
      <c r="C445">
        <v>3.6168999999999998</v>
      </c>
      <c r="D445">
        <v>3.1970000000000001</v>
      </c>
      <c r="E445">
        <v>3.5</v>
      </c>
      <c r="F445">
        <v>248874.49</v>
      </c>
      <c r="G445">
        <v>8.94</v>
      </c>
      <c r="L445" t="s">
        <v>8</v>
      </c>
      <c r="M445" t="s">
        <v>8</v>
      </c>
      <c r="N445" t="s">
        <v>7</v>
      </c>
      <c r="P445">
        <f t="shared" si="974"/>
        <v>0.44320076208621167</v>
      </c>
      <c r="Q445">
        <f t="shared" si="975"/>
        <v>110301.36363181726</v>
      </c>
      <c r="R445">
        <f t="shared" si="976"/>
        <v>-4243818.4776277514</v>
      </c>
      <c r="S445">
        <f t="shared" si="977"/>
        <v>-42.438184776277517</v>
      </c>
      <c r="T445">
        <f t="shared" si="978"/>
        <v>-4.2438184776277518E-2</v>
      </c>
    </row>
    <row r="446" spans="1:20" x14ac:dyDescent="0.25">
      <c r="A446" s="5">
        <v>44147</v>
      </c>
      <c r="B446">
        <v>3.5566</v>
      </c>
      <c r="C446">
        <v>3.5630000000000002</v>
      </c>
      <c r="D446">
        <v>3.1999</v>
      </c>
      <c r="E446">
        <v>3.2</v>
      </c>
      <c r="F446">
        <v>350242.41</v>
      </c>
      <c r="G446">
        <v>-10.029999999999999</v>
      </c>
      <c r="L446" t="s">
        <v>7</v>
      </c>
      <c r="M446" t="s">
        <v>8</v>
      </c>
      <c r="N446" t="s">
        <v>7</v>
      </c>
      <c r="P446">
        <f t="shared" si="974"/>
        <v>-0.99944918755163747</v>
      </c>
      <c r="Q446">
        <f t="shared" si="975"/>
        <v>-350049.49212062749</v>
      </c>
      <c r="R446">
        <f t="shared" si="976"/>
        <v>-4354119.8412595689</v>
      </c>
      <c r="S446">
        <f t="shared" si="977"/>
        <v>-43.541198412595691</v>
      </c>
      <c r="T446">
        <f t="shared" si="978"/>
        <v>-4.354119841259569E-2</v>
      </c>
    </row>
    <row r="447" spans="1:20" x14ac:dyDescent="0.25">
      <c r="A447" s="5">
        <v>44146</v>
      </c>
      <c r="B447">
        <v>3.2464</v>
      </c>
      <c r="C447">
        <v>3.62</v>
      </c>
      <c r="D447">
        <v>3.2406000000000001</v>
      </c>
      <c r="E447">
        <v>3.5594000000000001</v>
      </c>
      <c r="F447">
        <v>232995.22</v>
      </c>
      <c r="G447">
        <v>9.64</v>
      </c>
      <c r="L447" t="s">
        <v>8</v>
      </c>
      <c r="M447" t="s">
        <v>8</v>
      </c>
      <c r="N447" t="s">
        <v>7</v>
      </c>
      <c r="P447">
        <f t="shared" si="974"/>
        <v>0.68054823405376919</v>
      </c>
      <c r="Q447">
        <f t="shared" si="975"/>
        <v>158564.48551396944</v>
      </c>
      <c r="R447">
        <f t="shared" si="976"/>
        <v>-4004070.3491389412</v>
      </c>
      <c r="S447">
        <f t="shared" si="977"/>
        <v>-40.040703491389408</v>
      </c>
      <c r="T447">
        <f t="shared" si="978"/>
        <v>-4.0040703491389405E-2</v>
      </c>
    </row>
    <row r="448" spans="1:20" x14ac:dyDescent="0.25">
      <c r="A448" s="5">
        <v>44145</v>
      </c>
      <c r="B448">
        <v>3.0933000000000002</v>
      </c>
      <c r="C448">
        <v>3.49</v>
      </c>
      <c r="D448">
        <v>3.0710000000000002</v>
      </c>
      <c r="E448">
        <v>3.2406000000000001</v>
      </c>
      <c r="F448">
        <v>322918.67</v>
      </c>
      <c r="G448">
        <v>4.76</v>
      </c>
      <c r="L448" t="s">
        <v>8</v>
      </c>
      <c r="M448" t="s">
        <v>8</v>
      </c>
      <c r="N448" t="s">
        <v>7</v>
      </c>
      <c r="P448">
        <f t="shared" si="974"/>
        <v>-0.19045346062052526</v>
      </c>
      <c r="Q448">
        <f t="shared" si="975"/>
        <v>-61500.978200477388</v>
      </c>
      <c r="R448">
        <f t="shared" si="976"/>
        <v>-4162634.8346529105</v>
      </c>
      <c r="S448">
        <f t="shared" si="977"/>
        <v>-41.626348346529106</v>
      </c>
      <c r="T448">
        <f t="shared" si="978"/>
        <v>-4.1626348346529105E-2</v>
      </c>
    </row>
    <row r="449" spans="1:20" x14ac:dyDescent="0.25">
      <c r="A449" s="5">
        <v>44144</v>
      </c>
      <c r="B449">
        <v>3.1086999999999998</v>
      </c>
      <c r="C449">
        <v>3.1360999999999999</v>
      </c>
      <c r="D449">
        <v>2.9927000000000001</v>
      </c>
      <c r="E449">
        <v>3.0973999999999999</v>
      </c>
      <c r="F449">
        <v>108578.68</v>
      </c>
      <c r="G449">
        <v>-0.36</v>
      </c>
      <c r="L449" t="s">
        <v>8</v>
      </c>
      <c r="M449" t="s">
        <v>8</v>
      </c>
      <c r="N449" t="s">
        <v>7</v>
      </c>
      <c r="P449">
        <f t="shared" si="974"/>
        <v>0.46025104602510425</v>
      </c>
      <c r="Q449">
        <f t="shared" si="975"/>
        <v>49973.45104602506</v>
      </c>
      <c r="R449">
        <f t="shared" si="976"/>
        <v>-4101133.8564524329</v>
      </c>
      <c r="S449">
        <f t="shared" si="977"/>
        <v>-41.01133856452433</v>
      </c>
      <c r="T449">
        <f t="shared" si="978"/>
        <v>-4.1011338564524331E-2</v>
      </c>
    </row>
    <row r="450" spans="1:20" x14ac:dyDescent="0.25">
      <c r="A450" s="5">
        <v>44143</v>
      </c>
      <c r="B450">
        <v>2.8936000000000002</v>
      </c>
      <c r="C450">
        <v>3.1318000000000001</v>
      </c>
      <c r="D450">
        <v>2.8563000000000001</v>
      </c>
      <c r="E450">
        <v>3.1086</v>
      </c>
      <c r="F450">
        <v>117106.01</v>
      </c>
      <c r="G450">
        <v>7.43</v>
      </c>
      <c r="L450" t="s">
        <v>7</v>
      </c>
      <c r="M450" t="s">
        <v>8</v>
      </c>
      <c r="N450" t="s">
        <v>7</v>
      </c>
      <c r="P450">
        <f t="shared" si="974"/>
        <v>0.83157894736842031</v>
      </c>
      <c r="Q450">
        <f t="shared" si="975"/>
        <v>97382.8925263157</v>
      </c>
      <c r="R450">
        <f t="shared" si="976"/>
        <v>-4151107.3074984578</v>
      </c>
      <c r="S450">
        <f t="shared" si="977"/>
        <v>-41.51107307498458</v>
      </c>
      <c r="T450">
        <f t="shared" si="978"/>
        <v>-4.1511073074984577E-2</v>
      </c>
    </row>
    <row r="451" spans="1:20" x14ac:dyDescent="0.25">
      <c r="A451" s="5">
        <v>44142</v>
      </c>
      <c r="B451">
        <v>3.0470000000000002</v>
      </c>
      <c r="C451">
        <v>3.33</v>
      </c>
      <c r="D451">
        <v>2.81</v>
      </c>
      <c r="E451">
        <v>2.9007000000000001</v>
      </c>
      <c r="F451">
        <v>425244.14</v>
      </c>
      <c r="G451">
        <v>-4.8</v>
      </c>
      <c r="L451" t="s">
        <v>8</v>
      </c>
      <c r="M451" t="s">
        <v>8</v>
      </c>
      <c r="N451" t="s">
        <v>7</v>
      </c>
      <c r="P451">
        <f t="shared" si="974"/>
        <v>-0.65115384615384619</v>
      </c>
      <c r="Q451">
        <f t="shared" si="975"/>
        <v>-276899.35731538467</v>
      </c>
      <c r="R451">
        <f t="shared" si="976"/>
        <v>-4248490.2000247734</v>
      </c>
      <c r="S451">
        <f t="shared" si="977"/>
        <v>-42.484902000247736</v>
      </c>
      <c r="T451">
        <f t="shared" si="978"/>
        <v>-4.2484902000247737E-2</v>
      </c>
    </row>
    <row r="452" spans="1:20" x14ac:dyDescent="0.25">
      <c r="A452" s="5">
        <v>44141</v>
      </c>
      <c r="B452">
        <v>2.8805000000000001</v>
      </c>
      <c r="C452">
        <v>3.169</v>
      </c>
      <c r="D452">
        <v>2.8687999999999998</v>
      </c>
      <c r="E452">
        <v>3.05</v>
      </c>
      <c r="F452">
        <v>338450.15</v>
      </c>
      <c r="G452">
        <v>5.88</v>
      </c>
      <c r="L452" t="s">
        <v>8</v>
      </c>
      <c r="M452" t="s">
        <v>7</v>
      </c>
      <c r="N452" t="s">
        <v>7</v>
      </c>
      <c r="P452">
        <f t="shared" si="974"/>
        <v>0.2071952031978673</v>
      </c>
      <c r="Q452">
        <f t="shared" si="975"/>
        <v>70125.247601598676</v>
      </c>
      <c r="R452">
        <f t="shared" si="976"/>
        <v>-3971590.842709389</v>
      </c>
      <c r="S452">
        <f t="shared" si="977"/>
        <v>-39.715908427093893</v>
      </c>
      <c r="T452">
        <f t="shared" si="978"/>
        <v>-3.9715908427093896E-2</v>
      </c>
    </row>
    <row r="453" spans="1:20" x14ac:dyDescent="0.25">
      <c r="A453" s="5">
        <v>44140</v>
      </c>
      <c r="B453">
        <v>2.7774999999999999</v>
      </c>
      <c r="C453">
        <v>2.9066999999999998</v>
      </c>
      <c r="D453">
        <v>2.7004000000000001</v>
      </c>
      <c r="E453">
        <v>2.8679000000000001</v>
      </c>
      <c r="F453">
        <v>163776.15</v>
      </c>
      <c r="G453">
        <v>3.25</v>
      </c>
      <c r="L453" t="s">
        <v>8</v>
      </c>
      <c r="M453" t="s">
        <v>7</v>
      </c>
      <c r="N453" t="s">
        <v>7</v>
      </c>
      <c r="P453">
        <f t="shared" si="974"/>
        <v>0.62384876393601763</v>
      </c>
      <c r="Q453">
        <f t="shared" si="975"/>
        <v>102171.54873969981</v>
      </c>
      <c r="R453">
        <f t="shared" si="976"/>
        <v>-4041716.0903109876</v>
      </c>
      <c r="S453">
        <f t="shared" si="977"/>
        <v>-40.417160903109874</v>
      </c>
      <c r="T453">
        <f t="shared" si="978"/>
        <v>-4.0417160903109872E-2</v>
      </c>
    </row>
    <row r="454" spans="1:20" x14ac:dyDescent="0.25">
      <c r="A454" s="5">
        <v>44139</v>
      </c>
      <c r="B454">
        <v>2.8681999999999999</v>
      </c>
      <c r="C454">
        <v>2.8782000000000001</v>
      </c>
      <c r="D454">
        <v>2.6638999999999999</v>
      </c>
      <c r="E454">
        <v>2.7774999999999999</v>
      </c>
      <c r="F454">
        <v>155606.48000000001</v>
      </c>
      <c r="G454">
        <v>-3.16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6.0195986934202896E-2</v>
      </c>
      <c r="Q454">
        <f t="shared" ref="Q454:Q517" si="980">F454*P454</f>
        <v>9366.8856369573041</v>
      </c>
      <c r="R454">
        <f t="shared" ref="R454:R517" si="981">R455+Q454</f>
        <v>-4143887.6390506872</v>
      </c>
      <c r="S454">
        <f t="shared" ref="S454:S517" si="982">R454/100000</f>
        <v>-41.43887639050687</v>
      </c>
      <c r="T454">
        <f t="shared" ref="T454:T517" si="983">S454/1000</f>
        <v>-4.1438876390506869E-2</v>
      </c>
    </row>
    <row r="455" spans="1:20" x14ac:dyDescent="0.25">
      <c r="A455" s="5">
        <v>44138</v>
      </c>
      <c r="B455">
        <v>3.0085999999999999</v>
      </c>
      <c r="C455">
        <v>3.0194999999999999</v>
      </c>
      <c r="D455">
        <v>2.7780999999999998</v>
      </c>
      <c r="E455">
        <v>2.855</v>
      </c>
      <c r="F455">
        <v>148153.29</v>
      </c>
      <c r="G455">
        <v>-5.1100000000000003</v>
      </c>
      <c r="L455" t="s">
        <v>7</v>
      </c>
      <c r="M455" t="s">
        <v>7</v>
      </c>
      <c r="N455" t="s">
        <v>7</v>
      </c>
      <c r="P455">
        <f t="shared" si="979"/>
        <v>-0.36288318144158932</v>
      </c>
      <c r="Q455">
        <f t="shared" si="980"/>
        <v>-53762.337216238404</v>
      </c>
      <c r="R455">
        <f t="shared" si="981"/>
        <v>-4153254.5246876446</v>
      </c>
      <c r="S455">
        <f t="shared" si="982"/>
        <v>-41.532545246876445</v>
      </c>
      <c r="T455">
        <f t="shared" si="983"/>
        <v>-4.1532545246876447E-2</v>
      </c>
    </row>
    <row r="456" spans="1:20" x14ac:dyDescent="0.25">
      <c r="A456" s="5">
        <v>44137</v>
      </c>
      <c r="B456">
        <v>3.0674000000000001</v>
      </c>
      <c r="C456">
        <v>3.1309</v>
      </c>
      <c r="D456">
        <v>2.8921999999999999</v>
      </c>
      <c r="E456">
        <v>2.9996</v>
      </c>
      <c r="F456">
        <v>77745.039999999994</v>
      </c>
      <c r="G456">
        <v>-2.21</v>
      </c>
      <c r="L456" t="s">
        <v>7</v>
      </c>
      <c r="M456" t="s">
        <v>7</v>
      </c>
      <c r="N456" t="s">
        <v>7</v>
      </c>
      <c r="P456">
        <f t="shared" si="979"/>
        <v>-0.1001256807708412</v>
      </c>
      <c r="Q456">
        <f t="shared" si="980"/>
        <v>-7784.2750565562801</v>
      </c>
      <c r="R456">
        <f t="shared" si="981"/>
        <v>-4099492.1874714061</v>
      </c>
      <c r="S456">
        <f t="shared" si="982"/>
        <v>-40.994921874714059</v>
      </c>
      <c r="T456">
        <f t="shared" si="983"/>
        <v>-4.0994921874714062E-2</v>
      </c>
    </row>
    <row r="457" spans="1:20" x14ac:dyDescent="0.25">
      <c r="A457" s="5">
        <v>44136</v>
      </c>
      <c r="B457">
        <v>3.0912999999999999</v>
      </c>
      <c r="C457">
        <v>3.165</v>
      </c>
      <c r="D457">
        <v>3.0365000000000002</v>
      </c>
      <c r="E457">
        <v>3.0613000000000001</v>
      </c>
      <c r="F457">
        <v>54804.28</v>
      </c>
      <c r="G457">
        <v>-0.97</v>
      </c>
      <c r="L457" t="s">
        <v>8</v>
      </c>
      <c r="M457" t="s">
        <v>7</v>
      </c>
      <c r="N457" t="s">
        <v>7</v>
      </c>
      <c r="P457">
        <f t="shared" si="979"/>
        <v>-0.61400778210116791</v>
      </c>
      <c r="Q457">
        <f t="shared" si="980"/>
        <v>-33650.254412451395</v>
      </c>
      <c r="R457">
        <f t="shared" si="981"/>
        <v>-4091707.9124148497</v>
      </c>
      <c r="S457">
        <f t="shared" si="982"/>
        <v>-40.917079124148501</v>
      </c>
      <c r="T457">
        <f t="shared" si="983"/>
        <v>-4.0917079124148499E-2</v>
      </c>
    </row>
    <row r="458" spans="1:20" x14ac:dyDescent="0.25">
      <c r="A458" s="5">
        <v>44135</v>
      </c>
      <c r="B458">
        <v>3.0714000000000001</v>
      </c>
      <c r="C458">
        <v>3.1739999999999999</v>
      </c>
      <c r="D458">
        <v>2.9948000000000001</v>
      </c>
      <c r="E458">
        <v>3.0901000000000001</v>
      </c>
      <c r="F458">
        <v>238077.53</v>
      </c>
      <c r="G458">
        <v>0.61</v>
      </c>
      <c r="L458" t="s">
        <v>8</v>
      </c>
      <c r="M458" t="s">
        <v>7</v>
      </c>
      <c r="N458" t="s">
        <v>7</v>
      </c>
      <c r="P458">
        <f t="shared" si="979"/>
        <v>6.3616071428571924E-2</v>
      </c>
      <c r="Q458">
        <f t="shared" si="980"/>
        <v>15145.557154017975</v>
      </c>
      <c r="R458">
        <f t="shared" si="981"/>
        <v>-4058057.6580023984</v>
      </c>
      <c r="S458">
        <f t="shared" si="982"/>
        <v>-40.580576580023987</v>
      </c>
      <c r="T458">
        <f t="shared" si="983"/>
        <v>-4.0580576580023987E-2</v>
      </c>
    </row>
    <row r="459" spans="1:20" x14ac:dyDescent="0.25">
      <c r="A459" s="5">
        <v>44134</v>
      </c>
      <c r="B459">
        <v>3.0265</v>
      </c>
      <c r="C459">
        <v>3.0996999999999999</v>
      </c>
      <c r="D459">
        <v>2.9</v>
      </c>
      <c r="E459">
        <v>3.0861999999999998</v>
      </c>
      <c r="F459">
        <v>194750.83</v>
      </c>
      <c r="G459">
        <v>1.97</v>
      </c>
      <c r="L459" t="s">
        <v>7</v>
      </c>
      <c r="M459" t="s">
        <v>7</v>
      </c>
      <c r="N459" t="s">
        <v>7</v>
      </c>
      <c r="P459">
        <f t="shared" si="979"/>
        <v>0.86479719579368985</v>
      </c>
      <c r="Q459">
        <f t="shared" si="980"/>
        <v>168419.9716624936</v>
      </c>
      <c r="R459">
        <f t="shared" si="981"/>
        <v>-4073203.2151564164</v>
      </c>
      <c r="S459">
        <f t="shared" si="982"/>
        <v>-40.732032151564162</v>
      </c>
      <c r="T459">
        <f t="shared" si="983"/>
        <v>-4.0732032151564165E-2</v>
      </c>
    </row>
    <row r="460" spans="1:20" x14ac:dyDescent="0.25">
      <c r="A460" s="5">
        <v>44133</v>
      </c>
      <c r="B460">
        <v>3.0855000000000001</v>
      </c>
      <c r="C460">
        <v>3.3056000000000001</v>
      </c>
      <c r="D460">
        <v>2.9943</v>
      </c>
      <c r="E460">
        <v>3.0282</v>
      </c>
      <c r="F460">
        <v>180231.24</v>
      </c>
      <c r="G460">
        <v>-1.86</v>
      </c>
      <c r="L460" t="s">
        <v>7</v>
      </c>
      <c r="M460" t="s">
        <v>7</v>
      </c>
      <c r="N460" t="s">
        <v>7</v>
      </c>
      <c r="P460">
        <f t="shared" si="979"/>
        <v>-0.78220366206231917</v>
      </c>
      <c r="Q460">
        <f t="shared" si="980"/>
        <v>-140977.53594603273</v>
      </c>
      <c r="R460">
        <f t="shared" si="981"/>
        <v>-4241623.1868189098</v>
      </c>
      <c r="S460">
        <f t="shared" si="982"/>
        <v>-42.416231868189101</v>
      </c>
      <c r="T460">
        <f t="shared" si="983"/>
        <v>-4.2416231868189103E-2</v>
      </c>
    </row>
    <row r="461" spans="1:20" x14ac:dyDescent="0.25">
      <c r="A461" s="5">
        <v>44132</v>
      </c>
      <c r="B461">
        <v>3.3159999999999998</v>
      </c>
      <c r="C461">
        <v>3.7959999999999998</v>
      </c>
      <c r="D461">
        <v>3.0448</v>
      </c>
      <c r="E461">
        <v>3.1027</v>
      </c>
      <c r="F461">
        <v>325799.89</v>
      </c>
      <c r="G461">
        <v>-6.43</v>
      </c>
      <c r="L461" t="s">
        <v>8</v>
      </c>
      <c r="M461" t="s">
        <v>8</v>
      </c>
      <c r="N461" t="s">
        <v>7</v>
      </c>
      <c r="P461">
        <f t="shared" si="979"/>
        <v>-0.84584664536741194</v>
      </c>
      <c r="Q461">
        <f t="shared" si="980"/>
        <v>-275576.74401757185</v>
      </c>
      <c r="R461">
        <f t="shared" si="981"/>
        <v>-4100645.6508728773</v>
      </c>
      <c r="S461">
        <f t="shared" si="982"/>
        <v>-41.006456508728775</v>
      </c>
      <c r="T461">
        <f t="shared" si="983"/>
        <v>-4.1006456508728778E-2</v>
      </c>
    </row>
    <row r="462" spans="1:20" x14ac:dyDescent="0.25">
      <c r="A462" s="5">
        <v>44131</v>
      </c>
      <c r="B462">
        <v>3.0165999999999999</v>
      </c>
      <c r="C462">
        <v>3.6198000000000001</v>
      </c>
      <c r="D462">
        <v>3.0135999999999998</v>
      </c>
      <c r="E462">
        <v>3.3157999999999999</v>
      </c>
      <c r="F462">
        <v>384179.18</v>
      </c>
      <c r="G462">
        <v>9.92</v>
      </c>
      <c r="L462" t="s">
        <v>8</v>
      </c>
      <c r="M462" t="s">
        <v>8</v>
      </c>
      <c r="N462" t="s">
        <v>7</v>
      </c>
      <c r="P462">
        <f t="shared" si="979"/>
        <v>-2.9693170570772765E-3</v>
      </c>
      <c r="Q462">
        <f t="shared" si="980"/>
        <v>-1140.7497921479612</v>
      </c>
      <c r="R462">
        <f t="shared" si="981"/>
        <v>-3825068.9068553057</v>
      </c>
      <c r="S462">
        <f t="shared" si="982"/>
        <v>-38.250689068553058</v>
      </c>
      <c r="T462">
        <f t="shared" si="983"/>
        <v>-3.8250689068553057E-2</v>
      </c>
    </row>
    <row r="463" spans="1:20" x14ac:dyDescent="0.25">
      <c r="A463" s="5">
        <v>44130</v>
      </c>
      <c r="B463">
        <v>3.1532</v>
      </c>
      <c r="C463">
        <v>3.2067000000000001</v>
      </c>
      <c r="D463">
        <v>2.9781</v>
      </c>
      <c r="E463">
        <v>3.0165999999999999</v>
      </c>
      <c r="F463">
        <v>79293.399999999994</v>
      </c>
      <c r="G463">
        <v>-4.33</v>
      </c>
      <c r="L463" t="s">
        <v>7</v>
      </c>
      <c r="M463" t="s">
        <v>8</v>
      </c>
      <c r="N463" t="s">
        <v>7</v>
      </c>
      <c r="P463">
        <f t="shared" si="979"/>
        <v>-0.66316710411198643</v>
      </c>
      <c r="Q463">
        <f t="shared" si="980"/>
        <v>-52584.774453193379</v>
      </c>
      <c r="R463">
        <f t="shared" si="981"/>
        <v>-3823928.1570631578</v>
      </c>
      <c r="S463">
        <f t="shared" si="982"/>
        <v>-38.239281570631576</v>
      </c>
      <c r="T463">
        <f t="shared" si="983"/>
        <v>-3.8239281570631577E-2</v>
      </c>
    </row>
    <row r="464" spans="1:20" x14ac:dyDescent="0.25">
      <c r="A464" s="5">
        <v>44129</v>
      </c>
      <c r="B464">
        <v>3.3130000000000002</v>
      </c>
      <c r="C464">
        <v>3.3241000000000001</v>
      </c>
      <c r="D464">
        <v>3.1448999999999998</v>
      </c>
      <c r="E464">
        <v>3.1454</v>
      </c>
      <c r="F464">
        <v>67147.91</v>
      </c>
      <c r="G464">
        <v>-5.0599999999999996</v>
      </c>
      <c r="L464" t="s">
        <v>7</v>
      </c>
      <c r="M464" t="s">
        <v>8</v>
      </c>
      <c r="N464" t="s">
        <v>7</v>
      </c>
      <c r="P464">
        <f t="shared" si="979"/>
        <v>-0.99441964285714102</v>
      </c>
      <c r="Q464">
        <f t="shared" si="980"/>
        <v>-66773.200680803449</v>
      </c>
      <c r="R464">
        <f t="shared" si="981"/>
        <v>-3771343.3826099643</v>
      </c>
      <c r="S464">
        <f t="shared" si="982"/>
        <v>-37.713433826099646</v>
      </c>
      <c r="T464">
        <f t="shared" si="983"/>
        <v>-3.7713433826099645E-2</v>
      </c>
    </row>
    <row r="465" spans="1:20" x14ac:dyDescent="0.25">
      <c r="A465" s="5">
        <v>44128</v>
      </c>
      <c r="B465">
        <v>3.359</v>
      </c>
      <c r="C465">
        <v>3.3591000000000002</v>
      </c>
      <c r="D465">
        <v>3.2545000000000002</v>
      </c>
      <c r="E465">
        <v>3.3130000000000002</v>
      </c>
      <c r="F465">
        <v>61951.92</v>
      </c>
      <c r="G465">
        <v>-1.37</v>
      </c>
      <c r="L465" t="s">
        <v>8</v>
      </c>
      <c r="M465" t="s">
        <v>8</v>
      </c>
      <c r="N465" t="s">
        <v>7</v>
      </c>
      <c r="P465">
        <f t="shared" si="979"/>
        <v>0.11854684512428264</v>
      </c>
      <c r="Q465">
        <f t="shared" si="980"/>
        <v>7344.2046653919479</v>
      </c>
      <c r="R465">
        <f t="shared" si="981"/>
        <v>-3704570.1819291608</v>
      </c>
      <c r="S465">
        <f t="shared" si="982"/>
        <v>-37.045701819291608</v>
      </c>
      <c r="T465">
        <f t="shared" si="983"/>
        <v>-3.7045701819291607E-2</v>
      </c>
    </row>
    <row r="466" spans="1:20" x14ac:dyDescent="0.25">
      <c r="A466" s="5">
        <v>44127</v>
      </c>
      <c r="B466">
        <v>3.141</v>
      </c>
      <c r="C466">
        <v>3.4201999999999999</v>
      </c>
      <c r="D466">
        <v>3.0941999999999998</v>
      </c>
      <c r="E466">
        <v>3.3490000000000002</v>
      </c>
      <c r="F466">
        <v>168335.52</v>
      </c>
      <c r="G466">
        <v>6.62</v>
      </c>
      <c r="L466" t="s">
        <v>8</v>
      </c>
      <c r="M466" t="s">
        <v>8</v>
      </c>
      <c r="N466" t="s">
        <v>7</v>
      </c>
      <c r="P466">
        <f t="shared" si="979"/>
        <v>0.56319018404908161</v>
      </c>
      <c r="Q466">
        <f t="shared" si="980"/>
        <v>94804.912490797855</v>
      </c>
      <c r="R466">
        <f t="shared" si="981"/>
        <v>-3711914.386594553</v>
      </c>
      <c r="S466">
        <f t="shared" si="982"/>
        <v>-37.119143865945532</v>
      </c>
      <c r="T466">
        <f t="shared" si="983"/>
        <v>-3.7119143865945531E-2</v>
      </c>
    </row>
    <row r="467" spans="1:20" x14ac:dyDescent="0.25">
      <c r="A467" s="5">
        <v>44126</v>
      </c>
      <c r="B467">
        <v>2.9994999999999998</v>
      </c>
      <c r="C467">
        <v>3.1695000000000002</v>
      </c>
      <c r="D467">
        <v>2.9447000000000001</v>
      </c>
      <c r="E467">
        <v>3.1339999999999999</v>
      </c>
      <c r="F467">
        <v>125945.53</v>
      </c>
      <c r="G467">
        <v>4.4800000000000004</v>
      </c>
      <c r="L467" t="s">
        <v>8</v>
      </c>
      <c r="M467" t="s">
        <v>7</v>
      </c>
      <c r="N467" t="s">
        <v>7</v>
      </c>
      <c r="P467">
        <f t="shared" si="979"/>
        <v>0.68416370106761304</v>
      </c>
      <c r="Q467">
        <f t="shared" si="980"/>
        <v>86167.359937722096</v>
      </c>
      <c r="R467">
        <f t="shared" si="981"/>
        <v>-3806719.2990853507</v>
      </c>
      <c r="S467">
        <f t="shared" si="982"/>
        <v>-38.067192990853506</v>
      </c>
      <c r="T467">
        <f t="shared" si="983"/>
        <v>-3.8067192990853503E-2</v>
      </c>
    </row>
    <row r="468" spans="1:20" x14ac:dyDescent="0.25">
      <c r="A468" s="5">
        <v>44125</v>
      </c>
      <c r="B468">
        <v>2.8902000000000001</v>
      </c>
      <c r="C468">
        <v>3.1196999999999999</v>
      </c>
      <c r="D468">
        <v>2.8304</v>
      </c>
      <c r="E468">
        <v>2.9933000000000001</v>
      </c>
      <c r="F468">
        <v>186901.2</v>
      </c>
      <c r="G468">
        <v>3.57</v>
      </c>
      <c r="L468" t="s">
        <v>7</v>
      </c>
      <c r="M468" t="s">
        <v>7</v>
      </c>
      <c r="N468" t="s">
        <v>7</v>
      </c>
      <c r="P468">
        <f t="shared" si="979"/>
        <v>0.12616660905634364</v>
      </c>
      <c r="Q468">
        <f t="shared" si="980"/>
        <v>23580.690632561495</v>
      </c>
      <c r="R468">
        <f t="shared" si="981"/>
        <v>-3892886.6590230726</v>
      </c>
      <c r="S468">
        <f t="shared" si="982"/>
        <v>-38.928866590230726</v>
      </c>
      <c r="T468">
        <f t="shared" si="983"/>
        <v>-3.8928866590230725E-2</v>
      </c>
    </row>
    <row r="469" spans="1:20" x14ac:dyDescent="0.25">
      <c r="A469" s="5">
        <v>44124</v>
      </c>
      <c r="B469">
        <v>3.2191000000000001</v>
      </c>
      <c r="C469">
        <v>3.2191000000000001</v>
      </c>
      <c r="D469">
        <v>2.8855</v>
      </c>
      <c r="E469">
        <v>2.8855</v>
      </c>
      <c r="F469">
        <v>93875.86</v>
      </c>
      <c r="G469">
        <v>-10.36</v>
      </c>
      <c r="L469" t="s">
        <v>7</v>
      </c>
      <c r="M469" t="s">
        <v>7</v>
      </c>
      <c r="N469" t="s">
        <v>7</v>
      </c>
      <c r="P469">
        <f t="shared" si="979"/>
        <v>-1</v>
      </c>
      <c r="Q469">
        <f t="shared" si="980"/>
        <v>-93875.86</v>
      </c>
      <c r="R469">
        <f t="shared" si="981"/>
        <v>-3916467.3496556343</v>
      </c>
      <c r="S469">
        <f t="shared" si="982"/>
        <v>-39.16467349655634</v>
      </c>
      <c r="T469">
        <f t="shared" si="983"/>
        <v>-3.9164673496556342E-2</v>
      </c>
    </row>
    <row r="470" spans="1:20" x14ac:dyDescent="0.25">
      <c r="A470" s="5">
        <v>44123</v>
      </c>
      <c r="B470">
        <v>3.3205</v>
      </c>
      <c r="C470">
        <v>3.3205</v>
      </c>
      <c r="D470">
        <v>3.2103999999999999</v>
      </c>
      <c r="E470">
        <v>3.2162999999999999</v>
      </c>
      <c r="F470">
        <v>49593.18</v>
      </c>
      <c r="G470">
        <v>-3.14</v>
      </c>
      <c r="L470" t="s">
        <v>8</v>
      </c>
      <c r="M470" t="s">
        <v>7</v>
      </c>
      <c r="N470" t="s">
        <v>7</v>
      </c>
      <c r="P470">
        <f t="shared" si="979"/>
        <v>-0.89282470481380538</v>
      </c>
      <c r="Q470">
        <f t="shared" si="980"/>
        <v>-44278.016294277913</v>
      </c>
      <c r="R470">
        <f t="shared" si="981"/>
        <v>-3822591.4896556344</v>
      </c>
      <c r="S470">
        <f t="shared" si="982"/>
        <v>-38.225914896556347</v>
      </c>
      <c r="T470">
        <f t="shared" si="983"/>
        <v>-3.822591489655635E-2</v>
      </c>
    </row>
    <row r="471" spans="1:20" x14ac:dyDescent="0.25">
      <c r="A471" s="5">
        <v>44122</v>
      </c>
      <c r="B471">
        <v>3.2381000000000002</v>
      </c>
      <c r="C471">
        <v>3.3914</v>
      </c>
      <c r="D471">
        <v>3.2364999999999999</v>
      </c>
      <c r="E471">
        <v>3.3077999999999999</v>
      </c>
      <c r="F471">
        <v>54077.85</v>
      </c>
      <c r="G471">
        <v>2.15</v>
      </c>
      <c r="L471" t="s">
        <v>8</v>
      </c>
      <c r="M471" t="s">
        <v>7</v>
      </c>
      <c r="N471" t="s">
        <v>7</v>
      </c>
      <c r="P471">
        <f t="shared" si="979"/>
        <v>-7.9406068431247229E-2</v>
      </c>
      <c r="Q471">
        <f t="shared" si="980"/>
        <v>-4294.1094577147232</v>
      </c>
      <c r="R471">
        <f t="shared" si="981"/>
        <v>-3778313.4733613566</v>
      </c>
      <c r="S471">
        <f t="shared" si="982"/>
        <v>-37.783134733613565</v>
      </c>
      <c r="T471">
        <f t="shared" si="983"/>
        <v>-3.7783134733613562E-2</v>
      </c>
    </row>
    <row r="472" spans="1:20" x14ac:dyDescent="0.25">
      <c r="A472" s="5">
        <v>44121</v>
      </c>
      <c r="B472">
        <v>3.1888999999999998</v>
      </c>
      <c r="C472">
        <v>3.2812999999999999</v>
      </c>
      <c r="D472">
        <v>3.1539999999999999</v>
      </c>
      <c r="E472">
        <v>3.2298</v>
      </c>
      <c r="F472">
        <v>45148.56</v>
      </c>
      <c r="G472">
        <v>1.28</v>
      </c>
      <c r="L472" t="s">
        <v>7</v>
      </c>
      <c r="M472" t="s">
        <v>7</v>
      </c>
      <c r="N472" t="s">
        <v>7</v>
      </c>
      <c r="P472">
        <f t="shared" si="979"/>
        <v>0.19088766692851702</v>
      </c>
      <c r="Q472">
        <f t="shared" si="980"/>
        <v>8618.3032835821668</v>
      </c>
      <c r="R472">
        <f t="shared" si="981"/>
        <v>-3774019.3639036417</v>
      </c>
      <c r="S472">
        <f t="shared" si="982"/>
        <v>-37.74019363903642</v>
      </c>
      <c r="T472">
        <f t="shared" si="983"/>
        <v>-3.7740193639036419E-2</v>
      </c>
    </row>
    <row r="473" spans="1:20" x14ac:dyDescent="0.25">
      <c r="A473" s="5">
        <v>44120</v>
      </c>
      <c r="B473">
        <v>3.2997999999999998</v>
      </c>
      <c r="C473">
        <v>3.4165999999999999</v>
      </c>
      <c r="D473">
        <v>3.1511999999999998</v>
      </c>
      <c r="E473">
        <v>3.1787999999999998</v>
      </c>
      <c r="F473">
        <v>139740.04999999999</v>
      </c>
      <c r="G473">
        <v>-3.67</v>
      </c>
      <c r="L473" t="s">
        <v>7</v>
      </c>
      <c r="M473" t="s">
        <v>7</v>
      </c>
      <c r="N473" t="s">
        <v>7</v>
      </c>
      <c r="P473">
        <f t="shared" si="979"/>
        <v>-0.79201205727204171</v>
      </c>
      <c r="Q473">
        <f t="shared" si="980"/>
        <v>-110675.80448379797</v>
      </c>
      <c r="R473">
        <f t="shared" si="981"/>
        <v>-3782637.6671872237</v>
      </c>
      <c r="S473">
        <f t="shared" si="982"/>
        <v>-37.826376671872239</v>
      </c>
      <c r="T473">
        <f t="shared" si="983"/>
        <v>-3.782637667187224E-2</v>
      </c>
    </row>
    <row r="474" spans="1:20" x14ac:dyDescent="0.25">
      <c r="A474" s="5">
        <v>44119</v>
      </c>
      <c r="B474">
        <v>3.4369000000000001</v>
      </c>
      <c r="C474">
        <v>3.4369000000000001</v>
      </c>
      <c r="D474">
        <v>3.2</v>
      </c>
      <c r="E474">
        <v>3.2946</v>
      </c>
      <c r="F474">
        <v>114491.86</v>
      </c>
      <c r="G474">
        <v>-4.1399999999999997</v>
      </c>
      <c r="L474" t="s">
        <v>7</v>
      </c>
      <c r="M474" t="s">
        <v>7</v>
      </c>
      <c r="N474" t="s">
        <v>7</v>
      </c>
      <c r="P474">
        <f t="shared" si="979"/>
        <v>-0.20135078092022085</v>
      </c>
      <c r="Q474">
        <f t="shared" si="980"/>
        <v>-23053.025420008598</v>
      </c>
      <c r="R474">
        <f t="shared" si="981"/>
        <v>-3671961.8627034258</v>
      </c>
      <c r="S474">
        <f t="shared" si="982"/>
        <v>-36.719618627034258</v>
      </c>
      <c r="T474">
        <f t="shared" si="983"/>
        <v>-3.671961862703426E-2</v>
      </c>
    </row>
    <row r="475" spans="1:20" x14ac:dyDescent="0.25">
      <c r="A475" s="5">
        <v>44118</v>
      </c>
      <c r="B475">
        <v>3.6093000000000002</v>
      </c>
      <c r="C475">
        <v>3.6093000000000002</v>
      </c>
      <c r="D475">
        <v>3.4</v>
      </c>
      <c r="E475">
        <v>3.4348000000000001</v>
      </c>
      <c r="F475">
        <v>83178.320000000007</v>
      </c>
      <c r="G475">
        <v>-4.83</v>
      </c>
      <c r="L475" t="s">
        <v>7</v>
      </c>
      <c r="M475" t="s">
        <v>8</v>
      </c>
      <c r="N475" t="s">
        <v>7</v>
      </c>
      <c r="P475">
        <f t="shared" si="979"/>
        <v>-0.66746297181079672</v>
      </c>
      <c r="Q475">
        <f t="shared" si="980"/>
        <v>-55518.448657429435</v>
      </c>
      <c r="R475">
        <f t="shared" si="981"/>
        <v>-3648908.8372834171</v>
      </c>
      <c r="S475">
        <f t="shared" si="982"/>
        <v>-36.489088372834168</v>
      </c>
      <c r="T475">
        <f t="shared" si="983"/>
        <v>-3.6489088372834169E-2</v>
      </c>
    </row>
    <row r="476" spans="1:20" x14ac:dyDescent="0.25">
      <c r="A476" s="5">
        <v>44117</v>
      </c>
      <c r="B476">
        <v>3.7101000000000002</v>
      </c>
      <c r="C476">
        <v>3.7241</v>
      </c>
      <c r="D476">
        <v>3.5424000000000002</v>
      </c>
      <c r="E476">
        <v>3.6076000000000001</v>
      </c>
      <c r="F476">
        <v>123672.19</v>
      </c>
      <c r="G476">
        <v>-2.76</v>
      </c>
      <c r="L476" t="s">
        <v>7</v>
      </c>
      <c r="M476" t="s">
        <v>8</v>
      </c>
      <c r="N476" t="s">
        <v>7</v>
      </c>
      <c r="P476">
        <f t="shared" si="979"/>
        <v>-0.28233351678591068</v>
      </c>
      <c r="Q476">
        <f t="shared" si="980"/>
        <v>-34916.804331315332</v>
      </c>
      <c r="R476">
        <f t="shared" si="981"/>
        <v>-3593390.3886259878</v>
      </c>
      <c r="S476">
        <f t="shared" si="982"/>
        <v>-35.933903886259877</v>
      </c>
      <c r="T476">
        <f t="shared" si="983"/>
        <v>-3.5933903886259874E-2</v>
      </c>
    </row>
    <row r="477" spans="1:20" x14ac:dyDescent="0.25">
      <c r="A477" s="5">
        <v>44116</v>
      </c>
      <c r="B477">
        <v>3.847</v>
      </c>
      <c r="C477">
        <v>3.8603000000000001</v>
      </c>
      <c r="D477">
        <v>3.59</v>
      </c>
      <c r="E477">
        <v>3.7107000000000001</v>
      </c>
      <c r="F477">
        <v>143075.5</v>
      </c>
      <c r="G477">
        <v>-3.54</v>
      </c>
      <c r="L477" t="s">
        <v>7</v>
      </c>
      <c r="M477" t="s">
        <v>8</v>
      </c>
      <c r="N477" t="s">
        <v>7</v>
      </c>
      <c r="P477">
        <f t="shared" si="979"/>
        <v>-0.10691823899370952</v>
      </c>
      <c r="Q477">
        <f t="shared" si="980"/>
        <v>-15297.380503144486</v>
      </c>
      <c r="R477">
        <f t="shared" si="981"/>
        <v>-3558473.5842946726</v>
      </c>
      <c r="S477">
        <f t="shared" si="982"/>
        <v>-35.584735842946728</v>
      </c>
      <c r="T477">
        <f t="shared" si="983"/>
        <v>-3.5584735842946726E-2</v>
      </c>
    </row>
    <row r="478" spans="1:20" x14ac:dyDescent="0.25">
      <c r="A478" s="5">
        <v>44115</v>
      </c>
      <c r="B478">
        <v>3.6556999999999999</v>
      </c>
      <c r="C478">
        <v>3.8891</v>
      </c>
      <c r="D478">
        <v>3.5289000000000001</v>
      </c>
      <c r="E478">
        <v>3.8502000000000001</v>
      </c>
      <c r="F478">
        <v>144678.6</v>
      </c>
      <c r="G478">
        <v>5.32</v>
      </c>
      <c r="L478" t="s">
        <v>8</v>
      </c>
      <c r="M478" t="s">
        <v>8</v>
      </c>
      <c r="N478" t="s">
        <v>7</v>
      </c>
      <c r="P478">
        <f t="shared" si="979"/>
        <v>0.78400888395335955</v>
      </c>
      <c r="Q478">
        <f t="shared" si="980"/>
        <v>113429.30771793453</v>
      </c>
      <c r="R478">
        <f t="shared" si="981"/>
        <v>-3543176.203791528</v>
      </c>
      <c r="S478">
        <f t="shared" si="982"/>
        <v>-35.431762037915277</v>
      </c>
      <c r="T478">
        <f t="shared" si="983"/>
        <v>-3.5431762037915274E-2</v>
      </c>
    </row>
    <row r="479" spans="1:20" x14ac:dyDescent="0.25">
      <c r="A479" s="5">
        <v>44114</v>
      </c>
      <c r="B479">
        <v>3.6703000000000001</v>
      </c>
      <c r="C479">
        <v>3.7955999999999999</v>
      </c>
      <c r="D479">
        <v>3.6389</v>
      </c>
      <c r="E479">
        <v>3.6640000000000001</v>
      </c>
      <c r="F479">
        <v>129750.7</v>
      </c>
      <c r="G479">
        <v>-0.17</v>
      </c>
      <c r="L479" t="s">
        <v>8</v>
      </c>
      <c r="M479" t="s">
        <v>8</v>
      </c>
      <c r="N479" t="s">
        <v>7</v>
      </c>
      <c r="P479">
        <f t="shared" si="979"/>
        <v>-0.67964262922782193</v>
      </c>
      <c r="Q479">
        <f t="shared" si="980"/>
        <v>-88184.106892150347</v>
      </c>
      <c r="R479">
        <f t="shared" si="981"/>
        <v>-3656605.5115094627</v>
      </c>
      <c r="S479">
        <f t="shared" si="982"/>
        <v>-36.566055115094628</v>
      </c>
      <c r="T479">
        <f t="shared" si="983"/>
        <v>-3.6566055115094628E-2</v>
      </c>
    </row>
    <row r="480" spans="1:20" x14ac:dyDescent="0.25">
      <c r="A480" s="5">
        <v>44113</v>
      </c>
      <c r="B480">
        <v>3.4077999999999999</v>
      </c>
      <c r="C480">
        <v>3.7195</v>
      </c>
      <c r="D480">
        <v>3.3208000000000002</v>
      </c>
      <c r="E480">
        <v>3.6764999999999999</v>
      </c>
      <c r="F480">
        <v>113875.65</v>
      </c>
      <c r="G480">
        <v>7.88</v>
      </c>
      <c r="L480" t="s">
        <v>8</v>
      </c>
      <c r="M480" t="s">
        <v>7</v>
      </c>
      <c r="N480" t="s">
        <v>7</v>
      </c>
      <c r="P480">
        <f t="shared" si="979"/>
        <v>0.78429897165788731</v>
      </c>
      <c r="Q480">
        <f t="shared" si="980"/>
        <v>89312.555191873485</v>
      </c>
      <c r="R480">
        <f t="shared" si="981"/>
        <v>-3568421.4046173124</v>
      </c>
      <c r="S480">
        <f t="shared" si="982"/>
        <v>-35.684214046173125</v>
      </c>
      <c r="T480">
        <f t="shared" si="983"/>
        <v>-3.5684214046173127E-2</v>
      </c>
    </row>
    <row r="481" spans="1:20" x14ac:dyDescent="0.25">
      <c r="A481" s="5">
        <v>44112</v>
      </c>
      <c r="B481">
        <v>3.3155000000000001</v>
      </c>
      <c r="C481">
        <v>3.45</v>
      </c>
      <c r="D481">
        <v>3.1846999999999999</v>
      </c>
      <c r="E481">
        <v>3.4159000000000002</v>
      </c>
      <c r="F481">
        <v>121002.31</v>
      </c>
      <c r="G481">
        <v>3.03</v>
      </c>
      <c r="L481" t="s">
        <v>8</v>
      </c>
      <c r="M481" t="s">
        <v>7</v>
      </c>
      <c r="N481" t="s">
        <v>7</v>
      </c>
      <c r="P481">
        <f t="shared" si="979"/>
        <v>0.74293252921221276</v>
      </c>
      <c r="Q481">
        <f t="shared" si="980"/>
        <v>89896.552208820227</v>
      </c>
      <c r="R481">
        <f t="shared" si="981"/>
        <v>-3657733.9598091859</v>
      </c>
      <c r="S481">
        <f t="shared" si="982"/>
        <v>-36.577339598091861</v>
      </c>
      <c r="T481">
        <f t="shared" si="983"/>
        <v>-3.6577339598091861E-2</v>
      </c>
    </row>
    <row r="482" spans="1:20" x14ac:dyDescent="0.25">
      <c r="A482" s="5">
        <v>44111</v>
      </c>
      <c r="B482">
        <v>3.3477999999999999</v>
      </c>
      <c r="C482">
        <v>3.3963999999999999</v>
      </c>
      <c r="D482">
        <v>3.1608999999999998</v>
      </c>
      <c r="E482">
        <v>3.3090999999999999</v>
      </c>
      <c r="F482">
        <v>238535.98</v>
      </c>
      <c r="G482">
        <v>-1.1599999999999999</v>
      </c>
      <c r="L482" t="s">
        <v>7</v>
      </c>
      <c r="M482" t="s">
        <v>7</v>
      </c>
      <c r="N482" t="s">
        <v>7</v>
      </c>
      <c r="P482">
        <f t="shared" si="979"/>
        <v>0.2585987261146504</v>
      </c>
      <c r="Q482">
        <f t="shared" si="980"/>
        <v>61685.100560509731</v>
      </c>
      <c r="R482">
        <f t="shared" si="981"/>
        <v>-3747630.5120180063</v>
      </c>
      <c r="S482">
        <f t="shared" si="982"/>
        <v>-37.476305120180065</v>
      </c>
      <c r="T482">
        <f t="shared" si="983"/>
        <v>-3.7476305120180062E-2</v>
      </c>
    </row>
    <row r="483" spans="1:20" x14ac:dyDescent="0.25">
      <c r="A483" s="5">
        <v>44110</v>
      </c>
      <c r="B483">
        <v>3.5541999999999998</v>
      </c>
      <c r="C483">
        <v>3.5842999999999998</v>
      </c>
      <c r="D483">
        <v>3.3</v>
      </c>
      <c r="E483">
        <v>3.3477999999999999</v>
      </c>
      <c r="F483">
        <v>111951.84</v>
      </c>
      <c r="G483">
        <v>-5.81</v>
      </c>
      <c r="L483" t="s">
        <v>7</v>
      </c>
      <c r="M483" t="s">
        <v>8</v>
      </c>
      <c r="N483" t="s">
        <v>7</v>
      </c>
      <c r="P483">
        <f t="shared" si="979"/>
        <v>-0.66373549067885995</v>
      </c>
      <c r="Q483">
        <f t="shared" si="980"/>
        <v>-74306.409454801222</v>
      </c>
      <c r="R483">
        <f t="shared" si="981"/>
        <v>-3809315.6125785159</v>
      </c>
      <c r="S483">
        <f t="shared" si="982"/>
        <v>-38.093156125785157</v>
      </c>
      <c r="T483">
        <f t="shared" si="983"/>
        <v>-3.8093156125785156E-2</v>
      </c>
    </row>
    <row r="484" spans="1:20" x14ac:dyDescent="0.25">
      <c r="A484" s="5">
        <v>44109</v>
      </c>
      <c r="B484">
        <v>3.5270000000000001</v>
      </c>
      <c r="C484">
        <v>3.6</v>
      </c>
      <c r="D484">
        <v>3.4786999999999999</v>
      </c>
      <c r="E484">
        <v>3.5543999999999998</v>
      </c>
      <c r="F484">
        <v>51623.02</v>
      </c>
      <c r="G484">
        <v>0.78</v>
      </c>
      <c r="L484" t="s">
        <v>8</v>
      </c>
      <c r="M484" t="s">
        <v>8</v>
      </c>
      <c r="N484" t="s">
        <v>7</v>
      </c>
      <c r="P484">
        <f t="shared" si="979"/>
        <v>0.24814509480626154</v>
      </c>
      <c r="Q484">
        <f t="shared" si="980"/>
        <v>12809.999192085535</v>
      </c>
      <c r="R484">
        <f t="shared" si="981"/>
        <v>-3735009.2031237148</v>
      </c>
      <c r="S484">
        <f t="shared" si="982"/>
        <v>-37.350092031237146</v>
      </c>
      <c r="T484">
        <f t="shared" si="983"/>
        <v>-3.7350092031237146E-2</v>
      </c>
    </row>
    <row r="485" spans="1:20" x14ac:dyDescent="0.25">
      <c r="A485" s="5">
        <v>44108</v>
      </c>
      <c r="B485">
        <v>3.5156999999999998</v>
      </c>
      <c r="C485">
        <v>3.5910000000000002</v>
      </c>
      <c r="D485">
        <v>3.4478</v>
      </c>
      <c r="E485">
        <v>3.5322</v>
      </c>
      <c r="F485">
        <v>79079.86</v>
      </c>
      <c r="G485">
        <v>0.47</v>
      </c>
      <c r="L485" t="s">
        <v>8</v>
      </c>
      <c r="M485" t="s">
        <v>8</v>
      </c>
      <c r="N485" t="s">
        <v>7</v>
      </c>
      <c r="P485">
        <f t="shared" si="979"/>
        <v>0.17877094972066904</v>
      </c>
      <c r="Q485">
        <f t="shared" si="980"/>
        <v>14137.181675977547</v>
      </c>
      <c r="R485">
        <f t="shared" si="981"/>
        <v>-3747819.2023158004</v>
      </c>
      <c r="S485">
        <f t="shared" si="982"/>
        <v>-37.478192023158002</v>
      </c>
      <c r="T485">
        <f t="shared" si="983"/>
        <v>-3.7478192023158004E-2</v>
      </c>
    </row>
    <row r="486" spans="1:20" x14ac:dyDescent="0.25">
      <c r="A486" s="5">
        <v>44107</v>
      </c>
      <c r="B486">
        <v>3.5657000000000001</v>
      </c>
      <c r="C486">
        <v>3.6556999999999999</v>
      </c>
      <c r="D486">
        <v>3.5150999999999999</v>
      </c>
      <c r="E486">
        <v>3.5268999999999999</v>
      </c>
      <c r="F486">
        <v>102324.9</v>
      </c>
      <c r="G486">
        <v>-1.0900000000000001</v>
      </c>
      <c r="L486" t="s">
        <v>8</v>
      </c>
      <c r="M486" t="s">
        <v>8</v>
      </c>
      <c r="N486" t="s">
        <v>7</v>
      </c>
      <c r="P486">
        <f t="shared" si="979"/>
        <v>-0.83214793741109494</v>
      </c>
      <c r="Q486">
        <f t="shared" si="980"/>
        <v>-85149.454480796543</v>
      </c>
      <c r="R486">
        <f t="shared" si="981"/>
        <v>-3761956.3839917779</v>
      </c>
      <c r="S486">
        <f t="shared" si="982"/>
        <v>-37.619563839917781</v>
      </c>
      <c r="T486">
        <f t="shared" si="983"/>
        <v>-3.7619563839917783E-2</v>
      </c>
    </row>
    <row r="487" spans="1:20" x14ac:dyDescent="0.25">
      <c r="A487" s="5">
        <v>44106</v>
      </c>
      <c r="B487">
        <v>3.7770000000000001</v>
      </c>
      <c r="C487">
        <v>3.7835999999999999</v>
      </c>
      <c r="D487">
        <v>3.3165</v>
      </c>
      <c r="E487">
        <v>3.5226000000000002</v>
      </c>
      <c r="F487">
        <v>360459.84</v>
      </c>
      <c r="G487">
        <v>-6.74</v>
      </c>
      <c r="L487" t="s">
        <v>7</v>
      </c>
      <c r="M487" t="s">
        <v>8</v>
      </c>
      <c r="N487" t="s">
        <v>7</v>
      </c>
      <c r="P487">
        <f t="shared" si="979"/>
        <v>-0.11753371868978703</v>
      </c>
      <c r="Q487">
        <f t="shared" si="980"/>
        <v>-42366.185433525643</v>
      </c>
      <c r="R487">
        <f t="shared" si="981"/>
        <v>-3676806.9295109813</v>
      </c>
      <c r="S487">
        <f t="shared" si="982"/>
        <v>-36.768069295109811</v>
      </c>
      <c r="T487">
        <f t="shared" si="983"/>
        <v>-3.6768069295109812E-2</v>
      </c>
    </row>
    <row r="488" spans="1:20" x14ac:dyDescent="0.25">
      <c r="A488" s="5">
        <v>44105</v>
      </c>
      <c r="B488">
        <v>3.6783999999999999</v>
      </c>
      <c r="C488">
        <v>3.8715000000000002</v>
      </c>
      <c r="D488">
        <v>3.4851999999999999</v>
      </c>
      <c r="E488">
        <v>3.7785000000000002</v>
      </c>
      <c r="F488">
        <v>500396.18</v>
      </c>
      <c r="G488">
        <v>2.72</v>
      </c>
      <c r="L488" t="s">
        <v>8</v>
      </c>
      <c r="M488" t="s">
        <v>8</v>
      </c>
      <c r="N488" t="s">
        <v>7</v>
      </c>
      <c r="P488">
        <f t="shared" si="979"/>
        <v>0.5185089308827342</v>
      </c>
      <c r="Q488">
        <f t="shared" si="980"/>
        <v>259459.88830960423</v>
      </c>
      <c r="R488">
        <f t="shared" si="981"/>
        <v>-3634440.7440774557</v>
      </c>
      <c r="S488">
        <f t="shared" si="982"/>
        <v>-36.34440744077456</v>
      </c>
      <c r="T488">
        <f t="shared" si="983"/>
        <v>-3.6344407440774558E-2</v>
      </c>
    </row>
    <row r="489" spans="1:20" x14ac:dyDescent="0.25">
      <c r="A489" s="5">
        <v>44104</v>
      </c>
      <c r="B489">
        <v>3.6890000000000001</v>
      </c>
      <c r="C489">
        <v>3.7208999999999999</v>
      </c>
      <c r="D489">
        <v>3.4518</v>
      </c>
      <c r="E489">
        <v>3.6753</v>
      </c>
      <c r="F489">
        <v>438510.53</v>
      </c>
      <c r="G489">
        <v>-0.37</v>
      </c>
      <c r="L489" t="s">
        <v>7</v>
      </c>
      <c r="M489" t="s">
        <v>8</v>
      </c>
      <c r="N489" t="s">
        <v>7</v>
      </c>
      <c r="P489">
        <f t="shared" si="979"/>
        <v>0.66109253065774898</v>
      </c>
      <c r="Q489">
        <f t="shared" si="980"/>
        <v>289896.03599777078</v>
      </c>
      <c r="R489">
        <f t="shared" si="981"/>
        <v>-3893900.6323870597</v>
      </c>
      <c r="S489">
        <f t="shared" si="982"/>
        <v>-38.939006323870601</v>
      </c>
      <c r="T489">
        <f t="shared" si="983"/>
        <v>-3.8939006323870602E-2</v>
      </c>
    </row>
    <row r="490" spans="1:20" x14ac:dyDescent="0.25">
      <c r="A490" s="5">
        <v>44103</v>
      </c>
      <c r="B490">
        <v>3.3711000000000002</v>
      </c>
      <c r="C490">
        <v>3.8298999999999999</v>
      </c>
      <c r="D490">
        <v>3.3262</v>
      </c>
      <c r="E490">
        <v>3.6890000000000001</v>
      </c>
      <c r="F490">
        <v>886541.47</v>
      </c>
      <c r="G490">
        <v>9.43</v>
      </c>
      <c r="L490" t="s">
        <v>8</v>
      </c>
      <c r="M490" t="s">
        <v>8</v>
      </c>
      <c r="N490" t="s">
        <v>7</v>
      </c>
      <c r="P490">
        <f t="shared" si="979"/>
        <v>0.44054000397061799</v>
      </c>
      <c r="Q490">
        <f t="shared" si="980"/>
        <v>390556.9827139175</v>
      </c>
      <c r="R490">
        <f t="shared" si="981"/>
        <v>-4183796.6683848305</v>
      </c>
      <c r="S490">
        <f t="shared" si="982"/>
        <v>-41.837966683848308</v>
      </c>
      <c r="T490">
        <f t="shared" si="983"/>
        <v>-4.1837966683848309E-2</v>
      </c>
    </row>
    <row r="491" spans="1:20" x14ac:dyDescent="0.25">
      <c r="A491" s="5">
        <v>44102</v>
      </c>
      <c r="B491">
        <v>3.3536999999999999</v>
      </c>
      <c r="C491">
        <v>3.5430999999999999</v>
      </c>
      <c r="D491">
        <v>3.3</v>
      </c>
      <c r="E491">
        <v>3.3759999999999999</v>
      </c>
      <c r="F491">
        <v>597169.72</v>
      </c>
      <c r="G491">
        <v>0.66</v>
      </c>
      <c r="L491" t="s">
        <v>8</v>
      </c>
      <c r="M491" t="s">
        <v>7</v>
      </c>
      <c r="N491" t="s">
        <v>7</v>
      </c>
      <c r="P491">
        <f t="shared" si="979"/>
        <v>-0.37474290415466854</v>
      </c>
      <c r="Q491">
        <f t="shared" si="980"/>
        <v>-223785.11514603024</v>
      </c>
      <c r="R491">
        <f t="shared" si="981"/>
        <v>-4574353.6510987477</v>
      </c>
      <c r="S491">
        <f t="shared" si="982"/>
        <v>-45.743536510987475</v>
      </c>
      <c r="T491">
        <f t="shared" si="983"/>
        <v>-4.5743536510987476E-2</v>
      </c>
    </row>
    <row r="492" spans="1:20" x14ac:dyDescent="0.25">
      <c r="A492" s="5">
        <v>44101</v>
      </c>
      <c r="B492">
        <v>3.6027999999999998</v>
      </c>
      <c r="C492">
        <v>3.6591</v>
      </c>
      <c r="D492">
        <v>3.1998000000000002</v>
      </c>
      <c r="E492">
        <v>3.3498000000000001</v>
      </c>
      <c r="F492">
        <v>768845.31</v>
      </c>
      <c r="G492">
        <v>-7.02</v>
      </c>
      <c r="L492" t="s">
        <v>7</v>
      </c>
      <c r="M492" t="s">
        <v>7</v>
      </c>
      <c r="N492" t="s">
        <v>7</v>
      </c>
      <c r="P492">
        <f t="shared" si="979"/>
        <v>-0.34683213585891587</v>
      </c>
      <c r="Q492">
        <f t="shared" si="980"/>
        <v>-266660.26101241028</v>
      </c>
      <c r="R492">
        <f t="shared" si="981"/>
        <v>-4350568.5359527171</v>
      </c>
      <c r="S492">
        <f t="shared" si="982"/>
        <v>-43.50568535952717</v>
      </c>
      <c r="T492">
        <f t="shared" si="983"/>
        <v>-4.3505685359527167E-2</v>
      </c>
    </row>
    <row r="493" spans="1:20" x14ac:dyDescent="0.25">
      <c r="A493" s="5">
        <v>44100</v>
      </c>
      <c r="B493">
        <v>3.7766000000000002</v>
      </c>
      <c r="C493">
        <v>3.7890999999999999</v>
      </c>
      <c r="D493">
        <v>3.5001000000000002</v>
      </c>
      <c r="E493">
        <v>3.6092</v>
      </c>
      <c r="F493">
        <v>485350.57</v>
      </c>
      <c r="G493">
        <v>-4.43</v>
      </c>
      <c r="L493" t="s">
        <v>7</v>
      </c>
      <c r="M493" t="s">
        <v>8</v>
      </c>
      <c r="N493" t="s">
        <v>7</v>
      </c>
      <c r="P493">
        <f t="shared" si="979"/>
        <v>-0.24498269896193864</v>
      </c>
      <c r="Q493">
        <f t="shared" si="980"/>
        <v>-118902.49258131532</v>
      </c>
      <c r="R493">
        <f t="shared" si="981"/>
        <v>-4083908.2749403073</v>
      </c>
      <c r="S493">
        <f t="shared" si="982"/>
        <v>-40.839082749403076</v>
      </c>
      <c r="T493">
        <f t="shared" si="983"/>
        <v>-4.0839082749403073E-2</v>
      </c>
    </row>
    <row r="494" spans="1:20" x14ac:dyDescent="0.25">
      <c r="A494" s="5">
        <v>44099</v>
      </c>
      <c r="B494">
        <v>3.3498999999999999</v>
      </c>
      <c r="C494">
        <v>3.8389000000000002</v>
      </c>
      <c r="D494">
        <v>3.3</v>
      </c>
      <c r="E494">
        <v>3.7734000000000001</v>
      </c>
      <c r="F494">
        <v>733126.07</v>
      </c>
      <c r="G494">
        <v>12.64</v>
      </c>
      <c r="L494" t="s">
        <v>8</v>
      </c>
      <c r="M494" t="s">
        <v>8</v>
      </c>
      <c r="N494" t="s">
        <v>7</v>
      </c>
      <c r="P494">
        <f t="shared" si="979"/>
        <v>0.75691222861384277</v>
      </c>
      <c r="Q494">
        <f t="shared" si="980"/>
        <v>554912.08749860805</v>
      </c>
      <c r="R494">
        <f t="shared" si="981"/>
        <v>-3965005.7823589919</v>
      </c>
      <c r="S494">
        <f t="shared" si="982"/>
        <v>-39.650057823589918</v>
      </c>
      <c r="T494">
        <f t="shared" si="983"/>
        <v>-3.9650057823589921E-2</v>
      </c>
    </row>
    <row r="495" spans="1:20" x14ac:dyDescent="0.25">
      <c r="A495" s="5">
        <v>44098</v>
      </c>
      <c r="B495">
        <v>3.1147</v>
      </c>
      <c r="C495">
        <v>3.3866000000000001</v>
      </c>
      <c r="D495">
        <v>3.0143</v>
      </c>
      <c r="E495">
        <v>3.3485999999999998</v>
      </c>
      <c r="F495">
        <v>684904.69</v>
      </c>
      <c r="G495">
        <v>7.51</v>
      </c>
      <c r="L495" t="s">
        <v>8</v>
      </c>
      <c r="M495" t="s">
        <v>7</v>
      </c>
      <c r="N495" t="s">
        <v>7</v>
      </c>
      <c r="P495">
        <f t="shared" si="979"/>
        <v>0.79586355089981065</v>
      </c>
      <c r="Q495">
        <f t="shared" si="980"/>
        <v>545090.67861133395</v>
      </c>
      <c r="R495">
        <f t="shared" si="981"/>
        <v>-4519917.8698576</v>
      </c>
      <c r="S495">
        <f t="shared" si="982"/>
        <v>-45.199178698575999</v>
      </c>
      <c r="T495">
        <f t="shared" si="983"/>
        <v>-4.5199178698575995E-2</v>
      </c>
    </row>
    <row r="496" spans="1:20" x14ac:dyDescent="0.25">
      <c r="A496" s="5">
        <v>44097</v>
      </c>
      <c r="B496">
        <v>3.2890000000000001</v>
      </c>
      <c r="C496">
        <v>3.3077999999999999</v>
      </c>
      <c r="D496">
        <v>3.0110000000000001</v>
      </c>
      <c r="E496">
        <v>3.1110000000000002</v>
      </c>
      <c r="F496">
        <v>866429.29</v>
      </c>
      <c r="G496">
        <v>-5.41</v>
      </c>
      <c r="L496" t="s">
        <v>7</v>
      </c>
      <c r="M496" t="s">
        <v>7</v>
      </c>
      <c r="N496" t="s">
        <v>7</v>
      </c>
      <c r="P496">
        <f t="shared" si="979"/>
        <v>-0.3261455525606457</v>
      </c>
      <c r="Q496">
        <f t="shared" si="980"/>
        <v>-282582.05954177794</v>
      </c>
      <c r="R496">
        <f t="shared" si="981"/>
        <v>-5065008.5484689344</v>
      </c>
      <c r="S496">
        <f t="shared" si="982"/>
        <v>-50.650085484689342</v>
      </c>
      <c r="T496">
        <f t="shared" si="983"/>
        <v>-5.0650085484689342E-2</v>
      </c>
    </row>
    <row r="497" spans="1:20" x14ac:dyDescent="0.25">
      <c r="A497" s="5">
        <v>44096</v>
      </c>
      <c r="B497">
        <v>3.1747000000000001</v>
      </c>
      <c r="C497">
        <v>3.3077000000000001</v>
      </c>
      <c r="D497">
        <v>2.9784000000000002</v>
      </c>
      <c r="E497">
        <v>3.2898000000000001</v>
      </c>
      <c r="F497">
        <v>1261983.4099999999</v>
      </c>
      <c r="G497">
        <v>3.63</v>
      </c>
      <c r="L497" t="s">
        <v>8</v>
      </c>
      <c r="M497" t="s">
        <v>7</v>
      </c>
      <c r="N497" t="s">
        <v>7</v>
      </c>
      <c r="P497">
        <f t="shared" si="979"/>
        <v>0.89128454296993609</v>
      </c>
      <c r="Q497">
        <f t="shared" si="980"/>
        <v>1124786.3068174913</v>
      </c>
      <c r="R497">
        <f t="shared" si="981"/>
        <v>-4782426.4889271567</v>
      </c>
      <c r="S497">
        <f t="shared" si="982"/>
        <v>-47.824264889271568</v>
      </c>
      <c r="T497">
        <f t="shared" si="983"/>
        <v>-4.7824264889271564E-2</v>
      </c>
    </row>
    <row r="498" spans="1:20" x14ac:dyDescent="0.25">
      <c r="A498" s="5">
        <v>44095</v>
      </c>
      <c r="B498">
        <v>3.7582</v>
      </c>
      <c r="C498">
        <v>3.8986999999999998</v>
      </c>
      <c r="D498">
        <v>2.9363999999999999</v>
      </c>
      <c r="E498">
        <v>3.1695000000000002</v>
      </c>
      <c r="F498">
        <v>1545577.13</v>
      </c>
      <c r="G498">
        <v>-15.66</v>
      </c>
      <c r="L498" t="s">
        <v>7</v>
      </c>
      <c r="M498" t="s">
        <v>7</v>
      </c>
      <c r="N498" t="s">
        <v>7</v>
      </c>
      <c r="P498">
        <f t="shared" si="979"/>
        <v>-0.51553569572898195</v>
      </c>
      <c r="Q498">
        <f t="shared" si="980"/>
        <v>-796800.18101735308</v>
      </c>
      <c r="R498">
        <f t="shared" si="981"/>
        <v>-5907212.7957446482</v>
      </c>
      <c r="S498">
        <f t="shared" si="982"/>
        <v>-59.072127957446483</v>
      </c>
      <c r="T498">
        <f t="shared" si="983"/>
        <v>-5.9072127957446485E-2</v>
      </c>
    </row>
    <row r="499" spans="1:20" x14ac:dyDescent="0.25">
      <c r="A499" s="5">
        <v>44094</v>
      </c>
      <c r="B499">
        <v>4.2137000000000002</v>
      </c>
      <c r="C499">
        <v>4.2507000000000001</v>
      </c>
      <c r="D499">
        <v>3.7000999999999999</v>
      </c>
      <c r="E499">
        <v>3.7597999999999998</v>
      </c>
      <c r="F499">
        <v>642279.93000000005</v>
      </c>
      <c r="G499">
        <v>-10.77</v>
      </c>
      <c r="L499" t="s">
        <v>7</v>
      </c>
      <c r="M499" t="s">
        <v>7</v>
      </c>
      <c r="N499" t="s">
        <v>7</v>
      </c>
      <c r="P499">
        <f t="shared" si="979"/>
        <v>-0.78314565928078517</v>
      </c>
      <c r="Q499">
        <f t="shared" si="980"/>
        <v>-502998.7392226666</v>
      </c>
      <c r="R499">
        <f t="shared" si="981"/>
        <v>-5110412.614727295</v>
      </c>
      <c r="S499">
        <f t="shared" si="982"/>
        <v>-51.10412614727295</v>
      </c>
      <c r="T499">
        <f t="shared" si="983"/>
        <v>-5.110412614727295E-2</v>
      </c>
    </row>
    <row r="500" spans="1:20" x14ac:dyDescent="0.25">
      <c r="A500" s="5">
        <v>44093</v>
      </c>
      <c r="B500">
        <v>4.3125</v>
      </c>
      <c r="C500">
        <v>4.3409000000000004</v>
      </c>
      <c r="D500">
        <v>4.04</v>
      </c>
      <c r="E500">
        <v>4.2203999999999997</v>
      </c>
      <c r="F500">
        <v>594503.57999999996</v>
      </c>
      <c r="G500">
        <v>-2.14</v>
      </c>
      <c r="L500" t="s">
        <v>7</v>
      </c>
      <c r="M500" t="s">
        <v>7</v>
      </c>
      <c r="N500" t="s">
        <v>7</v>
      </c>
      <c r="P500">
        <f t="shared" si="979"/>
        <v>0.19906945829178757</v>
      </c>
      <c r="Q500">
        <f t="shared" si="980"/>
        <v>118347.50562312838</v>
      </c>
      <c r="R500">
        <f t="shared" si="981"/>
        <v>-4607413.8755046288</v>
      </c>
      <c r="S500">
        <f t="shared" si="982"/>
        <v>-46.074138755046285</v>
      </c>
      <c r="T500">
        <f t="shared" si="983"/>
        <v>-4.6074138755046283E-2</v>
      </c>
    </row>
    <row r="501" spans="1:20" x14ac:dyDescent="0.25">
      <c r="A501" s="5">
        <v>44092</v>
      </c>
      <c r="B501">
        <v>4.2988</v>
      </c>
      <c r="C501">
        <v>4.55</v>
      </c>
      <c r="D501">
        <v>4.2435</v>
      </c>
      <c r="E501">
        <v>4.3064</v>
      </c>
      <c r="F501">
        <v>462469.63</v>
      </c>
      <c r="G501">
        <v>0.18</v>
      </c>
      <c r="L501" t="s">
        <v>7</v>
      </c>
      <c r="M501" t="s">
        <v>7</v>
      </c>
      <c r="N501" t="s">
        <v>7</v>
      </c>
      <c r="P501">
        <f t="shared" si="979"/>
        <v>-0.58955954323001625</v>
      </c>
      <c r="Q501">
        <f t="shared" si="980"/>
        <v>-272653.38382055465</v>
      </c>
      <c r="R501">
        <f t="shared" si="981"/>
        <v>-4725761.381127757</v>
      </c>
      <c r="S501">
        <f t="shared" si="982"/>
        <v>-47.257613811277572</v>
      </c>
      <c r="T501">
        <f t="shared" si="983"/>
        <v>-4.725761381127757E-2</v>
      </c>
    </row>
    <row r="502" spans="1:20" x14ac:dyDescent="0.25">
      <c r="A502" s="5">
        <v>44091</v>
      </c>
      <c r="B502">
        <v>4.3907999999999996</v>
      </c>
      <c r="C502">
        <v>4.78</v>
      </c>
      <c r="D502">
        <v>4.1619000000000002</v>
      </c>
      <c r="E502">
        <v>4.2962999999999996</v>
      </c>
      <c r="F502">
        <v>632442.13</v>
      </c>
      <c r="G502">
        <v>-2.15</v>
      </c>
      <c r="L502" t="s">
        <v>8</v>
      </c>
      <c r="M502" t="s">
        <v>7</v>
      </c>
      <c r="N502" t="s">
        <v>7</v>
      </c>
      <c r="P502">
        <f t="shared" si="979"/>
        <v>-0.56511891279728399</v>
      </c>
      <c r="Q502">
        <f t="shared" si="980"/>
        <v>-357405.00891279854</v>
      </c>
      <c r="R502">
        <f t="shared" si="981"/>
        <v>-4453107.9973072028</v>
      </c>
      <c r="S502">
        <f t="shared" si="982"/>
        <v>-44.531079973072025</v>
      </c>
      <c r="T502">
        <f t="shared" si="983"/>
        <v>-4.4531079973072027E-2</v>
      </c>
    </row>
    <row r="503" spans="1:20" x14ac:dyDescent="0.25">
      <c r="A503" s="5">
        <v>44090</v>
      </c>
      <c r="B503">
        <v>4.3369</v>
      </c>
      <c r="C503">
        <v>4.5632999999999999</v>
      </c>
      <c r="D503">
        <v>4.1360999999999999</v>
      </c>
      <c r="E503">
        <v>4.399</v>
      </c>
      <c r="F503">
        <v>541684.61</v>
      </c>
      <c r="G503">
        <v>1.43</v>
      </c>
      <c r="L503" t="s">
        <v>7</v>
      </c>
      <c r="M503" t="s">
        <v>7</v>
      </c>
      <c r="N503" t="s">
        <v>7</v>
      </c>
      <c r="P503">
        <f t="shared" si="979"/>
        <v>0.23080524344569345</v>
      </c>
      <c r="Q503">
        <f t="shared" si="980"/>
        <v>125023.64828183551</v>
      </c>
      <c r="R503">
        <f t="shared" si="981"/>
        <v>-4095702.9883944043</v>
      </c>
      <c r="S503">
        <f t="shared" si="982"/>
        <v>-40.957029883944045</v>
      </c>
      <c r="T503">
        <f t="shared" si="983"/>
        <v>-4.0957029883944049E-2</v>
      </c>
    </row>
    <row r="504" spans="1:20" x14ac:dyDescent="0.25">
      <c r="A504" s="5">
        <v>44089</v>
      </c>
      <c r="B504">
        <v>5.5209000000000001</v>
      </c>
      <c r="C504">
        <v>5.8194999999999997</v>
      </c>
      <c r="D504">
        <v>4.3109999999999999</v>
      </c>
      <c r="E504">
        <v>4.3375000000000004</v>
      </c>
      <c r="F504">
        <v>1284827.8500000001</v>
      </c>
      <c r="G504">
        <v>-21.43</v>
      </c>
      <c r="L504" t="s">
        <v>7</v>
      </c>
      <c r="M504" t="s">
        <v>7</v>
      </c>
      <c r="N504" t="s">
        <v>8</v>
      </c>
      <c r="P504">
        <f t="shared" si="979"/>
        <v>-0.96486576068942598</v>
      </c>
      <c r="Q504">
        <f t="shared" si="980"/>
        <v>-1239686.4008452098</v>
      </c>
      <c r="R504">
        <f t="shared" si="981"/>
        <v>-4220726.6366762398</v>
      </c>
      <c r="S504">
        <f t="shared" si="982"/>
        <v>-42.207266366762397</v>
      </c>
      <c r="T504">
        <f t="shared" si="983"/>
        <v>-4.2207266366762398E-2</v>
      </c>
    </row>
    <row r="505" spans="1:20" x14ac:dyDescent="0.25">
      <c r="A505" s="5">
        <v>44088</v>
      </c>
      <c r="B505">
        <v>4.9497</v>
      </c>
      <c r="C505">
        <v>5.9946000000000002</v>
      </c>
      <c r="D505">
        <v>4.8352000000000004</v>
      </c>
      <c r="E505">
        <v>5.5263</v>
      </c>
      <c r="F505">
        <v>1399803.14</v>
      </c>
      <c r="G505">
        <v>11.65</v>
      </c>
      <c r="L505" t="s">
        <v>8</v>
      </c>
      <c r="M505" t="s">
        <v>8</v>
      </c>
      <c r="N505" t="s">
        <v>8</v>
      </c>
      <c r="P505">
        <f t="shared" si="979"/>
        <v>0.19216836294635112</v>
      </c>
      <c r="Q505">
        <f t="shared" si="980"/>
        <v>268997.87786096195</v>
      </c>
      <c r="R505">
        <f t="shared" si="981"/>
        <v>-2981040.2358310302</v>
      </c>
      <c r="S505">
        <f t="shared" si="982"/>
        <v>-29.810402358310302</v>
      </c>
      <c r="T505">
        <f t="shared" si="983"/>
        <v>-2.9810402358310301E-2</v>
      </c>
    </row>
    <row r="506" spans="1:20" x14ac:dyDescent="0.25">
      <c r="A506" s="5">
        <v>44087</v>
      </c>
      <c r="B506">
        <v>4.7969999999999997</v>
      </c>
      <c r="C506">
        <v>5.2718999999999996</v>
      </c>
      <c r="D506">
        <v>4.6074999999999999</v>
      </c>
      <c r="E506">
        <v>4.9512999999999998</v>
      </c>
      <c r="F506">
        <v>1403711.22</v>
      </c>
      <c r="G506">
        <v>3.22</v>
      </c>
      <c r="L506" t="s">
        <v>8</v>
      </c>
      <c r="M506" t="s">
        <v>8</v>
      </c>
      <c r="N506" t="s">
        <v>8</v>
      </c>
      <c r="P506">
        <f t="shared" si="979"/>
        <v>3.4918723660445697E-2</v>
      </c>
      <c r="Q506">
        <f t="shared" si="980"/>
        <v>49015.804190247094</v>
      </c>
      <c r="R506">
        <f t="shared" si="981"/>
        <v>-3250038.1136919921</v>
      </c>
      <c r="S506">
        <f t="shared" si="982"/>
        <v>-32.50038113691992</v>
      </c>
      <c r="T506">
        <f t="shared" si="983"/>
        <v>-3.2500381136919922E-2</v>
      </c>
    </row>
    <row r="507" spans="1:20" x14ac:dyDescent="0.25">
      <c r="A507" s="5">
        <v>44086</v>
      </c>
      <c r="B507">
        <v>4.4372999999999996</v>
      </c>
      <c r="C507">
        <v>4.8829000000000002</v>
      </c>
      <c r="D507">
        <v>4.2760999999999996</v>
      </c>
      <c r="E507">
        <v>4.7859999999999996</v>
      </c>
      <c r="F507">
        <v>484229.4</v>
      </c>
      <c r="G507">
        <v>7.86</v>
      </c>
      <c r="L507" t="s">
        <v>8</v>
      </c>
      <c r="M507" t="s">
        <v>8</v>
      </c>
      <c r="N507" t="s">
        <v>7</v>
      </c>
      <c r="P507">
        <f t="shared" si="979"/>
        <v>0.68061964403427644</v>
      </c>
      <c r="Q507">
        <f t="shared" si="980"/>
        <v>329576.04185893125</v>
      </c>
      <c r="R507">
        <f t="shared" si="981"/>
        <v>-3299053.9178822394</v>
      </c>
      <c r="S507">
        <f t="shared" si="982"/>
        <v>-32.990539178822395</v>
      </c>
      <c r="T507">
        <f t="shared" si="983"/>
        <v>-3.2990539178822394E-2</v>
      </c>
    </row>
    <row r="508" spans="1:20" x14ac:dyDescent="0.25">
      <c r="A508" s="5">
        <v>44085</v>
      </c>
      <c r="B508">
        <v>4.6142000000000003</v>
      </c>
      <c r="C508">
        <v>4.6289999999999996</v>
      </c>
      <c r="D508">
        <v>4.0826000000000002</v>
      </c>
      <c r="E508">
        <v>4.4372999999999996</v>
      </c>
      <c r="F508">
        <v>516931.72</v>
      </c>
      <c r="G508">
        <v>-3.83</v>
      </c>
      <c r="L508" t="s">
        <v>7</v>
      </c>
      <c r="M508" t="s">
        <v>8</v>
      </c>
      <c r="N508" t="s">
        <v>7</v>
      </c>
      <c r="P508">
        <f t="shared" si="979"/>
        <v>0.29831625183016025</v>
      </c>
      <c r="Q508">
        <f t="shared" si="980"/>
        <v>154209.13316251789</v>
      </c>
      <c r="R508">
        <f t="shared" si="981"/>
        <v>-3628629.9597411705</v>
      </c>
      <c r="S508">
        <f t="shared" si="982"/>
        <v>-36.286299597411706</v>
      </c>
      <c r="T508">
        <f t="shared" si="983"/>
        <v>-3.6286299597411704E-2</v>
      </c>
    </row>
    <row r="509" spans="1:20" x14ac:dyDescent="0.25">
      <c r="A509" s="5">
        <v>44084</v>
      </c>
      <c r="B509">
        <v>4.6050000000000004</v>
      </c>
      <c r="C509">
        <v>4.7497999999999996</v>
      </c>
      <c r="D509">
        <v>4.3494999999999999</v>
      </c>
      <c r="E509">
        <v>4.6161000000000003</v>
      </c>
      <c r="F509">
        <v>673474.69</v>
      </c>
      <c r="G509">
        <v>0.24</v>
      </c>
      <c r="L509" t="s">
        <v>8</v>
      </c>
      <c r="M509" t="s">
        <v>8</v>
      </c>
      <c r="N509" t="s">
        <v>7</v>
      </c>
      <c r="P509">
        <f t="shared" si="979"/>
        <v>0.3320009992505652</v>
      </c>
      <c r="Q509">
        <f t="shared" si="980"/>
        <v>223594.2700499646</v>
      </c>
      <c r="R509">
        <f t="shared" si="981"/>
        <v>-3782839.0929036885</v>
      </c>
      <c r="S509">
        <f t="shared" si="982"/>
        <v>-37.828390929036885</v>
      </c>
      <c r="T509">
        <f t="shared" si="983"/>
        <v>-3.7828390929036886E-2</v>
      </c>
    </row>
    <row r="510" spans="1:20" x14ac:dyDescent="0.25">
      <c r="A510" s="5">
        <v>44083</v>
      </c>
      <c r="B510">
        <v>4.0294999999999996</v>
      </c>
      <c r="C510">
        <v>4.6435000000000004</v>
      </c>
      <c r="D510">
        <v>3.9054000000000002</v>
      </c>
      <c r="E510">
        <v>4.6143000000000001</v>
      </c>
      <c r="F510">
        <v>537347.19999999995</v>
      </c>
      <c r="G510">
        <v>14.51</v>
      </c>
      <c r="L510" t="s">
        <v>8</v>
      </c>
      <c r="M510" t="s">
        <v>8</v>
      </c>
      <c r="N510" t="s">
        <v>7</v>
      </c>
      <c r="P510">
        <f t="shared" si="979"/>
        <v>0.92087792981980676</v>
      </c>
      <c r="Q510">
        <f t="shared" si="980"/>
        <v>494831.17713046964</v>
      </c>
      <c r="R510">
        <f t="shared" si="981"/>
        <v>-4006433.3629536531</v>
      </c>
      <c r="S510">
        <f t="shared" si="982"/>
        <v>-40.064333629536534</v>
      </c>
      <c r="T510">
        <f t="shared" si="983"/>
        <v>-4.0064333629536535E-2</v>
      </c>
    </row>
    <row r="511" spans="1:20" x14ac:dyDescent="0.25">
      <c r="A511" s="5">
        <v>44082</v>
      </c>
      <c r="B511">
        <v>4.5350000000000001</v>
      </c>
      <c r="C511">
        <v>4.5556999999999999</v>
      </c>
      <c r="D511">
        <v>3.9005999999999998</v>
      </c>
      <c r="E511">
        <v>4.0294999999999996</v>
      </c>
      <c r="F511">
        <v>293976.57</v>
      </c>
      <c r="G511">
        <v>-11.15</v>
      </c>
      <c r="L511" t="s">
        <v>7</v>
      </c>
      <c r="M511" t="s">
        <v>7</v>
      </c>
      <c r="N511" t="s">
        <v>7</v>
      </c>
      <c r="P511">
        <f t="shared" si="979"/>
        <v>-0.60647229430621341</v>
      </c>
      <c r="Q511">
        <f t="shared" si="980"/>
        <v>-178288.64488017117</v>
      </c>
      <c r="R511">
        <f t="shared" si="981"/>
        <v>-4501264.5400841227</v>
      </c>
      <c r="S511">
        <f t="shared" si="982"/>
        <v>-45.01264540084123</v>
      </c>
      <c r="T511">
        <f t="shared" si="983"/>
        <v>-4.5012645400841232E-2</v>
      </c>
    </row>
    <row r="512" spans="1:20" x14ac:dyDescent="0.25">
      <c r="A512" s="5">
        <v>44081</v>
      </c>
      <c r="B512">
        <v>4.7295999999999996</v>
      </c>
      <c r="C512">
        <v>4.9249999999999998</v>
      </c>
      <c r="D512">
        <v>4.01</v>
      </c>
      <c r="E512">
        <v>4.5307000000000004</v>
      </c>
      <c r="F512">
        <v>346788.37</v>
      </c>
      <c r="G512">
        <v>-4.21</v>
      </c>
      <c r="L512" t="s">
        <v>8</v>
      </c>
      <c r="M512" t="s">
        <v>8</v>
      </c>
      <c r="N512" t="s">
        <v>7</v>
      </c>
      <c r="P512">
        <f t="shared" si="979"/>
        <v>0.13814207650273352</v>
      </c>
      <c r="Q512">
        <f t="shared" si="980"/>
        <v>47906.065538798255</v>
      </c>
      <c r="R512">
        <f t="shared" si="981"/>
        <v>-4322975.8952039517</v>
      </c>
      <c r="S512">
        <f t="shared" si="982"/>
        <v>-43.229758952039518</v>
      </c>
      <c r="T512">
        <f t="shared" si="983"/>
        <v>-4.3229758952039517E-2</v>
      </c>
    </row>
    <row r="513" spans="1:20" x14ac:dyDescent="0.25">
      <c r="A513" s="5">
        <v>44080</v>
      </c>
      <c r="B513">
        <v>4.2695999999999996</v>
      </c>
      <c r="C513">
        <v>5.3278999999999996</v>
      </c>
      <c r="D513">
        <v>3.7682000000000002</v>
      </c>
      <c r="E513">
        <v>4.7415000000000003</v>
      </c>
      <c r="F513">
        <v>654329.05000000005</v>
      </c>
      <c r="G513">
        <v>11.05</v>
      </c>
      <c r="L513" t="s">
        <v>7</v>
      </c>
      <c r="M513" t="s">
        <v>7</v>
      </c>
      <c r="N513" t="s">
        <v>7</v>
      </c>
      <c r="P513">
        <f t="shared" si="979"/>
        <v>0.24806052445983257</v>
      </c>
      <c r="Q513">
        <f t="shared" si="980"/>
        <v>162313.207312304</v>
      </c>
      <c r="R513">
        <f t="shared" si="981"/>
        <v>-4370881.9607427502</v>
      </c>
      <c r="S513">
        <f t="shared" si="982"/>
        <v>-43.7088196074275</v>
      </c>
      <c r="T513">
        <f t="shared" si="983"/>
        <v>-4.37088196074275E-2</v>
      </c>
    </row>
    <row r="514" spans="1:20" x14ac:dyDescent="0.25">
      <c r="A514" s="5">
        <v>44079</v>
      </c>
      <c r="B514">
        <v>5.5274999999999999</v>
      </c>
      <c r="C514">
        <v>5.6098999999999997</v>
      </c>
      <c r="D514">
        <v>4</v>
      </c>
      <c r="E514">
        <v>4.3315000000000001</v>
      </c>
      <c r="F514">
        <v>674124.81</v>
      </c>
      <c r="G514">
        <v>-21.64</v>
      </c>
      <c r="L514" t="s">
        <v>7</v>
      </c>
      <c r="M514" t="s">
        <v>7</v>
      </c>
      <c r="N514" t="s">
        <v>7</v>
      </c>
      <c r="P514">
        <f t="shared" si="979"/>
        <v>-0.58817317845828909</v>
      </c>
      <c r="Q514">
        <f t="shared" si="980"/>
        <v>-396502.13217529026</v>
      </c>
      <c r="R514">
        <f t="shared" si="981"/>
        <v>-4533195.1680550538</v>
      </c>
      <c r="S514">
        <f t="shared" si="982"/>
        <v>-45.331951680550539</v>
      </c>
      <c r="T514">
        <f t="shared" si="983"/>
        <v>-4.5331951680550542E-2</v>
      </c>
    </row>
    <row r="515" spans="1:20" x14ac:dyDescent="0.25">
      <c r="A515" s="5">
        <v>44078</v>
      </c>
      <c r="B515">
        <v>4.8331</v>
      </c>
      <c r="C515">
        <v>5.8977000000000004</v>
      </c>
      <c r="D515">
        <v>4.6500000000000004</v>
      </c>
      <c r="E515">
        <v>5.5275999999999996</v>
      </c>
      <c r="F515">
        <v>802123.5</v>
      </c>
      <c r="G515">
        <v>14.37</v>
      </c>
      <c r="L515" t="s">
        <v>7</v>
      </c>
      <c r="M515" t="s">
        <v>7</v>
      </c>
      <c r="N515" t="s">
        <v>7</v>
      </c>
      <c r="P515">
        <f t="shared" si="979"/>
        <v>0.4067484170874397</v>
      </c>
      <c r="Q515">
        <f t="shared" si="980"/>
        <v>326262.46393363696</v>
      </c>
      <c r="R515">
        <f t="shared" si="981"/>
        <v>-4136693.0358797633</v>
      </c>
      <c r="S515">
        <f t="shared" si="982"/>
        <v>-41.366930358797632</v>
      </c>
      <c r="T515">
        <f t="shared" si="983"/>
        <v>-4.1366930358797634E-2</v>
      </c>
    </row>
    <row r="516" spans="1:20" x14ac:dyDescent="0.25">
      <c r="A516" s="5">
        <v>44077</v>
      </c>
      <c r="B516">
        <v>6.3292000000000002</v>
      </c>
      <c r="C516">
        <v>6.3769</v>
      </c>
      <c r="D516">
        <v>4.8274999999999997</v>
      </c>
      <c r="E516">
        <v>4.8274999999999997</v>
      </c>
      <c r="F516">
        <v>951356.59</v>
      </c>
      <c r="G516">
        <v>-23.73</v>
      </c>
      <c r="L516" t="s">
        <v>7</v>
      </c>
      <c r="M516" t="s">
        <v>7</v>
      </c>
      <c r="N516" t="s">
        <v>7</v>
      </c>
      <c r="P516">
        <f t="shared" si="979"/>
        <v>-1</v>
      </c>
      <c r="Q516">
        <f t="shared" si="980"/>
        <v>-951356.59</v>
      </c>
      <c r="R516">
        <f t="shared" si="981"/>
        <v>-4462955.4998134002</v>
      </c>
      <c r="S516">
        <f t="shared" si="982"/>
        <v>-44.629554998134005</v>
      </c>
      <c r="T516">
        <f t="shared" si="983"/>
        <v>-4.4629554998134008E-2</v>
      </c>
    </row>
    <row r="517" spans="1:20" x14ac:dyDescent="0.25">
      <c r="A517" s="5">
        <v>44076</v>
      </c>
      <c r="B517">
        <v>7.4170999999999996</v>
      </c>
      <c r="C517">
        <v>7.5377999999999998</v>
      </c>
      <c r="D517">
        <v>5.7777000000000003</v>
      </c>
      <c r="E517">
        <v>6.3460000000000001</v>
      </c>
      <c r="F517">
        <v>1037862.12</v>
      </c>
      <c r="G517">
        <v>-14.44</v>
      </c>
      <c r="L517" t="s">
        <v>7</v>
      </c>
      <c r="M517" t="s">
        <v>7</v>
      </c>
      <c r="N517" t="s">
        <v>7</v>
      </c>
      <c r="P517">
        <f t="shared" si="979"/>
        <v>-0.35424123629339249</v>
      </c>
      <c r="Q517">
        <f t="shared" si="980"/>
        <v>-367653.56049088127</v>
      </c>
      <c r="R517">
        <f t="shared" si="981"/>
        <v>-3511598.9098133999</v>
      </c>
      <c r="S517">
        <f t="shared" si="982"/>
        <v>-35.115989098134001</v>
      </c>
      <c r="T517">
        <f t="shared" si="983"/>
        <v>-3.5115989098134001E-2</v>
      </c>
    </row>
    <row r="518" spans="1:20" x14ac:dyDescent="0.25">
      <c r="A518" s="5">
        <v>44075</v>
      </c>
      <c r="B518">
        <v>8.1752000000000002</v>
      </c>
      <c r="C518">
        <v>8.5</v>
      </c>
      <c r="D518">
        <v>7.3144999999999998</v>
      </c>
      <c r="E518">
        <v>7.4176000000000002</v>
      </c>
      <c r="F518">
        <v>630139.63</v>
      </c>
      <c r="G518">
        <v>-9.27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-0.82606495149725789</v>
      </c>
      <c r="Q518">
        <f t="shared" ref="Q518:Q581" si="985">F518*P518</f>
        <v>-520536.26289245003</v>
      </c>
      <c r="R518">
        <f t="shared" ref="R518:R581" si="986">R519+Q518</f>
        <v>-3143945.3493225188</v>
      </c>
      <c r="S518">
        <f t="shared" ref="S518:S581" si="987">R518/100000</f>
        <v>-31.439453493225187</v>
      </c>
      <c r="T518">
        <f t="shared" ref="T518:T581" si="988">S518/1000</f>
        <v>-3.1439453493225189E-2</v>
      </c>
    </row>
    <row r="519" spans="1:20" x14ac:dyDescent="0.25">
      <c r="A519" s="5">
        <v>44074</v>
      </c>
      <c r="B519">
        <v>8.9339999999999993</v>
      </c>
      <c r="C519">
        <v>8.9570000000000007</v>
      </c>
      <c r="D519">
        <v>7.8</v>
      </c>
      <c r="E519">
        <v>8.18</v>
      </c>
      <c r="F519">
        <v>1026924.55</v>
      </c>
      <c r="G519">
        <v>-8.44</v>
      </c>
      <c r="L519" t="s">
        <v>7</v>
      </c>
      <c r="M519" t="s">
        <v>8</v>
      </c>
      <c r="N519" t="s">
        <v>7</v>
      </c>
      <c r="P519">
        <f t="shared" si="984"/>
        <v>-0.34312878133102925</v>
      </c>
      <c r="Q519">
        <f t="shared" si="985"/>
        <v>-352367.36936041561</v>
      </c>
      <c r="R519">
        <f t="shared" si="986"/>
        <v>-2623409.0864300686</v>
      </c>
      <c r="S519">
        <f t="shared" si="987"/>
        <v>-26.234090864300686</v>
      </c>
      <c r="T519">
        <f t="shared" si="988"/>
        <v>-2.6234090864300685E-2</v>
      </c>
    </row>
    <row r="520" spans="1:20" x14ac:dyDescent="0.25">
      <c r="A520" s="5">
        <v>44073</v>
      </c>
      <c r="B520">
        <v>7.3579999999999997</v>
      </c>
      <c r="C520">
        <v>9.1628000000000007</v>
      </c>
      <c r="D520">
        <v>7.2336999999999998</v>
      </c>
      <c r="E520">
        <v>8.9413999999999998</v>
      </c>
      <c r="F520">
        <v>1332900.2</v>
      </c>
      <c r="G520">
        <v>21.52</v>
      </c>
      <c r="L520" t="s">
        <v>8</v>
      </c>
      <c r="M520" t="s">
        <v>8</v>
      </c>
      <c r="N520" t="s">
        <v>7</v>
      </c>
      <c r="P520">
        <f t="shared" si="984"/>
        <v>0.77046291016536128</v>
      </c>
      <c r="Q520">
        <f t="shared" si="985"/>
        <v>1026950.167051992</v>
      </c>
      <c r="R520">
        <f t="shared" si="986"/>
        <v>-2271041.7170696529</v>
      </c>
      <c r="S520">
        <f t="shared" si="987"/>
        <v>-22.71041717069653</v>
      </c>
      <c r="T520">
        <f t="shared" si="988"/>
        <v>-2.271041717069653E-2</v>
      </c>
    </row>
    <row r="521" spans="1:20" x14ac:dyDescent="0.25">
      <c r="A521" s="5">
        <v>44072</v>
      </c>
      <c r="B521">
        <v>7.9420000000000002</v>
      </c>
      <c r="C521">
        <v>7.9420000000000002</v>
      </c>
      <c r="D521">
        <v>7.2142999999999997</v>
      </c>
      <c r="E521">
        <v>7.3695000000000004</v>
      </c>
      <c r="F521">
        <v>850168.72</v>
      </c>
      <c r="G521">
        <v>-7.21</v>
      </c>
      <c r="L521" t="s">
        <v>7</v>
      </c>
      <c r="M521" t="s">
        <v>7</v>
      </c>
      <c r="N521" t="s">
        <v>7</v>
      </c>
      <c r="P521">
        <f t="shared" si="984"/>
        <v>-0.57345059777380636</v>
      </c>
      <c r="Q521">
        <f t="shared" si="985"/>
        <v>-487529.76069259178</v>
      </c>
      <c r="R521">
        <f t="shared" si="986"/>
        <v>-3297991.8841216448</v>
      </c>
      <c r="S521">
        <f t="shared" si="987"/>
        <v>-32.979918841216445</v>
      </c>
      <c r="T521">
        <f t="shared" si="988"/>
        <v>-3.2979918841216448E-2</v>
      </c>
    </row>
    <row r="522" spans="1:20" x14ac:dyDescent="0.25">
      <c r="A522" s="5">
        <v>44071</v>
      </c>
      <c r="B522">
        <v>8.33</v>
      </c>
      <c r="C522">
        <v>8.3835999999999995</v>
      </c>
      <c r="D522">
        <v>7.39</v>
      </c>
      <c r="E522">
        <v>7.9420000000000002</v>
      </c>
      <c r="F522">
        <v>894923.8</v>
      </c>
      <c r="G522">
        <v>-4.66</v>
      </c>
      <c r="L522" t="s">
        <v>8</v>
      </c>
      <c r="M522" t="s">
        <v>7</v>
      </c>
      <c r="N522" t="s">
        <v>7</v>
      </c>
      <c r="P522">
        <f t="shared" si="984"/>
        <v>0.1111111111111123</v>
      </c>
      <c r="Q522">
        <f t="shared" si="985"/>
        <v>99435.97777777884</v>
      </c>
      <c r="R522">
        <f t="shared" si="986"/>
        <v>-2810462.123429053</v>
      </c>
      <c r="S522">
        <f t="shared" si="987"/>
        <v>-28.10462123429053</v>
      </c>
      <c r="T522">
        <f t="shared" si="988"/>
        <v>-2.8104621234290531E-2</v>
      </c>
    </row>
    <row r="523" spans="1:20" x14ac:dyDescent="0.25">
      <c r="A523" s="5">
        <v>44070</v>
      </c>
      <c r="B523">
        <v>9.6150000000000002</v>
      </c>
      <c r="C523">
        <v>10.38</v>
      </c>
      <c r="D523">
        <v>7.2100999999999997</v>
      </c>
      <c r="E523">
        <v>8.3366000000000007</v>
      </c>
      <c r="F523">
        <v>2369819.02</v>
      </c>
      <c r="G523">
        <v>-13.3</v>
      </c>
      <c r="L523" t="s">
        <v>7</v>
      </c>
      <c r="M523" t="s">
        <v>7</v>
      </c>
      <c r="N523" t="s">
        <v>7</v>
      </c>
      <c r="P523">
        <f t="shared" si="984"/>
        <v>-0.28925202687781915</v>
      </c>
      <c r="Q523">
        <f t="shared" si="985"/>
        <v>-685474.95486860699</v>
      </c>
      <c r="R523">
        <f t="shared" si="986"/>
        <v>-2909898.1012068316</v>
      </c>
      <c r="S523">
        <f t="shared" si="987"/>
        <v>-29.098981012068318</v>
      </c>
      <c r="T523">
        <f t="shared" si="988"/>
        <v>-2.9098981012068318E-2</v>
      </c>
    </row>
    <row r="524" spans="1:20" x14ac:dyDescent="0.25">
      <c r="A524" s="5">
        <v>44069</v>
      </c>
      <c r="B524">
        <v>7.2599</v>
      </c>
      <c r="C524">
        <v>10.8888</v>
      </c>
      <c r="D524">
        <v>7.1360999999999999</v>
      </c>
      <c r="E524">
        <v>9.6150000000000002</v>
      </c>
      <c r="F524">
        <v>3238367.16</v>
      </c>
      <c r="G524">
        <v>32.44</v>
      </c>
      <c r="L524" t="s">
        <v>8</v>
      </c>
      <c r="M524" t="s">
        <v>8</v>
      </c>
      <c r="N524" t="s">
        <v>8</v>
      </c>
      <c r="P524">
        <f t="shared" si="984"/>
        <v>0.32112878727316352</v>
      </c>
      <c r="Q524">
        <f t="shared" si="985"/>
        <v>1039932.9188360388</v>
      </c>
      <c r="R524">
        <f t="shared" si="986"/>
        <v>-2224423.1463382244</v>
      </c>
      <c r="S524">
        <f t="shared" si="987"/>
        <v>-22.244231463382246</v>
      </c>
      <c r="T524">
        <f t="shared" si="988"/>
        <v>-2.2244231463382245E-2</v>
      </c>
    </row>
    <row r="525" spans="1:20" x14ac:dyDescent="0.25">
      <c r="A525" s="5">
        <v>44068</v>
      </c>
      <c r="B525">
        <v>6.8795999999999999</v>
      </c>
      <c r="C525">
        <v>7.6063999999999998</v>
      </c>
      <c r="D525">
        <v>6.4500999999999999</v>
      </c>
      <c r="E525">
        <v>7.2754000000000003</v>
      </c>
      <c r="F525">
        <v>1487728.97</v>
      </c>
      <c r="G525">
        <v>5.75</v>
      </c>
      <c r="L525" t="s">
        <v>8</v>
      </c>
      <c r="M525" t="s">
        <v>8</v>
      </c>
      <c r="N525" t="s">
        <v>8</v>
      </c>
      <c r="P525">
        <f t="shared" si="984"/>
        <v>0.42748421689872951</v>
      </c>
      <c r="Q525">
        <f t="shared" si="985"/>
        <v>635980.65369800339</v>
      </c>
      <c r="R525">
        <f t="shared" si="986"/>
        <v>-3264356.0651742634</v>
      </c>
      <c r="S525">
        <f t="shared" si="987"/>
        <v>-32.643560651742632</v>
      </c>
      <c r="T525">
        <f t="shared" si="988"/>
        <v>-3.2643560651742634E-2</v>
      </c>
    </row>
    <row r="526" spans="1:20" x14ac:dyDescent="0.25">
      <c r="A526" s="5">
        <v>44067</v>
      </c>
      <c r="B526">
        <v>6.1524999999999999</v>
      </c>
      <c r="C526">
        <v>7.3594999999999997</v>
      </c>
      <c r="D526">
        <v>6.1524999999999999</v>
      </c>
      <c r="E526">
        <v>6.8723000000000001</v>
      </c>
      <c r="F526">
        <v>1761648.06</v>
      </c>
      <c r="G526">
        <v>11.7</v>
      </c>
      <c r="L526" t="s">
        <v>8</v>
      </c>
      <c r="M526" t="s">
        <v>8</v>
      </c>
      <c r="N526" t="s">
        <v>8</v>
      </c>
      <c r="P526">
        <f t="shared" si="984"/>
        <v>0.19270919635459868</v>
      </c>
      <c r="Q526">
        <f t="shared" si="985"/>
        <v>339485.78190223785</v>
      </c>
      <c r="R526">
        <f t="shared" si="986"/>
        <v>-3900336.7188722668</v>
      </c>
      <c r="S526">
        <f t="shared" si="987"/>
        <v>-39.00336718872267</v>
      </c>
      <c r="T526">
        <f t="shared" si="988"/>
        <v>-3.9003367188722673E-2</v>
      </c>
    </row>
    <row r="527" spans="1:20" x14ac:dyDescent="0.25">
      <c r="A527" s="5">
        <v>44066</v>
      </c>
      <c r="B527">
        <v>5.3507999999999996</v>
      </c>
      <c r="C527">
        <v>6.3672000000000004</v>
      </c>
      <c r="D527">
        <v>5.1473000000000004</v>
      </c>
      <c r="E527">
        <v>6.1524999999999999</v>
      </c>
      <c r="F527">
        <v>1206057.83</v>
      </c>
      <c r="G527">
        <v>14.98</v>
      </c>
      <c r="L527" t="s">
        <v>8</v>
      </c>
      <c r="M527" t="s">
        <v>8</v>
      </c>
      <c r="N527" t="s">
        <v>8</v>
      </c>
      <c r="P527">
        <f t="shared" si="984"/>
        <v>0.64800393474874896</v>
      </c>
      <c r="Q527">
        <f t="shared" si="985"/>
        <v>781530.21937453782</v>
      </c>
      <c r="R527">
        <f t="shared" si="986"/>
        <v>-4239822.5007745046</v>
      </c>
      <c r="S527">
        <f t="shared" si="987"/>
        <v>-42.398225007745047</v>
      </c>
      <c r="T527">
        <f t="shared" si="988"/>
        <v>-4.2398225007745045E-2</v>
      </c>
    </row>
    <row r="528" spans="1:20" x14ac:dyDescent="0.25">
      <c r="A528" s="5">
        <v>44065</v>
      </c>
      <c r="B528">
        <v>4.9318</v>
      </c>
      <c r="C528">
        <v>5.55</v>
      </c>
      <c r="D528">
        <v>4.58</v>
      </c>
      <c r="E528">
        <v>5.3536999999999999</v>
      </c>
      <c r="F528">
        <v>769000.52</v>
      </c>
      <c r="G528">
        <v>8.5500000000000007</v>
      </c>
      <c r="L528" t="s">
        <v>7</v>
      </c>
      <c r="M528" t="s">
        <v>7</v>
      </c>
      <c r="N528" t="s">
        <v>7</v>
      </c>
      <c r="P528">
        <f t="shared" si="984"/>
        <v>0.59525773195876297</v>
      </c>
      <c r="Q528">
        <f t="shared" si="985"/>
        <v>457753.50541030936</v>
      </c>
      <c r="R528">
        <f t="shared" si="986"/>
        <v>-5021352.7201490421</v>
      </c>
      <c r="S528">
        <f t="shared" si="987"/>
        <v>-50.213527201490422</v>
      </c>
      <c r="T528">
        <f t="shared" si="988"/>
        <v>-5.0213527201490422E-2</v>
      </c>
    </row>
    <row r="529" spans="1:20" x14ac:dyDescent="0.25">
      <c r="A529" s="5">
        <v>44064</v>
      </c>
      <c r="B529">
        <v>5.343</v>
      </c>
      <c r="C529">
        <v>5.3480999999999996</v>
      </c>
      <c r="D529">
        <v>4.7801999999999998</v>
      </c>
      <c r="E529">
        <v>4.9036999999999997</v>
      </c>
      <c r="F529">
        <v>461136.39</v>
      </c>
      <c r="G529">
        <v>-8.2200000000000006</v>
      </c>
      <c r="L529" t="s">
        <v>7</v>
      </c>
      <c r="M529" t="s">
        <v>7</v>
      </c>
      <c r="N529" t="s">
        <v>7</v>
      </c>
      <c r="P529">
        <f t="shared" si="984"/>
        <v>-0.565064271878852</v>
      </c>
      <c r="Q529">
        <f t="shared" si="985"/>
        <v>-260571.69845219233</v>
      </c>
      <c r="R529">
        <f t="shared" si="986"/>
        <v>-5479106.225559351</v>
      </c>
      <c r="S529">
        <f t="shared" si="987"/>
        <v>-54.791062255593509</v>
      </c>
      <c r="T529">
        <f t="shared" si="988"/>
        <v>-5.4791062255593506E-2</v>
      </c>
    </row>
    <row r="530" spans="1:20" x14ac:dyDescent="0.25">
      <c r="A530" s="5">
        <v>44063</v>
      </c>
      <c r="B530">
        <v>5.2541000000000002</v>
      </c>
      <c r="C530">
        <v>5.5445000000000002</v>
      </c>
      <c r="D530">
        <v>4.9607999999999999</v>
      </c>
      <c r="E530">
        <v>5.3627000000000002</v>
      </c>
      <c r="F530">
        <v>452362.14</v>
      </c>
      <c r="G530">
        <v>2.0699999999999998</v>
      </c>
      <c r="L530" t="s">
        <v>7</v>
      </c>
      <c r="M530" t="s">
        <v>7</v>
      </c>
      <c r="N530" t="s">
        <v>7</v>
      </c>
      <c r="P530">
        <f t="shared" si="984"/>
        <v>0.3770772657186916</v>
      </c>
      <c r="Q530">
        <f t="shared" si="985"/>
        <v>170575.47886585598</v>
      </c>
      <c r="R530">
        <f t="shared" si="986"/>
        <v>-5218534.5271071587</v>
      </c>
      <c r="S530">
        <f t="shared" si="987"/>
        <v>-52.18534527107159</v>
      </c>
      <c r="T530">
        <f t="shared" si="988"/>
        <v>-5.218534527107159E-2</v>
      </c>
    </row>
    <row r="531" spans="1:20" x14ac:dyDescent="0.25">
      <c r="A531" s="5">
        <v>44062</v>
      </c>
      <c r="B531">
        <v>5.7535999999999996</v>
      </c>
      <c r="C531">
        <v>5.9271000000000003</v>
      </c>
      <c r="D531">
        <v>5.0713999999999997</v>
      </c>
      <c r="E531">
        <v>5.2541000000000002</v>
      </c>
      <c r="F531">
        <v>503913.22</v>
      </c>
      <c r="G531">
        <v>-8.68</v>
      </c>
      <c r="L531" t="s">
        <v>7</v>
      </c>
      <c r="M531" t="s">
        <v>7</v>
      </c>
      <c r="N531" t="s">
        <v>8</v>
      </c>
      <c r="P531">
        <f t="shared" si="984"/>
        <v>-0.57298118499474016</v>
      </c>
      <c r="Q531">
        <f t="shared" si="985"/>
        <v>-288732.79393011518</v>
      </c>
      <c r="R531">
        <f t="shared" si="986"/>
        <v>-5389110.005973015</v>
      </c>
      <c r="S531">
        <f t="shared" si="987"/>
        <v>-53.891100059730149</v>
      </c>
      <c r="T531">
        <f t="shared" si="988"/>
        <v>-5.3891100059730149E-2</v>
      </c>
    </row>
    <row r="532" spans="1:20" x14ac:dyDescent="0.25">
      <c r="A532" s="5">
        <v>44061</v>
      </c>
      <c r="B532">
        <v>6.1216999999999997</v>
      </c>
      <c r="C532">
        <v>6.6639999999999997</v>
      </c>
      <c r="D532">
        <v>5.6318000000000001</v>
      </c>
      <c r="E532">
        <v>5.73</v>
      </c>
      <c r="F532">
        <v>767187.74</v>
      </c>
      <c r="G532">
        <v>-6.4</v>
      </c>
      <c r="L532" t="s">
        <v>8</v>
      </c>
      <c r="M532" t="s">
        <v>7</v>
      </c>
      <c r="N532" t="s">
        <v>8</v>
      </c>
      <c r="P532">
        <f t="shared" si="984"/>
        <v>-0.80972679713233808</v>
      </c>
      <c r="Q532">
        <f t="shared" si="985"/>
        <v>-621212.47150939691</v>
      </c>
      <c r="R532">
        <f t="shared" si="986"/>
        <v>-5100377.2120428998</v>
      </c>
      <c r="S532">
        <f t="shared" si="987"/>
        <v>-51.003772120428998</v>
      </c>
      <c r="T532">
        <f t="shared" si="988"/>
        <v>-5.1003772120428996E-2</v>
      </c>
    </row>
    <row r="533" spans="1:20" x14ac:dyDescent="0.25">
      <c r="A533" s="5">
        <v>44060</v>
      </c>
      <c r="B533">
        <v>6.1128999999999998</v>
      </c>
      <c r="C533">
        <v>6.1833</v>
      </c>
      <c r="D533">
        <v>5.7013999999999996</v>
      </c>
      <c r="E533">
        <v>6.157</v>
      </c>
      <c r="F533">
        <v>489352.23</v>
      </c>
      <c r="G533">
        <v>0.72</v>
      </c>
      <c r="L533" t="s">
        <v>7</v>
      </c>
      <c r="M533" t="s">
        <v>7</v>
      </c>
      <c r="N533" t="s">
        <v>8</v>
      </c>
      <c r="P533">
        <f t="shared" si="984"/>
        <v>0.89084872380161872</v>
      </c>
      <c r="Q533">
        <f t="shared" si="985"/>
        <v>435938.80958497617</v>
      </c>
      <c r="R533">
        <f t="shared" si="986"/>
        <v>-4479164.7405335028</v>
      </c>
      <c r="S533">
        <f t="shared" si="987"/>
        <v>-44.791647405335027</v>
      </c>
      <c r="T533">
        <f t="shared" si="988"/>
        <v>-4.4791647405335026E-2</v>
      </c>
    </row>
    <row r="534" spans="1:20" x14ac:dyDescent="0.25">
      <c r="A534" s="5">
        <v>44059</v>
      </c>
      <c r="B534">
        <v>5.9950000000000001</v>
      </c>
      <c r="C534">
        <v>6.4</v>
      </c>
      <c r="D534">
        <v>5.9</v>
      </c>
      <c r="E534">
        <v>6.1128999999999998</v>
      </c>
      <c r="F534">
        <v>337278.41</v>
      </c>
      <c r="G534">
        <v>1.97</v>
      </c>
      <c r="L534" t="s">
        <v>8</v>
      </c>
      <c r="M534" t="s">
        <v>7</v>
      </c>
      <c r="N534" t="s">
        <v>8</v>
      </c>
      <c r="P534">
        <f t="shared" si="984"/>
        <v>-0.14840000000000231</v>
      </c>
      <c r="Q534">
        <f t="shared" si="985"/>
        <v>-50052.116044000773</v>
      </c>
      <c r="R534">
        <f t="shared" si="986"/>
        <v>-4915103.5501184789</v>
      </c>
      <c r="S534">
        <f t="shared" si="987"/>
        <v>-49.151035501184786</v>
      </c>
      <c r="T534">
        <f t="shared" si="988"/>
        <v>-4.9151035501184784E-2</v>
      </c>
    </row>
    <row r="535" spans="1:20" x14ac:dyDescent="0.25">
      <c r="A535" s="5">
        <v>44058</v>
      </c>
      <c r="B535">
        <v>6.1717000000000004</v>
      </c>
      <c r="C535">
        <v>6.4993999999999996</v>
      </c>
      <c r="D535">
        <v>5.6161000000000003</v>
      </c>
      <c r="E535">
        <v>5.9950000000000001</v>
      </c>
      <c r="F535">
        <v>820325.2</v>
      </c>
      <c r="G535">
        <v>-2.86</v>
      </c>
      <c r="L535" t="s">
        <v>7</v>
      </c>
      <c r="M535" t="s">
        <v>7</v>
      </c>
      <c r="N535" t="s">
        <v>8</v>
      </c>
      <c r="P535">
        <f t="shared" si="984"/>
        <v>-0.14208083323898996</v>
      </c>
      <c r="Q535">
        <f t="shared" si="985"/>
        <v>-116552.48794294108</v>
      </c>
      <c r="R535">
        <f t="shared" si="986"/>
        <v>-4865051.4340744782</v>
      </c>
      <c r="S535">
        <f t="shared" si="987"/>
        <v>-48.650514340744785</v>
      </c>
      <c r="T535">
        <f t="shared" si="988"/>
        <v>-4.8650514340744785E-2</v>
      </c>
    </row>
    <row r="536" spans="1:20" x14ac:dyDescent="0.25">
      <c r="A536" s="5">
        <v>44057</v>
      </c>
      <c r="B536">
        <v>6.6755000000000004</v>
      </c>
      <c r="C536">
        <v>7.1866000000000003</v>
      </c>
      <c r="D536">
        <v>5.9999000000000002</v>
      </c>
      <c r="E536">
        <v>6.1722999999999999</v>
      </c>
      <c r="F536">
        <v>1092018.81</v>
      </c>
      <c r="G536">
        <v>-7.54</v>
      </c>
      <c r="L536" t="s">
        <v>8</v>
      </c>
      <c r="M536" t="s">
        <v>8</v>
      </c>
      <c r="N536" t="s">
        <v>8</v>
      </c>
      <c r="P536">
        <f t="shared" si="984"/>
        <v>-0.70944636386618409</v>
      </c>
      <c r="Q536">
        <f t="shared" si="985"/>
        <v>-774728.77402797737</v>
      </c>
      <c r="R536">
        <f t="shared" si="986"/>
        <v>-4748498.9461315367</v>
      </c>
      <c r="S536">
        <f t="shared" si="987"/>
        <v>-47.484989461315365</v>
      </c>
      <c r="T536">
        <f t="shared" si="988"/>
        <v>-4.7484989461315366E-2</v>
      </c>
    </row>
    <row r="537" spans="1:20" x14ac:dyDescent="0.25">
      <c r="A537" s="5">
        <v>44056</v>
      </c>
      <c r="B537">
        <v>4.8</v>
      </c>
      <c r="C537">
        <v>43</v>
      </c>
      <c r="D537">
        <v>4.8</v>
      </c>
      <c r="E537">
        <v>6.6554000000000002</v>
      </c>
      <c r="F537">
        <v>4401320.43</v>
      </c>
      <c r="G537">
        <v>38.65</v>
      </c>
      <c r="P537">
        <f t="shared" si="984"/>
        <v>-0.9028586387434554</v>
      </c>
      <c r="Q537">
        <f t="shared" si="985"/>
        <v>-3973770.1721035596</v>
      </c>
      <c r="R537">
        <f t="shared" si="986"/>
        <v>-3973770.1721035596</v>
      </c>
      <c r="S537">
        <f t="shared" si="987"/>
        <v>-39.737701721035599</v>
      </c>
      <c r="T537">
        <f t="shared" si="988"/>
        <v>-3.97377017210356E-2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B509" sqref="JB50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$A$508</v>
      </c>
      <c r="D111" s="1" t="str">
        <f>ADDRESS(C121-1,D121,1,1)</f>
        <v>$JB$508</v>
      </c>
      <c r="E111"/>
    </row>
    <row r="112" spans="1:5" x14ac:dyDescent="0.25">
      <c r="A112" s="7">
        <v>12164.144957890772</v>
      </c>
      <c r="C112" s="1" t="str">
        <f>ADDRESS(C121,1,1,1)</f>
        <v>$A$509</v>
      </c>
      <c r="D112" s="1" t="str">
        <f>ADDRESS(C121,D121-1,1,1)</f>
        <v>$JA$509</v>
      </c>
      <c r="E112"/>
    </row>
    <row r="113" spans="1:5" x14ac:dyDescent="0.25">
      <c r="A113" s="7">
        <v>11925.63231165762</v>
      </c>
      <c r="C113" s="1" t="str">
        <f>ADDRESS(C121+1,1,1,1)</f>
        <v>$A$510</v>
      </c>
      <c r="D113" s="1" t="str">
        <f>ADDRESS(C121-1,D121+1,1,1)</f>
        <v>$JC$508</v>
      </c>
    </row>
    <row r="114" spans="1:5" x14ac:dyDescent="0.25">
      <c r="A114" s="7">
        <v>11691.796383978059</v>
      </c>
      <c r="C114" s="1" t="str">
        <f>ADDRESS(C121,D121,1,1)</f>
        <v>$JB$509</v>
      </c>
      <c r="D114" s="1" t="str">
        <f>ADDRESS(C121+1,D121+1,1,1)</f>
        <v>$JC$510</v>
      </c>
    </row>
    <row r="115" spans="1:5" x14ac:dyDescent="0.25">
      <c r="A115" s="7">
        <v>11462.545474488292</v>
      </c>
      <c r="C115" s="1" t="str">
        <f>ADDRESS(C121+1,D121,1,1)</f>
        <v>$JB$510</v>
      </c>
    </row>
    <row r="116" spans="1:5" x14ac:dyDescent="0.25">
      <c r="A116" s="7">
        <v>11237.789680870874</v>
      </c>
      <c r="C116" s="1">
        <f>C117-1</f>
        <v>508</v>
      </c>
    </row>
    <row r="117" spans="1:5" x14ac:dyDescent="0.25">
      <c r="A117" s="7">
        <v>11017.440863598895</v>
      </c>
      <c r="C117" s="1">
        <f>C121</f>
        <v>509</v>
      </c>
      <c r="D117" s="1">
        <f>D121</f>
        <v>262</v>
      </c>
    </row>
    <row r="118" spans="1:5" x14ac:dyDescent="0.25">
      <c r="A118" s="7">
        <v>10801.412611371465</v>
      </c>
      <c r="C118" s="1">
        <f>C117+1</f>
        <v>510</v>
      </c>
      <c r="D118" s="1">
        <f>D117+1</f>
        <v>263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509</v>
      </c>
      <c r="D121" s="19">
        <v>262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R509</v>
      </c>
      <c r="D123" s="1" t="str">
        <f>"C"&amp;D121</f>
        <v>C262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4.6861199116651235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254" x14ac:dyDescent="0.25">
      <c r="A449" s="7">
        <v>15.375303708145482</v>
      </c>
      <c r="B449"/>
      <c r="C449"/>
      <c r="D449"/>
      <c r="E449"/>
    </row>
    <row r="450" spans="1:254" x14ac:dyDescent="0.25">
      <c r="A450" s="7">
        <v>15.073827164848511</v>
      </c>
      <c r="B450"/>
      <c r="C450"/>
      <c r="D450"/>
      <c r="E450"/>
    </row>
    <row r="451" spans="1:254" x14ac:dyDescent="0.25">
      <c r="A451" s="7">
        <v>14.77826192632207</v>
      </c>
      <c r="B451"/>
      <c r="C451"/>
      <c r="D451"/>
      <c r="E451"/>
      <c r="DG451" s="27" t="s">
        <v>8</v>
      </c>
    </row>
    <row r="452" spans="1:254" x14ac:dyDescent="0.25">
      <c r="A452" s="7">
        <v>14.488492084629481</v>
      </c>
      <c r="B452"/>
      <c r="C452"/>
      <c r="D452"/>
      <c r="E452"/>
      <c r="DG452" s="27" t="s">
        <v>8</v>
      </c>
      <c r="DH452" s="27" t="s">
        <v>7</v>
      </c>
    </row>
    <row r="453" spans="1:254" x14ac:dyDescent="0.25">
      <c r="A453" s="7">
        <v>14.204404004538707</v>
      </c>
      <c r="B453"/>
      <c r="C453"/>
      <c r="D453"/>
      <c r="E453"/>
      <c r="DG453" s="27" t="s">
        <v>8</v>
      </c>
      <c r="DH453" s="27" t="s">
        <v>7</v>
      </c>
      <c r="IQ453" s="27" t="s">
        <v>8</v>
      </c>
    </row>
    <row r="454" spans="1:254" x14ac:dyDescent="0.25">
      <c r="A454" s="7">
        <v>13.925886278959517</v>
      </c>
      <c r="B454"/>
      <c r="C454"/>
      <c r="D454"/>
      <c r="E454"/>
      <c r="DG454" s="27" t="s">
        <v>8</v>
      </c>
      <c r="DH454" s="27" t="s">
        <v>7</v>
      </c>
      <c r="IQ454" s="27" t="s">
        <v>8</v>
      </c>
      <c r="IR454" s="27" t="s">
        <v>7</v>
      </c>
    </row>
    <row r="455" spans="1:254" x14ac:dyDescent="0.25">
      <c r="A455" s="7">
        <v>13.652829685254428</v>
      </c>
      <c r="B455"/>
      <c r="C455"/>
      <c r="D455"/>
      <c r="E455"/>
      <c r="DA455" s="27" t="s">
        <v>8</v>
      </c>
      <c r="DG455" s="27" t="s">
        <v>8</v>
      </c>
      <c r="DH455" s="27" t="s">
        <v>7</v>
      </c>
      <c r="IO455" s="27" t="s">
        <v>8</v>
      </c>
      <c r="IQ455" s="27" t="s">
        <v>8</v>
      </c>
      <c r="IR455" s="27" t="s">
        <v>7</v>
      </c>
    </row>
    <row r="456" spans="1:254" x14ac:dyDescent="0.25">
      <c r="A456" s="7">
        <v>13.385127142406303</v>
      </c>
      <c r="B456"/>
      <c r="C456"/>
      <c r="D456"/>
      <c r="E456"/>
      <c r="DA456" s="27" t="s">
        <v>8</v>
      </c>
      <c r="DB456" s="27" t="s">
        <v>7</v>
      </c>
      <c r="DC456" s="27" t="s">
        <v>8</v>
      </c>
      <c r="DE456" s="27" t="s">
        <v>8</v>
      </c>
      <c r="DG456" s="27" t="s">
        <v>8</v>
      </c>
      <c r="DH456" s="27" t="s">
        <v>7</v>
      </c>
      <c r="IO456" s="27" t="s">
        <v>8</v>
      </c>
      <c r="IP456" s="27" t="s">
        <v>7</v>
      </c>
      <c r="IQ456" s="27" t="s">
        <v>8</v>
      </c>
      <c r="IR456" s="27" t="s">
        <v>7</v>
      </c>
    </row>
    <row r="457" spans="1:254" x14ac:dyDescent="0.25">
      <c r="A457" s="7">
        <v>13.122673669025787</v>
      </c>
      <c r="B457"/>
      <c r="C457"/>
      <c r="D457"/>
      <c r="E457"/>
      <c r="DA457" s="27" t="s">
        <v>8</v>
      </c>
      <c r="DB457" s="27" t="s">
        <v>7</v>
      </c>
      <c r="DC457" s="27" t="s">
        <v>8</v>
      </c>
      <c r="DD457" s="27" t="s">
        <v>7</v>
      </c>
      <c r="DE457" s="27" t="s">
        <v>8</v>
      </c>
      <c r="DF457" s="27" t="s">
        <v>7</v>
      </c>
      <c r="DG457" s="27" t="s">
        <v>8</v>
      </c>
      <c r="DH457" s="27" t="s">
        <v>7</v>
      </c>
      <c r="IO457" s="27" t="s">
        <v>8</v>
      </c>
      <c r="IP457" s="27" t="s">
        <v>7</v>
      </c>
      <c r="IQ457" s="27" t="s">
        <v>8</v>
      </c>
      <c r="IR457" s="27" t="s">
        <v>7</v>
      </c>
    </row>
    <row r="458" spans="1:254" x14ac:dyDescent="0.25">
      <c r="A458" s="7">
        <v>12.865366342182144</v>
      </c>
      <c r="B458"/>
      <c r="C458"/>
      <c r="D458"/>
      <c r="E458"/>
      <c r="DA458" s="27" t="s">
        <v>8</v>
      </c>
      <c r="DB458" s="27" t="s">
        <v>7</v>
      </c>
      <c r="DC458" s="27" t="s">
        <v>8</v>
      </c>
      <c r="DD458" s="27" t="s">
        <v>7</v>
      </c>
      <c r="DE458" s="27" t="s">
        <v>8</v>
      </c>
      <c r="DF458" s="27" t="s">
        <v>7</v>
      </c>
      <c r="DG458" s="27" t="s">
        <v>8</v>
      </c>
      <c r="DH458" s="27" t="s">
        <v>7</v>
      </c>
      <c r="DI458" s="27" t="s">
        <v>8</v>
      </c>
      <c r="IO458" s="27" t="s">
        <v>8</v>
      </c>
      <c r="IP458" s="27" t="s">
        <v>7</v>
      </c>
      <c r="IQ458" s="27" t="s">
        <v>8</v>
      </c>
      <c r="IR458" s="27" t="s">
        <v>7</v>
      </c>
    </row>
    <row r="459" spans="1:254" x14ac:dyDescent="0.25">
      <c r="A459" s="7">
        <v>12.613104257041318</v>
      </c>
      <c r="B459"/>
      <c r="C459"/>
      <c r="D459"/>
      <c r="E459"/>
      <c r="DA459" s="27" t="s">
        <v>8</v>
      </c>
      <c r="DB459" s="27" t="s">
        <v>7</v>
      </c>
      <c r="DC459" s="27" t="s">
        <v>8</v>
      </c>
      <c r="DD459" s="27" t="s">
        <v>7</v>
      </c>
      <c r="DE459" s="27" t="s">
        <v>8</v>
      </c>
      <c r="DF459" s="27" t="s">
        <v>7</v>
      </c>
      <c r="DG459" s="27" t="s">
        <v>8</v>
      </c>
      <c r="DH459" s="27" t="s">
        <v>7</v>
      </c>
      <c r="DI459" s="27" t="s">
        <v>8</v>
      </c>
      <c r="DJ459" s="27" t="s">
        <v>7</v>
      </c>
      <c r="IO459" s="27" t="s">
        <v>8</v>
      </c>
      <c r="IP459" s="27" t="s">
        <v>7</v>
      </c>
      <c r="IQ459" s="27" t="s">
        <v>8</v>
      </c>
      <c r="IR459" s="27" t="s">
        <v>7</v>
      </c>
    </row>
    <row r="460" spans="1:254" x14ac:dyDescent="0.25">
      <c r="A460" s="7">
        <v>12.36578848729541</v>
      </c>
      <c r="B460"/>
      <c r="C460"/>
      <c r="D460"/>
      <c r="E460"/>
      <c r="DA460" s="27" t="s">
        <v>8</v>
      </c>
      <c r="DB460" s="27" t="s">
        <v>7</v>
      </c>
      <c r="DC460" s="27" t="s">
        <v>8</v>
      </c>
      <c r="DD460" s="27" t="s">
        <v>7</v>
      </c>
      <c r="DE460" s="27" t="s">
        <v>8</v>
      </c>
      <c r="DF460" s="27" t="s">
        <v>7</v>
      </c>
      <c r="DG460" s="27" t="s">
        <v>8</v>
      </c>
      <c r="DH460" s="27" t="s">
        <v>7</v>
      </c>
      <c r="DI460" s="27" t="s">
        <v>8</v>
      </c>
      <c r="DJ460" s="27" t="s">
        <v>7</v>
      </c>
      <c r="IO460" s="27" t="s">
        <v>8</v>
      </c>
      <c r="IP460" s="27" t="s">
        <v>7</v>
      </c>
      <c r="IQ460" s="27" t="s">
        <v>8</v>
      </c>
      <c r="IR460" s="27" t="s">
        <v>7</v>
      </c>
    </row>
    <row r="461" spans="1:254" x14ac:dyDescent="0.25">
      <c r="A461" s="7">
        <v>12.123322046368049</v>
      </c>
      <c r="B461"/>
      <c r="C461"/>
      <c r="D461"/>
      <c r="E461"/>
      <c r="DA461" s="27" t="s">
        <v>8</v>
      </c>
      <c r="DB461" s="27" t="s">
        <v>7</v>
      </c>
      <c r="DC461" s="27" t="s">
        <v>8</v>
      </c>
      <c r="DD461" s="27" t="s">
        <v>7</v>
      </c>
      <c r="DE461" s="27" t="s">
        <v>8</v>
      </c>
      <c r="DF461" s="27" t="s">
        <v>7</v>
      </c>
      <c r="DG461" s="27" t="s">
        <v>8</v>
      </c>
      <c r="DH461" s="27" t="s">
        <v>7</v>
      </c>
      <c r="DI461" s="27" t="s">
        <v>8</v>
      </c>
      <c r="DJ461" s="27" t="s">
        <v>7</v>
      </c>
      <c r="IO461" s="27" t="s">
        <v>8</v>
      </c>
      <c r="IP461" s="27" t="s">
        <v>7</v>
      </c>
      <c r="IQ461" s="27" t="s">
        <v>8</v>
      </c>
      <c r="IR461" s="27" t="s">
        <v>7</v>
      </c>
    </row>
    <row r="462" spans="1:254" x14ac:dyDescent="0.25">
      <c r="A462" s="7">
        <v>11.88560984938044</v>
      </c>
      <c r="B462"/>
      <c r="C462"/>
      <c r="D462"/>
      <c r="E462"/>
      <c r="DA462" s="27" t="s">
        <v>8</v>
      </c>
      <c r="DB462" s="27" t="s">
        <v>7</v>
      </c>
      <c r="DC462" s="27" t="s">
        <v>8</v>
      </c>
      <c r="DD462" s="27" t="s">
        <v>7</v>
      </c>
      <c r="DE462" s="27" t="s">
        <v>8</v>
      </c>
      <c r="DF462" s="27" t="s">
        <v>7</v>
      </c>
      <c r="DG462" s="27" t="s">
        <v>8</v>
      </c>
      <c r="DH462" s="27" t="s">
        <v>7</v>
      </c>
      <c r="DI462" s="27" t="s">
        <v>8</v>
      </c>
      <c r="DJ462" s="27" t="s">
        <v>7</v>
      </c>
      <c r="EA462" s="27" t="s">
        <v>8</v>
      </c>
      <c r="IM462" s="27" t="s">
        <v>8</v>
      </c>
      <c r="IO462" s="27" t="s">
        <v>8</v>
      </c>
      <c r="IP462" s="27" t="s">
        <v>7</v>
      </c>
      <c r="IQ462" s="27" t="s">
        <v>8</v>
      </c>
      <c r="IR462" s="27" t="s">
        <v>7</v>
      </c>
    </row>
    <row r="463" spans="1:254" x14ac:dyDescent="0.25">
      <c r="A463" s="7">
        <v>11.652558675863176</v>
      </c>
      <c r="B463"/>
      <c r="C463"/>
      <c r="D463"/>
      <c r="E463"/>
      <c r="DA463" s="27" t="s">
        <v>8</v>
      </c>
      <c r="DB463" s="27" t="s">
        <v>7</v>
      </c>
      <c r="DC463" s="27" t="s">
        <v>8</v>
      </c>
      <c r="DD463" s="27" t="s">
        <v>7</v>
      </c>
      <c r="DE463" s="27" t="s">
        <v>8</v>
      </c>
      <c r="DF463" s="27" t="s">
        <v>7</v>
      </c>
      <c r="DG463" s="27" t="s">
        <v>8</v>
      </c>
      <c r="DH463" s="27" t="s">
        <v>7</v>
      </c>
      <c r="DI463" s="27" t="s">
        <v>8</v>
      </c>
      <c r="DJ463" s="27" t="s">
        <v>7</v>
      </c>
      <c r="EA463" s="27" t="s">
        <v>8</v>
      </c>
      <c r="EB463" s="27" t="s">
        <v>7</v>
      </c>
      <c r="IM463" s="27" t="s">
        <v>8</v>
      </c>
      <c r="IN463" s="27" t="s">
        <v>7</v>
      </c>
      <c r="IO463" s="27" t="s">
        <v>8</v>
      </c>
      <c r="IP463" s="27" t="s">
        <v>7</v>
      </c>
      <c r="IQ463" s="27" t="s">
        <v>8</v>
      </c>
      <c r="IR463" s="27" t="s">
        <v>7</v>
      </c>
      <c r="IS463" s="27" t="s">
        <v>8</v>
      </c>
    </row>
    <row r="464" spans="1:254" x14ac:dyDescent="0.25">
      <c r="A464" s="7">
        <v>11.424077133199193</v>
      </c>
      <c r="B464"/>
      <c r="C464"/>
      <c r="D464"/>
      <c r="E464"/>
      <c r="DA464" s="27" t="s">
        <v>8</v>
      </c>
      <c r="DB464" s="27" t="s">
        <v>7</v>
      </c>
      <c r="DC464" s="27" t="s">
        <v>8</v>
      </c>
      <c r="DD464" s="27" t="s">
        <v>7</v>
      </c>
      <c r="DE464" s="27" t="s">
        <v>8</v>
      </c>
      <c r="DF464" s="27" t="s">
        <v>7</v>
      </c>
      <c r="DG464" s="27" t="s">
        <v>8</v>
      </c>
      <c r="DH464" s="27" t="s">
        <v>7</v>
      </c>
      <c r="DI464" s="27" t="s">
        <v>8</v>
      </c>
      <c r="DJ464" s="27" t="s">
        <v>7</v>
      </c>
      <c r="EA464" s="27" t="s">
        <v>8</v>
      </c>
      <c r="EB464" s="27" t="s">
        <v>7</v>
      </c>
      <c r="IM464" s="27" t="s">
        <v>8</v>
      </c>
      <c r="IN464" s="27" t="s">
        <v>7</v>
      </c>
      <c r="IO464" s="27" t="s">
        <v>8</v>
      </c>
      <c r="IP464" s="27" t="s">
        <v>7</v>
      </c>
      <c r="IQ464" s="27" t="s">
        <v>8</v>
      </c>
      <c r="IR464" s="27" t="s">
        <v>7</v>
      </c>
      <c r="IS464" s="27" t="s">
        <v>8</v>
      </c>
      <c r="IT464" s="27" t="s">
        <v>7</v>
      </c>
    </row>
    <row r="465" spans="1:260" x14ac:dyDescent="0.25">
      <c r="A465" s="7">
        <v>11.200075620783522</v>
      </c>
      <c r="B465"/>
      <c r="C465"/>
      <c r="D465"/>
      <c r="E465"/>
      <c r="DA465" s="27" t="s">
        <v>8</v>
      </c>
      <c r="DB465" s="27" t="s">
        <v>7</v>
      </c>
      <c r="DC465" s="27" t="s">
        <v>8</v>
      </c>
      <c r="DD465" s="27" t="s">
        <v>7</v>
      </c>
      <c r="DE465" s="27" t="s">
        <v>8</v>
      </c>
      <c r="DF465" s="27" t="s">
        <v>7</v>
      </c>
      <c r="DG465" s="27" t="s">
        <v>8</v>
      </c>
      <c r="DH465" s="27" t="s">
        <v>7</v>
      </c>
      <c r="DI465" s="27" t="s">
        <v>8</v>
      </c>
      <c r="DJ465" s="27" t="s">
        <v>7</v>
      </c>
      <c r="DK465" s="27" t="s">
        <v>8</v>
      </c>
      <c r="EA465" s="27" t="s">
        <v>8</v>
      </c>
      <c r="EB465" s="27" t="s">
        <v>7</v>
      </c>
      <c r="IM465" s="27" t="s">
        <v>8</v>
      </c>
      <c r="IN465" s="27" t="s">
        <v>7</v>
      </c>
      <c r="IO465" s="27" t="s">
        <v>8</v>
      </c>
      <c r="IP465" s="27" t="s">
        <v>7</v>
      </c>
      <c r="IQ465" s="27" t="s">
        <v>8</v>
      </c>
      <c r="IR465" s="27" t="s">
        <v>7</v>
      </c>
      <c r="IS465" s="27" t="s">
        <v>8</v>
      </c>
      <c r="IT465" s="27" t="s">
        <v>7</v>
      </c>
    </row>
    <row r="466" spans="1:260" x14ac:dyDescent="0.25">
      <c r="A466" s="7">
        <v>10.980466294885806</v>
      </c>
      <c r="B466"/>
      <c r="C466"/>
      <c r="D466"/>
      <c r="E466"/>
      <c r="DA466" s="27" t="s">
        <v>8</v>
      </c>
      <c r="DB466" s="27" t="s">
        <v>7</v>
      </c>
      <c r="DC466" s="27" t="s">
        <v>8</v>
      </c>
      <c r="DD466" s="27" t="s">
        <v>7</v>
      </c>
      <c r="DE466" s="27" t="s">
        <v>8</v>
      </c>
      <c r="DF466" s="27" t="s">
        <v>7</v>
      </c>
      <c r="DG466" s="27" t="s">
        <v>8</v>
      </c>
      <c r="DH466" s="27" t="s">
        <v>7</v>
      </c>
      <c r="DI466" s="27" t="s">
        <v>8</v>
      </c>
      <c r="DJ466" s="27" t="s">
        <v>7</v>
      </c>
      <c r="DK466" s="27" t="s">
        <v>8</v>
      </c>
      <c r="DL466" s="27" t="s">
        <v>7</v>
      </c>
      <c r="DM466" s="27" t="s">
        <v>8</v>
      </c>
      <c r="EA466" s="27" t="s">
        <v>8</v>
      </c>
      <c r="EB466" s="27" t="s">
        <v>7</v>
      </c>
      <c r="IM466" s="27" t="s">
        <v>8</v>
      </c>
      <c r="IN466" s="27" t="s">
        <v>7</v>
      </c>
      <c r="IO466" s="27" t="s">
        <v>8</v>
      </c>
      <c r="IP466" s="27" t="s">
        <v>7</v>
      </c>
      <c r="IQ466" s="27" t="s">
        <v>8</v>
      </c>
      <c r="IR466" s="27" t="s">
        <v>7</v>
      </c>
      <c r="IS466" s="27" t="s">
        <v>8</v>
      </c>
      <c r="IT466" s="27" t="s">
        <v>7</v>
      </c>
    </row>
    <row r="467" spans="1:260" x14ac:dyDescent="0.25">
      <c r="A467" s="7">
        <v>10.765163034201771</v>
      </c>
      <c r="B467"/>
      <c r="C467"/>
      <c r="D467"/>
      <c r="E467"/>
      <c r="K467" s="27" t="s">
        <v>8</v>
      </c>
      <c r="DA467" s="27" t="s">
        <v>8</v>
      </c>
      <c r="DB467" s="27" t="s">
        <v>7</v>
      </c>
      <c r="DC467" s="27" t="s">
        <v>8</v>
      </c>
      <c r="DD467" s="27" t="s">
        <v>7</v>
      </c>
      <c r="DE467" s="27" t="s">
        <v>8</v>
      </c>
      <c r="DF467" s="27" t="s">
        <v>7</v>
      </c>
      <c r="DG467" s="27" t="s">
        <v>8</v>
      </c>
      <c r="DH467" s="27" t="s">
        <v>7</v>
      </c>
      <c r="DI467" s="27" t="s">
        <v>8</v>
      </c>
      <c r="DJ467" s="27" t="s">
        <v>7</v>
      </c>
      <c r="DK467" s="27" t="s">
        <v>8</v>
      </c>
      <c r="DL467" s="27" t="s">
        <v>7</v>
      </c>
      <c r="DM467" s="27" t="s">
        <v>8</v>
      </c>
      <c r="DN467" s="27" t="s">
        <v>7</v>
      </c>
      <c r="DO467" s="27" t="s">
        <v>8</v>
      </c>
      <c r="EA467" s="27" t="s">
        <v>8</v>
      </c>
      <c r="EB467" s="27" t="s">
        <v>7</v>
      </c>
      <c r="IM467" s="27" t="s">
        <v>8</v>
      </c>
      <c r="IN467" s="27" t="s">
        <v>7</v>
      </c>
      <c r="IO467" s="27" t="s">
        <v>8</v>
      </c>
      <c r="IP467" s="27" t="s">
        <v>7</v>
      </c>
      <c r="IR467" s="27" t="s">
        <v>7</v>
      </c>
      <c r="IS467" s="27" t="s">
        <v>8</v>
      </c>
      <c r="IT467" s="27" t="s">
        <v>7</v>
      </c>
    </row>
    <row r="468" spans="1:260" x14ac:dyDescent="0.25">
      <c r="A468" s="7">
        <v>10.554081406080169</v>
      </c>
      <c r="B468"/>
      <c r="C468"/>
      <c r="D468"/>
      <c r="E468"/>
      <c r="K468" s="27" t="s">
        <v>8</v>
      </c>
      <c r="L468" s="27" t="s">
        <v>7</v>
      </c>
      <c r="DA468" s="27" t="s">
        <v>8</v>
      </c>
      <c r="DB468" s="27" t="s">
        <v>7</v>
      </c>
      <c r="DC468" s="27" t="s">
        <v>8</v>
      </c>
      <c r="DD468" s="27" t="s">
        <v>7</v>
      </c>
      <c r="DE468" s="27" t="s">
        <v>8</v>
      </c>
      <c r="DF468" s="27" t="s">
        <v>7</v>
      </c>
      <c r="DH468" s="27" t="s">
        <v>7</v>
      </c>
      <c r="DJ468" s="27" t="s">
        <v>7</v>
      </c>
      <c r="DK468" s="27" t="s">
        <v>8</v>
      </c>
      <c r="DL468" s="27" t="s">
        <v>7</v>
      </c>
      <c r="DM468" s="27" t="s">
        <v>8</v>
      </c>
      <c r="DN468" s="27" t="s">
        <v>7</v>
      </c>
      <c r="DO468" s="27" t="s">
        <v>8</v>
      </c>
      <c r="DP468" s="27" t="s">
        <v>7</v>
      </c>
      <c r="EA468" s="27" t="s">
        <v>8</v>
      </c>
      <c r="EB468" s="27" t="s">
        <v>7</v>
      </c>
      <c r="IM468" s="27" t="s">
        <v>8</v>
      </c>
      <c r="IN468" s="27" t="s">
        <v>7</v>
      </c>
      <c r="IO468" s="27" t="s">
        <v>8</v>
      </c>
      <c r="IR468" s="27" t="s">
        <v>7</v>
      </c>
      <c r="IS468" s="27" t="s">
        <v>8</v>
      </c>
      <c r="IT468" s="27" t="s">
        <v>7</v>
      </c>
    </row>
    <row r="469" spans="1:260" x14ac:dyDescent="0.25">
      <c r="A469" s="7">
        <v>10.34713863341193</v>
      </c>
      <c r="B469"/>
      <c r="C469"/>
      <c r="D469"/>
      <c r="E469"/>
      <c r="K469" s="27" t="s">
        <v>8</v>
      </c>
      <c r="L469" s="27" t="s">
        <v>7</v>
      </c>
      <c r="DA469" s="27" t="s">
        <v>8</v>
      </c>
      <c r="DB469" s="27" t="s">
        <v>7</v>
      </c>
      <c r="DC469" s="27" t="s">
        <v>8</v>
      </c>
      <c r="DD469" s="27" t="s">
        <v>7</v>
      </c>
      <c r="DJ469" s="27" t="s">
        <v>7</v>
      </c>
      <c r="DL469" s="27" t="s">
        <v>7</v>
      </c>
      <c r="DM469" s="27" t="s">
        <v>8</v>
      </c>
      <c r="DN469" s="27" t="s">
        <v>7</v>
      </c>
      <c r="DO469" s="27" t="s">
        <v>8</v>
      </c>
      <c r="DP469" s="27" t="s">
        <v>7</v>
      </c>
      <c r="DW469" s="27" t="s">
        <v>8</v>
      </c>
      <c r="EA469" s="27" t="s">
        <v>8</v>
      </c>
      <c r="EB469" s="27" t="s">
        <v>7</v>
      </c>
      <c r="IM469" s="27" t="s">
        <v>8</v>
      </c>
      <c r="IN469" s="27" t="s">
        <v>7</v>
      </c>
      <c r="IO469" s="27" t="s">
        <v>8</v>
      </c>
      <c r="IR469" s="27" t="s">
        <v>7</v>
      </c>
      <c r="IS469" s="27" t="s">
        <v>8</v>
      </c>
      <c r="IT469" s="27" t="s">
        <v>7</v>
      </c>
    </row>
    <row r="470" spans="1:260" x14ac:dyDescent="0.25">
      <c r="A470" s="7">
        <v>10.14425356216856</v>
      </c>
      <c r="B470"/>
      <c r="C470"/>
      <c r="D470"/>
      <c r="E470"/>
      <c r="K470" s="27" t="s">
        <v>8</v>
      </c>
      <c r="L470" s="27" t="s">
        <v>7</v>
      </c>
      <c r="DA470" s="27" t="s">
        <v>8</v>
      </c>
      <c r="DB470" s="27" t="s">
        <v>7</v>
      </c>
      <c r="DC470" s="27" t="s">
        <v>8</v>
      </c>
      <c r="DL470" s="27" t="s">
        <v>7</v>
      </c>
      <c r="DN470" s="27" t="s">
        <v>7</v>
      </c>
      <c r="DP470" s="27" t="s">
        <v>7</v>
      </c>
      <c r="DW470" s="27" t="s">
        <v>8</v>
      </c>
      <c r="DX470" s="27" t="s">
        <v>7</v>
      </c>
      <c r="DY470" s="27" t="s">
        <v>8</v>
      </c>
      <c r="EA470" s="27" t="s">
        <v>8</v>
      </c>
      <c r="EB470" s="27" t="s">
        <v>7</v>
      </c>
      <c r="EC470" s="27" t="s">
        <v>8</v>
      </c>
      <c r="IM470" s="27" t="s">
        <v>8</v>
      </c>
      <c r="IN470" s="27" t="s">
        <v>7</v>
      </c>
      <c r="IO470" s="27" t="s">
        <v>8</v>
      </c>
      <c r="IR470" s="27" t="s">
        <v>7</v>
      </c>
      <c r="IS470" s="27" t="s">
        <v>8</v>
      </c>
      <c r="IT470" s="27" t="s">
        <v>7</v>
      </c>
    </row>
    <row r="471" spans="1:260" x14ac:dyDescent="0.25">
      <c r="A471" s="7">
        <v>9.9453466295770188</v>
      </c>
      <c r="B471"/>
      <c r="C471"/>
      <c r="D471"/>
      <c r="E471"/>
      <c r="K471" s="27" t="s">
        <v>8</v>
      </c>
      <c r="L471" s="27" t="s">
        <v>7</v>
      </c>
      <c r="DA471" s="27" t="s">
        <v>8</v>
      </c>
      <c r="DB471" s="27" t="s">
        <v>7</v>
      </c>
      <c r="DC471" s="27" t="s">
        <v>8</v>
      </c>
      <c r="DP471" s="27" t="s">
        <v>7</v>
      </c>
      <c r="DS471" s="27" t="s">
        <v>8</v>
      </c>
      <c r="DW471" s="27" t="s">
        <v>8</v>
      </c>
      <c r="DX471" s="27" t="s">
        <v>7</v>
      </c>
      <c r="DY471" s="27" t="s">
        <v>8</v>
      </c>
      <c r="DZ471" s="27" t="s">
        <v>7</v>
      </c>
      <c r="EA471" s="27" t="s">
        <v>8</v>
      </c>
      <c r="EB471" s="27" t="s">
        <v>7</v>
      </c>
      <c r="EC471" s="27" t="s">
        <v>8</v>
      </c>
      <c r="ED471" s="27" t="s">
        <v>7</v>
      </c>
      <c r="IM471" s="27" t="s">
        <v>8</v>
      </c>
      <c r="IN471" s="27" t="s">
        <v>7</v>
      </c>
      <c r="IO471" s="27" t="s">
        <v>8</v>
      </c>
      <c r="IR471" s="27" t="s">
        <v>7</v>
      </c>
      <c r="IS471" s="27" t="s">
        <v>8</v>
      </c>
      <c r="IT471" s="27" t="s">
        <v>7</v>
      </c>
    </row>
    <row r="472" spans="1:260" x14ac:dyDescent="0.25">
      <c r="A472" s="7">
        <v>9.7503398329186464</v>
      </c>
      <c r="B472"/>
      <c r="C472"/>
      <c r="D472"/>
      <c r="E472"/>
      <c r="K472" s="27" t="s">
        <v>8</v>
      </c>
      <c r="L472" s="27" t="s">
        <v>7</v>
      </c>
      <c r="DA472" s="27" t="s">
        <v>8</v>
      </c>
      <c r="DB472" s="27" t="s">
        <v>7</v>
      </c>
      <c r="DC472" s="27" t="s">
        <v>8</v>
      </c>
      <c r="DP472" s="27" t="s">
        <v>7</v>
      </c>
      <c r="DS472" s="27" t="s">
        <v>8</v>
      </c>
      <c r="DT472" s="27" t="s">
        <v>7</v>
      </c>
      <c r="DW472" s="27" t="s">
        <v>8</v>
      </c>
      <c r="DX472" s="27" t="s">
        <v>7</v>
      </c>
      <c r="DY472" s="27" t="s">
        <v>8</v>
      </c>
      <c r="DZ472" s="27" t="s">
        <v>7</v>
      </c>
      <c r="EA472" s="27" t="s">
        <v>8</v>
      </c>
      <c r="EB472" s="27" t="s">
        <v>7</v>
      </c>
      <c r="EC472" s="27" t="s">
        <v>8</v>
      </c>
      <c r="ED472" s="27" t="s">
        <v>7</v>
      </c>
      <c r="IM472" s="27" t="s">
        <v>8</v>
      </c>
      <c r="IN472" s="27" t="s">
        <v>7</v>
      </c>
      <c r="IO472" s="27" t="s">
        <v>8</v>
      </c>
      <c r="IR472" s="27" t="s">
        <v>7</v>
      </c>
      <c r="IS472" s="27" t="s">
        <v>8</v>
      </c>
      <c r="IT472" s="27" t="s">
        <v>7</v>
      </c>
    </row>
    <row r="473" spans="1:260" x14ac:dyDescent="0.25">
      <c r="A473" s="7">
        <v>9.5591566989398498</v>
      </c>
      <c r="B473"/>
      <c r="C473"/>
      <c r="D473"/>
      <c r="E473"/>
      <c r="K473" s="27" t="s">
        <v>8</v>
      </c>
      <c r="L473" s="27" t="s">
        <v>7</v>
      </c>
      <c r="DA473" s="27" t="s">
        <v>8</v>
      </c>
      <c r="DB473" s="27" t="s">
        <v>7</v>
      </c>
      <c r="DC473" s="27" t="s">
        <v>8</v>
      </c>
      <c r="DP473" s="27" t="s">
        <v>7</v>
      </c>
      <c r="DS473" s="27" t="s">
        <v>8</v>
      </c>
      <c r="DT473" s="27" t="s">
        <v>7</v>
      </c>
      <c r="DW473" s="27" t="s">
        <v>8</v>
      </c>
      <c r="DX473" s="27" t="s">
        <v>7</v>
      </c>
      <c r="DY473" s="27" t="s">
        <v>8</v>
      </c>
      <c r="DZ473" s="27" t="s">
        <v>7</v>
      </c>
      <c r="EA473" s="27" t="s">
        <v>8</v>
      </c>
      <c r="EB473" s="27" t="s">
        <v>7</v>
      </c>
      <c r="EC473" s="27" t="s">
        <v>8</v>
      </c>
      <c r="ED473" s="27" t="s">
        <v>7</v>
      </c>
      <c r="IM473" s="27" t="s">
        <v>8</v>
      </c>
      <c r="IN473" s="27" t="s">
        <v>7</v>
      </c>
      <c r="IO473" s="27" t="s">
        <v>8</v>
      </c>
      <c r="IR473" s="27" t="s">
        <v>7</v>
      </c>
      <c r="IT473" s="27" t="s">
        <v>7</v>
      </c>
      <c r="IW473" s="27" t="s">
        <v>8</v>
      </c>
    </row>
    <row r="474" spans="1:260" x14ac:dyDescent="0.25">
      <c r="A474" s="7">
        <v>9.3717222538625968</v>
      </c>
      <c r="B474"/>
      <c r="C474"/>
      <c r="D474"/>
      <c r="E474"/>
      <c r="K474" s="27" t="s">
        <v>8</v>
      </c>
      <c r="L474" s="27" t="s">
        <v>7</v>
      </c>
      <c r="DA474" s="27" t="s">
        <v>8</v>
      </c>
      <c r="DB474" s="27" t="s">
        <v>7</v>
      </c>
      <c r="DC474" s="27" t="s">
        <v>8</v>
      </c>
      <c r="DP474" s="27" t="s">
        <v>7</v>
      </c>
      <c r="DS474" s="27" t="s">
        <v>8</v>
      </c>
      <c r="DT474" s="27" t="s">
        <v>7</v>
      </c>
      <c r="DW474" s="27" t="s">
        <v>8</v>
      </c>
      <c r="DX474" s="27" t="s">
        <v>7</v>
      </c>
      <c r="DY474" s="27" t="s">
        <v>8</v>
      </c>
      <c r="DZ474" s="27" t="s">
        <v>7</v>
      </c>
      <c r="EA474" s="27" t="s">
        <v>8</v>
      </c>
      <c r="EB474" s="27" t="s">
        <v>7</v>
      </c>
      <c r="EC474" s="27" t="s">
        <v>8</v>
      </c>
      <c r="ED474" s="27" t="s">
        <v>7</v>
      </c>
      <c r="IM474" s="27" t="s">
        <v>8</v>
      </c>
      <c r="IN474" s="27" t="s">
        <v>7</v>
      </c>
      <c r="IT474" s="27" t="s">
        <v>7</v>
      </c>
      <c r="IW474" s="27" t="s">
        <v>8</v>
      </c>
      <c r="IX474" s="27" t="s">
        <v>7</v>
      </c>
    </row>
    <row r="475" spans="1:260" x14ac:dyDescent="0.25">
      <c r="A475" s="7">
        <v>9.1879629939829375</v>
      </c>
      <c r="B475"/>
      <c r="C475"/>
      <c r="D475"/>
      <c r="E475"/>
      <c r="K475" s="27" t="s">
        <v>8</v>
      </c>
      <c r="L475" s="27" t="s">
        <v>7</v>
      </c>
      <c r="DA475" s="27" t="s">
        <v>8</v>
      </c>
      <c r="DB475" s="27" t="s">
        <v>7</v>
      </c>
      <c r="DP475" s="27" t="s">
        <v>7</v>
      </c>
      <c r="DQ475" s="27" t="s">
        <v>8</v>
      </c>
      <c r="DS475" s="27" t="s">
        <v>8</v>
      </c>
      <c r="DT475" s="27" t="s">
        <v>7</v>
      </c>
      <c r="DW475" s="27" t="s">
        <v>8</v>
      </c>
      <c r="DX475" s="27" t="s">
        <v>7</v>
      </c>
      <c r="DZ475" s="27" t="s">
        <v>7</v>
      </c>
      <c r="EA475" s="27" t="s">
        <v>8</v>
      </c>
      <c r="EB475" s="27" t="s">
        <v>7</v>
      </c>
      <c r="EC475" s="27" t="s">
        <v>8</v>
      </c>
      <c r="ED475" s="27" t="s">
        <v>7</v>
      </c>
      <c r="IM475" s="27" t="s">
        <v>8</v>
      </c>
      <c r="IT475" s="27" t="s">
        <v>7</v>
      </c>
      <c r="IW475" s="27" t="s">
        <v>8</v>
      </c>
      <c r="IX475" s="27" t="s">
        <v>7</v>
      </c>
    </row>
    <row r="476" spans="1:260" x14ac:dyDescent="0.25">
      <c r="A476" s="7">
        <v>9.0078068568460168</v>
      </c>
      <c r="B476"/>
      <c r="C476"/>
      <c r="D476"/>
      <c r="E476"/>
      <c r="K476" s="27" t="s">
        <v>8</v>
      </c>
      <c r="L476" s="27" t="s">
        <v>7</v>
      </c>
      <c r="O476" s="27" t="s">
        <v>8</v>
      </c>
      <c r="DA476" s="27" t="s">
        <v>8</v>
      </c>
      <c r="DP476" s="27" t="s">
        <v>7</v>
      </c>
      <c r="DQ476" s="27" t="s">
        <v>8</v>
      </c>
      <c r="DR476" s="27" t="s">
        <v>7</v>
      </c>
      <c r="DS476" s="27" t="s">
        <v>8</v>
      </c>
      <c r="DT476" s="27" t="s">
        <v>7</v>
      </c>
      <c r="DW476" s="27" t="s">
        <v>8</v>
      </c>
      <c r="DZ476" s="27" t="s">
        <v>7</v>
      </c>
      <c r="EA476" s="27" t="s">
        <v>8</v>
      </c>
      <c r="EB476" s="27" t="s">
        <v>7</v>
      </c>
      <c r="EC476" s="27" t="s">
        <v>8</v>
      </c>
      <c r="ED476" s="27" t="s">
        <v>7</v>
      </c>
      <c r="IM476" s="27" t="s">
        <v>8</v>
      </c>
      <c r="IT476" s="27" t="s">
        <v>7</v>
      </c>
      <c r="IW476" s="27" t="s">
        <v>8</v>
      </c>
      <c r="IX476" s="27" t="s">
        <v>7</v>
      </c>
    </row>
    <row r="477" spans="1:260" x14ac:dyDescent="0.25">
      <c r="A477" s="7">
        <v>8.8311831929862912</v>
      </c>
      <c r="B477"/>
      <c r="C477"/>
      <c r="D477"/>
      <c r="E477"/>
      <c r="K477" s="27" t="s">
        <v>8</v>
      </c>
      <c r="L477" s="27" t="s">
        <v>7</v>
      </c>
      <c r="O477" s="27" t="s">
        <v>8</v>
      </c>
      <c r="P477" s="27" t="s">
        <v>7</v>
      </c>
      <c r="DA477" s="27" t="s">
        <v>8</v>
      </c>
      <c r="DP477" s="27" t="s">
        <v>7</v>
      </c>
      <c r="DQ477" s="27" t="s">
        <v>8</v>
      </c>
      <c r="DR477" s="27" t="s">
        <v>7</v>
      </c>
      <c r="DS477" s="27" t="s">
        <v>8</v>
      </c>
      <c r="DT477" s="27" t="s">
        <v>7</v>
      </c>
      <c r="DW477" s="27" t="s">
        <v>8</v>
      </c>
      <c r="DZ477" s="27" t="s">
        <v>7</v>
      </c>
      <c r="EA477" s="27" t="s">
        <v>8</v>
      </c>
      <c r="EB477" s="27" t="s">
        <v>7</v>
      </c>
      <c r="ED477" s="27" t="s">
        <v>7</v>
      </c>
      <c r="EE477" s="27" t="s">
        <v>8</v>
      </c>
      <c r="IA477" s="27" t="s">
        <v>8</v>
      </c>
      <c r="IM477" s="27" t="s">
        <v>8</v>
      </c>
      <c r="IT477" s="27" t="s">
        <v>7</v>
      </c>
      <c r="IW477" s="27" t="s">
        <v>8</v>
      </c>
      <c r="IX477" s="27" t="s">
        <v>7</v>
      </c>
    </row>
    <row r="478" spans="1:260" x14ac:dyDescent="0.25">
      <c r="A478" s="7">
        <v>8.6580227382218542</v>
      </c>
      <c r="B478"/>
      <c r="C478"/>
      <c r="D478"/>
      <c r="E478"/>
      <c r="K478" s="27" t="s">
        <v>8</v>
      </c>
      <c r="L478" s="27" t="s">
        <v>7</v>
      </c>
      <c r="O478" s="27" t="s">
        <v>8</v>
      </c>
      <c r="P478" s="27" t="s">
        <v>7</v>
      </c>
      <c r="DA478" s="27" t="s">
        <v>8</v>
      </c>
      <c r="DP478" s="27" t="s">
        <v>7</v>
      </c>
      <c r="DQ478" s="27" t="s">
        <v>8</v>
      </c>
      <c r="DR478" s="27" t="s">
        <v>7</v>
      </c>
      <c r="DS478" s="27" t="s">
        <v>8</v>
      </c>
      <c r="DT478" s="27" t="s">
        <v>7</v>
      </c>
      <c r="DW478" s="27" t="s">
        <v>8</v>
      </c>
      <c r="DZ478" s="27" t="s">
        <v>7</v>
      </c>
      <c r="EA478" s="27" t="s">
        <v>8</v>
      </c>
      <c r="ED478" s="27" t="s">
        <v>7</v>
      </c>
      <c r="EE478" s="27" t="s">
        <v>8</v>
      </c>
      <c r="EF478" s="27" t="s">
        <v>7</v>
      </c>
      <c r="GG478" s="27" t="s">
        <v>8</v>
      </c>
      <c r="IA478" s="27" t="s">
        <v>8</v>
      </c>
      <c r="IB478" s="27" t="s">
        <v>7</v>
      </c>
      <c r="IM478" s="27" t="s">
        <v>8</v>
      </c>
      <c r="IT478" s="27" t="s">
        <v>7</v>
      </c>
      <c r="IW478" s="27" t="s">
        <v>8</v>
      </c>
      <c r="IX478" s="27" t="s">
        <v>7</v>
      </c>
      <c r="IY478" s="27" t="s">
        <v>8</v>
      </c>
    </row>
    <row r="479" spans="1:260" x14ac:dyDescent="0.25">
      <c r="A479" s="7">
        <v>8.4882575864920131</v>
      </c>
      <c r="B479"/>
      <c r="C479"/>
      <c r="D479"/>
      <c r="E479"/>
      <c r="K479" s="27" t="s">
        <v>8</v>
      </c>
      <c r="L479" s="27" t="s">
        <v>7</v>
      </c>
      <c r="O479" s="27" t="s">
        <v>8</v>
      </c>
      <c r="P479" s="27" t="s">
        <v>7</v>
      </c>
      <c r="DA479" s="27" t="s">
        <v>8</v>
      </c>
      <c r="DP479" s="27" t="s">
        <v>7</v>
      </c>
      <c r="DQ479" s="27" t="s">
        <v>8</v>
      </c>
      <c r="DR479" s="27" t="s">
        <v>7</v>
      </c>
      <c r="DS479" s="27" t="s">
        <v>8</v>
      </c>
      <c r="DT479" s="27" t="s">
        <v>7</v>
      </c>
      <c r="DW479" s="27" t="s">
        <v>8</v>
      </c>
      <c r="DZ479" s="27" t="s">
        <v>7</v>
      </c>
      <c r="ED479" s="27" t="s">
        <v>7</v>
      </c>
      <c r="EE479" s="27" t="s">
        <v>8</v>
      </c>
      <c r="EF479" s="27" t="s">
        <v>7</v>
      </c>
      <c r="GG479" s="27" t="s">
        <v>8</v>
      </c>
      <c r="GH479" s="27" t="s">
        <v>7</v>
      </c>
      <c r="IA479" s="27" t="s">
        <v>8</v>
      </c>
      <c r="IB479" s="27" t="s">
        <v>7</v>
      </c>
      <c r="IM479" s="27" t="s">
        <v>8</v>
      </c>
      <c r="IT479" s="27" t="s">
        <v>7</v>
      </c>
      <c r="IW479" s="27" t="s">
        <v>8</v>
      </c>
      <c r="IX479" s="27" t="s">
        <v>7</v>
      </c>
      <c r="IY479" s="27" t="s">
        <v>8</v>
      </c>
      <c r="IZ479" s="27" t="s">
        <v>7</v>
      </c>
    </row>
    <row r="480" spans="1:260" x14ac:dyDescent="0.25">
      <c r="A480" s="7">
        <v>8.3218211632274635</v>
      </c>
      <c r="B480"/>
      <c r="C480"/>
      <c r="D480"/>
      <c r="E480"/>
      <c r="K480" s="27" t="s">
        <v>8</v>
      </c>
      <c r="L480" s="27" t="s">
        <v>7</v>
      </c>
      <c r="M480" s="27" t="s">
        <v>8</v>
      </c>
      <c r="O480" s="27" t="s">
        <v>8</v>
      </c>
      <c r="P480" s="27" t="s">
        <v>7</v>
      </c>
      <c r="DA480" s="27" t="s">
        <v>8</v>
      </c>
      <c r="DP480" s="27" t="s">
        <v>7</v>
      </c>
      <c r="DQ480" s="27" t="s">
        <v>8</v>
      </c>
      <c r="DR480" s="27" t="s">
        <v>7</v>
      </c>
      <c r="DS480" s="27" t="s">
        <v>8</v>
      </c>
      <c r="DT480" s="27" t="s">
        <v>7</v>
      </c>
      <c r="DW480" s="27" t="s">
        <v>8</v>
      </c>
      <c r="ED480" s="27" t="s">
        <v>7</v>
      </c>
      <c r="EE480" s="27" t="s">
        <v>8</v>
      </c>
      <c r="EF480" s="27" t="s">
        <v>7</v>
      </c>
      <c r="GG480" s="27" t="s">
        <v>8</v>
      </c>
      <c r="GH480" s="27" t="s">
        <v>7</v>
      </c>
      <c r="IA480" s="27" t="s">
        <v>8</v>
      </c>
      <c r="IB480" s="27" t="s">
        <v>7</v>
      </c>
      <c r="IM480" s="27" t="s">
        <v>8</v>
      </c>
      <c r="IT480" s="27" t="s">
        <v>7</v>
      </c>
      <c r="IU480" s="27" t="s">
        <v>8</v>
      </c>
      <c r="IW480" s="27" t="s">
        <v>8</v>
      </c>
      <c r="IX480" s="27" t="s">
        <v>7</v>
      </c>
      <c r="IY480" s="27" t="s">
        <v>8</v>
      </c>
      <c r="IZ480" s="27" t="s">
        <v>7</v>
      </c>
    </row>
    <row r="481" spans="1:260" x14ac:dyDescent="0.25">
      <c r="A481" s="7">
        <v>8.1586481992426112</v>
      </c>
      <c r="B481"/>
      <c r="C481"/>
      <c r="D481"/>
      <c r="E481"/>
      <c r="K481" s="27" t="s">
        <v>8</v>
      </c>
      <c r="L481" s="27" t="s">
        <v>7</v>
      </c>
      <c r="M481" s="27" t="s">
        <v>8</v>
      </c>
      <c r="N481" s="27" t="s">
        <v>7</v>
      </c>
      <c r="O481" s="27" t="s">
        <v>8</v>
      </c>
      <c r="P481" s="27" t="s">
        <v>7</v>
      </c>
      <c r="DA481" s="27" t="s">
        <v>8</v>
      </c>
      <c r="DP481" s="27" t="s">
        <v>7</v>
      </c>
      <c r="DQ481" s="27" t="s">
        <v>8</v>
      </c>
      <c r="DR481" s="27" t="s">
        <v>7</v>
      </c>
      <c r="DS481" s="27" t="s">
        <v>8</v>
      </c>
      <c r="DT481" s="27" t="s">
        <v>7</v>
      </c>
      <c r="DU481" s="27" t="s">
        <v>8</v>
      </c>
      <c r="DW481" s="27" t="s">
        <v>8</v>
      </c>
      <c r="ED481" s="27" t="s">
        <v>7</v>
      </c>
      <c r="EE481" s="27" t="s">
        <v>8</v>
      </c>
      <c r="EF481" s="27" t="s">
        <v>7</v>
      </c>
      <c r="GG481" s="27" t="s">
        <v>8</v>
      </c>
      <c r="GH481" s="27" t="s">
        <v>7</v>
      </c>
      <c r="IA481" s="27" t="s">
        <v>8</v>
      </c>
      <c r="IB481" s="27" t="s">
        <v>7</v>
      </c>
      <c r="IM481" s="27" t="s">
        <v>8</v>
      </c>
      <c r="IT481" s="27" t="s">
        <v>7</v>
      </c>
      <c r="IU481" s="27" t="s">
        <v>8</v>
      </c>
      <c r="IV481" s="27" t="s">
        <v>7</v>
      </c>
      <c r="IW481" s="27" t="s">
        <v>8</v>
      </c>
      <c r="IX481" s="27" t="s">
        <v>7</v>
      </c>
      <c r="IZ481" s="27" t="s">
        <v>7</v>
      </c>
    </row>
    <row r="482" spans="1:260" x14ac:dyDescent="0.25">
      <c r="A482" s="7">
        <v>7.9986747051398144</v>
      </c>
      <c r="B482"/>
      <c r="C482"/>
      <c r="D482"/>
      <c r="E482"/>
      <c r="K482" s="27" t="s">
        <v>8</v>
      </c>
      <c r="L482" s="27" t="s">
        <v>7</v>
      </c>
      <c r="M482" s="27" t="s">
        <v>8</v>
      </c>
      <c r="N482" s="27" t="s">
        <v>7</v>
      </c>
      <c r="O482" s="27" t="s">
        <v>8</v>
      </c>
      <c r="P482" s="27" t="s">
        <v>7</v>
      </c>
      <c r="DA482" s="27" t="s">
        <v>8</v>
      </c>
      <c r="DP482" s="27" t="s">
        <v>7</v>
      </c>
      <c r="DQ482" s="27" t="s">
        <v>8</v>
      </c>
      <c r="DR482" s="27" t="s">
        <v>7</v>
      </c>
      <c r="DS482" s="27" t="s">
        <v>8</v>
      </c>
      <c r="DT482" s="27" t="s">
        <v>7</v>
      </c>
      <c r="DU482" s="27" t="s">
        <v>8</v>
      </c>
      <c r="DV482" s="27" t="s">
        <v>7</v>
      </c>
      <c r="DW482" s="27" t="s">
        <v>8</v>
      </c>
      <c r="ED482" s="27" t="s">
        <v>7</v>
      </c>
      <c r="EE482" s="27" t="s">
        <v>8</v>
      </c>
      <c r="EF482" s="27" t="s">
        <v>7</v>
      </c>
      <c r="GG482" s="27" t="s">
        <v>8</v>
      </c>
      <c r="GH482" s="27" t="s">
        <v>7</v>
      </c>
      <c r="IA482" s="27" t="s">
        <v>8</v>
      </c>
      <c r="IB482" s="27" t="s">
        <v>7</v>
      </c>
      <c r="IM482" s="27" t="s">
        <v>8</v>
      </c>
      <c r="IT482" s="27" t="s">
        <v>7</v>
      </c>
      <c r="IU482" s="27" t="s">
        <v>8</v>
      </c>
      <c r="IV482" s="27" t="s">
        <v>7</v>
      </c>
      <c r="IW482" s="27" t="s">
        <v>8</v>
      </c>
      <c r="IZ482" s="27" t="s">
        <v>7</v>
      </c>
    </row>
    <row r="483" spans="1:260" x14ac:dyDescent="0.25">
      <c r="A483" s="7">
        <v>7.8418379462155041</v>
      </c>
      <c r="B483"/>
      <c r="C483"/>
      <c r="D483"/>
      <c r="E483"/>
      <c r="K483" s="27" t="s">
        <v>8</v>
      </c>
      <c r="L483" s="27" t="s">
        <v>7</v>
      </c>
      <c r="M483" s="27" t="s">
        <v>8</v>
      </c>
      <c r="N483" s="27" t="s">
        <v>7</v>
      </c>
      <c r="O483" s="27" t="s">
        <v>8</v>
      </c>
      <c r="P483" s="27" t="s">
        <v>7</v>
      </c>
      <c r="CU483" s="27" t="s">
        <v>8</v>
      </c>
      <c r="CW483" s="27" t="s">
        <v>8</v>
      </c>
      <c r="DA483" s="27" t="s">
        <v>8</v>
      </c>
      <c r="DP483" s="27" t="s">
        <v>7</v>
      </c>
      <c r="DQ483" s="27" t="s">
        <v>8</v>
      </c>
      <c r="DR483" s="27" t="s">
        <v>7</v>
      </c>
      <c r="DS483" s="27" t="s">
        <v>8</v>
      </c>
      <c r="DT483" s="27" t="s">
        <v>7</v>
      </c>
      <c r="DU483" s="27" t="s">
        <v>8</v>
      </c>
      <c r="DV483" s="27" t="s">
        <v>7</v>
      </c>
      <c r="DW483" s="27" t="s">
        <v>8</v>
      </c>
      <c r="ED483" s="27" t="s">
        <v>7</v>
      </c>
      <c r="EF483" s="27" t="s">
        <v>7</v>
      </c>
      <c r="GG483" s="27" t="s">
        <v>8</v>
      </c>
      <c r="GH483" s="27" t="s">
        <v>7</v>
      </c>
      <c r="IA483" s="27" t="s">
        <v>8</v>
      </c>
      <c r="IB483" s="27" t="s">
        <v>7</v>
      </c>
      <c r="IM483" s="27" t="s">
        <v>8</v>
      </c>
      <c r="IT483" s="27" t="s">
        <v>7</v>
      </c>
      <c r="IV483" s="27" t="s">
        <v>7</v>
      </c>
      <c r="IW483" s="27" t="s">
        <v>8</v>
      </c>
      <c r="IZ483" s="27" t="s">
        <v>7</v>
      </c>
    </row>
    <row r="484" spans="1:260" x14ac:dyDescent="0.25">
      <c r="A484" s="7">
        <v>7.688076417858337</v>
      </c>
      <c r="B484"/>
      <c r="C484"/>
      <c r="D484"/>
      <c r="E484"/>
      <c r="K484" s="27" t="s">
        <v>8</v>
      </c>
      <c r="L484" s="27" t="s">
        <v>7</v>
      </c>
      <c r="M484" s="27" t="s">
        <v>8</v>
      </c>
      <c r="N484" s="27" t="s">
        <v>7</v>
      </c>
      <c r="O484" s="27" t="s">
        <v>8</v>
      </c>
      <c r="P484" s="27" t="s">
        <v>7</v>
      </c>
      <c r="CU484" s="27" t="s">
        <v>8</v>
      </c>
      <c r="CV484" s="27" t="s">
        <v>7</v>
      </c>
      <c r="CW484" s="27" t="s">
        <v>8</v>
      </c>
      <c r="CX484" s="27" t="s">
        <v>7</v>
      </c>
      <c r="CY484" s="27" t="s">
        <v>8</v>
      </c>
      <c r="DA484" s="27" t="s">
        <v>8</v>
      </c>
      <c r="DP484" s="27" t="s">
        <v>7</v>
      </c>
      <c r="DQ484" s="27" t="s">
        <v>8</v>
      </c>
      <c r="DR484" s="27" t="s">
        <v>7</v>
      </c>
      <c r="DS484" s="27" t="s">
        <v>8</v>
      </c>
      <c r="DT484" s="27" t="s">
        <v>7</v>
      </c>
      <c r="DU484" s="27" t="s">
        <v>8</v>
      </c>
      <c r="DV484" s="27" t="s">
        <v>7</v>
      </c>
      <c r="DW484" s="27" t="s">
        <v>8</v>
      </c>
      <c r="EF484" s="27" t="s">
        <v>7</v>
      </c>
      <c r="GG484" s="27" t="s">
        <v>8</v>
      </c>
      <c r="GH484" s="27" t="s">
        <v>7</v>
      </c>
      <c r="IA484" s="27" t="s">
        <v>8</v>
      </c>
      <c r="IB484" s="27" t="s">
        <v>7</v>
      </c>
      <c r="IM484" s="27" t="s">
        <v>8</v>
      </c>
      <c r="IV484" s="27" t="s">
        <v>7</v>
      </c>
      <c r="IW484" s="27" t="s">
        <v>8</v>
      </c>
      <c r="IZ484" s="27" t="s">
        <v>7</v>
      </c>
    </row>
    <row r="485" spans="1:260" x14ac:dyDescent="0.25">
      <c r="A485" s="7">
        <v>7.5373298214297417</v>
      </c>
      <c r="B485"/>
      <c r="C485"/>
      <c r="D485"/>
      <c r="E485"/>
      <c r="K485" s="27" t="s">
        <v>8</v>
      </c>
      <c r="L485" s="27" t="s">
        <v>7</v>
      </c>
      <c r="M485" s="27" t="s">
        <v>8</v>
      </c>
      <c r="N485" s="27" t="s">
        <v>7</v>
      </c>
      <c r="O485" s="27" t="s">
        <v>8</v>
      </c>
      <c r="P485" s="27" t="s">
        <v>7</v>
      </c>
      <c r="CU485" s="27" t="s">
        <v>8</v>
      </c>
      <c r="CV485" s="27" t="s">
        <v>7</v>
      </c>
      <c r="CW485" s="27" t="s">
        <v>8</v>
      </c>
      <c r="CX485" s="27" t="s">
        <v>7</v>
      </c>
      <c r="CY485" s="27" t="s">
        <v>8</v>
      </c>
      <c r="CZ485" s="27" t="s">
        <v>7</v>
      </c>
      <c r="DA485" s="27" t="s">
        <v>8</v>
      </c>
      <c r="DP485" s="27" t="s">
        <v>7</v>
      </c>
      <c r="DQ485" s="27" t="s">
        <v>8</v>
      </c>
      <c r="DR485" s="27" t="s">
        <v>7</v>
      </c>
      <c r="DS485" s="27" t="s">
        <v>8</v>
      </c>
      <c r="DT485" s="27" t="s">
        <v>7</v>
      </c>
      <c r="DU485" s="27" t="s">
        <v>8</v>
      </c>
      <c r="DV485" s="27" t="s">
        <v>7</v>
      </c>
      <c r="DW485" s="27" t="s">
        <v>8</v>
      </c>
      <c r="EF485" s="27" t="s">
        <v>7</v>
      </c>
      <c r="GG485" s="27" t="s">
        <v>8</v>
      </c>
      <c r="GH485" s="27" t="s">
        <v>7</v>
      </c>
      <c r="IA485" s="27" t="s">
        <v>8</v>
      </c>
      <c r="IB485" s="27" t="s">
        <v>7</v>
      </c>
      <c r="II485" s="27" t="s">
        <v>8</v>
      </c>
      <c r="IM485" s="27" t="s">
        <v>8</v>
      </c>
      <c r="IV485" s="27" t="s">
        <v>7</v>
      </c>
      <c r="IW485" s="27" t="s">
        <v>8</v>
      </c>
      <c r="IZ485" s="27" t="s">
        <v>7</v>
      </c>
    </row>
    <row r="486" spans="1:260" x14ac:dyDescent="0.25">
      <c r="A486" s="7">
        <v>7.389539040617394</v>
      </c>
      <c r="B486"/>
      <c r="C486"/>
      <c r="D486"/>
      <c r="E486"/>
      <c r="K486" s="27" t="s">
        <v>8</v>
      </c>
      <c r="L486" s="27" t="s">
        <v>7</v>
      </c>
      <c r="M486" s="27" t="s">
        <v>8</v>
      </c>
      <c r="N486" s="27" t="s">
        <v>7</v>
      </c>
      <c r="O486" s="27" t="s">
        <v>8</v>
      </c>
      <c r="P486" s="27" t="s">
        <v>7</v>
      </c>
      <c r="CC486" s="27" t="s">
        <v>8</v>
      </c>
      <c r="CU486" s="27" t="s">
        <v>8</v>
      </c>
      <c r="CV486" s="27" t="s">
        <v>7</v>
      </c>
      <c r="CW486" s="27" t="s">
        <v>8</v>
      </c>
      <c r="CX486" s="27" t="s">
        <v>7</v>
      </c>
      <c r="CY486" s="27" t="s">
        <v>8</v>
      </c>
      <c r="CZ486" s="27" t="s">
        <v>7</v>
      </c>
      <c r="DA486" s="27" t="s">
        <v>8</v>
      </c>
      <c r="DP486" s="27" t="s">
        <v>7</v>
      </c>
      <c r="DR486" s="27" t="s">
        <v>7</v>
      </c>
      <c r="DT486" s="27" t="s">
        <v>7</v>
      </c>
      <c r="DU486" s="27" t="s">
        <v>8</v>
      </c>
      <c r="DV486" s="27" t="s">
        <v>7</v>
      </c>
      <c r="EF486" s="27" t="s">
        <v>7</v>
      </c>
      <c r="EG486" s="27" t="s">
        <v>8</v>
      </c>
      <c r="GG486" s="27" t="s">
        <v>8</v>
      </c>
      <c r="GH486" s="27" t="s">
        <v>7</v>
      </c>
      <c r="IA486" s="27" t="s">
        <v>8</v>
      </c>
      <c r="IB486" s="27" t="s">
        <v>7</v>
      </c>
      <c r="II486" s="27" t="s">
        <v>8</v>
      </c>
      <c r="IJ486" s="27" t="s">
        <v>7</v>
      </c>
      <c r="IM486" s="27" t="s">
        <v>8</v>
      </c>
      <c r="IV486" s="27" t="s">
        <v>7</v>
      </c>
      <c r="IW486" s="27" t="s">
        <v>8</v>
      </c>
      <c r="IZ486" s="27" t="s">
        <v>7</v>
      </c>
    </row>
    <row r="487" spans="1:260" x14ac:dyDescent="0.25">
      <c r="A487" s="7">
        <v>7.2446461182523469</v>
      </c>
      <c r="B487"/>
      <c r="C487"/>
      <c r="D487"/>
      <c r="E487"/>
      <c r="K487" s="27" t="s">
        <v>8</v>
      </c>
      <c r="L487" s="27" t="s">
        <v>7</v>
      </c>
      <c r="N487" s="27" t="s">
        <v>7</v>
      </c>
      <c r="P487" s="27" t="s">
        <v>7</v>
      </c>
      <c r="CC487" s="27" t="s">
        <v>8</v>
      </c>
      <c r="CD487" s="27" t="s">
        <v>7</v>
      </c>
      <c r="CU487" s="27" t="s">
        <v>8</v>
      </c>
      <c r="CV487" s="27" t="s">
        <v>7</v>
      </c>
      <c r="CW487" s="27" t="s">
        <v>8</v>
      </c>
      <c r="CX487" s="27" t="s">
        <v>7</v>
      </c>
      <c r="CY487" s="27" t="s">
        <v>8</v>
      </c>
      <c r="CZ487" s="27" t="s">
        <v>7</v>
      </c>
      <c r="DA487" s="27" t="s">
        <v>8</v>
      </c>
      <c r="DT487" s="27" t="s">
        <v>7</v>
      </c>
      <c r="DU487" s="27" t="s">
        <v>8</v>
      </c>
      <c r="EF487" s="27" t="s">
        <v>7</v>
      </c>
      <c r="EG487" s="27" t="s">
        <v>8</v>
      </c>
      <c r="EH487" s="27" t="s">
        <v>7</v>
      </c>
      <c r="GG487" s="27" t="s">
        <v>8</v>
      </c>
      <c r="GH487" s="27" t="s">
        <v>7</v>
      </c>
      <c r="GI487" s="27" t="s">
        <v>8</v>
      </c>
      <c r="IA487" s="27" t="s">
        <v>8</v>
      </c>
      <c r="IB487" s="27" t="s">
        <v>7</v>
      </c>
      <c r="II487" s="27" t="s">
        <v>8</v>
      </c>
      <c r="IJ487" s="27" t="s">
        <v>7</v>
      </c>
      <c r="IM487" s="27" t="s">
        <v>8</v>
      </c>
      <c r="IV487" s="27" t="s">
        <v>7</v>
      </c>
      <c r="IW487" s="27" t="s">
        <v>8</v>
      </c>
      <c r="IZ487" s="27" t="s">
        <v>7</v>
      </c>
    </row>
    <row r="488" spans="1:260" x14ac:dyDescent="0.25">
      <c r="A488" s="7">
        <v>7.1025942335807324</v>
      </c>
      <c r="B488"/>
      <c r="C488"/>
      <c r="D488"/>
      <c r="E488" t="s">
        <v>8</v>
      </c>
      <c r="K488" s="27" t="s">
        <v>8</v>
      </c>
      <c r="P488" s="27" t="s">
        <v>7</v>
      </c>
      <c r="CC488" s="27" t="s">
        <v>8</v>
      </c>
      <c r="CD488" s="27" t="s">
        <v>7</v>
      </c>
      <c r="CU488" s="27" t="s">
        <v>8</v>
      </c>
      <c r="CV488" s="27" t="s">
        <v>7</v>
      </c>
      <c r="CW488" s="27" t="s">
        <v>8</v>
      </c>
      <c r="CX488" s="27" t="s">
        <v>7</v>
      </c>
      <c r="CY488" s="27" t="s">
        <v>8</v>
      </c>
      <c r="CZ488" s="27" t="s">
        <v>7</v>
      </c>
      <c r="DA488" s="27" t="s">
        <v>8</v>
      </c>
      <c r="DT488" s="27" t="s">
        <v>7</v>
      </c>
      <c r="EF488" s="27" t="s">
        <v>7</v>
      </c>
      <c r="EG488" s="27" t="s">
        <v>8</v>
      </c>
      <c r="EH488" s="27" t="s">
        <v>7</v>
      </c>
      <c r="GG488" s="27" t="s">
        <v>8</v>
      </c>
      <c r="GH488" s="27" t="s">
        <v>7</v>
      </c>
      <c r="GI488" s="27" t="s">
        <v>8</v>
      </c>
      <c r="GJ488" s="27" t="s">
        <v>7</v>
      </c>
      <c r="IA488" s="27" t="s">
        <v>8</v>
      </c>
      <c r="IB488" s="27" t="s">
        <v>7</v>
      </c>
      <c r="II488" s="27" t="s">
        <v>8</v>
      </c>
      <c r="IJ488" s="27" t="s">
        <v>7</v>
      </c>
      <c r="IM488" s="27" t="s">
        <v>8</v>
      </c>
      <c r="IV488" s="27" t="s">
        <v>7</v>
      </c>
      <c r="IW488" s="27" t="s">
        <v>8</v>
      </c>
      <c r="IZ488" s="27" t="s">
        <v>7</v>
      </c>
    </row>
    <row r="489" spans="1:260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K489" s="27" t="s">
        <v>8</v>
      </c>
      <c r="P489" s="27" t="s">
        <v>7</v>
      </c>
      <c r="CC489" s="27" t="s">
        <v>8</v>
      </c>
      <c r="CD489" s="27" t="s">
        <v>7</v>
      </c>
      <c r="CU489" s="27" t="s">
        <v>8</v>
      </c>
      <c r="CV489" s="27" t="s">
        <v>7</v>
      </c>
      <c r="CW489" s="27" t="s">
        <v>8</v>
      </c>
      <c r="CX489" s="27" t="s">
        <v>7</v>
      </c>
      <c r="CY489" s="27" t="s">
        <v>8</v>
      </c>
      <c r="CZ489" s="27" t="s">
        <v>7</v>
      </c>
      <c r="DA489" s="27" t="s">
        <v>8</v>
      </c>
      <c r="EF489" s="27" t="s">
        <v>7</v>
      </c>
      <c r="EG489" s="27" t="s">
        <v>8</v>
      </c>
      <c r="EH489" s="27" t="s">
        <v>7</v>
      </c>
      <c r="GG489" s="27" t="s">
        <v>8</v>
      </c>
      <c r="GH489" s="27" t="s">
        <v>7</v>
      </c>
      <c r="GI489" s="27" t="s">
        <v>8</v>
      </c>
      <c r="GJ489" s="27" t="s">
        <v>7</v>
      </c>
      <c r="GQ489" s="27" t="s">
        <v>8</v>
      </c>
      <c r="IA489" s="27" t="s">
        <v>8</v>
      </c>
      <c r="IB489" s="27" t="s">
        <v>7</v>
      </c>
      <c r="II489" s="27" t="s">
        <v>8</v>
      </c>
      <c r="IJ489" s="27" t="s">
        <v>7</v>
      </c>
      <c r="IM489" s="27" t="s">
        <v>8</v>
      </c>
      <c r="IV489" s="27" t="s">
        <v>7</v>
      </c>
      <c r="IZ489" s="27" t="s">
        <v>7</v>
      </c>
    </row>
    <row r="490" spans="1:260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K490" s="27" t="s">
        <v>8</v>
      </c>
      <c r="P490" s="27" t="s">
        <v>7</v>
      </c>
      <c r="CC490" s="27" t="s">
        <v>8</v>
      </c>
      <c r="CD490" s="27" t="s">
        <v>7</v>
      </c>
      <c r="CU490" s="27" t="s">
        <v>8</v>
      </c>
      <c r="CV490" s="27" t="s">
        <v>7</v>
      </c>
      <c r="CW490" s="27" t="s">
        <v>8</v>
      </c>
      <c r="CX490" s="27" t="s">
        <v>7</v>
      </c>
      <c r="CY490" s="27" t="s">
        <v>8</v>
      </c>
      <c r="CZ490" s="27" t="s">
        <v>7</v>
      </c>
      <c r="DA490" s="27" t="s">
        <v>8</v>
      </c>
      <c r="EF490" s="27" t="s">
        <v>7</v>
      </c>
      <c r="EG490" s="27" t="s">
        <v>8</v>
      </c>
      <c r="EH490" s="27" t="s">
        <v>7</v>
      </c>
      <c r="GG490" s="27" t="s">
        <v>8</v>
      </c>
      <c r="GH490" s="27" t="s">
        <v>7</v>
      </c>
      <c r="GJ490" s="27" t="s">
        <v>7</v>
      </c>
      <c r="GQ490" s="27" t="s">
        <v>8</v>
      </c>
      <c r="GR490" s="27" t="s">
        <v>7</v>
      </c>
      <c r="IA490" s="27" t="s">
        <v>8</v>
      </c>
      <c r="IB490" s="27" t="s">
        <v>7</v>
      </c>
      <c r="II490" s="27" t="s">
        <v>8</v>
      </c>
      <c r="IJ490" s="27" t="s">
        <v>7</v>
      </c>
      <c r="IM490" s="27" t="s">
        <v>8</v>
      </c>
      <c r="IZ490" s="27" t="s">
        <v>7</v>
      </c>
    </row>
    <row r="491" spans="1:260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K491" s="27" t="s">
        <v>8</v>
      </c>
      <c r="P491" s="27" t="s">
        <v>7</v>
      </c>
      <c r="CA491" s="27" t="s">
        <v>8</v>
      </c>
      <c r="CC491" s="27" t="s">
        <v>8</v>
      </c>
      <c r="CD491" s="27" t="s">
        <v>7</v>
      </c>
      <c r="CU491" s="27" t="s">
        <v>8</v>
      </c>
      <c r="CV491" s="27" t="s">
        <v>7</v>
      </c>
      <c r="CW491" s="27" t="s">
        <v>8</v>
      </c>
      <c r="CX491" s="27" t="s">
        <v>7</v>
      </c>
      <c r="CZ491" s="27" t="s">
        <v>7</v>
      </c>
      <c r="DA491" s="27" t="s">
        <v>8</v>
      </c>
      <c r="EF491" s="27" t="s">
        <v>7</v>
      </c>
      <c r="EH491" s="27" t="s">
        <v>7</v>
      </c>
      <c r="GG491" s="27" t="s">
        <v>8</v>
      </c>
      <c r="GJ491" s="27" t="s">
        <v>7</v>
      </c>
      <c r="GQ491" s="27" t="s">
        <v>8</v>
      </c>
      <c r="GR491" s="27" t="s">
        <v>7</v>
      </c>
      <c r="IA491" s="27" t="s">
        <v>8</v>
      </c>
      <c r="IB491" s="27" t="s">
        <v>7</v>
      </c>
      <c r="II491" s="27" t="s">
        <v>8</v>
      </c>
      <c r="IJ491" s="27" t="s">
        <v>7</v>
      </c>
      <c r="IM491" s="27" t="s">
        <v>8</v>
      </c>
      <c r="IZ491" s="27" t="s">
        <v>7</v>
      </c>
    </row>
    <row r="492" spans="1:260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I492" s="27" t="s">
        <v>8</v>
      </c>
      <c r="K492" s="27" t="s">
        <v>8</v>
      </c>
      <c r="P492" s="27" t="s">
        <v>7</v>
      </c>
      <c r="CA492" s="27" t="s">
        <v>8</v>
      </c>
      <c r="CB492" s="27" t="s">
        <v>7</v>
      </c>
      <c r="CC492" s="27" t="s">
        <v>8</v>
      </c>
      <c r="CD492" s="27" t="s">
        <v>7</v>
      </c>
      <c r="CU492" s="27" t="s">
        <v>8</v>
      </c>
      <c r="CV492" s="27" t="s">
        <v>7</v>
      </c>
      <c r="CW492" s="27" t="s">
        <v>8</v>
      </c>
      <c r="CZ492" s="27" t="s">
        <v>7</v>
      </c>
      <c r="DA492" s="27" t="s">
        <v>8</v>
      </c>
      <c r="EH492" s="27" t="s">
        <v>7</v>
      </c>
      <c r="GG492" s="27" t="s">
        <v>8</v>
      </c>
      <c r="GJ492" s="27" t="s">
        <v>7</v>
      </c>
      <c r="GQ492" s="27" t="s">
        <v>8</v>
      </c>
      <c r="GR492" s="27" t="s">
        <v>7</v>
      </c>
      <c r="IA492" s="27" t="s">
        <v>8</v>
      </c>
      <c r="IB492" s="27" t="s">
        <v>7</v>
      </c>
      <c r="II492" s="27" t="s">
        <v>8</v>
      </c>
      <c r="IJ492" s="27" t="s">
        <v>7</v>
      </c>
      <c r="IM492" s="27" t="s">
        <v>8</v>
      </c>
      <c r="IZ492" s="27" t="s">
        <v>7</v>
      </c>
    </row>
    <row r="493" spans="1:260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I493" s="27" t="s">
        <v>8</v>
      </c>
      <c r="J493" s="27" t="s">
        <v>7</v>
      </c>
      <c r="K493" s="27" t="s">
        <v>8</v>
      </c>
      <c r="P493" s="27" t="s">
        <v>7</v>
      </c>
      <c r="CA493" s="27" t="s">
        <v>8</v>
      </c>
      <c r="CB493" s="27" t="s">
        <v>7</v>
      </c>
      <c r="CC493" s="27" t="s">
        <v>8</v>
      </c>
      <c r="CD493" s="27" t="s">
        <v>7</v>
      </c>
      <c r="CG493" s="27" t="s">
        <v>8</v>
      </c>
      <c r="CU493" s="27" t="s">
        <v>8</v>
      </c>
      <c r="CV493" s="27" t="s">
        <v>7</v>
      </c>
      <c r="CZ493" s="27" t="s">
        <v>7</v>
      </c>
      <c r="DA493" s="27" t="s">
        <v>8</v>
      </c>
      <c r="EH493" s="27" t="s">
        <v>7</v>
      </c>
      <c r="GG493" s="27" t="s">
        <v>8</v>
      </c>
      <c r="GJ493" s="27" t="s">
        <v>7</v>
      </c>
      <c r="GO493" s="27" t="s">
        <v>8</v>
      </c>
      <c r="GQ493" s="27" t="s">
        <v>8</v>
      </c>
      <c r="GR493" s="27" t="s">
        <v>7</v>
      </c>
      <c r="HO493" s="27" t="s">
        <v>8</v>
      </c>
      <c r="IA493" s="27" t="s">
        <v>8</v>
      </c>
      <c r="IB493" s="27" t="s">
        <v>7</v>
      </c>
      <c r="II493" s="27" t="s">
        <v>8</v>
      </c>
      <c r="IJ493" s="27" t="s">
        <v>7</v>
      </c>
      <c r="IM493" s="27" t="s">
        <v>8</v>
      </c>
      <c r="IZ493" s="27" t="s">
        <v>7</v>
      </c>
    </row>
    <row r="494" spans="1:260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G494" s="27" t="s">
        <v>8</v>
      </c>
      <c r="I494" s="27" t="s">
        <v>8</v>
      </c>
      <c r="J494" s="27" t="s">
        <v>7</v>
      </c>
      <c r="K494" s="27" t="s">
        <v>8</v>
      </c>
      <c r="P494" s="27" t="s">
        <v>7</v>
      </c>
      <c r="CA494" s="27" t="s">
        <v>8</v>
      </c>
      <c r="CB494" s="27" t="s">
        <v>7</v>
      </c>
      <c r="CC494" s="27" t="s">
        <v>8</v>
      </c>
      <c r="CD494" s="27" t="s">
        <v>7</v>
      </c>
      <c r="CG494" s="27" t="s">
        <v>8</v>
      </c>
      <c r="CH494" s="27" t="s">
        <v>7</v>
      </c>
      <c r="CU494" s="27" t="s">
        <v>8</v>
      </c>
      <c r="CZ494" s="27" t="s">
        <v>7</v>
      </c>
      <c r="EH494" s="27" t="s">
        <v>7</v>
      </c>
      <c r="GG494" s="27" t="s">
        <v>8</v>
      </c>
      <c r="GJ494" s="27" t="s">
        <v>7</v>
      </c>
      <c r="GK494" s="27" t="s">
        <v>8</v>
      </c>
      <c r="GM494" s="27" t="s">
        <v>8</v>
      </c>
      <c r="GO494" s="27" t="s">
        <v>8</v>
      </c>
      <c r="GP494" s="27" t="s">
        <v>7</v>
      </c>
      <c r="GQ494" s="27" t="s">
        <v>8</v>
      </c>
      <c r="GR494" s="27" t="s">
        <v>7</v>
      </c>
      <c r="HO494" s="27" t="s">
        <v>8</v>
      </c>
      <c r="HP494" s="27" t="s">
        <v>7</v>
      </c>
      <c r="HS494" s="27" t="s">
        <v>8</v>
      </c>
      <c r="IA494" s="27" t="s">
        <v>8</v>
      </c>
      <c r="IB494" s="27" t="s">
        <v>7</v>
      </c>
      <c r="IC494" s="27" t="s">
        <v>8</v>
      </c>
      <c r="IG494" s="27" t="s">
        <v>8</v>
      </c>
      <c r="II494" s="27" t="s">
        <v>8</v>
      </c>
      <c r="IJ494" s="27" t="s">
        <v>7</v>
      </c>
      <c r="IM494" s="27" t="s">
        <v>8</v>
      </c>
      <c r="IZ494" s="27" t="s">
        <v>7</v>
      </c>
    </row>
    <row r="495" spans="1:260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G495" s="27" t="s">
        <v>8</v>
      </c>
      <c r="H495" s="27" t="s">
        <v>7</v>
      </c>
      <c r="I495" s="27" t="s">
        <v>8</v>
      </c>
      <c r="J495" s="27" t="s">
        <v>7</v>
      </c>
      <c r="K495" s="27" t="s">
        <v>8</v>
      </c>
      <c r="P495" s="27" t="s">
        <v>7</v>
      </c>
      <c r="CA495" s="27" t="s">
        <v>8</v>
      </c>
      <c r="CB495" s="27" t="s">
        <v>7</v>
      </c>
      <c r="CC495" s="27" t="s">
        <v>8</v>
      </c>
      <c r="CD495" s="27" t="s">
        <v>7</v>
      </c>
      <c r="CE495" s="27" t="s">
        <v>8</v>
      </c>
      <c r="CG495" s="27" t="s">
        <v>8</v>
      </c>
      <c r="CH495" s="27" t="s">
        <v>7</v>
      </c>
      <c r="CU495" s="27" t="s">
        <v>8</v>
      </c>
      <c r="EH495" s="27" t="s">
        <v>7</v>
      </c>
      <c r="GG495" s="27" t="s">
        <v>8</v>
      </c>
      <c r="GJ495" s="27" t="s">
        <v>7</v>
      </c>
      <c r="GK495" s="27" t="s">
        <v>8</v>
      </c>
      <c r="GL495" s="27" t="s">
        <v>7</v>
      </c>
      <c r="GM495" s="27" t="s">
        <v>8</v>
      </c>
      <c r="GN495" s="27" t="s">
        <v>7</v>
      </c>
      <c r="GO495" s="27" t="s">
        <v>8</v>
      </c>
      <c r="GP495" s="27" t="s">
        <v>7</v>
      </c>
      <c r="GQ495" s="27" t="s">
        <v>8</v>
      </c>
      <c r="GR495" s="27" t="s">
        <v>7</v>
      </c>
      <c r="HO495" s="27" t="s">
        <v>8</v>
      </c>
      <c r="HP495" s="27" t="s">
        <v>7</v>
      </c>
      <c r="HS495" s="27" t="s">
        <v>8</v>
      </c>
      <c r="HT495" s="27" t="s">
        <v>7</v>
      </c>
      <c r="IA495" s="27" t="s">
        <v>8</v>
      </c>
      <c r="IB495" s="27" t="s">
        <v>7</v>
      </c>
      <c r="IC495" s="27" t="s">
        <v>8</v>
      </c>
      <c r="ID495" s="27" t="s">
        <v>7</v>
      </c>
      <c r="IG495" s="27" t="s">
        <v>8</v>
      </c>
      <c r="IH495" s="27" t="s">
        <v>7</v>
      </c>
      <c r="II495" s="27" t="s">
        <v>8</v>
      </c>
      <c r="IJ495" s="27" t="s">
        <v>7</v>
      </c>
      <c r="IK495" s="27" t="s">
        <v>8</v>
      </c>
      <c r="IM495" s="27" t="s">
        <v>8</v>
      </c>
      <c r="IZ495" s="27" t="s">
        <v>7</v>
      </c>
    </row>
    <row r="496" spans="1:260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G496" s="27" t="s">
        <v>8</v>
      </c>
      <c r="H496" s="27" t="s">
        <v>7</v>
      </c>
      <c r="I496" s="27" t="s">
        <v>8</v>
      </c>
      <c r="J496" s="27" t="s">
        <v>7</v>
      </c>
      <c r="K496" s="27" t="s">
        <v>8</v>
      </c>
      <c r="P496" s="27" t="s">
        <v>7</v>
      </c>
      <c r="CA496" s="27" t="s">
        <v>8</v>
      </c>
      <c r="CB496" s="27" t="s">
        <v>7</v>
      </c>
      <c r="CC496" s="27" t="s">
        <v>8</v>
      </c>
      <c r="CD496" s="27" t="s">
        <v>7</v>
      </c>
      <c r="CE496" s="27" t="s">
        <v>8</v>
      </c>
      <c r="CF496" s="27" t="s">
        <v>7</v>
      </c>
      <c r="CG496" s="27" t="s">
        <v>8</v>
      </c>
      <c r="CH496" s="27" t="s">
        <v>7</v>
      </c>
      <c r="CM496" s="27" t="s">
        <v>8</v>
      </c>
      <c r="CS496" s="27" t="s">
        <v>8</v>
      </c>
      <c r="CU496" s="27" t="s">
        <v>8</v>
      </c>
      <c r="EH496" s="27" t="s">
        <v>7</v>
      </c>
      <c r="EQ496" s="27" t="s">
        <v>8</v>
      </c>
      <c r="GG496" s="27" t="s">
        <v>8</v>
      </c>
      <c r="GJ496" s="27" t="s">
        <v>7</v>
      </c>
      <c r="GK496" s="27" t="s">
        <v>8</v>
      </c>
      <c r="GL496" s="27" t="s">
        <v>7</v>
      </c>
      <c r="GM496" s="27" t="s">
        <v>8</v>
      </c>
      <c r="GN496" s="27" t="s">
        <v>7</v>
      </c>
      <c r="GO496" s="27" t="s">
        <v>8</v>
      </c>
      <c r="GP496" s="27" t="s">
        <v>7</v>
      </c>
      <c r="GQ496" s="27" t="s">
        <v>8</v>
      </c>
      <c r="GR496" s="27" t="s">
        <v>7</v>
      </c>
      <c r="HO496" s="27" t="s">
        <v>8</v>
      </c>
      <c r="HP496" s="27" t="s">
        <v>7</v>
      </c>
      <c r="HS496" s="27" t="s">
        <v>8</v>
      </c>
      <c r="HT496" s="27" t="s">
        <v>7</v>
      </c>
      <c r="HU496" s="27" t="s">
        <v>8</v>
      </c>
      <c r="IA496" s="27" t="s">
        <v>8</v>
      </c>
      <c r="IB496" s="27" t="s">
        <v>7</v>
      </c>
      <c r="IC496" s="27" t="s">
        <v>8</v>
      </c>
      <c r="ID496" s="27" t="s">
        <v>7</v>
      </c>
      <c r="IG496" s="27" t="s">
        <v>8</v>
      </c>
      <c r="IH496" s="27" t="s">
        <v>7</v>
      </c>
      <c r="II496" s="27" t="s">
        <v>8</v>
      </c>
      <c r="IJ496" s="27" t="s">
        <v>7</v>
      </c>
      <c r="IK496" s="27" t="s">
        <v>8</v>
      </c>
      <c r="IL496" s="27" t="s">
        <v>7</v>
      </c>
      <c r="IM496" s="27" t="s">
        <v>8</v>
      </c>
      <c r="IZ496" s="27" t="s">
        <v>7</v>
      </c>
    </row>
    <row r="497" spans="1:262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G497" s="27" t="s">
        <v>8</v>
      </c>
      <c r="H497" s="27" t="s">
        <v>7</v>
      </c>
      <c r="I497" s="27" t="s">
        <v>8</v>
      </c>
      <c r="J497" s="27" t="s">
        <v>7</v>
      </c>
      <c r="K497" s="27" t="s">
        <v>8</v>
      </c>
      <c r="P497" s="27" t="s">
        <v>7</v>
      </c>
      <c r="U497" s="27" t="s">
        <v>8</v>
      </c>
      <c r="CA497" s="27" t="s">
        <v>8</v>
      </c>
      <c r="CB497" s="27" t="s">
        <v>7</v>
      </c>
      <c r="CC497" s="27" t="s">
        <v>8</v>
      </c>
      <c r="CD497" s="27" t="s">
        <v>7</v>
      </c>
      <c r="CE497" s="27" t="s">
        <v>8</v>
      </c>
      <c r="CF497" s="27" t="s">
        <v>7</v>
      </c>
      <c r="CG497" s="27" t="s">
        <v>8</v>
      </c>
      <c r="CH497" s="27" t="s">
        <v>7</v>
      </c>
      <c r="CM497" s="27" t="s">
        <v>8</v>
      </c>
      <c r="CN497" s="27" t="s">
        <v>7</v>
      </c>
      <c r="CS497" s="27" t="s">
        <v>8</v>
      </c>
      <c r="CT497" s="27" t="s">
        <v>7</v>
      </c>
      <c r="CU497" s="27" t="s">
        <v>8</v>
      </c>
      <c r="EH497" s="27" t="s">
        <v>7</v>
      </c>
      <c r="EQ497" s="27" t="s">
        <v>8</v>
      </c>
      <c r="ER497" s="27" t="s">
        <v>7</v>
      </c>
      <c r="GG497" s="27" t="s">
        <v>8</v>
      </c>
      <c r="GJ497" s="27" t="s">
        <v>7</v>
      </c>
      <c r="GK497" s="27" t="s">
        <v>8</v>
      </c>
      <c r="GL497" s="27" t="s">
        <v>7</v>
      </c>
      <c r="GM497" s="27" t="s">
        <v>8</v>
      </c>
      <c r="GN497" s="27" t="s">
        <v>7</v>
      </c>
      <c r="GO497" s="27" t="s">
        <v>8</v>
      </c>
      <c r="GP497" s="27" t="s">
        <v>7</v>
      </c>
      <c r="GQ497" s="27" t="s">
        <v>8</v>
      </c>
      <c r="GR497" s="27" t="s">
        <v>7</v>
      </c>
      <c r="HO497" s="27" t="s">
        <v>8</v>
      </c>
      <c r="HP497" s="27" t="s">
        <v>7</v>
      </c>
      <c r="HS497" s="27" t="s">
        <v>8</v>
      </c>
      <c r="HT497" s="27" t="s">
        <v>7</v>
      </c>
      <c r="HU497" s="27" t="s">
        <v>8</v>
      </c>
      <c r="HV497" s="27" t="s">
        <v>7</v>
      </c>
      <c r="IA497" s="27" t="s">
        <v>8</v>
      </c>
      <c r="IB497" s="27" t="s">
        <v>7</v>
      </c>
      <c r="IC497" s="27" t="s">
        <v>8</v>
      </c>
      <c r="ID497" s="27" t="s">
        <v>7</v>
      </c>
      <c r="IG497" s="27" t="s">
        <v>8</v>
      </c>
      <c r="IH497" s="27" t="s">
        <v>7</v>
      </c>
      <c r="II497" s="27" t="s">
        <v>8</v>
      </c>
      <c r="IJ497" s="27" t="s">
        <v>7</v>
      </c>
      <c r="IK497" s="27" t="s">
        <v>8</v>
      </c>
      <c r="IL497" s="27" t="s">
        <v>7</v>
      </c>
      <c r="IM497" s="27" t="s">
        <v>8</v>
      </c>
      <c r="IZ497" s="27" t="s">
        <v>7</v>
      </c>
    </row>
    <row r="498" spans="1:262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G498" s="27" t="s">
        <v>8</v>
      </c>
      <c r="H498" s="27" t="s">
        <v>7</v>
      </c>
      <c r="I498" s="27" t="s">
        <v>8</v>
      </c>
      <c r="J498" s="27" t="s">
        <v>7</v>
      </c>
      <c r="K498" s="27" t="s">
        <v>8</v>
      </c>
      <c r="P498" s="27" t="s">
        <v>7</v>
      </c>
      <c r="U498" s="27" t="s">
        <v>8</v>
      </c>
      <c r="V498" s="27" t="s">
        <v>7</v>
      </c>
      <c r="CA498" s="27" t="s">
        <v>8</v>
      </c>
      <c r="CB498" s="27" t="s">
        <v>7</v>
      </c>
      <c r="CC498" s="27" t="s">
        <v>8</v>
      </c>
      <c r="CD498" s="27" t="s">
        <v>7</v>
      </c>
      <c r="CE498" s="27" t="s">
        <v>8</v>
      </c>
      <c r="CF498" s="27" t="s">
        <v>7</v>
      </c>
      <c r="CG498" s="27" t="s">
        <v>8</v>
      </c>
      <c r="CH498" s="27" t="s">
        <v>7</v>
      </c>
      <c r="CM498" s="27" t="s">
        <v>8</v>
      </c>
      <c r="CN498" s="27" t="s">
        <v>7</v>
      </c>
      <c r="CS498" s="27" t="s">
        <v>8</v>
      </c>
      <c r="CT498" s="27" t="s">
        <v>7</v>
      </c>
      <c r="CU498" s="27" t="s">
        <v>8</v>
      </c>
      <c r="EH498" s="27" t="s">
        <v>7</v>
      </c>
      <c r="EQ498" s="27" t="s">
        <v>8</v>
      </c>
      <c r="ER498" s="27" t="s">
        <v>7</v>
      </c>
      <c r="GG498" s="27" t="s">
        <v>8</v>
      </c>
      <c r="GJ498" s="27" t="s">
        <v>7</v>
      </c>
      <c r="GK498" s="27" t="s">
        <v>8</v>
      </c>
      <c r="GL498" s="27" t="s">
        <v>7</v>
      </c>
      <c r="GM498" s="27" t="s">
        <v>8</v>
      </c>
      <c r="GN498" s="27" t="s">
        <v>7</v>
      </c>
      <c r="GO498" s="27" t="s">
        <v>8</v>
      </c>
      <c r="GP498" s="27" t="s">
        <v>7</v>
      </c>
      <c r="GR498" s="27" t="s">
        <v>7</v>
      </c>
      <c r="HO498" s="27" t="s">
        <v>8</v>
      </c>
      <c r="HP498" s="27" t="s">
        <v>7</v>
      </c>
      <c r="HS498" s="27" t="s">
        <v>8</v>
      </c>
      <c r="HT498" s="27" t="s">
        <v>7</v>
      </c>
      <c r="HU498" s="27" t="s">
        <v>8</v>
      </c>
      <c r="HV498" s="27" t="s">
        <v>7</v>
      </c>
      <c r="IA498" s="27" t="s">
        <v>8</v>
      </c>
      <c r="IB498" s="27" t="s">
        <v>7</v>
      </c>
      <c r="IC498" s="27" t="s">
        <v>8</v>
      </c>
      <c r="ID498" s="27" t="s">
        <v>7</v>
      </c>
      <c r="IG498" s="27" t="s">
        <v>8</v>
      </c>
      <c r="IH498" s="27" t="s">
        <v>7</v>
      </c>
      <c r="II498" s="27" t="s">
        <v>8</v>
      </c>
      <c r="IJ498" s="27" t="s">
        <v>7</v>
      </c>
      <c r="IK498" s="27" t="s">
        <v>8</v>
      </c>
      <c r="IL498" s="27" t="s">
        <v>7</v>
      </c>
      <c r="IM498" s="27" t="s">
        <v>8</v>
      </c>
      <c r="IZ498" s="27" t="s">
        <v>7</v>
      </c>
    </row>
    <row r="499" spans="1:262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H499" s="27" t="s">
        <v>7</v>
      </c>
      <c r="J499" s="27" t="s">
        <v>7</v>
      </c>
      <c r="K499" s="27" t="s">
        <v>8</v>
      </c>
      <c r="P499" s="27" t="s">
        <v>7</v>
      </c>
      <c r="U499" s="27" t="s">
        <v>8</v>
      </c>
      <c r="V499" s="27" t="s">
        <v>7</v>
      </c>
      <c r="CA499" s="27" t="s">
        <v>8</v>
      </c>
      <c r="CB499" s="27" t="s">
        <v>7</v>
      </c>
      <c r="CC499" s="27" t="s">
        <v>8</v>
      </c>
      <c r="CD499" s="27" t="s">
        <v>7</v>
      </c>
      <c r="CE499" s="27" t="s">
        <v>8</v>
      </c>
      <c r="CF499" s="27" t="s">
        <v>7</v>
      </c>
      <c r="CG499" s="27" t="s">
        <v>8</v>
      </c>
      <c r="CH499" s="27" t="s">
        <v>7</v>
      </c>
      <c r="CM499" s="27" t="s">
        <v>8</v>
      </c>
      <c r="CN499" s="27" t="s">
        <v>7</v>
      </c>
      <c r="CS499" s="27" t="s">
        <v>8</v>
      </c>
      <c r="CT499" s="27" t="s">
        <v>7</v>
      </c>
      <c r="CU499" s="27" t="s">
        <v>8</v>
      </c>
      <c r="EH499" s="27" t="s">
        <v>7</v>
      </c>
      <c r="EK499" s="27" t="s">
        <v>8</v>
      </c>
      <c r="EQ499" s="27" t="s">
        <v>8</v>
      </c>
      <c r="ER499" s="27" t="s">
        <v>7</v>
      </c>
      <c r="GG499" s="27" t="s">
        <v>8</v>
      </c>
      <c r="GJ499" s="27" t="s">
        <v>7</v>
      </c>
      <c r="GK499" s="27" t="s">
        <v>8</v>
      </c>
      <c r="GL499" s="27" t="s">
        <v>7</v>
      </c>
      <c r="GM499" s="27" t="s">
        <v>8</v>
      </c>
      <c r="GN499" s="27" t="s">
        <v>7</v>
      </c>
      <c r="GO499" s="27" t="s">
        <v>8</v>
      </c>
      <c r="GR499" s="27" t="s">
        <v>7</v>
      </c>
      <c r="HO499" s="27" t="s">
        <v>8</v>
      </c>
      <c r="HP499" s="27" t="s">
        <v>7</v>
      </c>
      <c r="HS499" s="27" t="s">
        <v>8</v>
      </c>
      <c r="HT499" s="27" t="s">
        <v>7</v>
      </c>
      <c r="HU499" s="27" t="s">
        <v>8</v>
      </c>
      <c r="HV499" s="27" t="s">
        <v>7</v>
      </c>
      <c r="HW499" s="27" t="s">
        <v>8</v>
      </c>
      <c r="IA499" s="27" t="s">
        <v>8</v>
      </c>
      <c r="IB499" s="27" t="s">
        <v>7</v>
      </c>
      <c r="IC499" s="27" t="s">
        <v>8</v>
      </c>
      <c r="ID499" s="27" t="s">
        <v>7</v>
      </c>
      <c r="IG499" s="27" t="s">
        <v>8</v>
      </c>
      <c r="IH499" s="27" t="s">
        <v>7</v>
      </c>
      <c r="II499" s="27" t="s">
        <v>8</v>
      </c>
      <c r="IJ499" s="27" t="s">
        <v>7</v>
      </c>
      <c r="IK499" s="27" t="s">
        <v>8</v>
      </c>
      <c r="IL499" s="27" t="s">
        <v>7</v>
      </c>
      <c r="IM499" s="27" t="s">
        <v>8</v>
      </c>
      <c r="IZ499" s="27" t="s">
        <v>7</v>
      </c>
    </row>
    <row r="500" spans="1:262" x14ac:dyDescent="0.25">
      <c r="A500" s="7">
        <v>5.6003470821040304</v>
      </c>
      <c r="B500"/>
      <c r="C500"/>
      <c r="D500"/>
      <c r="E500" t="s">
        <v>8</v>
      </c>
      <c r="J500" s="27" t="s">
        <v>7</v>
      </c>
      <c r="K500" s="27" t="s">
        <v>8</v>
      </c>
      <c r="P500" s="27" t="s">
        <v>7</v>
      </c>
      <c r="U500" s="27" t="s">
        <v>8</v>
      </c>
      <c r="V500" s="27" t="s">
        <v>7</v>
      </c>
      <c r="CA500" s="27" t="s">
        <v>8</v>
      </c>
      <c r="CB500" s="27" t="s">
        <v>7</v>
      </c>
      <c r="CC500" s="27" t="s">
        <v>8</v>
      </c>
      <c r="CD500" s="27" t="s">
        <v>7</v>
      </c>
      <c r="CE500" s="27" t="s">
        <v>8</v>
      </c>
      <c r="CF500" s="27" t="s">
        <v>7</v>
      </c>
      <c r="CG500" s="27" t="s">
        <v>8</v>
      </c>
      <c r="CH500" s="27" t="s">
        <v>7</v>
      </c>
      <c r="CM500" s="27" t="s">
        <v>8</v>
      </c>
      <c r="CN500" s="27" t="s">
        <v>7</v>
      </c>
      <c r="CS500" s="27" t="s">
        <v>8</v>
      </c>
      <c r="CT500" s="27" t="s">
        <v>7</v>
      </c>
      <c r="CU500" s="27" t="s">
        <v>8</v>
      </c>
      <c r="EH500" s="27" t="s">
        <v>7</v>
      </c>
      <c r="EK500" s="27" t="s">
        <v>8</v>
      </c>
      <c r="EL500" s="27" t="s">
        <v>7</v>
      </c>
      <c r="EM500" s="27" t="s">
        <v>8</v>
      </c>
      <c r="EQ500" s="27" t="s">
        <v>8</v>
      </c>
      <c r="ER500" s="27" t="s">
        <v>7</v>
      </c>
      <c r="GA500" s="27" t="s">
        <v>8</v>
      </c>
      <c r="GG500" s="27" t="s">
        <v>8</v>
      </c>
      <c r="GJ500" s="27" t="s">
        <v>7</v>
      </c>
      <c r="GK500" s="27" t="s">
        <v>8</v>
      </c>
      <c r="GL500" s="27" t="s">
        <v>7</v>
      </c>
      <c r="GM500" s="27" t="s">
        <v>8</v>
      </c>
      <c r="GN500" s="27" t="s">
        <v>7</v>
      </c>
      <c r="GO500" s="27" t="s">
        <v>8</v>
      </c>
      <c r="GR500" s="27" t="s">
        <v>7</v>
      </c>
      <c r="HO500" s="27" t="s">
        <v>8</v>
      </c>
      <c r="HP500" s="27" t="s">
        <v>7</v>
      </c>
      <c r="HQ500" s="27" t="s">
        <v>8</v>
      </c>
      <c r="HS500" s="27" t="s">
        <v>8</v>
      </c>
      <c r="HT500" s="27" t="s">
        <v>7</v>
      </c>
      <c r="HU500" s="27" t="s">
        <v>8</v>
      </c>
      <c r="HV500" s="27" t="s">
        <v>7</v>
      </c>
      <c r="HW500" s="27" t="s">
        <v>8</v>
      </c>
      <c r="HX500" s="27" t="s">
        <v>7</v>
      </c>
      <c r="IA500" s="27" t="s">
        <v>8</v>
      </c>
      <c r="IB500" s="27" t="s">
        <v>7</v>
      </c>
      <c r="IC500" s="27" t="s">
        <v>8</v>
      </c>
      <c r="ID500" s="27" t="s">
        <v>7</v>
      </c>
      <c r="IG500" s="27" t="s">
        <v>8</v>
      </c>
      <c r="IH500" s="27" t="s">
        <v>7</v>
      </c>
      <c r="II500" s="27" t="s">
        <v>8</v>
      </c>
      <c r="IJ500" s="27" t="s">
        <v>7</v>
      </c>
      <c r="IL500" s="27" t="s">
        <v>7</v>
      </c>
      <c r="IM500" s="27" t="s">
        <v>8</v>
      </c>
      <c r="IZ500" s="27" t="s">
        <v>7</v>
      </c>
    </row>
    <row r="501" spans="1:262" x14ac:dyDescent="0.25">
      <c r="A501" s="7">
        <v>5.4905363550039512</v>
      </c>
      <c r="B501"/>
      <c r="C501"/>
      <c r="D501"/>
      <c r="E501" t="s">
        <v>8</v>
      </c>
      <c r="J501" s="27" t="s">
        <v>7</v>
      </c>
      <c r="K501" s="27" t="s">
        <v>8</v>
      </c>
      <c r="P501" s="27" t="s">
        <v>7</v>
      </c>
      <c r="U501" s="27" t="s">
        <v>8</v>
      </c>
      <c r="V501" s="27" t="s">
        <v>7</v>
      </c>
      <c r="CA501" s="27" t="s">
        <v>8</v>
      </c>
      <c r="CB501" s="27" t="s">
        <v>7</v>
      </c>
      <c r="CC501" s="27" t="s">
        <v>8</v>
      </c>
      <c r="CD501" s="27" t="s">
        <v>7</v>
      </c>
      <c r="CE501" s="27" t="s">
        <v>8</v>
      </c>
      <c r="CF501" s="27" t="s">
        <v>7</v>
      </c>
      <c r="CG501" s="27" t="s">
        <v>8</v>
      </c>
      <c r="CH501" s="27" t="s">
        <v>7</v>
      </c>
      <c r="CM501" s="27" t="s">
        <v>8</v>
      </c>
      <c r="CN501" s="27" t="s">
        <v>7</v>
      </c>
      <c r="CS501" s="27" t="s">
        <v>8</v>
      </c>
      <c r="CT501" s="27" t="s">
        <v>7</v>
      </c>
      <c r="CU501" s="27" t="s">
        <v>8</v>
      </c>
      <c r="EH501" s="27" t="s">
        <v>7</v>
      </c>
      <c r="EK501" s="27" t="s">
        <v>8</v>
      </c>
      <c r="EL501" s="27" t="s">
        <v>7</v>
      </c>
      <c r="EM501" s="27" t="s">
        <v>8</v>
      </c>
      <c r="EN501" s="27" t="s">
        <v>7</v>
      </c>
      <c r="EQ501" s="27" t="s">
        <v>8</v>
      </c>
      <c r="ER501" s="27" t="s">
        <v>7</v>
      </c>
      <c r="GA501" s="27" t="s">
        <v>8</v>
      </c>
      <c r="GB501" s="27" t="s">
        <v>7</v>
      </c>
      <c r="GE501" s="27" t="s">
        <v>8</v>
      </c>
      <c r="GG501" s="27" t="s">
        <v>8</v>
      </c>
      <c r="GJ501" s="27" t="s">
        <v>7</v>
      </c>
      <c r="GK501" s="27" t="s">
        <v>8</v>
      </c>
      <c r="GL501" s="27" t="s">
        <v>7</v>
      </c>
      <c r="GM501" s="27" t="s">
        <v>8</v>
      </c>
      <c r="GN501" s="27" t="s">
        <v>7</v>
      </c>
      <c r="GO501" s="27" t="s">
        <v>8</v>
      </c>
      <c r="GR501" s="27" t="s">
        <v>7</v>
      </c>
      <c r="HO501" s="27" t="s">
        <v>8</v>
      </c>
      <c r="HP501" s="27" t="s">
        <v>7</v>
      </c>
      <c r="HQ501" s="27" t="s">
        <v>8</v>
      </c>
      <c r="HR501" s="27" t="s">
        <v>7</v>
      </c>
      <c r="HS501" s="27" t="s">
        <v>8</v>
      </c>
      <c r="HT501" s="27" t="s">
        <v>7</v>
      </c>
      <c r="HU501" s="27" t="s">
        <v>8</v>
      </c>
      <c r="HV501" s="27" t="s">
        <v>7</v>
      </c>
      <c r="HW501" s="27" t="s">
        <v>8</v>
      </c>
      <c r="HX501" s="27" t="s">
        <v>7</v>
      </c>
      <c r="IA501" s="27" t="s">
        <v>8</v>
      </c>
      <c r="IB501" s="27" t="s">
        <v>7</v>
      </c>
      <c r="ID501" s="27" t="s">
        <v>7</v>
      </c>
      <c r="IG501" s="27" t="s">
        <v>8</v>
      </c>
      <c r="IH501" s="27" t="s">
        <v>7</v>
      </c>
      <c r="II501" s="27" t="s">
        <v>8</v>
      </c>
      <c r="IL501" s="27" t="s">
        <v>7</v>
      </c>
      <c r="IM501" s="27" t="s">
        <v>8</v>
      </c>
      <c r="IZ501" s="27" t="s">
        <v>7</v>
      </c>
      <c r="JA501" s="27" t="s">
        <v>8</v>
      </c>
    </row>
    <row r="502" spans="1:262" x14ac:dyDescent="0.25">
      <c r="A502" s="7">
        <v>5.3828787794156385</v>
      </c>
      <c r="B502"/>
      <c r="C502"/>
      <c r="D502"/>
      <c r="E502" t="s">
        <v>8</v>
      </c>
      <c r="J502" s="27" t="s">
        <v>7</v>
      </c>
      <c r="K502" s="27" t="s">
        <v>8</v>
      </c>
      <c r="P502" s="27" t="s">
        <v>7</v>
      </c>
      <c r="U502" s="27" t="s">
        <v>8</v>
      </c>
      <c r="V502" s="27" t="s">
        <v>7</v>
      </c>
      <c r="CA502" s="27" t="s">
        <v>8</v>
      </c>
      <c r="CB502" s="27" t="s">
        <v>7</v>
      </c>
      <c r="CC502" s="27" t="s">
        <v>8</v>
      </c>
      <c r="CD502" s="27" t="s">
        <v>7</v>
      </c>
      <c r="CE502" s="27" t="s">
        <v>8</v>
      </c>
      <c r="CF502" s="27" t="s">
        <v>7</v>
      </c>
      <c r="CH502" s="27" t="s">
        <v>7</v>
      </c>
      <c r="CM502" s="27" t="s">
        <v>8</v>
      </c>
      <c r="CN502" s="27" t="s">
        <v>7</v>
      </c>
      <c r="CQ502" s="27" t="s">
        <v>8</v>
      </c>
      <c r="CS502" s="27" t="s">
        <v>8</v>
      </c>
      <c r="CT502" s="27" t="s">
        <v>7</v>
      </c>
      <c r="EH502" s="27" t="s">
        <v>7</v>
      </c>
      <c r="EI502" s="27" t="s">
        <v>8</v>
      </c>
      <c r="EK502" s="27" t="s">
        <v>8</v>
      </c>
      <c r="EL502" s="27" t="s">
        <v>7</v>
      </c>
      <c r="EM502" s="27" t="s">
        <v>8</v>
      </c>
      <c r="EN502" s="27" t="s">
        <v>7</v>
      </c>
      <c r="EQ502" s="27" t="s">
        <v>8</v>
      </c>
      <c r="ER502" s="27" t="s">
        <v>7</v>
      </c>
      <c r="GA502" s="27" t="s">
        <v>8</v>
      </c>
      <c r="GB502" s="27" t="s">
        <v>7</v>
      </c>
      <c r="GE502" s="27" t="s">
        <v>8</v>
      </c>
      <c r="GF502" s="27" t="s">
        <v>7</v>
      </c>
      <c r="GG502" s="27" t="s">
        <v>8</v>
      </c>
      <c r="GJ502" s="27" t="s">
        <v>7</v>
      </c>
      <c r="GK502" s="27" t="s">
        <v>8</v>
      </c>
      <c r="GL502" s="27" t="s">
        <v>7</v>
      </c>
      <c r="GM502" s="27" t="s">
        <v>8</v>
      </c>
      <c r="GN502" s="27" t="s">
        <v>7</v>
      </c>
      <c r="GR502" s="27" t="s">
        <v>7</v>
      </c>
      <c r="GS502" s="27" t="s">
        <v>8</v>
      </c>
      <c r="HO502" s="27" t="s">
        <v>8</v>
      </c>
      <c r="HP502" s="27" t="s">
        <v>7</v>
      </c>
      <c r="HQ502" s="27" t="s">
        <v>8</v>
      </c>
      <c r="HR502" s="27" t="s">
        <v>7</v>
      </c>
      <c r="HS502" s="27" t="s">
        <v>8</v>
      </c>
      <c r="HT502" s="27" t="s">
        <v>7</v>
      </c>
      <c r="HV502" s="27" t="s">
        <v>7</v>
      </c>
      <c r="HW502" s="27" t="s">
        <v>8</v>
      </c>
      <c r="HX502" s="27" t="s">
        <v>7</v>
      </c>
      <c r="HY502" s="27" t="s">
        <v>8</v>
      </c>
      <c r="IA502" s="27" t="s">
        <v>8</v>
      </c>
      <c r="ID502" s="27" t="s">
        <v>7</v>
      </c>
      <c r="IG502" s="27" t="s">
        <v>8</v>
      </c>
      <c r="IH502" s="27" t="s">
        <v>7</v>
      </c>
      <c r="II502" s="27" t="s">
        <v>8</v>
      </c>
      <c r="IL502" s="27" t="s">
        <v>7</v>
      </c>
      <c r="IM502" s="27" t="s">
        <v>8</v>
      </c>
      <c r="IZ502" s="27" t="s">
        <v>7</v>
      </c>
      <c r="JA502" s="27" t="s">
        <v>8</v>
      </c>
      <c r="JB502" s="27" t="s">
        <v>7</v>
      </c>
    </row>
    <row r="503" spans="1:262" x14ac:dyDescent="0.25">
      <c r="A503" s="7">
        <v>5.2773321366819985</v>
      </c>
      <c r="B503"/>
      <c r="C503"/>
      <c r="D503"/>
      <c r="E503" t="s">
        <v>8</v>
      </c>
      <c r="J503" s="27" t="s">
        <v>7</v>
      </c>
      <c r="K503" s="27" t="s">
        <v>8</v>
      </c>
      <c r="P503" s="27" t="s">
        <v>7</v>
      </c>
      <c r="U503" s="27" t="s">
        <v>8</v>
      </c>
      <c r="V503" s="27" t="s">
        <v>7</v>
      </c>
      <c r="BS503" s="27" t="s">
        <v>8</v>
      </c>
      <c r="CA503" s="27" t="s">
        <v>8</v>
      </c>
      <c r="CB503" s="27" t="s">
        <v>7</v>
      </c>
      <c r="CC503" s="27" t="s">
        <v>8</v>
      </c>
      <c r="CD503" s="27" t="s">
        <v>7</v>
      </c>
      <c r="CE503" s="27" t="s">
        <v>8</v>
      </c>
      <c r="CH503" s="27" t="s">
        <v>7</v>
      </c>
      <c r="CM503" s="27" t="s">
        <v>8</v>
      </c>
      <c r="CN503" s="27" t="s">
        <v>7</v>
      </c>
      <c r="CO503" s="27" t="s">
        <v>8</v>
      </c>
      <c r="CQ503" s="27" t="s">
        <v>8</v>
      </c>
      <c r="CR503" s="27" t="s">
        <v>7</v>
      </c>
      <c r="CS503" s="27" t="s">
        <v>8</v>
      </c>
      <c r="EH503" s="27" t="s">
        <v>7</v>
      </c>
      <c r="EI503" s="27" t="s">
        <v>8</v>
      </c>
      <c r="EJ503" s="27" t="s">
        <v>7</v>
      </c>
      <c r="EK503" s="27" t="s">
        <v>8</v>
      </c>
      <c r="EL503" s="27" t="s">
        <v>7</v>
      </c>
      <c r="EM503" s="27" t="s">
        <v>8</v>
      </c>
      <c r="EN503" s="27" t="s">
        <v>7</v>
      </c>
      <c r="EQ503" s="27" t="s">
        <v>8</v>
      </c>
      <c r="ER503" s="27" t="s">
        <v>7</v>
      </c>
      <c r="FW503" s="27" t="s">
        <v>8</v>
      </c>
      <c r="FY503" s="27" t="s">
        <v>8</v>
      </c>
      <c r="GA503" s="27" t="s">
        <v>8</v>
      </c>
      <c r="GB503" s="27" t="s">
        <v>7</v>
      </c>
      <c r="GE503" s="27" t="s">
        <v>8</v>
      </c>
      <c r="GF503" s="27" t="s">
        <v>7</v>
      </c>
      <c r="GG503" s="27" t="s">
        <v>8</v>
      </c>
      <c r="GJ503" s="27" t="s">
        <v>7</v>
      </c>
      <c r="GK503" s="27" t="s">
        <v>8</v>
      </c>
      <c r="GL503" s="27" t="s">
        <v>7</v>
      </c>
      <c r="GR503" s="27" t="s">
        <v>7</v>
      </c>
      <c r="GS503" s="27" t="s">
        <v>8</v>
      </c>
      <c r="GT503" s="27" t="s">
        <v>7</v>
      </c>
      <c r="HC503" s="27" t="s">
        <v>8</v>
      </c>
      <c r="HO503" s="27" t="s">
        <v>8</v>
      </c>
      <c r="HP503" s="27" t="s">
        <v>7</v>
      </c>
      <c r="HQ503" s="27" t="s">
        <v>8</v>
      </c>
      <c r="HR503" s="27" t="s">
        <v>7</v>
      </c>
      <c r="HS503" s="27" t="s">
        <v>8</v>
      </c>
      <c r="HV503" s="27" t="s">
        <v>7</v>
      </c>
      <c r="HW503" s="27" t="s">
        <v>8</v>
      </c>
      <c r="HX503" s="27" t="s">
        <v>7</v>
      </c>
      <c r="HY503" s="27" t="s">
        <v>8</v>
      </c>
      <c r="HZ503" s="27" t="s">
        <v>7</v>
      </c>
      <c r="IA503" s="27" t="s">
        <v>8</v>
      </c>
      <c r="ID503" s="27" t="s">
        <v>7</v>
      </c>
      <c r="IG503" s="27" t="s">
        <v>8</v>
      </c>
      <c r="IH503" s="27" t="s">
        <v>7</v>
      </c>
      <c r="II503" s="27" t="s">
        <v>8</v>
      </c>
      <c r="IL503" s="27" t="s">
        <v>7</v>
      </c>
      <c r="IZ503" s="27" t="s">
        <v>7</v>
      </c>
      <c r="JA503" s="27" t="s">
        <v>8</v>
      </c>
      <c r="JB503" s="27" t="s">
        <v>7</v>
      </c>
    </row>
    <row r="504" spans="1:262" x14ac:dyDescent="0.25">
      <c r="A504" s="7">
        <v>5.1738550359627435</v>
      </c>
      <c r="B504"/>
      <c r="C504"/>
      <c r="D504"/>
      <c r="E504" t="s">
        <v>8</v>
      </c>
      <c r="J504" s="27" t="s">
        <v>7</v>
      </c>
      <c r="K504" s="27" t="s">
        <v>8</v>
      </c>
      <c r="P504" s="27" t="s">
        <v>7</v>
      </c>
      <c r="U504" s="27" t="s">
        <v>8</v>
      </c>
      <c r="V504" s="27" t="s">
        <v>7</v>
      </c>
      <c r="BS504" s="27" t="s">
        <v>8</v>
      </c>
      <c r="BT504" s="27" t="s">
        <v>7</v>
      </c>
      <c r="CA504" s="27" t="s">
        <v>8</v>
      </c>
      <c r="CB504" s="27" t="s">
        <v>7</v>
      </c>
      <c r="CC504" s="27" t="s">
        <v>8</v>
      </c>
      <c r="CD504" s="27" t="s">
        <v>7</v>
      </c>
      <c r="CH504" s="27" t="s">
        <v>7</v>
      </c>
      <c r="CM504" s="27" t="s">
        <v>8</v>
      </c>
      <c r="CN504" s="27" t="s">
        <v>7</v>
      </c>
      <c r="CO504" s="27" t="s">
        <v>8</v>
      </c>
      <c r="CP504" s="27" t="s">
        <v>7</v>
      </c>
      <c r="CQ504" s="27" t="s">
        <v>8</v>
      </c>
      <c r="CR504" s="27" t="s">
        <v>7</v>
      </c>
      <c r="CS504" s="27" t="s">
        <v>8</v>
      </c>
      <c r="EH504" s="27" t="s">
        <v>7</v>
      </c>
      <c r="EI504" s="27" t="s">
        <v>8</v>
      </c>
      <c r="EJ504" s="27" t="s">
        <v>7</v>
      </c>
      <c r="EK504" s="27" t="s">
        <v>8</v>
      </c>
      <c r="EL504" s="27" t="s">
        <v>7</v>
      </c>
      <c r="EM504" s="27" t="s">
        <v>8</v>
      </c>
      <c r="EN504" s="27" t="s">
        <v>7</v>
      </c>
      <c r="EQ504" s="27" t="s">
        <v>8</v>
      </c>
      <c r="ER504" s="27" t="s">
        <v>7</v>
      </c>
      <c r="FW504" s="27" t="s">
        <v>8</v>
      </c>
      <c r="FX504" s="27" t="s">
        <v>7</v>
      </c>
      <c r="FY504" s="27" t="s">
        <v>8</v>
      </c>
      <c r="FZ504" s="27" t="s">
        <v>7</v>
      </c>
      <c r="GA504" s="27" t="s">
        <v>8</v>
      </c>
      <c r="GB504" s="27" t="s">
        <v>7</v>
      </c>
      <c r="GE504" s="27" t="s">
        <v>8</v>
      </c>
      <c r="GF504" s="27" t="s">
        <v>7</v>
      </c>
      <c r="GG504" s="27" t="s">
        <v>8</v>
      </c>
      <c r="GJ504" s="27" t="s">
        <v>7</v>
      </c>
      <c r="GK504" s="27" t="s">
        <v>8</v>
      </c>
      <c r="GR504" s="27" t="s">
        <v>7</v>
      </c>
      <c r="GS504" s="27" t="s">
        <v>8</v>
      </c>
      <c r="GT504" s="27" t="s">
        <v>7</v>
      </c>
      <c r="GY504" s="27" t="s">
        <v>8</v>
      </c>
      <c r="HA504" s="27" t="s">
        <v>8</v>
      </c>
      <c r="HC504" s="27" t="s">
        <v>8</v>
      </c>
      <c r="HD504" s="27" t="s">
        <v>7</v>
      </c>
      <c r="HE504" s="27" t="s">
        <v>8</v>
      </c>
      <c r="HG504" s="27" t="s">
        <v>8</v>
      </c>
      <c r="HO504" s="27" t="s">
        <v>8</v>
      </c>
      <c r="HP504" s="27" t="s">
        <v>7</v>
      </c>
      <c r="HQ504" s="27" t="s">
        <v>8</v>
      </c>
      <c r="HR504" s="27" t="s">
        <v>7</v>
      </c>
      <c r="HS504" s="27" t="s">
        <v>8</v>
      </c>
      <c r="HV504" s="27" t="s">
        <v>7</v>
      </c>
      <c r="HW504" s="27" t="s">
        <v>8</v>
      </c>
      <c r="HX504" s="27" t="s">
        <v>7</v>
      </c>
      <c r="HY504" s="27" t="s">
        <v>8</v>
      </c>
      <c r="HZ504" s="27" t="s">
        <v>7</v>
      </c>
      <c r="IA504" s="27" t="s">
        <v>8</v>
      </c>
      <c r="ID504" s="27" t="s">
        <v>7</v>
      </c>
      <c r="IG504" s="27" t="s">
        <v>8</v>
      </c>
      <c r="IH504" s="27" t="s">
        <v>7</v>
      </c>
      <c r="II504" s="27" t="s">
        <v>8</v>
      </c>
      <c r="IZ504" s="27" t="s">
        <v>7</v>
      </c>
      <c r="JA504" s="27" t="s">
        <v>8</v>
      </c>
      <c r="JB504" s="27" t="s">
        <v>7</v>
      </c>
    </row>
    <row r="505" spans="1:262" x14ac:dyDescent="0.25">
      <c r="A505" s="7">
        <v>5.07240689800269</v>
      </c>
      <c r="B505"/>
      <c r="C505"/>
      <c r="D505"/>
      <c r="E505" t="s">
        <v>8</v>
      </c>
      <c r="J505" s="27" t="s">
        <v>7</v>
      </c>
      <c r="K505" s="27" t="s">
        <v>8</v>
      </c>
      <c r="P505" s="27" t="s">
        <v>7</v>
      </c>
      <c r="U505" s="27" t="s">
        <v>8</v>
      </c>
      <c r="V505" s="27" t="s">
        <v>7</v>
      </c>
      <c r="BS505" s="27" t="s">
        <v>8</v>
      </c>
      <c r="BT505" s="27" t="s">
        <v>7</v>
      </c>
      <c r="CA505" s="27" t="s">
        <v>8</v>
      </c>
      <c r="CB505" s="27" t="s">
        <v>7</v>
      </c>
      <c r="CC505" s="27" t="s">
        <v>8</v>
      </c>
      <c r="CH505" s="27" t="s">
        <v>7</v>
      </c>
      <c r="CM505" s="27" t="s">
        <v>8</v>
      </c>
      <c r="CN505" s="27" t="s">
        <v>7</v>
      </c>
      <c r="CO505" s="27" t="s">
        <v>8</v>
      </c>
      <c r="CP505" s="27" t="s">
        <v>7</v>
      </c>
      <c r="CQ505" s="27" t="s">
        <v>8</v>
      </c>
      <c r="CR505" s="27" t="s">
        <v>7</v>
      </c>
      <c r="CS505" s="27" t="s">
        <v>8</v>
      </c>
      <c r="EH505" s="27" t="s">
        <v>7</v>
      </c>
      <c r="EI505" s="27" t="s">
        <v>8</v>
      </c>
      <c r="EJ505" s="27" t="s">
        <v>7</v>
      </c>
      <c r="EK505" s="27" t="s">
        <v>8</v>
      </c>
      <c r="EL505" s="27" t="s">
        <v>7</v>
      </c>
      <c r="EM505" s="27" t="s">
        <v>8</v>
      </c>
      <c r="EN505" s="27" t="s">
        <v>7</v>
      </c>
      <c r="EO505" s="27" t="s">
        <v>8</v>
      </c>
      <c r="EQ505" s="27" t="s">
        <v>8</v>
      </c>
      <c r="ER505" s="27" t="s">
        <v>7</v>
      </c>
      <c r="FW505" s="27" t="s">
        <v>8</v>
      </c>
      <c r="FX505" s="27" t="s">
        <v>7</v>
      </c>
      <c r="FY505" s="27" t="s">
        <v>8</v>
      </c>
      <c r="FZ505" s="27" t="s">
        <v>7</v>
      </c>
      <c r="GA505" s="27" t="s">
        <v>8</v>
      </c>
      <c r="GB505" s="27" t="s">
        <v>7</v>
      </c>
      <c r="GE505" s="27" t="s">
        <v>8</v>
      </c>
      <c r="GF505" s="27" t="s">
        <v>7</v>
      </c>
      <c r="GG505" s="27" t="s">
        <v>8</v>
      </c>
      <c r="GJ505" s="27" t="s">
        <v>7</v>
      </c>
      <c r="GK505" s="27" t="s">
        <v>8</v>
      </c>
      <c r="GR505" s="27" t="s">
        <v>7</v>
      </c>
      <c r="GS505" s="27" t="s">
        <v>8</v>
      </c>
      <c r="GT505" s="27" t="s">
        <v>7</v>
      </c>
      <c r="GY505" s="27" t="s">
        <v>8</v>
      </c>
      <c r="GZ505" s="27" t="s">
        <v>7</v>
      </c>
      <c r="HA505" s="27" t="s">
        <v>8</v>
      </c>
      <c r="HB505" s="27" t="s">
        <v>7</v>
      </c>
      <c r="HC505" s="27" t="s">
        <v>8</v>
      </c>
      <c r="HD505" s="27" t="s">
        <v>7</v>
      </c>
      <c r="HE505" s="27" t="s">
        <v>8</v>
      </c>
      <c r="HF505" s="27" t="s">
        <v>7</v>
      </c>
      <c r="HG505" s="27" t="s">
        <v>8</v>
      </c>
      <c r="HH505" s="27" t="s">
        <v>7</v>
      </c>
      <c r="HK505" s="27" t="s">
        <v>8</v>
      </c>
      <c r="HO505" s="27" t="s">
        <v>8</v>
      </c>
      <c r="HP505" s="27" t="s">
        <v>7</v>
      </c>
      <c r="HQ505" s="27" t="s">
        <v>8</v>
      </c>
      <c r="HR505" s="27" t="s">
        <v>7</v>
      </c>
      <c r="HS505" s="27" t="s">
        <v>8</v>
      </c>
      <c r="HV505" s="27" t="s">
        <v>7</v>
      </c>
      <c r="HW505" s="27" t="s">
        <v>8</v>
      </c>
      <c r="HX505" s="27" t="s">
        <v>7</v>
      </c>
      <c r="HY505" s="27" t="s">
        <v>8</v>
      </c>
      <c r="HZ505" s="27" t="s">
        <v>7</v>
      </c>
      <c r="IA505" s="27" t="s">
        <v>8</v>
      </c>
      <c r="ID505" s="27" t="s">
        <v>7</v>
      </c>
      <c r="IG505" s="27" t="s">
        <v>8</v>
      </c>
      <c r="IH505" s="27" t="s">
        <v>7</v>
      </c>
      <c r="II505" s="27" t="s">
        <v>8</v>
      </c>
      <c r="IZ505" s="27" t="s">
        <v>7</v>
      </c>
      <c r="JA505" s="27" t="s">
        <v>8</v>
      </c>
      <c r="JB505" s="27" t="s">
        <v>7</v>
      </c>
    </row>
    <row r="506" spans="1:262" x14ac:dyDescent="0.25">
      <c r="A506" s="7">
        <v>4.9729479392183231</v>
      </c>
      <c r="B506"/>
      <c r="C506"/>
      <c r="D506"/>
      <c r="E506" t="s">
        <v>8</v>
      </c>
      <c r="J506" s="27" t="s">
        <v>7</v>
      </c>
      <c r="K506" s="27" t="s">
        <v>8</v>
      </c>
      <c r="P506" s="27" t="s">
        <v>7</v>
      </c>
      <c r="U506" s="27" t="s">
        <v>8</v>
      </c>
      <c r="V506" s="27" t="s">
        <v>7</v>
      </c>
      <c r="BS506" s="27" t="s">
        <v>8</v>
      </c>
      <c r="BT506" s="27" t="s">
        <v>7</v>
      </c>
      <c r="CA506" s="27" t="s">
        <v>8</v>
      </c>
      <c r="CB506" s="27" t="s">
        <v>7</v>
      </c>
      <c r="CC506" s="27" t="s">
        <v>8</v>
      </c>
      <c r="CH506" s="27" t="s">
        <v>7</v>
      </c>
      <c r="CI506" s="27" t="s">
        <v>8</v>
      </c>
      <c r="CM506" s="27" t="s">
        <v>8</v>
      </c>
      <c r="CN506" s="27" t="s">
        <v>7</v>
      </c>
      <c r="CO506" s="27" t="s">
        <v>8</v>
      </c>
      <c r="CP506" s="27" t="s">
        <v>7</v>
      </c>
      <c r="CQ506" s="27" t="s">
        <v>8</v>
      </c>
      <c r="CR506" s="27" t="s">
        <v>7</v>
      </c>
      <c r="CS506" s="27" t="s">
        <v>8</v>
      </c>
      <c r="EH506" s="27" t="s">
        <v>7</v>
      </c>
      <c r="EI506" s="27" t="s">
        <v>8</v>
      </c>
      <c r="EJ506" s="27" t="s">
        <v>7</v>
      </c>
      <c r="EK506" s="27" t="s">
        <v>8</v>
      </c>
      <c r="EL506" s="27" t="s">
        <v>7</v>
      </c>
      <c r="EM506" s="27" t="s">
        <v>8</v>
      </c>
      <c r="EN506" s="27" t="s">
        <v>7</v>
      </c>
      <c r="EO506" s="27" t="s">
        <v>8</v>
      </c>
      <c r="EP506" s="27" t="s">
        <v>7</v>
      </c>
      <c r="EQ506" s="27" t="s">
        <v>8</v>
      </c>
      <c r="ER506" s="27" t="s">
        <v>7</v>
      </c>
      <c r="FW506" s="27" t="s">
        <v>8</v>
      </c>
      <c r="FX506" s="27" t="s">
        <v>7</v>
      </c>
      <c r="FY506" s="27" t="s">
        <v>8</v>
      </c>
      <c r="FZ506" s="27" t="s">
        <v>7</v>
      </c>
      <c r="GA506" s="27" t="s">
        <v>8</v>
      </c>
      <c r="GB506" s="27" t="s">
        <v>7</v>
      </c>
      <c r="GC506" s="27" t="s">
        <v>8</v>
      </c>
      <c r="GE506" s="27" t="s">
        <v>8</v>
      </c>
      <c r="GF506" s="27" t="s">
        <v>7</v>
      </c>
      <c r="GJ506" s="27" t="s">
        <v>7</v>
      </c>
      <c r="GR506" s="27" t="s">
        <v>7</v>
      </c>
      <c r="GS506" s="27" t="s">
        <v>8</v>
      </c>
      <c r="GT506" s="27" t="s">
        <v>7</v>
      </c>
      <c r="GU506" s="27" t="s">
        <v>8</v>
      </c>
      <c r="GY506" s="27" t="s">
        <v>8</v>
      </c>
      <c r="GZ506" s="27" t="s">
        <v>7</v>
      </c>
      <c r="HA506" s="27" t="s">
        <v>8</v>
      </c>
      <c r="HB506" s="27" t="s">
        <v>7</v>
      </c>
      <c r="HC506" s="27" t="s">
        <v>8</v>
      </c>
      <c r="HD506" s="27" t="s">
        <v>7</v>
      </c>
      <c r="HE506" s="27" t="s">
        <v>8</v>
      </c>
      <c r="HF506" s="27" t="s">
        <v>7</v>
      </c>
      <c r="HG506" s="27" t="s">
        <v>8</v>
      </c>
      <c r="HH506" s="27" t="s">
        <v>7</v>
      </c>
      <c r="HK506" s="27" t="s">
        <v>8</v>
      </c>
      <c r="HL506" s="27" t="s">
        <v>7</v>
      </c>
      <c r="HO506" s="27" t="s">
        <v>8</v>
      </c>
      <c r="HP506" s="27" t="s">
        <v>7</v>
      </c>
      <c r="HQ506" s="27" t="s">
        <v>8</v>
      </c>
      <c r="HR506" s="27" t="s">
        <v>7</v>
      </c>
      <c r="HS506" s="27" t="s">
        <v>8</v>
      </c>
      <c r="HV506" s="27" t="s">
        <v>7</v>
      </c>
      <c r="HW506" s="27" t="s">
        <v>8</v>
      </c>
      <c r="HX506" s="27" t="s">
        <v>7</v>
      </c>
      <c r="HY506" s="27" t="s">
        <v>8</v>
      </c>
      <c r="HZ506" s="27" t="s">
        <v>7</v>
      </c>
      <c r="IA506" s="27" t="s">
        <v>8</v>
      </c>
      <c r="ID506" s="27" t="s">
        <v>7</v>
      </c>
      <c r="IG506" s="27" t="s">
        <v>8</v>
      </c>
      <c r="IH506" s="27" t="s">
        <v>7</v>
      </c>
      <c r="II506" s="27" t="s">
        <v>8</v>
      </c>
      <c r="IZ506" s="27" t="s">
        <v>7</v>
      </c>
      <c r="JA506" s="27" t="s">
        <v>8</v>
      </c>
      <c r="JB506" s="27" t="s">
        <v>7</v>
      </c>
    </row>
    <row r="507" spans="1:262" x14ac:dyDescent="0.25">
      <c r="A507" s="7">
        <v>4.8754391560963954</v>
      </c>
      <c r="B507"/>
      <c r="C507"/>
      <c r="D507"/>
      <c r="E507" t="s">
        <v>8</v>
      </c>
      <c r="J507" s="27" t="s">
        <v>7</v>
      </c>
      <c r="K507" s="27" t="s">
        <v>8</v>
      </c>
      <c r="P507" s="27" t="s">
        <v>7</v>
      </c>
      <c r="Q507" s="27" t="s">
        <v>8</v>
      </c>
      <c r="U507" s="27" t="s">
        <v>8</v>
      </c>
      <c r="V507" s="27" t="s">
        <v>7</v>
      </c>
      <c r="BS507" s="27" t="s">
        <v>8</v>
      </c>
      <c r="BT507" s="27" t="s">
        <v>7</v>
      </c>
      <c r="CA507" s="27" t="s">
        <v>8</v>
      </c>
      <c r="CB507" s="27" t="s">
        <v>7</v>
      </c>
      <c r="CC507" s="27" t="s">
        <v>8</v>
      </c>
      <c r="CH507" s="27" t="s">
        <v>7</v>
      </c>
      <c r="CI507" s="27" t="s">
        <v>8</v>
      </c>
      <c r="CJ507" s="27" t="s">
        <v>7</v>
      </c>
      <c r="CM507" s="27" t="s">
        <v>8</v>
      </c>
      <c r="CN507" s="27" t="s">
        <v>7</v>
      </c>
      <c r="CP507" s="27" t="s">
        <v>7</v>
      </c>
      <c r="CR507" s="27" t="s">
        <v>7</v>
      </c>
      <c r="CS507" s="27" t="s">
        <v>8</v>
      </c>
      <c r="EH507" s="27" t="s">
        <v>7</v>
      </c>
      <c r="EI507" s="27" t="s">
        <v>8</v>
      </c>
      <c r="EJ507" s="27" t="s">
        <v>7</v>
      </c>
      <c r="EK507" s="27" t="s">
        <v>8</v>
      </c>
      <c r="EL507" s="27" t="s">
        <v>7</v>
      </c>
      <c r="EM507" s="27" t="s">
        <v>8</v>
      </c>
      <c r="EN507" s="27" t="s">
        <v>7</v>
      </c>
      <c r="EO507" s="27" t="s">
        <v>8</v>
      </c>
      <c r="EP507" s="27" t="s">
        <v>7</v>
      </c>
      <c r="EQ507" s="27" t="s">
        <v>8</v>
      </c>
      <c r="ER507" s="27" t="s">
        <v>7</v>
      </c>
      <c r="EU507" s="27" t="s">
        <v>8</v>
      </c>
      <c r="FU507" s="27" t="s">
        <v>8</v>
      </c>
      <c r="FW507" s="27" t="s">
        <v>8</v>
      </c>
      <c r="FX507" s="27" t="s">
        <v>7</v>
      </c>
      <c r="FZ507" s="27" t="s">
        <v>7</v>
      </c>
      <c r="GA507" s="27" t="s">
        <v>8</v>
      </c>
      <c r="GB507" s="27" t="s">
        <v>7</v>
      </c>
      <c r="GC507" s="27" t="s">
        <v>8</v>
      </c>
      <c r="GD507" s="27" t="s">
        <v>7</v>
      </c>
      <c r="GE507" s="27" t="s">
        <v>8</v>
      </c>
      <c r="GR507" s="27" t="s">
        <v>7</v>
      </c>
      <c r="GS507" s="27" t="s">
        <v>8</v>
      </c>
      <c r="GT507" s="27" t="s">
        <v>7</v>
      </c>
      <c r="GU507" s="27" t="s">
        <v>8</v>
      </c>
      <c r="GV507" s="27" t="s">
        <v>7</v>
      </c>
      <c r="GW507" s="27" t="s">
        <v>8</v>
      </c>
      <c r="GY507" s="27" t="s">
        <v>8</v>
      </c>
      <c r="GZ507" s="27" t="s">
        <v>7</v>
      </c>
      <c r="HA507" s="27" t="s">
        <v>8</v>
      </c>
      <c r="HB507" s="27" t="s">
        <v>7</v>
      </c>
      <c r="HC507" s="27" t="s">
        <v>8</v>
      </c>
      <c r="HD507" s="27" t="s">
        <v>7</v>
      </c>
      <c r="HE507" s="27" t="s">
        <v>8</v>
      </c>
      <c r="HF507" s="27" t="s">
        <v>7</v>
      </c>
      <c r="HG507" s="27" t="s">
        <v>8</v>
      </c>
      <c r="HH507" s="27" t="s">
        <v>7</v>
      </c>
      <c r="HI507" s="27" t="s">
        <v>8</v>
      </c>
      <c r="HK507" s="27" t="s">
        <v>8</v>
      </c>
      <c r="HL507" s="27" t="s">
        <v>7</v>
      </c>
      <c r="HO507" s="27" t="s">
        <v>8</v>
      </c>
      <c r="HP507" s="27" t="s">
        <v>7</v>
      </c>
      <c r="HQ507" s="27" t="s">
        <v>8</v>
      </c>
      <c r="HR507" s="27" t="s">
        <v>7</v>
      </c>
      <c r="HS507" s="27" t="s">
        <v>8</v>
      </c>
      <c r="HV507" s="27" t="s">
        <v>7</v>
      </c>
      <c r="HW507" s="27" t="s">
        <v>8</v>
      </c>
      <c r="HX507" s="27" t="s">
        <v>7</v>
      </c>
      <c r="HY507" s="27" t="s">
        <v>8</v>
      </c>
      <c r="HZ507" s="27" t="s">
        <v>7</v>
      </c>
      <c r="IA507" s="27" t="s">
        <v>8</v>
      </c>
      <c r="ID507" s="27" t="s">
        <v>7</v>
      </c>
      <c r="IG507" s="27" t="s">
        <v>8</v>
      </c>
      <c r="IH507" s="27" t="s">
        <v>7</v>
      </c>
      <c r="II507" s="27" t="s">
        <v>8</v>
      </c>
      <c r="IZ507" s="27" t="s">
        <v>7</v>
      </c>
      <c r="JA507" s="27" t="s">
        <v>8</v>
      </c>
      <c r="JB507" s="27" t="s">
        <v>7</v>
      </c>
    </row>
    <row r="508" spans="1:262" x14ac:dyDescent="0.25">
      <c r="A508" s="7">
        <v>4.7798423098984264</v>
      </c>
      <c r="B508"/>
      <c r="C508"/>
      <c r="D508"/>
      <c r="E508" t="s">
        <v>8</v>
      </c>
      <c r="J508" s="27" t="s">
        <v>7</v>
      </c>
      <c r="K508" s="27" t="s">
        <v>8</v>
      </c>
      <c r="P508" s="27" t="s">
        <v>7</v>
      </c>
      <c r="Q508" s="27" t="s">
        <v>8</v>
      </c>
      <c r="R508" s="27" t="s">
        <v>7</v>
      </c>
      <c r="U508" s="27" t="s">
        <v>8</v>
      </c>
      <c r="V508" s="27" t="s">
        <v>7</v>
      </c>
      <c r="W508" s="27" t="s">
        <v>8</v>
      </c>
      <c r="BS508" s="27" t="s">
        <v>8</v>
      </c>
      <c r="BT508" s="27" t="s">
        <v>7</v>
      </c>
      <c r="CA508" s="27" t="s">
        <v>8</v>
      </c>
      <c r="CB508" s="27" t="s">
        <v>7</v>
      </c>
      <c r="CC508" s="27" t="s">
        <v>8</v>
      </c>
      <c r="CH508" s="27" t="s">
        <v>7</v>
      </c>
      <c r="CI508" s="27" t="s">
        <v>8</v>
      </c>
      <c r="CJ508" s="27" t="s">
        <v>7</v>
      </c>
      <c r="CM508" s="27" t="s">
        <v>8</v>
      </c>
      <c r="CR508" s="27" t="s">
        <v>7</v>
      </c>
      <c r="CS508" s="27" t="s">
        <v>8</v>
      </c>
      <c r="EH508" s="27" t="s">
        <v>7</v>
      </c>
      <c r="EI508" s="27" t="s">
        <v>8</v>
      </c>
      <c r="EJ508" s="27" t="s">
        <v>7</v>
      </c>
      <c r="EK508" s="27" t="s">
        <v>8</v>
      </c>
      <c r="EL508" s="27" t="s">
        <v>7</v>
      </c>
      <c r="EM508" s="27" t="s">
        <v>8</v>
      </c>
      <c r="EN508" s="27" t="s">
        <v>7</v>
      </c>
      <c r="EO508" s="27" t="s">
        <v>8</v>
      </c>
      <c r="EP508" s="27" t="s">
        <v>7</v>
      </c>
      <c r="EQ508" s="27" t="s">
        <v>8</v>
      </c>
      <c r="ER508" s="27" t="s">
        <v>7</v>
      </c>
      <c r="ES508" s="27" t="s">
        <v>8</v>
      </c>
      <c r="EU508" s="27" t="s">
        <v>8</v>
      </c>
      <c r="EV508" s="27" t="s">
        <v>7</v>
      </c>
      <c r="FS508" s="27" t="s">
        <v>8</v>
      </c>
      <c r="FU508" s="27" t="s">
        <v>8</v>
      </c>
      <c r="FV508" s="27" t="s">
        <v>7</v>
      </c>
      <c r="FW508" s="27" t="s">
        <v>8</v>
      </c>
      <c r="FZ508" s="27" t="s">
        <v>7</v>
      </c>
      <c r="GA508" s="27" t="s">
        <v>8</v>
      </c>
      <c r="GB508" s="27" t="s">
        <v>7</v>
      </c>
      <c r="GC508" s="27" t="s">
        <v>8</v>
      </c>
      <c r="GD508" s="27" t="s">
        <v>7</v>
      </c>
      <c r="GE508" s="27" t="s">
        <v>8</v>
      </c>
      <c r="GR508" s="27" t="s">
        <v>7</v>
      </c>
      <c r="GS508" s="27" t="s">
        <v>8</v>
      </c>
      <c r="GT508" s="27" t="s">
        <v>7</v>
      </c>
      <c r="GU508" s="27" t="s">
        <v>8</v>
      </c>
      <c r="GV508" s="27" t="s">
        <v>7</v>
      </c>
      <c r="GW508" s="27" t="s">
        <v>8</v>
      </c>
      <c r="GX508" s="27" t="s">
        <v>7</v>
      </c>
      <c r="GY508" s="27" t="s">
        <v>8</v>
      </c>
      <c r="GZ508" s="27" t="s">
        <v>7</v>
      </c>
      <c r="HB508" s="27" t="s">
        <v>7</v>
      </c>
      <c r="HC508" s="27" t="s">
        <v>8</v>
      </c>
      <c r="HD508" s="27" t="s">
        <v>7</v>
      </c>
      <c r="HE508" s="27" t="s">
        <v>8</v>
      </c>
      <c r="HF508" s="27" t="s">
        <v>7</v>
      </c>
      <c r="HH508" s="27" t="s">
        <v>7</v>
      </c>
      <c r="HI508" s="27" t="s">
        <v>8</v>
      </c>
      <c r="HJ508" s="27" t="s">
        <v>7</v>
      </c>
      <c r="HK508" s="27" t="s">
        <v>8</v>
      </c>
      <c r="HL508" s="27" t="s">
        <v>7</v>
      </c>
      <c r="HO508" s="27" t="s">
        <v>8</v>
      </c>
      <c r="HP508" s="27" t="s">
        <v>7</v>
      </c>
      <c r="HR508" s="27" t="s">
        <v>7</v>
      </c>
      <c r="HS508" s="27" t="s">
        <v>8</v>
      </c>
      <c r="HV508" s="27" t="s">
        <v>7</v>
      </c>
      <c r="HW508" s="27" t="s">
        <v>8</v>
      </c>
      <c r="HX508" s="27" t="s">
        <v>7</v>
      </c>
      <c r="HY508" s="27" t="s">
        <v>8</v>
      </c>
      <c r="HZ508" s="27" t="s">
        <v>7</v>
      </c>
      <c r="IA508" s="27" t="s">
        <v>8</v>
      </c>
      <c r="ID508" s="27" t="s">
        <v>7</v>
      </c>
      <c r="IG508" s="27" t="s">
        <v>8</v>
      </c>
      <c r="IH508" s="27" t="s">
        <v>7</v>
      </c>
      <c r="II508" s="27" t="s">
        <v>8</v>
      </c>
      <c r="IZ508" s="27" t="s">
        <v>7</v>
      </c>
      <c r="JA508" s="27" t="s">
        <v>8</v>
      </c>
      <c r="JB508" s="27" t="s">
        <v>7</v>
      </c>
    </row>
    <row r="509" spans="1:262" x14ac:dyDescent="0.25">
      <c r="A509" s="7">
        <v>4.6861199116651235</v>
      </c>
      <c r="B509"/>
      <c r="C509"/>
      <c r="D509"/>
      <c r="E509" t="s">
        <v>8</v>
      </c>
      <c r="J509" s="27" t="s">
        <v>7</v>
      </c>
      <c r="K509" s="27" t="s">
        <v>8</v>
      </c>
      <c r="P509" s="27" t="s">
        <v>7</v>
      </c>
      <c r="Q509" s="27" t="s">
        <v>8</v>
      </c>
      <c r="R509" s="27" t="s">
        <v>7</v>
      </c>
      <c r="S509" s="27" t="s">
        <v>8</v>
      </c>
      <c r="U509" s="27" t="s">
        <v>8</v>
      </c>
      <c r="V509" s="27" t="s">
        <v>7</v>
      </c>
      <c r="W509" s="27" t="s">
        <v>8</v>
      </c>
      <c r="X509" s="27" t="s">
        <v>7</v>
      </c>
      <c r="BS509" s="27" t="s">
        <v>8</v>
      </c>
      <c r="BT509" s="27" t="s">
        <v>7</v>
      </c>
      <c r="CA509" s="27" t="s">
        <v>8</v>
      </c>
      <c r="CB509" s="27" t="s">
        <v>7</v>
      </c>
      <c r="CH509" s="27" t="s">
        <v>7</v>
      </c>
      <c r="CI509" s="27" t="s">
        <v>8</v>
      </c>
      <c r="CJ509" s="27" t="s">
        <v>7</v>
      </c>
      <c r="CM509" s="27" t="s">
        <v>8</v>
      </c>
      <c r="CR509" s="27" t="s">
        <v>7</v>
      </c>
      <c r="CS509" s="27" t="s">
        <v>8</v>
      </c>
      <c r="EH509" s="27" t="s">
        <v>7</v>
      </c>
      <c r="EI509" s="27" t="s">
        <v>8</v>
      </c>
      <c r="EJ509" s="27" t="s">
        <v>7</v>
      </c>
      <c r="EK509" s="27" t="s">
        <v>8</v>
      </c>
      <c r="EL509" s="27" t="s">
        <v>7</v>
      </c>
      <c r="EM509" s="27" t="s">
        <v>8</v>
      </c>
      <c r="EN509" s="27" t="s">
        <v>7</v>
      </c>
      <c r="EO509" s="27" t="s">
        <v>8</v>
      </c>
      <c r="EP509" s="27" t="s">
        <v>7</v>
      </c>
      <c r="EQ509" s="27" t="s">
        <v>8</v>
      </c>
      <c r="ER509" s="27" t="s">
        <v>7</v>
      </c>
      <c r="ES509" s="27" t="s">
        <v>8</v>
      </c>
      <c r="ET509" s="27" t="s">
        <v>7</v>
      </c>
      <c r="EU509" s="27" t="s">
        <v>8</v>
      </c>
      <c r="EV509" s="27" t="s">
        <v>7</v>
      </c>
      <c r="FS509" s="27" t="s">
        <v>8</v>
      </c>
      <c r="FT509" s="27" t="s">
        <v>7</v>
      </c>
      <c r="FU509" s="27" t="s">
        <v>8</v>
      </c>
      <c r="FV509" s="27" t="s">
        <v>7</v>
      </c>
      <c r="FW509" s="27" t="s">
        <v>8</v>
      </c>
      <c r="FZ509" s="27" t="s">
        <v>7</v>
      </c>
      <c r="GA509" s="27" t="s">
        <v>8</v>
      </c>
      <c r="GB509" s="27" t="s">
        <v>7</v>
      </c>
      <c r="GC509" s="27" t="s">
        <v>8</v>
      </c>
      <c r="GD509" s="27" t="s">
        <v>7</v>
      </c>
      <c r="GR509" s="27" t="s">
        <v>7</v>
      </c>
      <c r="GS509" s="27" t="s">
        <v>8</v>
      </c>
      <c r="GT509" s="27" t="s">
        <v>7</v>
      </c>
      <c r="GU509" s="27" t="s">
        <v>8</v>
      </c>
      <c r="GV509" s="27" t="s">
        <v>7</v>
      </c>
      <c r="GW509" s="27" t="s">
        <v>8</v>
      </c>
      <c r="GX509" s="27" t="s">
        <v>7</v>
      </c>
      <c r="GY509" s="27" t="s">
        <v>8</v>
      </c>
      <c r="HB509" s="27" t="s">
        <v>7</v>
      </c>
      <c r="HC509" s="27" t="s">
        <v>8</v>
      </c>
      <c r="HD509" s="27" t="s">
        <v>7</v>
      </c>
      <c r="HE509" s="27" t="s">
        <v>8</v>
      </c>
      <c r="HH509" s="27" t="s">
        <v>7</v>
      </c>
      <c r="HI509" s="27" t="s">
        <v>8</v>
      </c>
      <c r="HJ509" s="27" t="s">
        <v>7</v>
      </c>
      <c r="HK509" s="27" t="s">
        <v>8</v>
      </c>
      <c r="HL509" s="27" t="s">
        <v>7</v>
      </c>
      <c r="HM509" s="27" t="s">
        <v>8</v>
      </c>
      <c r="HO509" s="27" t="s">
        <v>8</v>
      </c>
      <c r="HR509" s="27" t="s">
        <v>7</v>
      </c>
      <c r="HV509" s="27" t="s">
        <v>7</v>
      </c>
      <c r="HW509" s="27" t="s">
        <v>8</v>
      </c>
      <c r="HX509" s="27" t="s">
        <v>7</v>
      </c>
      <c r="HZ509" s="27" t="s">
        <v>7</v>
      </c>
      <c r="ID509" s="27" t="s">
        <v>7</v>
      </c>
      <c r="IG509" s="27" t="s">
        <v>8</v>
      </c>
      <c r="IH509" s="27" t="s">
        <v>7</v>
      </c>
      <c r="II509" s="27" t="s">
        <v>8</v>
      </c>
      <c r="IZ509" s="27" t="s">
        <v>7</v>
      </c>
      <c r="JA509" s="27" t="s">
        <v>8</v>
      </c>
      <c r="JB509" s="27" t="s">
        <v>7</v>
      </c>
    </row>
    <row r="510" spans="1:262" x14ac:dyDescent="0.25">
      <c r="A510" s="7">
        <v>4.5942352075148269</v>
      </c>
      <c r="B510"/>
      <c r="C510"/>
      <c r="D510"/>
      <c r="E510" t="s">
        <v>8</v>
      </c>
      <c r="J510" s="27" t="s">
        <v>7</v>
      </c>
      <c r="P510" s="27" t="s">
        <v>7</v>
      </c>
      <c r="Q510" s="27" t="s">
        <v>8</v>
      </c>
      <c r="R510" s="27" t="s">
        <v>7</v>
      </c>
      <c r="S510" s="27" t="s">
        <v>8</v>
      </c>
      <c r="T510" s="27" t="s">
        <v>7</v>
      </c>
      <c r="U510" s="27" t="s">
        <v>8</v>
      </c>
      <c r="V510" s="27" t="s">
        <v>7</v>
      </c>
      <c r="W510" s="27" t="s">
        <v>8</v>
      </c>
      <c r="X510" s="27" t="s">
        <v>7</v>
      </c>
      <c r="BS510" s="27" t="s">
        <v>8</v>
      </c>
      <c r="BT510" s="27" t="s">
        <v>7</v>
      </c>
      <c r="CA510" s="27" t="s">
        <v>8</v>
      </c>
      <c r="CH510" s="27" t="s">
        <v>7</v>
      </c>
      <c r="CI510" s="27" t="s">
        <v>8</v>
      </c>
      <c r="CJ510" s="27" t="s">
        <v>7</v>
      </c>
      <c r="CM510" s="27" t="s">
        <v>8</v>
      </c>
      <c r="CR510" s="27" t="s">
        <v>7</v>
      </c>
      <c r="EH510" s="27" t="s">
        <v>7</v>
      </c>
      <c r="EI510" s="27" t="s">
        <v>8</v>
      </c>
      <c r="EJ510" s="27" t="s">
        <v>7</v>
      </c>
      <c r="EK510" s="27" t="s">
        <v>8</v>
      </c>
      <c r="EL510" s="27" t="s">
        <v>7</v>
      </c>
      <c r="EM510" s="27" t="s">
        <v>8</v>
      </c>
      <c r="EN510" s="27" t="s">
        <v>7</v>
      </c>
      <c r="EP510" s="27" t="s">
        <v>7</v>
      </c>
      <c r="EQ510" s="27" t="s">
        <v>8</v>
      </c>
      <c r="ER510" s="27" t="s">
        <v>7</v>
      </c>
      <c r="ES510" s="27" t="s">
        <v>8</v>
      </c>
      <c r="ET510" s="27" t="s">
        <v>7</v>
      </c>
      <c r="EU510" s="27" t="s">
        <v>8</v>
      </c>
      <c r="EV510" s="27" t="s">
        <v>7</v>
      </c>
      <c r="FQ510" s="27" t="s">
        <v>8</v>
      </c>
      <c r="FS510" s="27" t="s">
        <v>8</v>
      </c>
      <c r="FT510" s="27" t="s">
        <v>7</v>
      </c>
      <c r="FU510" s="27" t="s">
        <v>8</v>
      </c>
      <c r="FV510" s="27" t="s">
        <v>7</v>
      </c>
      <c r="FW510" s="27" t="s">
        <v>8</v>
      </c>
      <c r="FZ510" s="27" t="s">
        <v>7</v>
      </c>
      <c r="GA510" s="27" t="s">
        <v>8</v>
      </c>
      <c r="GB510" s="27" t="s">
        <v>7</v>
      </c>
      <c r="GR510" s="27" t="s">
        <v>7</v>
      </c>
      <c r="GS510" s="27" t="s">
        <v>8</v>
      </c>
      <c r="GT510" s="27" t="s">
        <v>7</v>
      </c>
      <c r="GU510" s="27" t="s">
        <v>8</v>
      </c>
      <c r="GV510" s="27" t="s">
        <v>7</v>
      </c>
      <c r="GW510" s="27" t="s">
        <v>8</v>
      </c>
      <c r="GX510" s="27" t="s">
        <v>7</v>
      </c>
      <c r="GY510" s="27" t="s">
        <v>8</v>
      </c>
      <c r="HB510" s="27" t="s">
        <v>7</v>
      </c>
      <c r="HC510" s="27" t="s">
        <v>8</v>
      </c>
      <c r="HD510" s="27" t="s">
        <v>7</v>
      </c>
      <c r="HE510" s="27" t="s">
        <v>8</v>
      </c>
      <c r="HH510" s="27" t="s">
        <v>7</v>
      </c>
      <c r="HI510" s="27" t="s">
        <v>8</v>
      </c>
      <c r="HJ510" s="27" t="s">
        <v>7</v>
      </c>
      <c r="HK510" s="27" t="s">
        <v>8</v>
      </c>
      <c r="HL510" s="27" t="s">
        <v>7</v>
      </c>
      <c r="HM510" s="27" t="s">
        <v>8</v>
      </c>
      <c r="HN510" s="27" t="s">
        <v>7</v>
      </c>
      <c r="HO510" s="27" t="s">
        <v>8</v>
      </c>
      <c r="HV510" s="27" t="s">
        <v>7</v>
      </c>
      <c r="HW510" s="27" t="s">
        <v>8</v>
      </c>
      <c r="ID510" s="27" t="s">
        <v>7</v>
      </c>
      <c r="IG510" s="27" t="s">
        <v>8</v>
      </c>
      <c r="IH510" s="27" t="s">
        <v>7</v>
      </c>
      <c r="II510" s="27" t="s">
        <v>8</v>
      </c>
      <c r="IZ510" s="27" t="s">
        <v>7</v>
      </c>
      <c r="JA510" s="27" t="s">
        <v>8</v>
      </c>
    </row>
    <row r="511" spans="1:262" x14ac:dyDescent="0.25">
      <c r="A511" s="7">
        <v>4.5041521642302227</v>
      </c>
      <c r="B511"/>
      <c r="C511"/>
      <c r="D511"/>
      <c r="E511" t="s">
        <v>8</v>
      </c>
      <c r="P511" s="27" t="s">
        <v>7</v>
      </c>
      <c r="Q511" s="27" t="s">
        <v>8</v>
      </c>
      <c r="R511" s="27" t="s">
        <v>7</v>
      </c>
      <c r="S511" s="27" t="s">
        <v>8</v>
      </c>
      <c r="T511" s="27" t="s">
        <v>7</v>
      </c>
      <c r="U511" s="27" t="s">
        <v>8</v>
      </c>
      <c r="V511" s="27" t="s">
        <v>7</v>
      </c>
      <c r="W511" s="27" t="s">
        <v>8</v>
      </c>
      <c r="X511" s="27" t="s">
        <v>7</v>
      </c>
      <c r="AY511" s="27" t="s">
        <v>8</v>
      </c>
      <c r="BS511" s="27" t="s">
        <v>8</v>
      </c>
      <c r="BT511" s="27" t="s">
        <v>7</v>
      </c>
      <c r="BY511" s="27" t="s">
        <v>8</v>
      </c>
      <c r="CA511" s="27" t="s">
        <v>8</v>
      </c>
      <c r="CH511" s="27" t="s">
        <v>7</v>
      </c>
      <c r="CI511" s="27" t="s">
        <v>8</v>
      </c>
      <c r="CJ511" s="27" t="s">
        <v>7</v>
      </c>
      <c r="CM511" s="27" t="s">
        <v>8</v>
      </c>
      <c r="EH511" s="27" t="s">
        <v>7</v>
      </c>
      <c r="EI511" s="27" t="s">
        <v>8</v>
      </c>
      <c r="EJ511" s="27" t="s">
        <v>7</v>
      </c>
      <c r="EK511" s="27" t="s">
        <v>8</v>
      </c>
      <c r="EL511" s="27" t="s">
        <v>7</v>
      </c>
      <c r="EM511" s="27" t="s">
        <v>8</v>
      </c>
      <c r="EP511" s="27" t="s">
        <v>7</v>
      </c>
      <c r="EQ511" s="27" t="s">
        <v>8</v>
      </c>
      <c r="ER511" s="27" t="s">
        <v>7</v>
      </c>
      <c r="ES511" s="27" t="s">
        <v>8</v>
      </c>
      <c r="ET511" s="27" t="s">
        <v>7</v>
      </c>
      <c r="EU511" s="27" t="s">
        <v>8</v>
      </c>
      <c r="EV511" s="27" t="s">
        <v>7</v>
      </c>
      <c r="FM511" s="27" t="s">
        <v>8</v>
      </c>
      <c r="FQ511" s="27" t="s">
        <v>8</v>
      </c>
      <c r="FR511" s="27" t="s">
        <v>7</v>
      </c>
      <c r="FS511" s="27" t="s">
        <v>8</v>
      </c>
      <c r="FT511" s="27" t="s">
        <v>7</v>
      </c>
      <c r="FV511" s="27" t="s">
        <v>7</v>
      </c>
      <c r="FZ511" s="27" t="s">
        <v>7</v>
      </c>
      <c r="GR511" s="27" t="s">
        <v>7</v>
      </c>
      <c r="GS511" s="27" t="s">
        <v>8</v>
      </c>
      <c r="GT511" s="27" t="s">
        <v>7</v>
      </c>
      <c r="GU511" s="27" t="s">
        <v>8</v>
      </c>
      <c r="GV511" s="27" t="s">
        <v>7</v>
      </c>
      <c r="GW511" s="27" t="s">
        <v>8</v>
      </c>
      <c r="GX511" s="27" t="s">
        <v>7</v>
      </c>
      <c r="GY511" s="27" t="s">
        <v>8</v>
      </c>
      <c r="HB511" s="27" t="s">
        <v>7</v>
      </c>
      <c r="HD511" s="27" t="s">
        <v>7</v>
      </c>
      <c r="HE511" s="27" t="s">
        <v>8</v>
      </c>
      <c r="HH511" s="27" t="s">
        <v>7</v>
      </c>
      <c r="HJ511" s="27" t="s">
        <v>7</v>
      </c>
      <c r="HL511" s="27" t="s">
        <v>7</v>
      </c>
      <c r="HM511" s="27" t="s">
        <v>8</v>
      </c>
      <c r="HN511" s="27" t="s">
        <v>7</v>
      </c>
      <c r="HO511" s="27" t="s">
        <v>8</v>
      </c>
      <c r="HV511" s="27" t="s">
        <v>7</v>
      </c>
      <c r="HW511" s="27" t="s">
        <v>8</v>
      </c>
      <c r="ID511" s="27" t="s">
        <v>7</v>
      </c>
      <c r="IG511" s="27" t="s">
        <v>8</v>
      </c>
      <c r="IH511" s="27" t="s">
        <v>7</v>
      </c>
      <c r="II511" s="27" t="s">
        <v>8</v>
      </c>
      <c r="IZ511" s="27" t="s">
        <v>7</v>
      </c>
      <c r="JA511" s="27" t="s">
        <v>8</v>
      </c>
    </row>
    <row r="512" spans="1:262" x14ac:dyDescent="0.25">
      <c r="A512" s="7">
        <v>4.4158354551276693</v>
      </c>
      <c r="B512"/>
      <c r="C512"/>
      <c r="D512"/>
      <c r="E512" t="s">
        <v>8</v>
      </c>
      <c r="P512" s="27" t="s">
        <v>7</v>
      </c>
      <c r="Q512" s="27" t="s">
        <v>8</v>
      </c>
      <c r="R512" s="27" t="s">
        <v>7</v>
      </c>
      <c r="S512" s="27" t="s">
        <v>8</v>
      </c>
      <c r="T512" s="27" t="s">
        <v>7</v>
      </c>
      <c r="U512" s="27" t="s">
        <v>8</v>
      </c>
      <c r="V512" s="27" t="s">
        <v>7</v>
      </c>
      <c r="W512" s="27" t="s">
        <v>8</v>
      </c>
      <c r="X512" s="27" t="s">
        <v>7</v>
      </c>
      <c r="AY512" s="27" t="s">
        <v>8</v>
      </c>
      <c r="AZ512" s="27" t="s">
        <v>7</v>
      </c>
      <c r="BS512" s="27" t="s">
        <v>8</v>
      </c>
      <c r="BT512" s="27" t="s">
        <v>7</v>
      </c>
      <c r="BY512" s="27" t="s">
        <v>8</v>
      </c>
      <c r="BZ512" s="27" t="s">
        <v>7</v>
      </c>
      <c r="CA512" s="27" t="s">
        <v>8</v>
      </c>
      <c r="CH512" s="27" t="s">
        <v>7</v>
      </c>
      <c r="CI512" s="27" t="s">
        <v>8</v>
      </c>
      <c r="CJ512" s="27" t="s">
        <v>7</v>
      </c>
      <c r="CK512" s="27" t="s">
        <v>8</v>
      </c>
      <c r="CM512" s="27" t="s">
        <v>8</v>
      </c>
      <c r="EH512" s="27" t="s">
        <v>7</v>
      </c>
      <c r="EI512" s="27" t="s">
        <v>8</v>
      </c>
      <c r="EJ512" s="27" t="s">
        <v>7</v>
      </c>
      <c r="EK512" s="27" t="s">
        <v>8</v>
      </c>
      <c r="EL512" s="27" t="s">
        <v>7</v>
      </c>
      <c r="EM512" s="27" t="s">
        <v>8</v>
      </c>
      <c r="EP512" s="27" t="s">
        <v>7</v>
      </c>
      <c r="EQ512" s="27" t="s">
        <v>8</v>
      </c>
      <c r="ER512" s="27" t="s">
        <v>7</v>
      </c>
      <c r="ES512" s="27" t="s">
        <v>8</v>
      </c>
      <c r="ET512" s="27" t="s">
        <v>7</v>
      </c>
      <c r="EU512" s="27" t="s">
        <v>8</v>
      </c>
      <c r="EV512" s="27" t="s">
        <v>7</v>
      </c>
      <c r="FM512" s="27" t="s">
        <v>8</v>
      </c>
      <c r="FN512" s="27" t="s">
        <v>7</v>
      </c>
      <c r="FQ512" s="27" t="s">
        <v>8</v>
      </c>
      <c r="FR512" s="27" t="s">
        <v>7</v>
      </c>
      <c r="FS512" s="27" t="s">
        <v>8</v>
      </c>
      <c r="GR512" s="27" t="s">
        <v>7</v>
      </c>
      <c r="GT512" s="27" t="s">
        <v>7</v>
      </c>
      <c r="GU512" s="27" t="s">
        <v>8</v>
      </c>
      <c r="GV512" s="27" t="s">
        <v>7</v>
      </c>
      <c r="GW512" s="27" t="s">
        <v>8</v>
      </c>
      <c r="GX512" s="27" t="s">
        <v>7</v>
      </c>
      <c r="GY512" s="27" t="s">
        <v>8</v>
      </c>
      <c r="HD512" s="27" t="s">
        <v>7</v>
      </c>
      <c r="HE512" s="27" t="s">
        <v>8</v>
      </c>
      <c r="HL512" s="27" t="s">
        <v>7</v>
      </c>
      <c r="HM512" s="27" t="s">
        <v>8</v>
      </c>
      <c r="HN512" s="27" t="s">
        <v>7</v>
      </c>
      <c r="HV512" s="27" t="s">
        <v>7</v>
      </c>
      <c r="HW512" s="27" t="s">
        <v>8</v>
      </c>
      <c r="ID512" s="27" t="s">
        <v>7</v>
      </c>
      <c r="IG512" s="27" t="s">
        <v>8</v>
      </c>
      <c r="IH512" s="27" t="s">
        <v>7</v>
      </c>
      <c r="II512" s="27" t="s">
        <v>8</v>
      </c>
      <c r="IZ512" s="27" t="s">
        <v>7</v>
      </c>
      <c r="JA512" s="27" t="s">
        <v>8</v>
      </c>
    </row>
    <row r="513" spans="1:261" x14ac:dyDescent="0.25">
      <c r="A513" s="7">
        <v>4.3292504462035977</v>
      </c>
      <c r="B513"/>
      <c r="C513"/>
      <c r="D513"/>
      <c r="E513" t="s">
        <v>8</v>
      </c>
      <c r="P513" s="27" t="s">
        <v>7</v>
      </c>
      <c r="Q513" s="27" t="s">
        <v>8</v>
      </c>
      <c r="R513" s="27" t="s">
        <v>7</v>
      </c>
      <c r="S513" s="27" t="s">
        <v>8</v>
      </c>
      <c r="T513" s="27" t="s">
        <v>7</v>
      </c>
      <c r="U513" s="27" t="s">
        <v>8</v>
      </c>
      <c r="V513" s="27" t="s">
        <v>7</v>
      </c>
      <c r="W513" s="27" t="s">
        <v>8</v>
      </c>
      <c r="X513" s="27" t="s">
        <v>7</v>
      </c>
      <c r="AY513" s="27" t="s">
        <v>8</v>
      </c>
      <c r="AZ513" s="27" t="s">
        <v>7</v>
      </c>
      <c r="BS513" s="27" t="s">
        <v>8</v>
      </c>
      <c r="BT513" s="27" t="s">
        <v>7</v>
      </c>
      <c r="BU513" s="27" t="s">
        <v>8</v>
      </c>
      <c r="BY513" s="27" t="s">
        <v>8</v>
      </c>
      <c r="BZ513" s="27" t="s">
        <v>7</v>
      </c>
      <c r="CA513" s="27" t="s">
        <v>8</v>
      </c>
      <c r="CH513" s="27" t="s">
        <v>7</v>
      </c>
      <c r="CI513" s="27" t="s">
        <v>8</v>
      </c>
      <c r="CJ513" s="27" t="s">
        <v>7</v>
      </c>
      <c r="CK513" s="27" t="s">
        <v>8</v>
      </c>
      <c r="CL513" s="27" t="s">
        <v>7</v>
      </c>
      <c r="CM513" s="27" t="s">
        <v>8</v>
      </c>
      <c r="EH513" s="27" t="s">
        <v>7</v>
      </c>
      <c r="EI513" s="27" t="s">
        <v>8</v>
      </c>
      <c r="EJ513" s="27" t="s">
        <v>7</v>
      </c>
      <c r="EK513" s="27" t="s">
        <v>8</v>
      </c>
      <c r="EL513" s="27" t="s">
        <v>7</v>
      </c>
      <c r="EM513" s="27" t="s">
        <v>8</v>
      </c>
      <c r="EP513" s="27" t="s">
        <v>7</v>
      </c>
      <c r="ER513" s="27" t="s">
        <v>7</v>
      </c>
      <c r="ES513" s="27" t="s">
        <v>8</v>
      </c>
      <c r="ET513" s="27" t="s">
        <v>7</v>
      </c>
      <c r="EU513" s="27" t="s">
        <v>8</v>
      </c>
      <c r="EV513" s="27" t="s">
        <v>7</v>
      </c>
      <c r="FM513" s="27" t="s">
        <v>8</v>
      </c>
      <c r="FN513" s="27" t="s">
        <v>7</v>
      </c>
      <c r="FQ513" s="27" t="s">
        <v>8</v>
      </c>
      <c r="FR513" s="27" t="s">
        <v>7</v>
      </c>
      <c r="FS513" s="27" t="s">
        <v>8</v>
      </c>
      <c r="GT513" s="27" t="s">
        <v>7</v>
      </c>
      <c r="GV513" s="27" t="s">
        <v>7</v>
      </c>
      <c r="GW513" s="27" t="s">
        <v>8</v>
      </c>
      <c r="GX513" s="27" t="s">
        <v>7</v>
      </c>
      <c r="GY513" s="27" t="s">
        <v>8</v>
      </c>
      <c r="HD513" s="27" t="s">
        <v>7</v>
      </c>
      <c r="HL513" s="27" t="s">
        <v>7</v>
      </c>
      <c r="HV513" s="27" t="s">
        <v>7</v>
      </c>
      <c r="HW513" s="27" t="s">
        <v>8</v>
      </c>
      <c r="ID513" s="27" t="s">
        <v>7</v>
      </c>
      <c r="IE513" s="27" t="s">
        <v>8</v>
      </c>
      <c r="IG513" s="27" t="s">
        <v>8</v>
      </c>
      <c r="IH513" s="27" t="s">
        <v>7</v>
      </c>
      <c r="II513" s="27" t="s">
        <v>8</v>
      </c>
      <c r="IZ513" s="27" t="s">
        <v>7</v>
      </c>
      <c r="JA513" s="27" t="s">
        <v>8</v>
      </c>
    </row>
    <row r="514" spans="1:261" x14ac:dyDescent="0.25">
      <c r="A514" s="7">
        <v>4.2443631825525463</v>
      </c>
      <c r="B514"/>
      <c r="C514"/>
      <c r="D514"/>
      <c r="E514" t="s">
        <v>8</v>
      </c>
      <c r="P514" s="27" t="s">
        <v>7</v>
      </c>
      <c r="Q514" s="27" t="s">
        <v>8</v>
      </c>
      <c r="R514" s="27" t="s">
        <v>7</v>
      </c>
      <c r="S514" s="27" t="s">
        <v>8</v>
      </c>
      <c r="T514" s="27" t="s">
        <v>7</v>
      </c>
      <c r="U514" s="27" t="s">
        <v>8</v>
      </c>
      <c r="V514" s="27" t="s">
        <v>7</v>
      </c>
      <c r="W514" s="27" t="s">
        <v>8</v>
      </c>
      <c r="X514" s="27" t="s">
        <v>7</v>
      </c>
      <c r="AY514" s="27" t="s">
        <v>8</v>
      </c>
      <c r="AZ514" s="27" t="s">
        <v>7</v>
      </c>
      <c r="BS514" s="27" t="s">
        <v>8</v>
      </c>
      <c r="BT514" s="27" t="s">
        <v>7</v>
      </c>
      <c r="BU514" s="27" t="s">
        <v>8</v>
      </c>
      <c r="BV514" s="27" t="s">
        <v>7</v>
      </c>
      <c r="BY514" s="27" t="s">
        <v>8</v>
      </c>
      <c r="BZ514" s="27" t="s">
        <v>7</v>
      </c>
      <c r="CA514" s="27" t="s">
        <v>8</v>
      </c>
      <c r="CH514" s="27" t="s">
        <v>7</v>
      </c>
      <c r="CI514" s="27" t="s">
        <v>8</v>
      </c>
      <c r="CJ514" s="27" t="s">
        <v>7</v>
      </c>
      <c r="CK514" s="27" t="s">
        <v>8</v>
      </c>
      <c r="CL514" s="27" t="s">
        <v>7</v>
      </c>
      <c r="CM514" s="27" t="s">
        <v>8</v>
      </c>
      <c r="EH514" s="27" t="s">
        <v>7</v>
      </c>
      <c r="EI514" s="27" t="s">
        <v>8</v>
      </c>
      <c r="EJ514" s="27" t="s">
        <v>7</v>
      </c>
      <c r="EK514" s="27" t="s">
        <v>8</v>
      </c>
      <c r="EL514" s="27" t="s">
        <v>7</v>
      </c>
      <c r="EM514" s="27" t="s">
        <v>8</v>
      </c>
      <c r="ER514" s="27" t="s">
        <v>7</v>
      </c>
      <c r="ET514" s="27" t="s">
        <v>7</v>
      </c>
      <c r="EU514" s="27" t="s">
        <v>8</v>
      </c>
      <c r="EV514" s="27" t="s">
        <v>7</v>
      </c>
      <c r="FM514" s="27" t="s">
        <v>8</v>
      </c>
      <c r="FN514" s="27" t="s">
        <v>7</v>
      </c>
      <c r="FQ514" s="27" t="s">
        <v>8</v>
      </c>
      <c r="FR514" s="27" t="s">
        <v>7</v>
      </c>
      <c r="GV514" s="27" t="s">
        <v>7</v>
      </c>
      <c r="GW514" s="27" t="s">
        <v>8</v>
      </c>
      <c r="GX514" s="27" t="s">
        <v>7</v>
      </c>
      <c r="GY514" s="27" t="s">
        <v>8</v>
      </c>
      <c r="HV514" s="27" t="s">
        <v>7</v>
      </c>
      <c r="ID514" s="27" t="s">
        <v>7</v>
      </c>
      <c r="IE514" s="27" t="s">
        <v>8</v>
      </c>
      <c r="IF514" s="27" t="s">
        <v>7</v>
      </c>
      <c r="IG514" s="27" t="s">
        <v>8</v>
      </c>
      <c r="IH514" s="27" t="s">
        <v>7</v>
      </c>
      <c r="II514" s="27" t="s">
        <v>8</v>
      </c>
      <c r="IZ514" s="27" t="s">
        <v>7</v>
      </c>
      <c r="JA514" s="27" t="s">
        <v>8</v>
      </c>
    </row>
    <row r="515" spans="1:261" x14ac:dyDescent="0.25">
      <c r="A515" s="7">
        <v>4.1611403750515157</v>
      </c>
      <c r="B515"/>
      <c r="C515"/>
      <c r="D515"/>
      <c r="E515" t="s">
        <v>8</v>
      </c>
      <c r="P515" s="27" t="s">
        <v>7</v>
      </c>
      <c r="Q515" s="27" t="s">
        <v>8</v>
      </c>
      <c r="R515" s="27" t="s">
        <v>7</v>
      </c>
      <c r="S515" s="27" t="s">
        <v>8</v>
      </c>
      <c r="T515" s="27" t="s">
        <v>7</v>
      </c>
      <c r="V515" s="27" t="s">
        <v>7</v>
      </c>
      <c r="X515" s="27" t="s">
        <v>7</v>
      </c>
      <c r="AY515" s="27" t="s">
        <v>8</v>
      </c>
      <c r="AZ515" s="27" t="s">
        <v>7</v>
      </c>
      <c r="BS515" s="27" t="s">
        <v>8</v>
      </c>
      <c r="BT515" s="27" t="s">
        <v>7</v>
      </c>
      <c r="BU515" s="27" t="s">
        <v>8</v>
      </c>
      <c r="BV515" s="27" t="s">
        <v>7</v>
      </c>
      <c r="BW515" s="27" t="s">
        <v>8</v>
      </c>
      <c r="BY515" s="27" t="s">
        <v>8</v>
      </c>
      <c r="BZ515" s="27" t="s">
        <v>7</v>
      </c>
      <c r="CA515" s="27" t="s">
        <v>8</v>
      </c>
      <c r="CH515" s="27" t="s">
        <v>7</v>
      </c>
      <c r="CI515" s="27" t="s">
        <v>8</v>
      </c>
      <c r="CJ515" s="27" t="s">
        <v>7</v>
      </c>
      <c r="CK515" s="27" t="s">
        <v>8</v>
      </c>
      <c r="CL515" s="27" t="s">
        <v>7</v>
      </c>
      <c r="CM515" s="27" t="s">
        <v>8</v>
      </c>
      <c r="EH515" s="27" t="s">
        <v>7</v>
      </c>
      <c r="EI515" s="27" t="s">
        <v>8</v>
      </c>
      <c r="EJ515" s="27" t="s">
        <v>7</v>
      </c>
      <c r="EK515" s="27" t="s">
        <v>8</v>
      </c>
      <c r="EL515" s="27" t="s">
        <v>7</v>
      </c>
      <c r="EM515" s="27" t="s">
        <v>8</v>
      </c>
      <c r="ET515" s="27" t="s">
        <v>7</v>
      </c>
      <c r="EU515" s="27" t="s">
        <v>8</v>
      </c>
      <c r="EV515" s="27" t="s">
        <v>7</v>
      </c>
      <c r="FE515" s="27" t="s">
        <v>8</v>
      </c>
      <c r="FM515" s="27" t="s">
        <v>8</v>
      </c>
      <c r="FN515" s="27" t="s">
        <v>7</v>
      </c>
      <c r="FQ515" s="27" t="s">
        <v>8</v>
      </c>
      <c r="GV515" s="27" t="s">
        <v>7</v>
      </c>
      <c r="GX515" s="27" t="s">
        <v>7</v>
      </c>
      <c r="GY515" s="27" t="s">
        <v>8</v>
      </c>
      <c r="ID515" s="27" t="s">
        <v>7</v>
      </c>
      <c r="IE515" s="27" t="s">
        <v>8</v>
      </c>
      <c r="IF515" s="27" t="s">
        <v>7</v>
      </c>
      <c r="IG515" s="27" t="s">
        <v>8</v>
      </c>
      <c r="IH515" s="27" t="s">
        <v>7</v>
      </c>
      <c r="II515" s="27" t="s">
        <v>8</v>
      </c>
      <c r="IZ515" s="27" t="s">
        <v>7</v>
      </c>
      <c r="JA515" s="27" t="s">
        <v>8</v>
      </c>
    </row>
    <row r="516" spans="1:261" x14ac:dyDescent="0.25">
      <c r="A516" s="7">
        <v>4.0795493873054074</v>
      </c>
      <c r="B516"/>
      <c r="C516"/>
      <c r="D516"/>
      <c r="E516" t="s">
        <v>8</v>
      </c>
      <c r="P516" s="27" t="s">
        <v>7</v>
      </c>
      <c r="Q516" s="27" t="s">
        <v>8</v>
      </c>
      <c r="R516" s="27" t="s">
        <v>7</v>
      </c>
      <c r="S516" s="27" t="s">
        <v>8</v>
      </c>
      <c r="X516" s="27" t="s">
        <v>7</v>
      </c>
      <c r="AY516" s="27" t="s">
        <v>8</v>
      </c>
      <c r="AZ516" s="27" t="s">
        <v>7</v>
      </c>
      <c r="BS516" s="27" t="s">
        <v>8</v>
      </c>
      <c r="BT516" s="27" t="s">
        <v>7</v>
      </c>
      <c r="BU516" s="27" t="s">
        <v>8</v>
      </c>
      <c r="BV516" s="27" t="s">
        <v>7</v>
      </c>
      <c r="BW516" s="27" t="s">
        <v>8</v>
      </c>
      <c r="BX516" s="27" t="s">
        <v>7</v>
      </c>
      <c r="BY516" s="27" t="s">
        <v>8</v>
      </c>
      <c r="BZ516" s="27" t="s">
        <v>7</v>
      </c>
      <c r="CH516" s="27" t="s">
        <v>7</v>
      </c>
      <c r="CI516" s="27" t="s">
        <v>8</v>
      </c>
      <c r="CJ516" s="27" t="s">
        <v>7</v>
      </c>
      <c r="CK516" s="27" t="s">
        <v>8</v>
      </c>
      <c r="CL516" s="27" t="s">
        <v>7</v>
      </c>
      <c r="CM516" s="27" t="s">
        <v>8</v>
      </c>
      <c r="EH516" s="27" t="s">
        <v>7</v>
      </c>
      <c r="EI516" s="27" t="s">
        <v>8</v>
      </c>
      <c r="EJ516" s="27" t="s">
        <v>7</v>
      </c>
      <c r="EK516" s="27" t="s">
        <v>8</v>
      </c>
      <c r="EL516" s="27" t="s">
        <v>7</v>
      </c>
      <c r="EM516" s="27" t="s">
        <v>8</v>
      </c>
      <c r="ET516" s="27" t="s">
        <v>7</v>
      </c>
      <c r="EU516" s="27" t="s">
        <v>8</v>
      </c>
      <c r="EV516" s="27" t="s">
        <v>7</v>
      </c>
      <c r="FE516" s="27" t="s">
        <v>8</v>
      </c>
      <c r="FF516" s="27" t="s">
        <v>7</v>
      </c>
      <c r="FM516" s="27" t="s">
        <v>8</v>
      </c>
      <c r="FN516" s="27" t="s">
        <v>7</v>
      </c>
      <c r="FO516" s="27" t="s">
        <v>8</v>
      </c>
      <c r="FQ516" s="27" t="s">
        <v>8</v>
      </c>
      <c r="GX516" s="27" t="s">
        <v>7</v>
      </c>
      <c r="ID516" s="27" t="s">
        <v>7</v>
      </c>
      <c r="IE516" s="27" t="s">
        <v>8</v>
      </c>
      <c r="IF516" s="27" t="s">
        <v>7</v>
      </c>
      <c r="IH516" s="27" t="s">
        <v>7</v>
      </c>
      <c r="IZ516" s="27" t="s">
        <v>7</v>
      </c>
    </row>
    <row r="517" spans="1:261" x14ac:dyDescent="0.25">
      <c r="A517" s="7">
        <v>3.9995582228484383</v>
      </c>
      <c r="B517"/>
      <c r="C517"/>
      <c r="D517"/>
      <c r="E517" t="s">
        <v>8</v>
      </c>
      <c r="P517" s="27" t="s">
        <v>7</v>
      </c>
      <c r="Q517" s="27" t="s">
        <v>8</v>
      </c>
      <c r="R517" s="27" t="s">
        <v>7</v>
      </c>
      <c r="S517" s="27" t="s">
        <v>8</v>
      </c>
      <c r="X517" s="27" t="s">
        <v>7</v>
      </c>
      <c r="AY517" s="27" t="s">
        <v>8</v>
      </c>
      <c r="AZ517" s="27" t="s">
        <v>7</v>
      </c>
      <c r="BS517" s="27" t="s">
        <v>8</v>
      </c>
      <c r="BT517" s="27" t="s">
        <v>7</v>
      </c>
      <c r="BU517" s="27" t="s">
        <v>8</v>
      </c>
      <c r="BV517" s="27" t="s">
        <v>7</v>
      </c>
      <c r="BW517" s="27" t="s">
        <v>8</v>
      </c>
      <c r="BX517" s="27" t="s">
        <v>7</v>
      </c>
      <c r="BY517" s="27" t="s">
        <v>8</v>
      </c>
      <c r="CH517" s="27" t="s">
        <v>7</v>
      </c>
      <c r="CI517" s="27" t="s">
        <v>8</v>
      </c>
      <c r="CJ517" s="27" t="s">
        <v>7</v>
      </c>
      <c r="CK517" s="27" t="s">
        <v>8</v>
      </c>
      <c r="CL517" s="27" t="s">
        <v>7</v>
      </c>
      <c r="CM517" s="27" t="s">
        <v>8</v>
      </c>
      <c r="EH517" s="27" t="s">
        <v>7</v>
      </c>
      <c r="EI517" s="27" t="s">
        <v>8</v>
      </c>
      <c r="EJ517" s="27" t="s">
        <v>7</v>
      </c>
      <c r="EK517" s="27" t="s">
        <v>8</v>
      </c>
      <c r="EL517" s="27" t="s">
        <v>7</v>
      </c>
      <c r="EM517" s="27" t="s">
        <v>8</v>
      </c>
      <c r="ET517" s="27" t="s">
        <v>7</v>
      </c>
      <c r="EU517" s="27" t="s">
        <v>8</v>
      </c>
      <c r="EV517" s="27" t="s">
        <v>7</v>
      </c>
      <c r="FE517" s="27" t="s">
        <v>8</v>
      </c>
      <c r="FF517" s="27" t="s">
        <v>7</v>
      </c>
      <c r="FM517" s="27" t="s">
        <v>8</v>
      </c>
      <c r="FN517" s="27" t="s">
        <v>7</v>
      </c>
      <c r="FO517" s="27" t="s">
        <v>8</v>
      </c>
      <c r="FP517" s="27" t="s">
        <v>7</v>
      </c>
      <c r="FQ517" s="27" t="s">
        <v>8</v>
      </c>
      <c r="ID517" s="27" t="s">
        <v>7</v>
      </c>
      <c r="IE517" s="27" t="s">
        <v>8</v>
      </c>
    </row>
    <row r="518" spans="1:261" x14ac:dyDescent="0.25">
      <c r="A518" s="7">
        <v>3.9211355125965079</v>
      </c>
      <c r="B518"/>
      <c r="C518"/>
      <c r="D518"/>
      <c r="E518" t="s">
        <v>8</v>
      </c>
      <c r="P518" s="27" t="s">
        <v>7</v>
      </c>
      <c r="Q518" s="27" t="s">
        <v>8</v>
      </c>
      <c r="R518" s="27" t="s">
        <v>7</v>
      </c>
      <c r="X518" s="27" t="s">
        <v>7</v>
      </c>
      <c r="AY518" s="27" t="s">
        <v>8</v>
      </c>
      <c r="AZ518" s="27" t="s">
        <v>7</v>
      </c>
      <c r="BO518" s="27" t="s">
        <v>8</v>
      </c>
      <c r="BS518" s="27" t="s">
        <v>8</v>
      </c>
      <c r="BT518" s="27" t="s">
        <v>7</v>
      </c>
      <c r="BU518" s="27" t="s">
        <v>8</v>
      </c>
      <c r="BV518" s="27" t="s">
        <v>7</v>
      </c>
      <c r="BW518" s="27" t="s">
        <v>8</v>
      </c>
      <c r="BX518" s="27" t="s">
        <v>7</v>
      </c>
      <c r="BY518" s="27" t="s">
        <v>8</v>
      </c>
      <c r="CH518" s="27" t="s">
        <v>7</v>
      </c>
      <c r="CI518" s="27" t="s">
        <v>8</v>
      </c>
      <c r="CJ518" s="27" t="s">
        <v>7</v>
      </c>
      <c r="CL518" s="27" t="s">
        <v>7</v>
      </c>
      <c r="CM518" s="27" t="s">
        <v>8</v>
      </c>
      <c r="EH518" s="27" t="s">
        <v>7</v>
      </c>
      <c r="EI518" s="27" t="s">
        <v>8</v>
      </c>
      <c r="EJ518" s="27" t="s">
        <v>7</v>
      </c>
      <c r="EK518" s="27" t="s">
        <v>8</v>
      </c>
      <c r="EL518" s="27" t="s">
        <v>7</v>
      </c>
      <c r="EM518" s="27" t="s">
        <v>8</v>
      </c>
      <c r="ET518" s="27" t="s">
        <v>7</v>
      </c>
      <c r="EU518" s="27" t="s">
        <v>8</v>
      </c>
      <c r="EV518" s="27" t="s">
        <v>7</v>
      </c>
      <c r="FA518" s="27" t="s">
        <v>8</v>
      </c>
      <c r="FC518" s="27" t="s">
        <v>8</v>
      </c>
      <c r="FE518" s="27" t="s">
        <v>8</v>
      </c>
      <c r="FF518" s="27" t="s">
        <v>7</v>
      </c>
      <c r="FG518" s="27" t="s">
        <v>8</v>
      </c>
      <c r="FM518" s="27" t="s">
        <v>8</v>
      </c>
      <c r="FN518" s="27" t="s">
        <v>7</v>
      </c>
      <c r="FO518" s="27" t="s">
        <v>8</v>
      </c>
      <c r="FP518" s="27" t="s">
        <v>7</v>
      </c>
      <c r="FQ518" s="27" t="s">
        <v>8</v>
      </c>
      <c r="ID518" s="27" t="s">
        <v>7</v>
      </c>
      <c r="IE518" s="27" t="s">
        <v>8</v>
      </c>
    </row>
    <row r="519" spans="1:261" x14ac:dyDescent="0.25">
      <c r="A519" s="7">
        <v>3.844250502545596</v>
      </c>
      <c r="B519"/>
      <c r="C519"/>
      <c r="D519"/>
      <c r="E519" t="s">
        <v>8</v>
      </c>
      <c r="P519" s="27" t="s">
        <v>7</v>
      </c>
      <c r="Q519" s="27" t="s">
        <v>8</v>
      </c>
      <c r="X519" s="27" t="s">
        <v>7</v>
      </c>
      <c r="AE519" s="27" t="s">
        <v>8</v>
      </c>
      <c r="AI519" s="27" t="s">
        <v>8</v>
      </c>
      <c r="AY519" s="27" t="s">
        <v>8</v>
      </c>
      <c r="AZ519" s="27" t="s">
        <v>7</v>
      </c>
      <c r="BO519" s="27" t="s">
        <v>8</v>
      </c>
      <c r="BP519" s="27" t="s">
        <v>7</v>
      </c>
      <c r="BS519" s="27" t="s">
        <v>8</v>
      </c>
      <c r="BT519" s="27" t="s">
        <v>7</v>
      </c>
      <c r="BU519" s="27" t="s">
        <v>8</v>
      </c>
      <c r="BV519" s="27" t="s">
        <v>7</v>
      </c>
      <c r="BW519" s="27" t="s">
        <v>8</v>
      </c>
      <c r="BX519" s="27" t="s">
        <v>7</v>
      </c>
      <c r="BY519" s="27" t="s">
        <v>8</v>
      </c>
      <c r="CH519" s="27" t="s">
        <v>7</v>
      </c>
      <c r="CL519" s="27" t="s">
        <v>7</v>
      </c>
      <c r="CM519" s="27" t="s">
        <v>8</v>
      </c>
      <c r="EH519" s="27" t="s">
        <v>7</v>
      </c>
      <c r="EI519" s="27" t="s">
        <v>8</v>
      </c>
      <c r="EJ519" s="27" t="s">
        <v>7</v>
      </c>
      <c r="EK519" s="27" t="s">
        <v>8</v>
      </c>
      <c r="EL519" s="27" t="s">
        <v>7</v>
      </c>
      <c r="EM519" s="27" t="s">
        <v>8</v>
      </c>
      <c r="ET519" s="27" t="s">
        <v>7</v>
      </c>
      <c r="EV519" s="27" t="s">
        <v>7</v>
      </c>
      <c r="FA519" s="27" t="s">
        <v>8</v>
      </c>
      <c r="FB519" s="27" t="s">
        <v>7</v>
      </c>
      <c r="FC519" s="27" t="s">
        <v>8</v>
      </c>
      <c r="FD519" s="27" t="s">
        <v>7</v>
      </c>
      <c r="FE519" s="27" t="s">
        <v>8</v>
      </c>
      <c r="FF519" s="27" t="s">
        <v>7</v>
      </c>
      <c r="FG519" s="27" t="s">
        <v>8</v>
      </c>
      <c r="FH519" s="27" t="s">
        <v>7</v>
      </c>
      <c r="FM519" s="27" t="s">
        <v>8</v>
      </c>
      <c r="FN519" s="27" t="s">
        <v>7</v>
      </c>
      <c r="FP519" s="27" t="s">
        <v>7</v>
      </c>
      <c r="FQ519" s="27" t="s">
        <v>8</v>
      </c>
      <c r="ID519" s="27" t="s">
        <v>7</v>
      </c>
      <c r="IE519" s="27" t="s">
        <v>8</v>
      </c>
    </row>
    <row r="520" spans="1:261" x14ac:dyDescent="0.25">
      <c r="A520" s="7">
        <v>3.7688730417113687</v>
      </c>
      <c r="B520"/>
      <c r="C520"/>
      <c r="D520"/>
      <c r="E520" t="s">
        <v>8</v>
      </c>
      <c r="P520" s="27" t="s">
        <v>7</v>
      </c>
      <c r="X520" s="27" t="s">
        <v>7</v>
      </c>
      <c r="AA520" s="27" t="s">
        <v>8</v>
      </c>
      <c r="AC520" s="27" t="s">
        <v>8</v>
      </c>
      <c r="AE520" s="27" t="s">
        <v>8</v>
      </c>
      <c r="AF520" s="27" t="s">
        <v>7</v>
      </c>
      <c r="AI520" s="27" t="s">
        <v>8</v>
      </c>
      <c r="AJ520" s="27" t="s">
        <v>7</v>
      </c>
      <c r="AO520" s="27" t="s">
        <v>8</v>
      </c>
      <c r="AY520" s="27" t="s">
        <v>8</v>
      </c>
      <c r="AZ520" s="27" t="s">
        <v>7</v>
      </c>
      <c r="BM520" s="27" t="s">
        <v>8</v>
      </c>
      <c r="BO520" s="27" t="s">
        <v>8</v>
      </c>
      <c r="BP520" s="27" t="s">
        <v>7</v>
      </c>
      <c r="BS520" s="27" t="s">
        <v>8</v>
      </c>
      <c r="BT520" s="27" t="s">
        <v>7</v>
      </c>
      <c r="BU520" s="27" t="s">
        <v>8</v>
      </c>
      <c r="BV520" s="27" t="s">
        <v>7</v>
      </c>
      <c r="BW520" s="27" t="s">
        <v>8</v>
      </c>
      <c r="BX520" s="27" t="s">
        <v>7</v>
      </c>
      <c r="BY520" s="27" t="s">
        <v>8</v>
      </c>
      <c r="CL520" s="27" t="s">
        <v>7</v>
      </c>
      <c r="CM520" s="27" t="s">
        <v>8</v>
      </c>
      <c r="EH520" s="27" t="s">
        <v>7</v>
      </c>
      <c r="EI520" s="27" t="s">
        <v>8</v>
      </c>
      <c r="EJ520" s="27" t="s">
        <v>7</v>
      </c>
      <c r="EK520" s="27" t="s">
        <v>8</v>
      </c>
      <c r="EL520" s="27" t="s">
        <v>7</v>
      </c>
      <c r="EV520" s="27" t="s">
        <v>7</v>
      </c>
      <c r="EW520" s="27" t="s">
        <v>8</v>
      </c>
      <c r="FA520" s="27" t="s">
        <v>8</v>
      </c>
      <c r="FB520" s="27" t="s">
        <v>7</v>
      </c>
      <c r="FC520" s="27" t="s">
        <v>8</v>
      </c>
      <c r="FD520" s="27" t="s">
        <v>7</v>
      </c>
      <c r="FE520" s="27" t="s">
        <v>8</v>
      </c>
      <c r="FF520" s="27" t="s">
        <v>7</v>
      </c>
      <c r="FG520" s="27" t="s">
        <v>8</v>
      </c>
      <c r="FH520" s="27" t="s">
        <v>7</v>
      </c>
      <c r="FM520" s="27" t="s">
        <v>8</v>
      </c>
      <c r="FP520" s="27" t="s">
        <v>7</v>
      </c>
      <c r="FQ520" s="27" t="s">
        <v>8</v>
      </c>
      <c r="ID520" s="27" t="s">
        <v>7</v>
      </c>
      <c r="IE520" s="27" t="s">
        <v>8</v>
      </c>
    </row>
    <row r="521" spans="1:261" x14ac:dyDescent="0.25">
      <c r="A521" s="7">
        <v>3.6949735703052635</v>
      </c>
      <c r="B521"/>
      <c r="C521"/>
      <c r="D521"/>
      <c r="E521" t="s">
        <v>8</v>
      </c>
      <c r="X521" s="27" t="s">
        <v>7</v>
      </c>
      <c r="AA521" s="27" t="s">
        <v>8</v>
      </c>
      <c r="AB521" s="27" t="s">
        <v>7</v>
      </c>
      <c r="AC521" s="27" t="s">
        <v>8</v>
      </c>
      <c r="AD521" s="27" t="s">
        <v>7</v>
      </c>
      <c r="AE521" s="27" t="s">
        <v>8</v>
      </c>
      <c r="AF521" s="27" t="s">
        <v>7</v>
      </c>
      <c r="AI521" s="27" t="s">
        <v>8</v>
      </c>
      <c r="AJ521" s="27" t="s">
        <v>7</v>
      </c>
      <c r="AO521" s="27" t="s">
        <v>8</v>
      </c>
      <c r="AP521" s="27" t="s">
        <v>7</v>
      </c>
      <c r="AY521" s="27" t="s">
        <v>8</v>
      </c>
      <c r="AZ521" s="27" t="s">
        <v>7</v>
      </c>
      <c r="BM521" s="27" t="s">
        <v>8</v>
      </c>
      <c r="BN521" s="27" t="s">
        <v>7</v>
      </c>
      <c r="BO521" s="27" t="s">
        <v>8</v>
      </c>
      <c r="BP521" s="27" t="s">
        <v>7</v>
      </c>
      <c r="BS521" s="27" t="s">
        <v>8</v>
      </c>
      <c r="BT521" s="27" t="s">
        <v>7</v>
      </c>
      <c r="BU521" s="27" t="s">
        <v>8</v>
      </c>
      <c r="BV521" s="27" t="s">
        <v>7</v>
      </c>
      <c r="BW521" s="27" t="s">
        <v>8</v>
      </c>
      <c r="BX521" s="27" t="s">
        <v>7</v>
      </c>
      <c r="BY521" s="27" t="s">
        <v>8</v>
      </c>
      <c r="CL521" s="27" t="s">
        <v>7</v>
      </c>
      <c r="CM521" s="27" t="s">
        <v>8</v>
      </c>
      <c r="EH521" s="27" t="s">
        <v>7</v>
      </c>
      <c r="EI521" s="27" t="s">
        <v>8</v>
      </c>
      <c r="EJ521" s="27" t="s">
        <v>7</v>
      </c>
      <c r="EK521" s="27" t="s">
        <v>8</v>
      </c>
      <c r="EV521" s="27" t="s">
        <v>7</v>
      </c>
      <c r="EW521" s="27" t="s">
        <v>8</v>
      </c>
      <c r="EX521" s="27" t="s">
        <v>7</v>
      </c>
      <c r="EY521" s="27" t="s">
        <v>8</v>
      </c>
      <c r="FA521" s="27" t="s">
        <v>8</v>
      </c>
      <c r="FB521" s="27" t="s">
        <v>7</v>
      </c>
      <c r="FC521" s="27" t="s">
        <v>8</v>
      </c>
      <c r="FD521" s="27" t="s">
        <v>7</v>
      </c>
      <c r="FE521" s="27" t="s">
        <v>8</v>
      </c>
      <c r="FF521" s="27" t="s">
        <v>7</v>
      </c>
      <c r="FG521" s="27" t="s">
        <v>8</v>
      </c>
      <c r="FH521" s="27" t="s">
        <v>7</v>
      </c>
      <c r="FK521" s="27" t="s">
        <v>8</v>
      </c>
      <c r="FM521" s="27" t="s">
        <v>8</v>
      </c>
      <c r="FP521" s="27" t="s">
        <v>7</v>
      </c>
      <c r="ID521" s="27" t="s">
        <v>7</v>
      </c>
      <c r="IE521" s="27" t="s">
        <v>8</v>
      </c>
    </row>
    <row r="522" spans="1:261" x14ac:dyDescent="0.25">
      <c r="A522" s="7">
        <v>3.6225231081424152</v>
      </c>
      <c r="B522"/>
      <c r="C522"/>
      <c r="D522"/>
      <c r="E522" t="s">
        <v>8</v>
      </c>
      <c r="X522" s="27" t="s">
        <v>7</v>
      </c>
      <c r="AA522" s="27" t="s">
        <v>8</v>
      </c>
      <c r="AB522" s="27" t="s">
        <v>7</v>
      </c>
      <c r="AC522" s="27" t="s">
        <v>8</v>
      </c>
      <c r="AD522" s="27" t="s">
        <v>7</v>
      </c>
      <c r="AE522" s="27" t="s">
        <v>8</v>
      </c>
      <c r="AF522" s="27" t="s">
        <v>7</v>
      </c>
      <c r="AG522" s="27" t="s">
        <v>8</v>
      </c>
      <c r="AI522" s="27" t="s">
        <v>8</v>
      </c>
      <c r="AJ522" s="27" t="s">
        <v>7</v>
      </c>
      <c r="AO522" s="27" t="s">
        <v>8</v>
      </c>
      <c r="AP522" s="27" t="s">
        <v>7</v>
      </c>
      <c r="AY522" s="27" t="s">
        <v>8</v>
      </c>
      <c r="AZ522" s="27" t="s">
        <v>7</v>
      </c>
      <c r="BC522" s="27" t="s">
        <v>8</v>
      </c>
      <c r="BE522" s="27" t="s">
        <v>8</v>
      </c>
      <c r="BM522" s="27" t="s">
        <v>8</v>
      </c>
      <c r="BN522" s="27" t="s">
        <v>7</v>
      </c>
      <c r="BO522" s="27" t="s">
        <v>8</v>
      </c>
      <c r="BP522" s="27" t="s">
        <v>7</v>
      </c>
      <c r="BS522" s="27" t="s">
        <v>8</v>
      </c>
      <c r="BT522" s="27" t="s">
        <v>7</v>
      </c>
      <c r="BU522" s="27" t="s">
        <v>8</v>
      </c>
      <c r="BV522" s="27" t="s">
        <v>7</v>
      </c>
      <c r="BW522" s="27" t="s">
        <v>8</v>
      </c>
      <c r="BX522" s="27" t="s">
        <v>7</v>
      </c>
      <c r="CL522" s="27" t="s">
        <v>7</v>
      </c>
      <c r="CM522" s="27" t="s">
        <v>8</v>
      </c>
      <c r="EH522" s="27" t="s">
        <v>7</v>
      </c>
      <c r="EI522" s="27" t="s">
        <v>8</v>
      </c>
      <c r="EJ522" s="27" t="s">
        <v>7</v>
      </c>
      <c r="EK522" s="27" t="s">
        <v>8</v>
      </c>
      <c r="EV522" s="27" t="s">
        <v>7</v>
      </c>
      <c r="EW522" s="27" t="s">
        <v>8</v>
      </c>
      <c r="EX522" s="27" t="s">
        <v>7</v>
      </c>
      <c r="EY522" s="27" t="s">
        <v>8</v>
      </c>
      <c r="EZ522" s="27" t="s">
        <v>7</v>
      </c>
      <c r="FA522" s="27" t="s">
        <v>8</v>
      </c>
      <c r="FB522" s="27" t="s">
        <v>7</v>
      </c>
      <c r="FC522" s="27" t="s">
        <v>8</v>
      </c>
      <c r="FD522" s="27" t="s">
        <v>7</v>
      </c>
      <c r="FE522" s="27" t="s">
        <v>8</v>
      </c>
      <c r="FF522" s="27" t="s">
        <v>7</v>
      </c>
      <c r="FH522" s="27" t="s">
        <v>7</v>
      </c>
      <c r="FI522" s="27" t="s">
        <v>8</v>
      </c>
      <c r="FK522" s="27" t="s">
        <v>8</v>
      </c>
      <c r="FL522" s="27" t="s">
        <v>7</v>
      </c>
      <c r="FM522" s="27" t="s">
        <v>8</v>
      </c>
      <c r="ID522" s="27" t="s">
        <v>7</v>
      </c>
      <c r="IE522" s="27" t="s">
        <v>8</v>
      </c>
    </row>
    <row r="523" spans="1:261" x14ac:dyDescent="0.25">
      <c r="A523" s="7">
        <v>3.5514932432768775</v>
      </c>
      <c r="B523"/>
      <c r="C523"/>
      <c r="D523"/>
      <c r="E523" t="s">
        <v>8</v>
      </c>
      <c r="X523" s="27" t="s">
        <v>7</v>
      </c>
      <c r="AA523" s="27" t="s">
        <v>8</v>
      </c>
      <c r="AB523" s="27" t="s">
        <v>7</v>
      </c>
      <c r="AC523" s="27" t="s">
        <v>8</v>
      </c>
      <c r="AD523" s="27" t="s">
        <v>7</v>
      </c>
      <c r="AE523" s="27" t="s">
        <v>8</v>
      </c>
      <c r="AF523" s="27" t="s">
        <v>7</v>
      </c>
      <c r="AG523" s="27" t="s">
        <v>8</v>
      </c>
      <c r="AH523" s="27" t="s">
        <v>7</v>
      </c>
      <c r="AI523" s="27" t="s">
        <v>8</v>
      </c>
      <c r="AJ523" s="27" t="s">
        <v>7</v>
      </c>
      <c r="AO523" s="27" t="s">
        <v>8</v>
      </c>
      <c r="AP523" s="27" t="s">
        <v>7</v>
      </c>
      <c r="AU523" s="27" t="s">
        <v>8</v>
      </c>
      <c r="AW523" s="27" t="s">
        <v>8</v>
      </c>
      <c r="AY523" s="27" t="s">
        <v>8</v>
      </c>
      <c r="AZ523" s="27" t="s">
        <v>7</v>
      </c>
      <c r="BC523" s="27" t="s">
        <v>8</v>
      </c>
      <c r="BD523" s="27" t="s">
        <v>7</v>
      </c>
      <c r="BE523" s="27" t="s">
        <v>8</v>
      </c>
      <c r="BF523" s="27" t="s">
        <v>7</v>
      </c>
      <c r="BM523" s="27" t="s">
        <v>8</v>
      </c>
      <c r="BN523" s="27" t="s">
        <v>7</v>
      </c>
      <c r="BO523" s="27" t="s">
        <v>8</v>
      </c>
      <c r="BP523" s="27" t="s">
        <v>7</v>
      </c>
      <c r="BS523" s="27" t="s">
        <v>8</v>
      </c>
      <c r="BT523" s="27" t="s">
        <v>7</v>
      </c>
      <c r="BU523" s="27" t="s">
        <v>8</v>
      </c>
      <c r="BV523" s="27" t="s">
        <v>7</v>
      </c>
      <c r="BW523" s="27" t="s">
        <v>8</v>
      </c>
      <c r="CL523" s="27" t="s">
        <v>7</v>
      </c>
      <c r="EH523" s="27" t="s">
        <v>7</v>
      </c>
      <c r="EI523" s="27" t="s">
        <v>8</v>
      </c>
      <c r="EJ523" s="27" t="s">
        <v>7</v>
      </c>
      <c r="EK523" s="27" t="s">
        <v>8</v>
      </c>
      <c r="EV523" s="27" t="s">
        <v>7</v>
      </c>
      <c r="EW523" s="27" t="s">
        <v>8</v>
      </c>
      <c r="EX523" s="27" t="s">
        <v>7</v>
      </c>
      <c r="EY523" s="27" t="s">
        <v>8</v>
      </c>
      <c r="EZ523" s="27" t="s">
        <v>7</v>
      </c>
      <c r="FA523" s="27" t="s">
        <v>8</v>
      </c>
      <c r="FB523" s="27" t="s">
        <v>7</v>
      </c>
      <c r="FC523" s="27" t="s">
        <v>8</v>
      </c>
      <c r="FD523" s="27" t="s">
        <v>7</v>
      </c>
      <c r="FH523" s="27" t="s">
        <v>7</v>
      </c>
      <c r="FI523" s="27" t="s">
        <v>8</v>
      </c>
      <c r="FJ523" s="27" t="s">
        <v>7</v>
      </c>
      <c r="FK523" s="27" t="s">
        <v>8</v>
      </c>
      <c r="FL523" s="27" t="s">
        <v>7</v>
      </c>
      <c r="FM523" s="27" t="s">
        <v>8</v>
      </c>
      <c r="ID523" s="27" t="s">
        <v>7</v>
      </c>
      <c r="IE523" s="27" t="s">
        <v>8</v>
      </c>
    </row>
    <row r="524" spans="1:261" x14ac:dyDescent="0.25">
      <c r="A524" s="7">
        <v>3.4818561208596837</v>
      </c>
      <c r="B524"/>
      <c r="C524"/>
      <c r="D524"/>
      <c r="E524" t="s">
        <v>8</v>
      </c>
      <c r="X524" s="27" t="s">
        <v>7</v>
      </c>
      <c r="AA524" s="27" t="s">
        <v>8</v>
      </c>
      <c r="AB524" s="27" t="s">
        <v>7</v>
      </c>
      <c r="AC524" s="27" t="s">
        <v>8</v>
      </c>
      <c r="AD524" s="27" t="s">
        <v>7</v>
      </c>
      <c r="AF524" s="27" t="s">
        <v>7</v>
      </c>
      <c r="AG524" s="27" t="s">
        <v>8</v>
      </c>
      <c r="AH524" s="27" t="s">
        <v>7</v>
      </c>
      <c r="AI524" s="27" t="s">
        <v>8</v>
      </c>
      <c r="AJ524" s="27" t="s">
        <v>7</v>
      </c>
      <c r="AO524" s="27" t="s">
        <v>8</v>
      </c>
      <c r="AP524" s="27" t="s">
        <v>7</v>
      </c>
      <c r="AU524" s="27" t="s">
        <v>8</v>
      </c>
      <c r="AV524" s="27" t="s">
        <v>7</v>
      </c>
      <c r="AW524" s="27" t="s">
        <v>8</v>
      </c>
      <c r="AX524" s="27" t="s">
        <v>7</v>
      </c>
      <c r="AY524" s="27" t="s">
        <v>8</v>
      </c>
      <c r="AZ524" s="27" t="s">
        <v>7</v>
      </c>
      <c r="BC524" s="27" t="s">
        <v>8</v>
      </c>
      <c r="BD524" s="27" t="s">
        <v>7</v>
      </c>
      <c r="BE524" s="27" t="s">
        <v>8</v>
      </c>
      <c r="BF524" s="27" t="s">
        <v>7</v>
      </c>
      <c r="BM524" s="27" t="s">
        <v>8</v>
      </c>
      <c r="BN524" s="27" t="s">
        <v>7</v>
      </c>
      <c r="BO524" s="27" t="s">
        <v>8</v>
      </c>
      <c r="BP524" s="27" t="s">
        <v>7</v>
      </c>
      <c r="BS524" s="27" t="s">
        <v>8</v>
      </c>
      <c r="BT524" s="27" t="s">
        <v>7</v>
      </c>
      <c r="BU524" s="27" t="s">
        <v>8</v>
      </c>
      <c r="BV524" s="27" t="s">
        <v>7</v>
      </c>
      <c r="EH524" s="27" t="s">
        <v>7</v>
      </c>
      <c r="EI524" s="27" t="s">
        <v>8</v>
      </c>
      <c r="EJ524" s="27" t="s">
        <v>7</v>
      </c>
      <c r="EK524" s="27" t="s">
        <v>8</v>
      </c>
      <c r="EV524" s="27" t="s">
        <v>7</v>
      </c>
      <c r="EW524" s="27" t="s">
        <v>8</v>
      </c>
      <c r="EX524" s="27" t="s">
        <v>7</v>
      </c>
      <c r="EY524" s="27" t="s">
        <v>8</v>
      </c>
      <c r="EZ524" s="27" t="s">
        <v>7</v>
      </c>
      <c r="FA524" s="27" t="s">
        <v>8</v>
      </c>
      <c r="FB524" s="27" t="s">
        <v>7</v>
      </c>
      <c r="FC524" s="27" t="s">
        <v>8</v>
      </c>
      <c r="FH524" s="27" t="s">
        <v>7</v>
      </c>
      <c r="FI524" s="27" t="s">
        <v>8</v>
      </c>
      <c r="FJ524" s="27" t="s">
        <v>7</v>
      </c>
      <c r="FK524" s="27" t="s">
        <v>8</v>
      </c>
      <c r="FL524" s="27" t="s">
        <v>7</v>
      </c>
      <c r="FM524" s="27" t="s">
        <v>8</v>
      </c>
      <c r="ID524" s="27" t="s">
        <v>7</v>
      </c>
      <c r="IE524" s="27" t="s">
        <v>8</v>
      </c>
    </row>
    <row r="525" spans="1:261" x14ac:dyDescent="0.25">
      <c r="A525" s="7">
        <v>3.4135844322153761</v>
      </c>
      <c r="B525"/>
      <c r="C525"/>
      <c r="D525"/>
      <c r="E525" t="s">
        <v>8</v>
      </c>
      <c r="X525" s="27" t="s">
        <v>7</v>
      </c>
      <c r="AA525" s="27" t="s">
        <v>8</v>
      </c>
      <c r="AB525" s="27" t="s">
        <v>7</v>
      </c>
      <c r="AC525" s="27" t="s">
        <v>8</v>
      </c>
      <c r="AF525" s="27" t="s">
        <v>7</v>
      </c>
      <c r="AG525" s="27" t="s">
        <v>8</v>
      </c>
      <c r="AH525" s="27" t="s">
        <v>7</v>
      </c>
      <c r="AI525" s="27" t="s">
        <v>8</v>
      </c>
      <c r="AJ525" s="27" t="s">
        <v>7</v>
      </c>
      <c r="AM525" s="27" t="s">
        <v>8</v>
      </c>
      <c r="AO525" s="27" t="s">
        <v>8</v>
      </c>
      <c r="AP525" s="27" t="s">
        <v>7</v>
      </c>
      <c r="AU525" s="27" t="s">
        <v>8</v>
      </c>
      <c r="AV525" s="27" t="s">
        <v>7</v>
      </c>
      <c r="AW525" s="27" t="s">
        <v>8</v>
      </c>
      <c r="AX525" s="27" t="s">
        <v>7</v>
      </c>
      <c r="AY525" s="27" t="s">
        <v>8</v>
      </c>
      <c r="AZ525" s="27" t="s">
        <v>7</v>
      </c>
      <c r="BC525" s="27" t="s">
        <v>8</v>
      </c>
      <c r="BD525" s="27" t="s">
        <v>7</v>
      </c>
      <c r="BE525" s="27" t="s">
        <v>8</v>
      </c>
      <c r="BF525" s="27" t="s">
        <v>7</v>
      </c>
      <c r="BK525" s="27" t="s">
        <v>8</v>
      </c>
      <c r="BM525" s="27" t="s">
        <v>8</v>
      </c>
      <c r="BN525" s="27" t="s">
        <v>7</v>
      </c>
      <c r="BO525" s="27" t="s">
        <v>8</v>
      </c>
      <c r="BP525" s="27" t="s">
        <v>7</v>
      </c>
      <c r="BS525" s="27" t="s">
        <v>8</v>
      </c>
      <c r="BT525" s="27" t="s">
        <v>7</v>
      </c>
      <c r="BU525" s="27" t="s">
        <v>8</v>
      </c>
      <c r="EH525" s="27" t="s">
        <v>7</v>
      </c>
      <c r="EI525" s="27" t="s">
        <v>8</v>
      </c>
      <c r="EJ525" s="27" t="s">
        <v>7</v>
      </c>
      <c r="EK525" s="27" t="s">
        <v>8</v>
      </c>
      <c r="EV525" s="27" t="s">
        <v>7</v>
      </c>
      <c r="EW525" s="27" t="s">
        <v>8</v>
      </c>
      <c r="EX525" s="27" t="s">
        <v>7</v>
      </c>
      <c r="EY525" s="27" t="s">
        <v>8</v>
      </c>
      <c r="EZ525" s="27" t="s">
        <v>7</v>
      </c>
      <c r="FA525" s="27" t="s">
        <v>8</v>
      </c>
      <c r="FB525" s="27" t="s">
        <v>7</v>
      </c>
      <c r="FH525" s="27" t="s">
        <v>7</v>
      </c>
      <c r="FI525" s="27" t="s">
        <v>8</v>
      </c>
      <c r="FJ525" s="27" t="s">
        <v>7</v>
      </c>
      <c r="FK525" s="27" t="s">
        <v>8</v>
      </c>
      <c r="FL525" s="27" t="s">
        <v>7</v>
      </c>
      <c r="FM525" s="27" t="s">
        <v>8</v>
      </c>
      <c r="ID525" s="27" t="s">
        <v>7</v>
      </c>
    </row>
    <row r="526" spans="1:261" x14ac:dyDescent="0.25">
      <c r="A526" s="7">
        <v>3.3466514041327216</v>
      </c>
      <c r="B526"/>
      <c r="C526"/>
      <c r="D526"/>
      <c r="E526" t="s">
        <v>8</v>
      </c>
      <c r="X526" s="27" t="s">
        <v>7</v>
      </c>
      <c r="AA526" s="27" t="s">
        <v>8</v>
      </c>
      <c r="AB526" s="27" t="s">
        <v>7</v>
      </c>
      <c r="AC526" s="27" t="s">
        <v>8</v>
      </c>
      <c r="AF526" s="27" t="s">
        <v>7</v>
      </c>
      <c r="AH526" s="27" t="s">
        <v>7</v>
      </c>
      <c r="AI526" s="27" t="s">
        <v>8</v>
      </c>
      <c r="AJ526" s="27" t="s">
        <v>7</v>
      </c>
      <c r="AK526" s="27" t="s">
        <v>8</v>
      </c>
      <c r="AM526" s="27" t="s">
        <v>8</v>
      </c>
      <c r="AN526" s="27" t="s">
        <v>7</v>
      </c>
      <c r="AO526" s="27" t="s">
        <v>8</v>
      </c>
      <c r="AP526" s="27" t="s">
        <v>7</v>
      </c>
      <c r="AU526" s="27" t="s">
        <v>8</v>
      </c>
      <c r="AV526" s="27" t="s">
        <v>7</v>
      </c>
      <c r="AW526" s="27" t="s">
        <v>8</v>
      </c>
      <c r="AX526" s="27" t="s">
        <v>7</v>
      </c>
      <c r="AY526" s="27" t="s">
        <v>8</v>
      </c>
      <c r="AZ526" s="27" t="s">
        <v>7</v>
      </c>
      <c r="BA526" s="27" t="s">
        <v>8</v>
      </c>
      <c r="BC526" s="27" t="s">
        <v>8</v>
      </c>
      <c r="BD526" s="27" t="s">
        <v>7</v>
      </c>
      <c r="BE526" s="27" t="s">
        <v>8</v>
      </c>
      <c r="BF526" s="27" t="s">
        <v>7</v>
      </c>
      <c r="BK526" s="27" t="s">
        <v>8</v>
      </c>
      <c r="BL526" s="27" t="s">
        <v>7</v>
      </c>
      <c r="BM526" s="27" t="s">
        <v>8</v>
      </c>
      <c r="BN526" s="27" t="s">
        <v>7</v>
      </c>
      <c r="BO526" s="27" t="s">
        <v>8</v>
      </c>
      <c r="BP526" s="27" t="s">
        <v>7</v>
      </c>
      <c r="BQ526" s="27" t="s">
        <v>8</v>
      </c>
      <c r="BS526" s="27" t="s">
        <v>8</v>
      </c>
      <c r="BT526" s="27" t="s">
        <v>7</v>
      </c>
      <c r="BU526" s="27" t="s">
        <v>8</v>
      </c>
      <c r="EH526" s="27" t="s">
        <v>7</v>
      </c>
      <c r="EI526" s="27" t="s">
        <v>8</v>
      </c>
      <c r="EJ526" s="27" t="s">
        <v>7</v>
      </c>
      <c r="EK526" s="27" t="s">
        <v>8</v>
      </c>
      <c r="EV526" s="27" t="s">
        <v>7</v>
      </c>
      <c r="EW526" s="27" t="s">
        <v>8</v>
      </c>
      <c r="EX526" s="27" t="s">
        <v>7</v>
      </c>
      <c r="EY526" s="27" t="s">
        <v>8</v>
      </c>
      <c r="EZ526" s="27" t="s">
        <v>7</v>
      </c>
      <c r="FH526" s="27" t="s">
        <v>7</v>
      </c>
      <c r="FJ526" s="27" t="s">
        <v>7</v>
      </c>
      <c r="FL526" s="27" t="s">
        <v>7</v>
      </c>
      <c r="FM526" s="27" t="s">
        <v>8</v>
      </c>
    </row>
    <row r="527" spans="1:261" x14ac:dyDescent="0.25">
      <c r="A527" s="7">
        <v>3.2810307883654133</v>
      </c>
      <c r="B527"/>
      <c r="C527"/>
      <c r="D527"/>
      <c r="E527" t="s">
        <v>8</v>
      </c>
      <c r="X527" s="27" t="s">
        <v>7</v>
      </c>
      <c r="Y527" s="27" t="s">
        <v>8</v>
      </c>
      <c r="AA527" s="27" t="s">
        <v>8</v>
      </c>
      <c r="AB527" s="27" t="s">
        <v>7</v>
      </c>
      <c r="AC527" s="27" t="s">
        <v>8</v>
      </c>
      <c r="AH527" s="27" t="s">
        <v>7</v>
      </c>
      <c r="AI527" s="27" t="s">
        <v>8</v>
      </c>
      <c r="AJ527" s="27" t="s">
        <v>7</v>
      </c>
      <c r="AK527" s="27" t="s">
        <v>8</v>
      </c>
      <c r="AL527" s="27" t="s">
        <v>7</v>
      </c>
      <c r="AM527" s="27" t="s">
        <v>8</v>
      </c>
      <c r="AN527" s="27" t="s">
        <v>7</v>
      </c>
      <c r="AO527" s="27" t="s">
        <v>8</v>
      </c>
      <c r="AP527" s="27" t="s">
        <v>7</v>
      </c>
      <c r="AS527" s="27" t="s">
        <v>8</v>
      </c>
      <c r="AU527" s="27" t="s">
        <v>8</v>
      </c>
      <c r="AV527" s="27" t="s">
        <v>7</v>
      </c>
      <c r="AW527" s="27" t="s">
        <v>8</v>
      </c>
      <c r="AX527" s="27" t="s">
        <v>7</v>
      </c>
      <c r="AY527" s="27" t="s">
        <v>8</v>
      </c>
      <c r="AZ527" s="27" t="s">
        <v>7</v>
      </c>
      <c r="BA527" s="27" t="s">
        <v>8</v>
      </c>
      <c r="BB527" s="27" t="s">
        <v>7</v>
      </c>
      <c r="BC527" s="27" t="s">
        <v>8</v>
      </c>
      <c r="BD527" s="27" t="s">
        <v>7</v>
      </c>
      <c r="BE527" s="27" t="s">
        <v>8</v>
      </c>
      <c r="BF527" s="27" t="s">
        <v>7</v>
      </c>
      <c r="BK527" s="27" t="s">
        <v>8</v>
      </c>
      <c r="BL527" s="27" t="s">
        <v>7</v>
      </c>
      <c r="BM527" s="27" t="s">
        <v>8</v>
      </c>
      <c r="BN527" s="27" t="s">
        <v>7</v>
      </c>
      <c r="BO527" s="27" t="s">
        <v>8</v>
      </c>
      <c r="BP527" s="27" t="s">
        <v>7</v>
      </c>
      <c r="BQ527" s="27" t="s">
        <v>8</v>
      </c>
      <c r="BR527" s="27" t="s">
        <v>7</v>
      </c>
      <c r="BS527" s="27" t="s">
        <v>8</v>
      </c>
      <c r="BT527" s="27" t="s">
        <v>7</v>
      </c>
      <c r="BU527" s="27" t="s">
        <v>8</v>
      </c>
      <c r="EH527" s="27" t="s">
        <v>7</v>
      </c>
      <c r="EJ527" s="27" t="s">
        <v>7</v>
      </c>
      <c r="EK527" s="27" t="s">
        <v>8</v>
      </c>
      <c r="EV527" s="27" t="s">
        <v>7</v>
      </c>
      <c r="EW527" s="27" t="s">
        <v>8</v>
      </c>
      <c r="EX527" s="27" t="s">
        <v>7</v>
      </c>
      <c r="EY527" s="27" t="s">
        <v>8</v>
      </c>
      <c r="FL527" s="18" t="s">
        <v>7</v>
      </c>
      <c r="FM527" s="27" t="s">
        <v>8</v>
      </c>
    </row>
    <row r="528" spans="1:261" x14ac:dyDescent="0.25">
      <c r="A528" s="7">
        <v>3.2166968513386403</v>
      </c>
      <c r="B528"/>
      <c r="C528"/>
      <c r="D528"/>
      <c r="E528" t="s">
        <v>8</v>
      </c>
      <c r="X528" s="27" t="s">
        <v>7</v>
      </c>
      <c r="Y528" s="27" t="s">
        <v>8</v>
      </c>
      <c r="Z528" s="27" t="s">
        <v>7</v>
      </c>
      <c r="AA528" s="27" t="s">
        <v>8</v>
      </c>
      <c r="AB528" s="27" t="s">
        <v>7</v>
      </c>
      <c r="AH528" s="27" t="s">
        <v>7</v>
      </c>
      <c r="AJ528" s="27" t="s">
        <v>7</v>
      </c>
      <c r="AK528" s="27" t="s">
        <v>8</v>
      </c>
      <c r="AL528" s="27" t="s">
        <v>7</v>
      </c>
      <c r="AM528" s="27" t="s">
        <v>8</v>
      </c>
      <c r="AN528" s="27" t="s">
        <v>7</v>
      </c>
      <c r="AO528" s="27" t="s">
        <v>8</v>
      </c>
      <c r="AP528" s="27" t="s">
        <v>7</v>
      </c>
      <c r="AS528" s="27" t="s">
        <v>8</v>
      </c>
      <c r="AT528" s="27" t="s">
        <v>7</v>
      </c>
      <c r="AU528" s="27" t="s">
        <v>8</v>
      </c>
      <c r="AV528" s="27" t="s">
        <v>7</v>
      </c>
      <c r="AX528" s="27" t="s">
        <v>7</v>
      </c>
      <c r="AY528" s="27" t="s">
        <v>8</v>
      </c>
      <c r="AZ528" s="27" t="s">
        <v>7</v>
      </c>
      <c r="BA528" s="27" t="s">
        <v>8</v>
      </c>
      <c r="BB528" s="27" t="s">
        <v>7</v>
      </c>
      <c r="BC528" s="27" t="s">
        <v>8</v>
      </c>
      <c r="BD528" s="27" t="s">
        <v>7</v>
      </c>
      <c r="BE528" s="27" t="s">
        <v>8</v>
      </c>
      <c r="BF528" s="27" t="s">
        <v>7</v>
      </c>
      <c r="BG528" s="27" t="s">
        <v>8</v>
      </c>
      <c r="BI528" s="27" t="s">
        <v>8</v>
      </c>
      <c r="BK528" s="27" t="s">
        <v>8</v>
      </c>
      <c r="BL528" s="27" t="s">
        <v>7</v>
      </c>
      <c r="BN528" s="27" t="s">
        <v>7</v>
      </c>
      <c r="BO528" s="27" t="s">
        <v>8</v>
      </c>
      <c r="BP528" s="27" t="s">
        <v>7</v>
      </c>
      <c r="BQ528" s="27" t="s">
        <v>8</v>
      </c>
      <c r="BR528" s="27" t="s">
        <v>7</v>
      </c>
      <c r="BS528" s="27" t="s">
        <v>8</v>
      </c>
      <c r="BT528" s="27" t="s">
        <v>7</v>
      </c>
      <c r="BU528" s="27" t="s">
        <v>8</v>
      </c>
      <c r="EJ528" s="27" t="s">
        <v>7</v>
      </c>
      <c r="EK528" s="27" t="s">
        <v>8</v>
      </c>
      <c r="EV528" s="27" t="s">
        <v>7</v>
      </c>
      <c r="EW528" s="27" t="s">
        <v>8</v>
      </c>
      <c r="EX528" s="27" t="s">
        <v>7</v>
      </c>
      <c r="EY528" s="27" t="s">
        <v>8</v>
      </c>
      <c r="FL528" s="27" t="s">
        <v>7</v>
      </c>
      <c r="FM528" s="27" t="s">
        <v>8</v>
      </c>
    </row>
    <row r="529" spans="1:169" x14ac:dyDescent="0.25">
      <c r="A529" s="7">
        <v>3.1536243640574906</v>
      </c>
      <c r="B529"/>
      <c r="C529"/>
      <c r="D529"/>
      <c r="E529" t="s">
        <v>8</v>
      </c>
      <c r="X529" s="27" t="s">
        <v>7</v>
      </c>
      <c r="Y529" s="27" t="s">
        <v>8</v>
      </c>
      <c r="Z529" s="27" t="s">
        <v>7</v>
      </c>
      <c r="AA529" s="27" t="s">
        <v>8</v>
      </c>
      <c r="AJ529" s="27" t="s">
        <v>7</v>
      </c>
      <c r="AL529" s="27" t="s">
        <v>7</v>
      </c>
      <c r="AM529" s="27" t="s">
        <v>8</v>
      </c>
      <c r="AN529" s="27" t="s">
        <v>7</v>
      </c>
      <c r="AO529" s="27" t="s">
        <v>8</v>
      </c>
      <c r="AP529" s="27" t="s">
        <v>7</v>
      </c>
      <c r="AQ529" s="27" t="s">
        <v>8</v>
      </c>
      <c r="AS529" s="27" t="s">
        <v>8</v>
      </c>
      <c r="AT529" s="27" t="s">
        <v>7</v>
      </c>
      <c r="AU529" s="27" t="s">
        <v>8</v>
      </c>
      <c r="AX529" s="27" t="s">
        <v>7</v>
      </c>
      <c r="AY529" s="27" t="s">
        <v>8</v>
      </c>
      <c r="AZ529" s="27" t="s">
        <v>7</v>
      </c>
      <c r="BA529" s="27" t="s">
        <v>8</v>
      </c>
      <c r="BB529" s="27" t="s">
        <v>7</v>
      </c>
      <c r="BD529" s="27" t="s">
        <v>7</v>
      </c>
      <c r="BF529" s="27" t="s">
        <v>7</v>
      </c>
      <c r="BG529" s="27" t="s">
        <v>8</v>
      </c>
      <c r="BH529" s="27" t="s">
        <v>7</v>
      </c>
      <c r="BI529" s="27" t="s">
        <v>8</v>
      </c>
      <c r="BJ529" s="27" t="s">
        <v>7</v>
      </c>
      <c r="BK529" s="27" t="s">
        <v>8</v>
      </c>
      <c r="BN529" s="27" t="s">
        <v>7</v>
      </c>
      <c r="BP529" s="27" t="s">
        <v>7</v>
      </c>
      <c r="BQ529" s="27" t="s">
        <v>8</v>
      </c>
      <c r="BR529" s="27" t="s">
        <v>7</v>
      </c>
      <c r="BS529" s="27" t="s">
        <v>8</v>
      </c>
      <c r="BT529" s="27" t="s">
        <v>7</v>
      </c>
      <c r="BU529" s="27" t="s">
        <v>8</v>
      </c>
      <c r="EJ529" s="27" t="s">
        <v>7</v>
      </c>
      <c r="EK529" s="27" t="s">
        <v>8</v>
      </c>
      <c r="EV529" s="27" t="s">
        <v>7</v>
      </c>
      <c r="EW529" s="27" t="s">
        <v>8</v>
      </c>
      <c r="EX529" s="27" t="s">
        <v>7</v>
      </c>
      <c r="FL529" s="27" t="s">
        <v>7</v>
      </c>
      <c r="FM529" s="27" t="s">
        <v>8</v>
      </c>
    </row>
    <row r="530" spans="1:169" x14ac:dyDescent="0.25">
      <c r="A530" s="7">
        <v>3.0917885922132262</v>
      </c>
      <c r="B530"/>
      <c r="C530"/>
      <c r="D530"/>
      <c r="E530" t="s">
        <v>8</v>
      </c>
      <c r="X530" s="27" t="s">
        <v>7</v>
      </c>
      <c r="Y530" s="27" t="s">
        <v>8</v>
      </c>
      <c r="Z530" s="27" t="s">
        <v>7</v>
      </c>
      <c r="AA530" s="27" t="s">
        <v>8</v>
      </c>
      <c r="AL530" s="27" t="s">
        <v>7</v>
      </c>
      <c r="AM530" s="27" t="s">
        <v>8</v>
      </c>
      <c r="AN530" s="27" t="s">
        <v>7</v>
      </c>
      <c r="AO530" s="27" t="s">
        <v>8</v>
      </c>
      <c r="AP530" s="27" t="s">
        <v>7</v>
      </c>
      <c r="AQ530" s="27" t="s">
        <v>8</v>
      </c>
      <c r="AR530" s="27" t="s">
        <v>7</v>
      </c>
      <c r="AS530" s="27" t="s">
        <v>8</v>
      </c>
      <c r="AT530" s="27" t="s">
        <v>7</v>
      </c>
      <c r="AU530" s="27" t="s">
        <v>8</v>
      </c>
      <c r="AX530" s="27" t="s">
        <v>7</v>
      </c>
      <c r="AY530" s="27" t="s">
        <v>8</v>
      </c>
      <c r="AZ530" s="27" t="s">
        <v>7</v>
      </c>
      <c r="BA530" s="27" t="s">
        <v>8</v>
      </c>
      <c r="BF530" s="27" t="s">
        <v>7</v>
      </c>
      <c r="BG530" s="27" t="s">
        <v>8</v>
      </c>
      <c r="BH530" s="27" t="s">
        <v>7</v>
      </c>
      <c r="BI530" s="27" t="s">
        <v>8</v>
      </c>
      <c r="BJ530" s="27" t="s">
        <v>7</v>
      </c>
      <c r="BK530" s="27" t="s">
        <v>8</v>
      </c>
      <c r="BP530" s="27" t="s">
        <v>7</v>
      </c>
      <c r="BQ530" s="27" t="s">
        <v>8</v>
      </c>
      <c r="BR530" s="27" t="s">
        <v>7</v>
      </c>
      <c r="BT530" s="27" t="s">
        <v>7</v>
      </c>
      <c r="BU530" s="27" t="s">
        <v>8</v>
      </c>
      <c r="EJ530" s="27" t="s">
        <v>7</v>
      </c>
      <c r="EK530" s="27" t="s">
        <v>8</v>
      </c>
      <c r="EV530" s="27" t="s">
        <v>7</v>
      </c>
      <c r="FL530" s="27" t="s">
        <v>7</v>
      </c>
      <c r="FM530" s="27" t="s">
        <v>8</v>
      </c>
    </row>
    <row r="531" spans="1:169" x14ac:dyDescent="0.25">
      <c r="A531" s="7">
        <v>3.0311652864835552</v>
      </c>
      <c r="B531"/>
      <c r="C531"/>
      <c r="D531"/>
      <c r="E531" t="s">
        <v>8</v>
      </c>
      <c r="X531" s="27" t="s">
        <v>7</v>
      </c>
      <c r="Y531" s="27" t="s">
        <v>8</v>
      </c>
      <c r="Z531" s="27" t="s">
        <v>7</v>
      </c>
      <c r="AL531" s="27" t="s">
        <v>7</v>
      </c>
      <c r="AM531" s="27" t="s">
        <v>8</v>
      </c>
      <c r="AN531" s="27" t="s">
        <v>7</v>
      </c>
      <c r="AP531" s="27" t="s">
        <v>7</v>
      </c>
      <c r="AQ531" s="27" t="s">
        <v>8</v>
      </c>
      <c r="AR531" s="27" t="s">
        <v>7</v>
      </c>
      <c r="AS531" s="27" t="s">
        <v>8</v>
      </c>
      <c r="AT531" s="27" t="s">
        <v>7</v>
      </c>
      <c r="AU531" s="27" t="s">
        <v>8</v>
      </c>
      <c r="AX531" s="27" t="s">
        <v>7</v>
      </c>
      <c r="AZ531" s="27" t="s">
        <v>7</v>
      </c>
      <c r="BF531" s="27" t="s">
        <v>7</v>
      </c>
      <c r="BG531" s="27" t="s">
        <v>8</v>
      </c>
      <c r="BH531" s="27" t="s">
        <v>7</v>
      </c>
      <c r="BI531" s="27" t="s">
        <v>8</v>
      </c>
      <c r="BJ531" s="27" t="s">
        <v>7</v>
      </c>
      <c r="BK531" s="27" t="s">
        <v>8</v>
      </c>
      <c r="BP531" s="27" t="s">
        <v>7</v>
      </c>
      <c r="BT531" s="27" t="s">
        <v>7</v>
      </c>
      <c r="EJ531" s="27" t="s">
        <v>7</v>
      </c>
      <c r="EK531" s="27" t="s">
        <v>8</v>
      </c>
      <c r="FL531" s="27" t="s">
        <v>7</v>
      </c>
    </row>
    <row r="532" spans="1:169" x14ac:dyDescent="0.25">
      <c r="A532" s="7">
        <v>2.9717306730230932</v>
      </c>
      <c r="B532"/>
      <c r="C532"/>
      <c r="D532"/>
      <c r="E532" t="s">
        <v>8</v>
      </c>
      <c r="X532" s="27" t="s">
        <v>7</v>
      </c>
      <c r="AL532" s="27" t="s">
        <v>7</v>
      </c>
      <c r="AM532" s="27" t="s">
        <v>8</v>
      </c>
      <c r="AP532" s="27" t="s">
        <v>7</v>
      </c>
      <c r="AQ532" s="27" t="s">
        <v>8</v>
      </c>
      <c r="AR532" s="27" t="s">
        <v>7</v>
      </c>
      <c r="AS532" s="27" t="s">
        <v>8</v>
      </c>
      <c r="AT532" s="27" t="s">
        <v>7</v>
      </c>
      <c r="AU532" s="27" t="s">
        <v>8</v>
      </c>
      <c r="BF532" s="27" t="s">
        <v>7</v>
      </c>
      <c r="BG532" s="27" t="s">
        <v>8</v>
      </c>
      <c r="BH532" s="27" t="s">
        <v>7</v>
      </c>
      <c r="BI532" s="27" t="s">
        <v>8</v>
      </c>
      <c r="BJ532" s="27" t="s">
        <v>7</v>
      </c>
      <c r="EJ532" s="27" t="s">
        <v>7</v>
      </c>
      <c r="EK532" s="27" t="s">
        <v>8</v>
      </c>
    </row>
    <row r="533" spans="1:169" x14ac:dyDescent="0.25">
      <c r="A533" s="7">
        <v>2.9134614441402875</v>
      </c>
      <c r="B533"/>
      <c r="C533"/>
      <c r="D533"/>
      <c r="E533" t="s">
        <v>8</v>
      </c>
      <c r="AL533" s="27" t="s">
        <v>7</v>
      </c>
      <c r="AM533" s="27" t="s">
        <v>8</v>
      </c>
      <c r="AP533" s="27" t="s">
        <v>7</v>
      </c>
      <c r="AR533" s="27" t="s">
        <v>7</v>
      </c>
      <c r="AS533" s="27" t="s">
        <v>8</v>
      </c>
      <c r="AT533" s="27" t="s">
        <v>7</v>
      </c>
      <c r="AU533" s="27" t="s">
        <v>8</v>
      </c>
      <c r="BF533" s="27" t="s">
        <v>7</v>
      </c>
      <c r="BG533" s="27" t="s">
        <v>8</v>
      </c>
      <c r="BH533" s="27" t="s">
        <v>7</v>
      </c>
      <c r="BI533" s="27" t="s">
        <v>8</v>
      </c>
      <c r="EJ533" s="27" t="s">
        <v>7</v>
      </c>
      <c r="EK533" s="27" t="s">
        <v>8</v>
      </c>
    </row>
    <row r="534" spans="1:169" x14ac:dyDescent="0.25">
      <c r="A534" s="7">
        <v>2.8563347491571447</v>
      </c>
      <c r="B534"/>
      <c r="C534"/>
      <c r="D534"/>
      <c r="E534" t="s">
        <v>8</v>
      </c>
      <c r="AL534" s="27" t="s">
        <v>7</v>
      </c>
      <c r="AR534" s="27" t="s">
        <v>7</v>
      </c>
      <c r="AS534" s="27" t="s">
        <v>8</v>
      </c>
      <c r="AT534" s="27" t="s">
        <v>7</v>
      </c>
      <c r="BF534" s="27" t="s">
        <v>7</v>
      </c>
      <c r="BH534" s="27" t="s">
        <v>7</v>
      </c>
      <c r="BI534" s="27" t="s">
        <v>8</v>
      </c>
      <c r="EJ534" s="27" t="s">
        <v>7</v>
      </c>
      <c r="EK534" s="27" t="s">
        <v>8</v>
      </c>
    </row>
    <row r="535" spans="1:169" x14ac:dyDescent="0.25">
      <c r="A535" s="7">
        <v>2.8003281854481812</v>
      </c>
      <c r="B535"/>
      <c r="C535"/>
      <c r="D535"/>
      <c r="E535" t="s">
        <v>8</v>
      </c>
      <c r="AR535" s="27" t="s">
        <v>7</v>
      </c>
      <c r="AS535" s="27" t="s">
        <v>8</v>
      </c>
      <c r="BH535" s="27" t="s">
        <v>7</v>
      </c>
      <c r="BI535" s="27" t="s">
        <v>8</v>
      </c>
      <c r="EJ535" s="27" t="s">
        <v>7</v>
      </c>
    </row>
    <row r="536" spans="1:169" x14ac:dyDescent="0.25">
      <c r="A536" s="7">
        <v>2.7454197896550796</v>
      </c>
      <c r="B536"/>
      <c r="C536"/>
      <c r="D536"/>
      <c r="E536" t="s">
        <v>8</v>
      </c>
      <c r="AR536" s="27" t="s">
        <v>7</v>
      </c>
      <c r="AS536" s="27" t="s">
        <v>8</v>
      </c>
      <c r="BH536" s="27" t="s">
        <v>7</v>
      </c>
      <c r="BI536" s="27" t="s">
        <v>8</v>
      </c>
    </row>
    <row r="537" spans="1:169" x14ac:dyDescent="0.25">
      <c r="A537" s="7">
        <v>2.6915880290736074</v>
      </c>
      <c r="B537"/>
      <c r="C537"/>
      <c r="D537"/>
      <c r="E537" t="s">
        <v>8</v>
      </c>
      <c r="AR537" s="27" t="s">
        <v>7</v>
      </c>
      <c r="BH537" s="27" t="s">
        <v>7</v>
      </c>
      <c r="BI537" s="27" t="s">
        <v>8</v>
      </c>
    </row>
    <row r="538" spans="1:169" x14ac:dyDescent="0.25">
      <c r="A538" s="7">
        <v>2.6388117932094191</v>
      </c>
      <c r="B538"/>
      <c r="C538"/>
      <c r="D538"/>
      <c r="E538" t="s">
        <v>8</v>
      </c>
      <c r="BH538" s="27" t="s">
        <v>7</v>
      </c>
    </row>
    <row r="539" spans="1:169" x14ac:dyDescent="0.25">
      <c r="A539" s="7">
        <v>2.5870703854994304</v>
      </c>
      <c r="B539"/>
      <c r="C539"/>
      <c r="D539"/>
      <c r="E539" t="s">
        <v>8</v>
      </c>
    </row>
    <row r="540" spans="1:169" x14ac:dyDescent="0.25">
      <c r="A540" s="7">
        <v>2.53634351519552</v>
      </c>
      <c r="B540"/>
      <c r="C540"/>
      <c r="D540"/>
      <c r="E540" t="s">
        <v>8</v>
      </c>
    </row>
    <row r="541" spans="1:169" x14ac:dyDescent="0.25">
      <c r="A541" s="7">
        <v>2.4866112894073726</v>
      </c>
      <c r="B541"/>
      <c r="C541"/>
      <c r="D541"/>
      <c r="E541" t="s">
        <v>8</v>
      </c>
    </row>
    <row r="542" spans="1:169" x14ac:dyDescent="0.25">
      <c r="A542" s="7">
        <v>2.4378542053013459</v>
      </c>
      <c r="B542"/>
      <c r="C542"/>
      <c r="D542"/>
      <c r="E542" t="s">
        <v>8</v>
      </c>
    </row>
    <row r="543" spans="1:169" x14ac:dyDescent="0.25">
      <c r="A543" s="7">
        <v>2.3900531424522997</v>
      </c>
      <c r="B543"/>
      <c r="C543"/>
      <c r="D543"/>
      <c r="E543" t="s">
        <v>8</v>
      </c>
    </row>
    <row r="544" spans="1:169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8" operator="equal">
      <formula>$U$1</formula>
    </cfRule>
    <cfRule type="cellIs" dxfId="89" priority="939" operator="equal">
      <formula>$S$1</formula>
    </cfRule>
  </conditionalFormatting>
  <conditionalFormatting sqref="D27">
    <cfRule type="cellIs" dxfId="88" priority="936" operator="equal">
      <formula>$S$1</formula>
    </cfRule>
    <cfRule type="cellIs" dxfId="87" priority="937" operator="equal">
      <formula>$U$1</formula>
    </cfRule>
  </conditionalFormatting>
  <conditionalFormatting sqref="C164">
    <cfRule type="cellIs" dxfId="86" priority="934" operator="equal">
      <formula>$U$1</formula>
    </cfRule>
    <cfRule type="cellIs" dxfId="85" priority="935" operator="equal">
      <formula>$S$1</formula>
    </cfRule>
  </conditionalFormatting>
  <conditionalFormatting sqref="D164">
    <cfRule type="cellIs" dxfId="84" priority="932" operator="equal">
      <formula>$S$1</formula>
    </cfRule>
    <cfRule type="cellIs" dxfId="83" priority="933" operator="equal">
      <formula>$U$1</formula>
    </cfRule>
  </conditionalFormatting>
  <conditionalFormatting sqref="C55">
    <cfRule type="cellIs" dxfId="82" priority="930" operator="equal">
      <formula>$U$1</formula>
    </cfRule>
    <cfRule type="cellIs" dxfId="81" priority="931" operator="equal">
      <formula>$S$1</formula>
    </cfRule>
  </conditionalFormatting>
  <conditionalFormatting sqref="D55">
    <cfRule type="cellIs" dxfId="80" priority="928" operator="equal">
      <formula>$S$1</formula>
    </cfRule>
    <cfRule type="cellIs" dxfId="79" priority="929" operator="equal">
      <formula>$U$1</formula>
    </cfRule>
  </conditionalFormatting>
  <conditionalFormatting sqref="C89">
    <cfRule type="cellIs" dxfId="78" priority="926" operator="equal">
      <formula>$U$1</formula>
    </cfRule>
    <cfRule type="cellIs" dxfId="77" priority="927" operator="equal">
      <formula>$S$1</formula>
    </cfRule>
  </conditionalFormatting>
  <conditionalFormatting sqref="D89">
    <cfRule type="cellIs" dxfId="76" priority="924" operator="equal">
      <formula>$S$1</formula>
    </cfRule>
    <cfRule type="cellIs" dxfId="75" priority="925" operator="equal">
      <formula>$U$1</formula>
    </cfRule>
  </conditionalFormatting>
  <conditionalFormatting sqref="C136">
    <cfRule type="cellIs" dxfId="74" priority="922" operator="equal">
      <formula>$U$1</formula>
    </cfRule>
    <cfRule type="cellIs" dxfId="73" priority="923" operator="equal">
      <formula>$S$1</formula>
    </cfRule>
  </conditionalFormatting>
  <conditionalFormatting sqref="D136">
    <cfRule type="cellIs" dxfId="72" priority="920" operator="equal">
      <formula>$S$1</formula>
    </cfRule>
    <cfRule type="cellIs" dxfId="71" priority="921" operator="equal">
      <formula>$U$1</formula>
    </cfRule>
  </conditionalFormatting>
  <conditionalFormatting sqref="C1">
    <cfRule type="cellIs" dxfId="70" priority="91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5" zoomScale="90" zoomScaleNormal="90" workbookViewId="0">
      <pane xSplit="4" topLeftCell="AL1" activePane="topRight" state="frozen"/>
      <selection activeCell="A109" sqref="A109"/>
      <selection pane="topRight" activeCell="DY206" sqref="DY20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$A$205</v>
      </c>
      <c r="D111" s="1" t="str">
        <f>ADDRESS(C121-1,D121,1,1)</f>
        <v>$DY$205</v>
      </c>
      <c r="E111"/>
    </row>
    <row r="112" spans="1:5" x14ac:dyDescent="0.25">
      <c r="A112" s="30">
        <v>515.50191262726139</v>
      </c>
      <c r="C112" s="1" t="str">
        <f>ADDRESS(C121,1,1,1)</f>
        <v>$A$206</v>
      </c>
      <c r="D112" s="1" t="str">
        <f>ADDRESS(C121,D121-1,1,1)</f>
        <v>$DX$206</v>
      </c>
      <c r="E112"/>
    </row>
    <row r="113" spans="1:5" x14ac:dyDescent="0.25">
      <c r="A113" s="30">
        <v>490.95420250215363</v>
      </c>
      <c r="C113" s="1" t="str">
        <f>ADDRESS(C121+1,1,1,1)</f>
        <v>$A$207</v>
      </c>
      <c r="D113" s="1" t="str">
        <f>ADDRESS(C121-1,D121+1,1,1)</f>
        <v>$DZ$205</v>
      </c>
    </row>
    <row r="114" spans="1:5" x14ac:dyDescent="0.25">
      <c r="A114" s="30">
        <v>467.57543095443202</v>
      </c>
      <c r="C114" s="1" t="str">
        <f>ADDRESS(C121,D121,1,1)</f>
        <v>$DY$206</v>
      </c>
      <c r="D114" s="1" t="str">
        <f>ADDRESS(C121+1,D121+1,1,1)</f>
        <v>$DZ$207</v>
      </c>
    </row>
    <row r="115" spans="1:5" x14ac:dyDescent="0.25">
      <c r="A115" s="30">
        <v>445.30993424231622</v>
      </c>
      <c r="C115" s="1" t="str">
        <f>ADDRESS(C121+1,D121,1,1)</f>
        <v>$DY$207</v>
      </c>
    </row>
    <row r="116" spans="1:5" x14ac:dyDescent="0.25">
      <c r="A116" s="30">
        <v>424.10469927839637</v>
      </c>
      <c r="C116" s="1">
        <f>C117-1</f>
        <v>205</v>
      </c>
    </row>
    <row r="117" spans="1:5" x14ac:dyDescent="0.25">
      <c r="A117" s="30">
        <v>403.9092374079965</v>
      </c>
      <c r="C117" s="1">
        <f>C121</f>
        <v>206</v>
      </c>
      <c r="D117" s="1">
        <f>D121</f>
        <v>129</v>
      </c>
    </row>
    <row r="118" spans="1:5" x14ac:dyDescent="0.25">
      <c r="A118" s="30">
        <v>384.6754641980919</v>
      </c>
      <c r="C118" s="1">
        <f>C117+1</f>
        <v>207</v>
      </c>
      <c r="D118" s="1">
        <f>D117+1</f>
        <v>130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206</v>
      </c>
      <c r="D121" s="19">
        <v>129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R206</v>
      </c>
      <c r="D123" s="1" t="str">
        <f>"C"&amp;D121</f>
        <v>C129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5.2533479691354827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26" x14ac:dyDescent="0.25">
      <c r="A177" s="30">
        <v>21.623492570684135</v>
      </c>
      <c r="E177"/>
    </row>
    <row r="178" spans="1:126" x14ac:dyDescent="0.25">
      <c r="A178" s="30">
        <v>20.593802448270605</v>
      </c>
      <c r="C178" s="7"/>
      <c r="D178"/>
      <c r="E178"/>
    </row>
    <row r="179" spans="1:126" x14ac:dyDescent="0.25">
      <c r="A179" s="30">
        <v>19.613145188829147</v>
      </c>
      <c r="E179"/>
    </row>
    <row r="180" spans="1:126" x14ac:dyDescent="0.25">
      <c r="A180" s="30">
        <v>18.679185894122998</v>
      </c>
      <c r="E180"/>
    </row>
    <row r="181" spans="1:126" x14ac:dyDescent="0.25">
      <c r="A181" s="30">
        <v>17.78970085154571</v>
      </c>
      <c r="C181"/>
      <c r="D181"/>
      <c r="E181"/>
    </row>
    <row r="182" spans="1:126" x14ac:dyDescent="0.25">
      <c r="A182" s="30">
        <v>16.942572239567344</v>
      </c>
      <c r="E182"/>
    </row>
    <row r="183" spans="1:126" x14ac:dyDescent="0.25">
      <c r="A183" s="30">
        <v>16.135783085302233</v>
      </c>
      <c r="E183"/>
    </row>
    <row r="184" spans="1:126" x14ac:dyDescent="0.25">
      <c r="A184" s="30">
        <v>15.367412462192602</v>
      </c>
      <c r="E184"/>
    </row>
    <row r="185" spans="1:126" x14ac:dyDescent="0.25">
      <c r="A185" s="30">
        <v>14.635630916373906</v>
      </c>
      <c r="C185"/>
      <c r="E185"/>
      <c r="BE185" s="27" t="s">
        <v>8</v>
      </c>
    </row>
    <row r="186" spans="1:126" x14ac:dyDescent="0.25">
      <c r="A186" s="30">
        <v>13.938696110832291</v>
      </c>
      <c r="E186"/>
      <c r="BE186" s="27" t="s">
        <v>8</v>
      </c>
      <c r="BF186" s="27" t="s">
        <v>7</v>
      </c>
      <c r="DS186" s="27" t="s">
        <v>8</v>
      </c>
    </row>
    <row r="187" spans="1:12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Y187" s="32" t="s">
        <v>8</v>
      </c>
      <c r="BA187" s="32" t="s">
        <v>8</v>
      </c>
      <c r="BC187" s="32" t="s">
        <v>8</v>
      </c>
      <c r="BE187" s="27" t="s">
        <v>8</v>
      </c>
      <c r="BF187" s="27" t="s">
        <v>7</v>
      </c>
      <c r="DQ187" s="27" t="s">
        <v>8</v>
      </c>
      <c r="DS187" s="27" t="s">
        <v>8</v>
      </c>
      <c r="DT187" s="27" t="s">
        <v>7</v>
      </c>
    </row>
    <row r="188" spans="1:126" x14ac:dyDescent="0.25">
      <c r="A188" s="30">
        <v>12.64280826379346</v>
      </c>
      <c r="E188"/>
      <c r="AY188" s="27" t="s">
        <v>8</v>
      </c>
      <c r="AZ188" s="27" t="s">
        <v>7</v>
      </c>
      <c r="BA188" s="27" t="s">
        <v>8</v>
      </c>
      <c r="BB188" s="27" t="s">
        <v>7</v>
      </c>
      <c r="BC188" s="27" t="s">
        <v>8</v>
      </c>
      <c r="BD188" s="27" t="s">
        <v>7</v>
      </c>
      <c r="BE188" s="27" t="s">
        <v>8</v>
      </c>
      <c r="BF188" s="27" t="s">
        <v>7</v>
      </c>
      <c r="BG188" s="27" t="s">
        <v>8</v>
      </c>
      <c r="DQ188" s="27" t="s">
        <v>8</v>
      </c>
      <c r="DR188" s="27" t="s">
        <v>7</v>
      </c>
      <c r="DS188" s="27" t="s">
        <v>8</v>
      </c>
      <c r="DT188" s="27" t="s">
        <v>7</v>
      </c>
    </row>
    <row r="189" spans="1:126" x14ac:dyDescent="0.25">
      <c r="A189" s="30">
        <v>12.04076977504139</v>
      </c>
      <c r="E189"/>
      <c r="AY189" s="27" t="s">
        <v>8</v>
      </c>
      <c r="AZ189" s="27" t="s">
        <v>7</v>
      </c>
      <c r="BA189" s="27" t="s">
        <v>8</v>
      </c>
      <c r="BB189" s="27" t="s">
        <v>7</v>
      </c>
      <c r="BC189" s="27" t="s">
        <v>8</v>
      </c>
      <c r="BD189" s="27" t="s">
        <v>7</v>
      </c>
      <c r="BE189" s="27" t="s">
        <v>8</v>
      </c>
      <c r="BF189" s="27" t="s">
        <v>7</v>
      </c>
      <c r="BG189" s="27" t="s">
        <v>8</v>
      </c>
      <c r="BH189" s="27" t="s">
        <v>7</v>
      </c>
      <c r="BO189" s="31" t="s">
        <v>8</v>
      </c>
      <c r="DQ189" s="27" t="s">
        <v>8</v>
      </c>
      <c r="DR189" s="27" t="s">
        <v>7</v>
      </c>
      <c r="DS189" s="27" t="s">
        <v>8</v>
      </c>
      <c r="DT189" s="27" t="s">
        <v>7</v>
      </c>
    </row>
    <row r="190" spans="1:126" x14ac:dyDescent="0.25">
      <c r="A190" s="30">
        <v>11.467399785753704</v>
      </c>
      <c r="E190"/>
      <c r="AY190" s="27" t="s">
        <v>8</v>
      </c>
      <c r="AZ190" s="27" t="s">
        <v>7</v>
      </c>
      <c r="BA190" s="27" t="s">
        <v>8</v>
      </c>
      <c r="BB190" s="27" t="s">
        <v>7</v>
      </c>
      <c r="BC190" s="27" t="s">
        <v>8</v>
      </c>
      <c r="BD190" s="27" t="s">
        <v>7</v>
      </c>
      <c r="BE190" s="27" t="s">
        <v>8</v>
      </c>
      <c r="BF190" s="27" t="s">
        <v>7</v>
      </c>
      <c r="BG190" s="27" t="s">
        <v>8</v>
      </c>
      <c r="BH190" s="27" t="s">
        <v>7</v>
      </c>
      <c r="BO190" s="27" t="s">
        <v>8</v>
      </c>
      <c r="BP190" s="31" t="s">
        <v>7</v>
      </c>
      <c r="DO190" s="27" t="s">
        <v>8</v>
      </c>
      <c r="DQ190" s="27" t="s">
        <v>8</v>
      </c>
      <c r="DR190" s="27" t="s">
        <v>7</v>
      </c>
      <c r="DS190" s="27" t="s">
        <v>8</v>
      </c>
      <c r="DT190" s="27" t="s">
        <v>7</v>
      </c>
      <c r="DU190" s="27" t="s">
        <v>8</v>
      </c>
    </row>
    <row r="191" spans="1:126" x14ac:dyDescent="0.25">
      <c r="A191" s="30">
        <v>10.921333129289241</v>
      </c>
      <c r="E191"/>
      <c r="AY191" s="27" t="s">
        <v>8</v>
      </c>
      <c r="AZ191" s="27" t="s">
        <v>7</v>
      </c>
      <c r="BA191" s="27" t="s">
        <v>8</v>
      </c>
      <c r="BB191" s="27" t="s">
        <v>7</v>
      </c>
      <c r="BC191" s="27" t="s">
        <v>8</v>
      </c>
      <c r="BD191" s="32" t="s">
        <v>7</v>
      </c>
      <c r="BF191" s="32" t="s">
        <v>7</v>
      </c>
      <c r="BH191" s="27" t="s">
        <v>7</v>
      </c>
      <c r="BO191" s="27" t="s">
        <v>8</v>
      </c>
      <c r="BP191" s="27" t="s">
        <v>7</v>
      </c>
      <c r="BQ191" s="31"/>
      <c r="DO191" s="27" t="s">
        <v>8</v>
      </c>
      <c r="DP191" s="27" t="s">
        <v>7</v>
      </c>
      <c r="DQ191" s="27" t="s">
        <v>8</v>
      </c>
      <c r="DR191" s="27" t="s">
        <v>7</v>
      </c>
      <c r="DT191" s="27" t="s">
        <v>7</v>
      </c>
      <c r="DU191" s="27" t="s">
        <v>8</v>
      </c>
      <c r="DV191" s="27" t="s">
        <v>7</v>
      </c>
    </row>
    <row r="192" spans="1:126" x14ac:dyDescent="0.25">
      <c r="A192" s="30">
        <v>10.401269646942135</v>
      </c>
      <c r="E192"/>
      <c r="G192" s="27" t="s">
        <v>8</v>
      </c>
      <c r="AY192" s="27" t="s">
        <v>8</v>
      </c>
      <c r="AZ192" s="27" t="s">
        <v>7</v>
      </c>
      <c r="BA192" s="27" t="s">
        <v>8</v>
      </c>
      <c r="BB192" s="27" t="s">
        <v>7</v>
      </c>
      <c r="BH192" s="34" t="s">
        <v>7</v>
      </c>
      <c r="BO192" s="33" t="s">
        <v>8</v>
      </c>
      <c r="BP192" s="27" t="s">
        <v>7</v>
      </c>
      <c r="BR192" s="31"/>
      <c r="DO192" s="27" t="s">
        <v>8</v>
      </c>
      <c r="DP192" s="27" t="s">
        <v>7</v>
      </c>
      <c r="DQ192" s="27" t="s">
        <v>8</v>
      </c>
      <c r="DT192" s="27" t="s">
        <v>7</v>
      </c>
      <c r="DU192" s="27" t="s">
        <v>8</v>
      </c>
      <c r="DV192" s="27" t="s">
        <v>7</v>
      </c>
    </row>
    <row r="193" spans="1:129" x14ac:dyDescent="0.25">
      <c r="A193" s="30">
        <v>9.9059710923258422</v>
      </c>
      <c r="E193"/>
      <c r="G193" s="27" t="s">
        <v>8</v>
      </c>
      <c r="H193" s="27" t="s">
        <v>7</v>
      </c>
      <c r="AY193" s="27" t="s">
        <v>8</v>
      </c>
      <c r="AZ193" s="27" t="s">
        <v>7</v>
      </c>
      <c r="BA193" s="27" t="s">
        <v>8</v>
      </c>
      <c r="BH193" s="27" t="s">
        <v>7</v>
      </c>
      <c r="BK193" s="32" t="s">
        <v>8</v>
      </c>
      <c r="BM193" s="32" t="s">
        <v>8</v>
      </c>
      <c r="BO193" s="27" t="s">
        <v>8</v>
      </c>
      <c r="BP193" s="27" t="s">
        <v>7</v>
      </c>
      <c r="BS193" s="31"/>
      <c r="DO193" s="27" t="s">
        <v>8</v>
      </c>
      <c r="DP193" s="27" t="s">
        <v>7</v>
      </c>
      <c r="DQ193" s="27" t="s">
        <v>8</v>
      </c>
      <c r="DT193" s="27" t="s">
        <v>7</v>
      </c>
      <c r="DU193" s="27" t="s">
        <v>8</v>
      </c>
      <c r="DV193" s="27" t="s">
        <v>7</v>
      </c>
    </row>
    <row r="194" spans="1:129" x14ac:dyDescent="0.25">
      <c r="A194" s="30">
        <v>9.4342581831674686</v>
      </c>
      <c r="E194"/>
      <c r="G194" s="27" t="s">
        <v>8</v>
      </c>
      <c r="H194" s="27" t="s">
        <v>7</v>
      </c>
      <c r="AY194" s="27" t="s">
        <v>8</v>
      </c>
      <c r="AZ194" s="27" t="s">
        <v>7</v>
      </c>
      <c r="BH194" s="27" t="s">
        <v>7</v>
      </c>
      <c r="BK194" s="33" t="s">
        <v>8</v>
      </c>
      <c r="BL194" s="27" t="s">
        <v>7</v>
      </c>
      <c r="BM194" s="27" t="s">
        <v>8</v>
      </c>
      <c r="BN194" s="27" t="s">
        <v>7</v>
      </c>
      <c r="BO194" s="27" t="s">
        <v>8</v>
      </c>
      <c r="BP194" s="27" t="s">
        <v>7</v>
      </c>
      <c r="BT194" s="31"/>
      <c r="DO194" s="27" t="s">
        <v>8</v>
      </c>
      <c r="DP194" s="27" t="s">
        <v>7</v>
      </c>
      <c r="DQ194" s="27" t="s">
        <v>8</v>
      </c>
      <c r="DT194" s="27" t="s">
        <v>7</v>
      </c>
      <c r="DV194" s="27" t="s">
        <v>7</v>
      </c>
      <c r="DW194" s="27" t="s">
        <v>8</v>
      </c>
    </row>
    <row r="195" spans="1:129" x14ac:dyDescent="0.25">
      <c r="A195" s="30">
        <v>8.9850077934928265</v>
      </c>
      <c r="E195"/>
      <c r="G195" s="27" t="s">
        <v>8</v>
      </c>
      <c r="H195" s="27" t="s">
        <v>7</v>
      </c>
      <c r="I195" s="27" t="s">
        <v>8</v>
      </c>
      <c r="AY195" s="27" t="s">
        <v>8</v>
      </c>
      <c r="BH195" s="27" t="s">
        <v>7</v>
      </c>
      <c r="BI195" s="27" t="s">
        <v>8</v>
      </c>
      <c r="BK195" s="27" t="s">
        <v>8</v>
      </c>
      <c r="BL195" s="27" t="s">
        <v>7</v>
      </c>
      <c r="BM195" s="27" t="s">
        <v>8</v>
      </c>
      <c r="BN195" s="27" t="s">
        <v>7</v>
      </c>
      <c r="BO195" s="27" t="s">
        <v>8</v>
      </c>
      <c r="BP195" s="27" t="s">
        <v>7</v>
      </c>
      <c r="BU195" s="31"/>
      <c r="DI195" s="27" t="s">
        <v>8</v>
      </c>
      <c r="DO195" s="27" t="s">
        <v>8</v>
      </c>
      <c r="DP195" s="27" t="s">
        <v>7</v>
      </c>
      <c r="DV195" s="27" t="s">
        <v>7</v>
      </c>
      <c r="DW195" s="27" t="s">
        <v>8</v>
      </c>
      <c r="DX195" s="27" t="s">
        <v>7</v>
      </c>
    </row>
    <row r="196" spans="1:129" x14ac:dyDescent="0.25">
      <c r="A196" s="30">
        <v>8.5571502795169767</v>
      </c>
      <c r="E196"/>
      <c r="G196" s="27" t="s">
        <v>8</v>
      </c>
      <c r="H196" s="27" t="s">
        <v>7</v>
      </c>
      <c r="I196" s="27" t="s">
        <v>8</v>
      </c>
      <c r="J196" s="27" t="s">
        <v>7</v>
      </c>
      <c r="AY196" s="27" t="s">
        <v>8</v>
      </c>
      <c r="BH196" s="27" t="s">
        <v>7</v>
      </c>
      <c r="BI196" s="27" t="s">
        <v>8</v>
      </c>
      <c r="BJ196" s="27" t="s">
        <v>7</v>
      </c>
      <c r="BK196" s="27" t="s">
        <v>8</v>
      </c>
      <c r="BL196" s="27" t="s">
        <v>7</v>
      </c>
      <c r="BM196" s="27" t="s">
        <v>8</v>
      </c>
      <c r="BN196" s="27" t="s">
        <v>7</v>
      </c>
      <c r="BP196" s="27" t="s">
        <v>7</v>
      </c>
      <c r="BV196" s="31"/>
      <c r="CO196" s="27" t="s">
        <v>8</v>
      </c>
      <c r="DI196" s="27" t="s">
        <v>8</v>
      </c>
      <c r="DJ196" s="27" t="s">
        <v>7</v>
      </c>
      <c r="DO196" s="27" t="s">
        <v>8</v>
      </c>
      <c r="DV196" s="27" t="s">
        <v>7</v>
      </c>
      <c r="DW196" s="27" t="s">
        <v>8</v>
      </c>
      <c r="DX196" s="27" t="s">
        <v>7</v>
      </c>
    </row>
    <row r="197" spans="1:129" x14ac:dyDescent="0.25">
      <c r="A197" s="30">
        <v>8.1496669328733109</v>
      </c>
      <c r="E197"/>
      <c r="G197" s="27" t="s">
        <v>8</v>
      </c>
      <c r="H197" s="27" t="s">
        <v>7</v>
      </c>
      <c r="I197" s="27" t="s">
        <v>8</v>
      </c>
      <c r="J197" s="27" t="s">
        <v>7</v>
      </c>
      <c r="AY197" s="27" t="s">
        <v>8</v>
      </c>
      <c r="BH197" s="27" t="s">
        <v>7</v>
      </c>
      <c r="BI197" s="27" t="s">
        <v>8</v>
      </c>
      <c r="BJ197" s="27" t="s">
        <v>7</v>
      </c>
      <c r="BK197" s="27" t="s">
        <v>8</v>
      </c>
      <c r="BL197" s="27" t="s">
        <v>7</v>
      </c>
      <c r="BM197" s="27" t="s">
        <v>8</v>
      </c>
      <c r="BP197" s="34" t="s">
        <v>7</v>
      </c>
      <c r="BW197" s="31"/>
      <c r="CO197" s="27" t="s">
        <v>8</v>
      </c>
      <c r="CP197" s="27" t="s">
        <v>7</v>
      </c>
      <c r="DI197" s="27" t="s">
        <v>8</v>
      </c>
      <c r="DJ197" s="27" t="s">
        <v>7</v>
      </c>
      <c r="DO197" s="27" t="s">
        <v>8</v>
      </c>
      <c r="DV197" s="27" t="s">
        <v>7</v>
      </c>
      <c r="DW197" s="27" t="s">
        <v>8</v>
      </c>
      <c r="DX197" s="27" t="s">
        <v>7</v>
      </c>
    </row>
    <row r="198" spans="1:129" x14ac:dyDescent="0.25">
      <c r="A198" s="30">
        <v>7.7615875551174378</v>
      </c>
      <c r="E198"/>
      <c r="G198" s="27" t="s">
        <v>8</v>
      </c>
      <c r="H198" s="27" t="s">
        <v>7</v>
      </c>
      <c r="I198" s="27" t="s">
        <v>8</v>
      </c>
      <c r="J198" s="27" t="s">
        <v>7</v>
      </c>
      <c r="AU198" s="32" t="s">
        <v>8</v>
      </c>
      <c r="AW198" s="32" t="s">
        <v>8</v>
      </c>
      <c r="AY198" s="27" t="s">
        <v>8</v>
      </c>
      <c r="BH198" s="31" t="s">
        <v>7</v>
      </c>
      <c r="BI198" s="27" t="s">
        <v>8</v>
      </c>
      <c r="BJ198" s="27" t="s">
        <v>7</v>
      </c>
      <c r="BK198" s="27" t="s">
        <v>8</v>
      </c>
      <c r="BL198" s="27" t="s">
        <v>7</v>
      </c>
      <c r="BM198" s="27" t="s">
        <v>8</v>
      </c>
      <c r="BP198" s="27" t="s">
        <v>7</v>
      </c>
      <c r="BX198" s="31"/>
      <c r="CO198" s="27" t="s">
        <v>8</v>
      </c>
      <c r="CP198" s="27" t="s">
        <v>7</v>
      </c>
      <c r="DI198" s="27" t="s">
        <v>8</v>
      </c>
      <c r="DJ198" s="27" t="s">
        <v>7</v>
      </c>
      <c r="DO198" s="27" t="s">
        <v>8</v>
      </c>
      <c r="DV198" s="27" t="s">
        <v>7</v>
      </c>
      <c r="DW198" s="27" t="s">
        <v>8</v>
      </c>
      <c r="DX198" s="27" t="s">
        <v>7</v>
      </c>
    </row>
    <row r="199" spans="1:129" x14ac:dyDescent="0.25">
      <c r="A199" s="30">
        <v>7.3919881477308929</v>
      </c>
      <c r="E199"/>
      <c r="G199" s="27" t="s">
        <v>8</v>
      </c>
      <c r="H199" s="27" t="s">
        <v>7</v>
      </c>
      <c r="J199" s="27" t="s">
        <v>7</v>
      </c>
      <c r="AM199" s="27" t="s">
        <v>8</v>
      </c>
      <c r="AU199" s="27" t="s">
        <v>8</v>
      </c>
      <c r="AV199" s="27" t="s">
        <v>7</v>
      </c>
      <c r="AW199" s="27" t="s">
        <v>8</v>
      </c>
      <c r="AX199" s="27" t="s">
        <v>7</v>
      </c>
      <c r="AY199" s="27" t="s">
        <v>8</v>
      </c>
      <c r="BG199" s="31"/>
      <c r="BH199" s="32" t="s">
        <v>7</v>
      </c>
      <c r="BJ199" s="32" t="s">
        <v>7</v>
      </c>
      <c r="BL199" s="27" t="s">
        <v>7</v>
      </c>
      <c r="BM199" s="27" t="s">
        <v>8</v>
      </c>
      <c r="BP199" s="27" t="s">
        <v>7</v>
      </c>
      <c r="BY199" s="31"/>
      <c r="CO199" s="27" t="s">
        <v>8</v>
      </c>
      <c r="CP199" s="27" t="s">
        <v>7</v>
      </c>
      <c r="DI199" s="27" t="s">
        <v>8</v>
      </c>
      <c r="DJ199" s="27" t="s">
        <v>7</v>
      </c>
      <c r="DM199" s="27" t="s">
        <v>8</v>
      </c>
      <c r="DO199" s="27" t="s">
        <v>8</v>
      </c>
      <c r="DV199" s="27" t="s">
        <v>7</v>
      </c>
      <c r="DW199" s="27" t="s">
        <v>8</v>
      </c>
      <c r="DX199" s="27" t="s">
        <v>7</v>
      </c>
    </row>
    <row r="200" spans="1:129" x14ac:dyDescent="0.25">
      <c r="A200" s="30">
        <v>7.0399887121246598</v>
      </c>
      <c r="E200" t="s">
        <v>8</v>
      </c>
      <c r="G200" s="27" t="s">
        <v>8</v>
      </c>
      <c r="J200" s="27" t="s">
        <v>7</v>
      </c>
      <c r="AM200" s="27" t="s">
        <v>8</v>
      </c>
      <c r="AN200" s="27" t="s">
        <v>7</v>
      </c>
      <c r="AU200" s="27" t="s">
        <v>8</v>
      </c>
      <c r="AV200" s="27" t="s">
        <v>7</v>
      </c>
      <c r="AW200" s="27" t="s">
        <v>8</v>
      </c>
      <c r="AX200" s="27" t="s">
        <v>7</v>
      </c>
      <c r="AY200" s="27" t="s">
        <v>8</v>
      </c>
      <c r="BF200" s="31"/>
      <c r="BL200" s="34" t="s">
        <v>7</v>
      </c>
      <c r="BP200" s="27" t="s">
        <v>7</v>
      </c>
      <c r="BZ200" s="31"/>
      <c r="CO200" s="27" t="s">
        <v>8</v>
      </c>
      <c r="CP200" s="27" t="s">
        <v>7</v>
      </c>
      <c r="CQ200" s="27" t="s">
        <v>8</v>
      </c>
      <c r="DI200" s="27" t="s">
        <v>8</v>
      </c>
      <c r="DJ200" s="27" t="s">
        <v>7</v>
      </c>
      <c r="DM200" s="27" t="s">
        <v>8</v>
      </c>
      <c r="DN200" s="27" t="s">
        <v>7</v>
      </c>
      <c r="DO200" s="27" t="s">
        <v>8</v>
      </c>
      <c r="DV200" s="27" t="s">
        <v>7</v>
      </c>
      <c r="DX200" s="27" t="s">
        <v>7</v>
      </c>
    </row>
    <row r="201" spans="1:129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J201" s="27" t="s">
        <v>7</v>
      </c>
      <c r="AM201" s="27" t="s">
        <v>8</v>
      </c>
      <c r="AN201" s="27" t="s">
        <v>7</v>
      </c>
      <c r="AU201" s="27" t="s">
        <v>8</v>
      </c>
      <c r="AV201" s="27" t="s">
        <v>7</v>
      </c>
      <c r="AW201" s="27" t="s">
        <v>8</v>
      </c>
      <c r="AX201" s="27" t="s">
        <v>7</v>
      </c>
      <c r="AY201" s="27" t="s">
        <v>8</v>
      </c>
      <c r="BE201" s="31"/>
      <c r="BP201" s="27" t="s">
        <v>7</v>
      </c>
      <c r="CA201" s="31"/>
      <c r="CO201" s="27" t="s">
        <v>8</v>
      </c>
      <c r="CP201" s="27" t="s">
        <v>7</v>
      </c>
      <c r="CQ201" s="27" t="s">
        <v>8</v>
      </c>
      <c r="CR201" s="27" t="s">
        <v>7</v>
      </c>
      <c r="DI201" s="27" t="s">
        <v>8</v>
      </c>
      <c r="DJ201" s="27" t="s">
        <v>7</v>
      </c>
      <c r="DM201" s="27" t="s">
        <v>8</v>
      </c>
      <c r="DN201" s="27" t="s">
        <v>7</v>
      </c>
      <c r="DO201" s="27" t="s">
        <v>8</v>
      </c>
      <c r="DX201" s="27" t="s">
        <v>7</v>
      </c>
    </row>
    <row r="202" spans="1:129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J202" s="27" t="s">
        <v>7</v>
      </c>
      <c r="AK202" s="27" t="s">
        <v>8</v>
      </c>
      <c r="AM202" s="27" t="s">
        <v>8</v>
      </c>
      <c r="AN202" s="27" t="s">
        <v>7</v>
      </c>
      <c r="AO202" s="27" t="s">
        <v>8</v>
      </c>
      <c r="AU202" s="27" t="s">
        <v>8</v>
      </c>
      <c r="AV202" s="32" t="s">
        <v>7</v>
      </c>
      <c r="AX202" s="32" t="s">
        <v>7</v>
      </c>
      <c r="BD202" s="31"/>
      <c r="BP202" s="27" t="s">
        <v>7</v>
      </c>
      <c r="CB202" s="31"/>
      <c r="CO202" s="27" t="s">
        <v>8</v>
      </c>
      <c r="CP202" s="27" t="s">
        <v>7</v>
      </c>
      <c r="CQ202" s="27" t="s">
        <v>8</v>
      </c>
      <c r="CR202" s="27" t="s">
        <v>7</v>
      </c>
      <c r="DA202" s="27" t="s">
        <v>8</v>
      </c>
      <c r="DE202" s="27" t="s">
        <v>8</v>
      </c>
      <c r="DI202" s="27" t="s">
        <v>8</v>
      </c>
      <c r="DJ202" s="27" t="s">
        <v>7</v>
      </c>
      <c r="DM202" s="27" t="s">
        <v>8</v>
      </c>
      <c r="DN202" s="27" t="s">
        <v>7</v>
      </c>
      <c r="DO202" s="27" t="s">
        <v>8</v>
      </c>
      <c r="DX202" s="27" t="s">
        <v>7</v>
      </c>
    </row>
    <row r="203" spans="1:129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J203" s="27" t="s">
        <v>7</v>
      </c>
      <c r="AK203" s="27" t="s">
        <v>8</v>
      </c>
      <c r="AL203" s="27" t="s">
        <v>7</v>
      </c>
      <c r="AM203" s="27" t="s">
        <v>8</v>
      </c>
      <c r="AN203" s="27" t="s">
        <v>7</v>
      </c>
      <c r="AO203" s="27" t="s">
        <v>8</v>
      </c>
      <c r="AP203" s="27" t="s">
        <v>7</v>
      </c>
      <c r="AS203" s="27" t="s">
        <v>8</v>
      </c>
      <c r="AU203" s="27" t="s">
        <v>8</v>
      </c>
      <c r="BC203" s="31"/>
      <c r="BP203" s="27" t="s">
        <v>7</v>
      </c>
      <c r="BY203" s="27" t="s">
        <v>8</v>
      </c>
      <c r="CC203" s="31"/>
      <c r="CO203" s="27" t="s">
        <v>8</v>
      </c>
      <c r="CP203" s="27" t="s">
        <v>7</v>
      </c>
      <c r="CQ203" s="27" t="s">
        <v>8</v>
      </c>
      <c r="CR203" s="27" t="s">
        <v>7</v>
      </c>
      <c r="DA203" s="27" t="s">
        <v>8</v>
      </c>
      <c r="DB203" s="27" t="s">
        <v>7</v>
      </c>
      <c r="DE203" s="27" t="s">
        <v>8</v>
      </c>
      <c r="DF203" s="27" t="s">
        <v>7</v>
      </c>
      <c r="DI203" s="27" t="s">
        <v>8</v>
      </c>
      <c r="DJ203" s="27" t="s">
        <v>7</v>
      </c>
      <c r="DK203" s="27" t="s">
        <v>8</v>
      </c>
      <c r="DM203" s="27" t="s">
        <v>8</v>
      </c>
      <c r="DN203" s="27" t="s">
        <v>7</v>
      </c>
      <c r="DO203" s="27" t="s">
        <v>8</v>
      </c>
      <c r="DX203" s="27" t="s">
        <v>7</v>
      </c>
    </row>
    <row r="204" spans="1:129" x14ac:dyDescent="0.25">
      <c r="A204" s="30">
        <v>5.7918161359718709</v>
      </c>
      <c r="E204" t="s">
        <v>8</v>
      </c>
      <c r="F204" s="27" t="s">
        <v>7</v>
      </c>
      <c r="G204" s="27" t="s">
        <v>8</v>
      </c>
      <c r="J204" s="27" t="s">
        <v>7</v>
      </c>
      <c r="M204" s="27" t="s">
        <v>8</v>
      </c>
      <c r="AK204" s="27" t="s">
        <v>8</v>
      </c>
      <c r="AL204" s="27" t="s">
        <v>7</v>
      </c>
      <c r="AM204" s="27" t="s">
        <v>8</v>
      </c>
      <c r="AN204" s="27" t="s">
        <v>7</v>
      </c>
      <c r="AO204" s="27" t="s">
        <v>8</v>
      </c>
      <c r="AP204" s="27" t="s">
        <v>7</v>
      </c>
      <c r="AS204" s="27" t="s">
        <v>8</v>
      </c>
      <c r="AT204" s="27" t="s">
        <v>7</v>
      </c>
      <c r="AU204" s="27" t="s">
        <v>8</v>
      </c>
      <c r="BB204" s="31"/>
      <c r="BP204" s="27" t="s">
        <v>7</v>
      </c>
      <c r="BY204" s="27" t="s">
        <v>8</v>
      </c>
      <c r="BZ204" s="27" t="s">
        <v>7</v>
      </c>
      <c r="CD204" s="31"/>
      <c r="CO204" s="27" t="s">
        <v>8</v>
      </c>
      <c r="CP204" s="27" t="s">
        <v>7</v>
      </c>
      <c r="CQ204" s="27" t="s">
        <v>8</v>
      </c>
      <c r="CR204" s="27" t="s">
        <v>7</v>
      </c>
      <c r="DA204" s="27" t="s">
        <v>8</v>
      </c>
      <c r="DB204" s="27" t="s">
        <v>7</v>
      </c>
      <c r="DE204" s="27" t="s">
        <v>8</v>
      </c>
      <c r="DF204" s="27" t="s">
        <v>7</v>
      </c>
      <c r="DI204" s="27" t="s">
        <v>8</v>
      </c>
      <c r="DJ204" s="27" t="s">
        <v>7</v>
      </c>
      <c r="DK204" s="27" t="s">
        <v>8</v>
      </c>
      <c r="DL204" s="27" t="s">
        <v>7</v>
      </c>
      <c r="DM204" s="27" t="s">
        <v>8</v>
      </c>
      <c r="DN204" s="27" t="s">
        <v>7</v>
      </c>
      <c r="DO204" s="27" t="s">
        <v>8</v>
      </c>
      <c r="DX204" s="27" t="s">
        <v>7</v>
      </c>
    </row>
    <row r="205" spans="1:129" x14ac:dyDescent="0.25">
      <c r="A205" s="30">
        <v>5.5160153675922574</v>
      </c>
      <c r="E205" t="s">
        <v>8</v>
      </c>
      <c r="F205" s="27" t="s">
        <v>7</v>
      </c>
      <c r="G205" s="27" t="s">
        <v>8</v>
      </c>
      <c r="J205" s="27" t="s">
        <v>7</v>
      </c>
      <c r="M205" s="27" t="s">
        <v>8</v>
      </c>
      <c r="N205" s="27" t="s">
        <v>7</v>
      </c>
      <c r="AK205" s="27" t="s">
        <v>8</v>
      </c>
      <c r="AL205" s="27" t="s">
        <v>7</v>
      </c>
      <c r="AM205" s="27" t="s">
        <v>8</v>
      </c>
      <c r="AN205" s="27" t="s">
        <v>7</v>
      </c>
      <c r="AO205" s="27" t="s">
        <v>8</v>
      </c>
      <c r="AP205" s="27" t="s">
        <v>7</v>
      </c>
      <c r="AS205" s="27" t="s">
        <v>8</v>
      </c>
      <c r="AT205" s="27" t="s">
        <v>7</v>
      </c>
      <c r="AU205" s="27" t="s">
        <v>8</v>
      </c>
      <c r="BA205" s="31"/>
      <c r="BP205" s="27" t="s">
        <v>7</v>
      </c>
      <c r="BU205" s="32" t="s">
        <v>8</v>
      </c>
      <c r="BW205" s="32" t="s">
        <v>8</v>
      </c>
      <c r="BY205" s="27" t="s">
        <v>8</v>
      </c>
      <c r="BZ205" s="27" t="s">
        <v>7</v>
      </c>
      <c r="CE205" s="31"/>
      <c r="CM205" s="27" t="s">
        <v>8</v>
      </c>
      <c r="CO205" s="27" t="s">
        <v>8</v>
      </c>
      <c r="CP205" s="27" t="s">
        <v>7</v>
      </c>
      <c r="CQ205" s="27" t="s">
        <v>8</v>
      </c>
      <c r="CR205" s="27" t="s">
        <v>7</v>
      </c>
      <c r="DA205" s="27" t="s">
        <v>8</v>
      </c>
      <c r="DB205" s="27" t="s">
        <v>7</v>
      </c>
      <c r="DC205" s="27" t="s">
        <v>8</v>
      </c>
      <c r="DE205" s="27" t="s">
        <v>8</v>
      </c>
      <c r="DF205" s="27" t="s">
        <v>7</v>
      </c>
      <c r="DG205" s="27" t="s">
        <v>8</v>
      </c>
      <c r="DI205" s="27" t="s">
        <v>8</v>
      </c>
      <c r="DJ205" s="27" t="s">
        <v>7</v>
      </c>
      <c r="DK205" s="27" t="s">
        <v>8</v>
      </c>
      <c r="DL205" s="27" t="s">
        <v>7</v>
      </c>
      <c r="DM205" s="27" t="s">
        <v>8</v>
      </c>
      <c r="DN205" s="27" t="s">
        <v>7</v>
      </c>
      <c r="DO205" s="27" t="s">
        <v>8</v>
      </c>
      <c r="DX205" s="27" t="s">
        <v>7</v>
      </c>
    </row>
    <row r="206" spans="1:129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J206" s="27" t="s">
        <v>7</v>
      </c>
      <c r="M206" s="27" t="s">
        <v>8</v>
      </c>
      <c r="N206" s="27" t="s">
        <v>7</v>
      </c>
      <c r="AG206" s="27" t="s">
        <v>8</v>
      </c>
      <c r="AK206" s="27" t="s">
        <v>8</v>
      </c>
      <c r="AL206" s="27" t="s">
        <v>7</v>
      </c>
      <c r="AM206" s="27" t="s">
        <v>8</v>
      </c>
      <c r="AN206" s="27" t="s">
        <v>7</v>
      </c>
      <c r="AP206" s="27" t="s">
        <v>7</v>
      </c>
      <c r="AS206" s="33" t="s">
        <v>8</v>
      </c>
      <c r="AT206" s="27" t="s">
        <v>7</v>
      </c>
      <c r="AU206" s="27" t="s">
        <v>8</v>
      </c>
      <c r="AZ206" s="31"/>
      <c r="BP206" s="27" t="s">
        <v>7</v>
      </c>
      <c r="BQ206" s="27" t="s">
        <v>8</v>
      </c>
      <c r="BU206" s="27" t="s">
        <v>8</v>
      </c>
      <c r="BV206" s="27" t="s">
        <v>7</v>
      </c>
      <c r="BW206" s="27" t="s">
        <v>8</v>
      </c>
      <c r="BX206" s="27" t="s">
        <v>7</v>
      </c>
      <c r="BY206" s="27" t="s">
        <v>8</v>
      </c>
      <c r="BZ206" s="27" t="s">
        <v>7</v>
      </c>
      <c r="CF206" s="31"/>
      <c r="CK206" s="27" t="s">
        <v>8</v>
      </c>
      <c r="CM206" s="27" t="s">
        <v>8</v>
      </c>
      <c r="CN206" s="27" t="s">
        <v>7</v>
      </c>
      <c r="CO206" s="27" t="s">
        <v>8</v>
      </c>
      <c r="CP206" s="27" t="s">
        <v>7</v>
      </c>
      <c r="CQ206" s="27" t="s">
        <v>8</v>
      </c>
      <c r="CR206" s="27" t="s">
        <v>7</v>
      </c>
      <c r="CS206" s="27" t="s">
        <v>8</v>
      </c>
      <c r="CW206" s="27" t="s">
        <v>8</v>
      </c>
      <c r="DA206" s="27" t="s">
        <v>8</v>
      </c>
      <c r="DB206" s="27" t="s">
        <v>7</v>
      </c>
      <c r="DC206" s="27" t="s">
        <v>8</v>
      </c>
      <c r="DD206" s="27" t="s">
        <v>7</v>
      </c>
      <c r="DE206" s="27" t="s">
        <v>8</v>
      </c>
      <c r="DF206" s="27" t="s">
        <v>7</v>
      </c>
      <c r="DG206" s="27" t="s">
        <v>8</v>
      </c>
      <c r="DH206" s="27" t="s">
        <v>7</v>
      </c>
      <c r="DI206" s="27" t="s">
        <v>8</v>
      </c>
      <c r="DJ206" s="27" t="s">
        <v>7</v>
      </c>
      <c r="DK206" s="27" t="s">
        <v>8</v>
      </c>
      <c r="DL206" s="27" t="s">
        <v>7</v>
      </c>
      <c r="DM206" s="27" t="s">
        <v>8</v>
      </c>
      <c r="DN206" s="27" t="s">
        <v>7</v>
      </c>
      <c r="DX206" s="27" t="s">
        <v>7</v>
      </c>
      <c r="DY206" s="27" t="s">
        <v>8</v>
      </c>
    </row>
    <row r="207" spans="1:129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J207" s="27" t="s">
        <v>7</v>
      </c>
      <c r="M207" s="27" t="s">
        <v>8</v>
      </c>
      <c r="N207" s="27" t="s">
        <v>7</v>
      </c>
      <c r="AG207" s="27" t="s">
        <v>8</v>
      </c>
      <c r="AH207" s="27" t="s">
        <v>7</v>
      </c>
      <c r="AK207" s="27" t="s">
        <v>8</v>
      </c>
      <c r="AL207" s="27" t="s">
        <v>7</v>
      </c>
      <c r="AM207" s="27" t="s">
        <v>8</v>
      </c>
      <c r="AP207" s="27" t="s">
        <v>7</v>
      </c>
      <c r="AQ207" s="27" t="s">
        <v>8</v>
      </c>
      <c r="AS207" s="27" t="s">
        <v>8</v>
      </c>
      <c r="AT207" s="27" t="s">
        <v>7</v>
      </c>
      <c r="AU207" s="27" t="s">
        <v>8</v>
      </c>
      <c r="AY207" s="31"/>
      <c r="BP207" s="27" t="s">
        <v>7</v>
      </c>
      <c r="BQ207" s="27" t="s">
        <v>8</v>
      </c>
      <c r="BR207" s="27" t="s">
        <v>7</v>
      </c>
      <c r="BU207" s="27" t="s">
        <v>8</v>
      </c>
      <c r="BV207" s="27" t="s">
        <v>7</v>
      </c>
      <c r="BW207" s="27" t="s">
        <v>8</v>
      </c>
      <c r="BX207" s="27" t="s">
        <v>7</v>
      </c>
      <c r="BY207" s="27" t="s">
        <v>8</v>
      </c>
      <c r="BZ207" s="27" t="s">
        <v>7</v>
      </c>
      <c r="CG207" s="31"/>
      <c r="CK207" s="27" t="s">
        <v>8</v>
      </c>
      <c r="CL207" s="27" t="s">
        <v>7</v>
      </c>
      <c r="CM207" s="27" t="s">
        <v>8</v>
      </c>
      <c r="CN207" s="27" t="s">
        <v>7</v>
      </c>
      <c r="CO207" s="27" t="s">
        <v>8</v>
      </c>
      <c r="CP207" s="27" t="s">
        <v>7</v>
      </c>
      <c r="CR207" s="31" t="s">
        <v>7</v>
      </c>
      <c r="CS207" s="27" t="s">
        <v>8</v>
      </c>
      <c r="CT207" s="27" t="s">
        <v>7</v>
      </c>
      <c r="CU207" s="27" t="s">
        <v>8</v>
      </c>
      <c r="CW207" s="27" t="s">
        <v>8</v>
      </c>
      <c r="CX207" s="27" t="s">
        <v>7</v>
      </c>
      <c r="CY207" s="27" t="s">
        <v>8</v>
      </c>
      <c r="DA207" s="27" t="s">
        <v>8</v>
      </c>
      <c r="DB207" s="27" t="s">
        <v>7</v>
      </c>
      <c r="DC207" s="27" t="s">
        <v>8</v>
      </c>
      <c r="DD207" s="27" t="s">
        <v>7</v>
      </c>
      <c r="DE207" s="27" t="s">
        <v>8</v>
      </c>
      <c r="DF207" s="27" t="s">
        <v>7</v>
      </c>
      <c r="DG207" s="27" t="s">
        <v>8</v>
      </c>
      <c r="DH207" s="27" t="s">
        <v>7</v>
      </c>
      <c r="DI207" s="27" t="s">
        <v>8</v>
      </c>
      <c r="DJ207" s="27" t="s">
        <v>7</v>
      </c>
      <c r="DK207" s="27" t="s">
        <v>8</v>
      </c>
      <c r="DL207" s="27" t="s">
        <v>7</v>
      </c>
      <c r="DM207" s="27" t="s">
        <v>8</v>
      </c>
      <c r="DX207" s="27" t="s">
        <v>7</v>
      </c>
      <c r="DY207" s="27" t="s">
        <v>8</v>
      </c>
    </row>
    <row r="208" spans="1:129" x14ac:dyDescent="0.25">
      <c r="A208" s="30">
        <v>4.7649414686036122</v>
      </c>
      <c r="E208" t="s">
        <v>8</v>
      </c>
      <c r="F208" s="27" t="s">
        <v>7</v>
      </c>
      <c r="J208" s="27" t="s">
        <v>7</v>
      </c>
      <c r="K208" s="27" t="s">
        <v>8</v>
      </c>
      <c r="M208" s="27" t="s">
        <v>8</v>
      </c>
      <c r="N208" s="27" t="s">
        <v>7</v>
      </c>
      <c r="AG208" s="27" t="s">
        <v>8</v>
      </c>
      <c r="AH208" s="27" t="s">
        <v>7</v>
      </c>
      <c r="AK208" s="27" t="s">
        <v>8</v>
      </c>
      <c r="AL208" s="27" t="s">
        <v>7</v>
      </c>
      <c r="AP208" s="27" t="s">
        <v>7</v>
      </c>
      <c r="AQ208" s="27" t="s">
        <v>8</v>
      </c>
      <c r="AR208" s="27" t="s">
        <v>7</v>
      </c>
      <c r="AS208" s="27" t="s">
        <v>8</v>
      </c>
      <c r="AT208" s="27" t="s">
        <v>7</v>
      </c>
      <c r="AX208" s="31"/>
      <c r="BP208" s="27" t="s">
        <v>7</v>
      </c>
      <c r="BQ208" s="27" t="s">
        <v>8</v>
      </c>
      <c r="BR208" s="27" t="s">
        <v>7</v>
      </c>
      <c r="BU208" s="27" t="s">
        <v>8</v>
      </c>
      <c r="BV208" s="27" t="s">
        <v>7</v>
      </c>
      <c r="BW208" s="27" t="s">
        <v>8</v>
      </c>
      <c r="BX208" s="27" t="s">
        <v>7</v>
      </c>
      <c r="BY208" s="27" t="s">
        <v>8</v>
      </c>
      <c r="BZ208" s="27" t="s">
        <v>7</v>
      </c>
      <c r="CA208" s="27" t="s">
        <v>8</v>
      </c>
      <c r="CH208" s="31"/>
      <c r="CK208" s="27" t="s">
        <v>8</v>
      </c>
      <c r="CL208" s="27" t="s">
        <v>7</v>
      </c>
      <c r="CM208" s="27" t="s">
        <v>8</v>
      </c>
      <c r="CN208" s="27" t="s">
        <v>7</v>
      </c>
      <c r="CO208" s="27" t="s">
        <v>8</v>
      </c>
      <c r="CQ208" s="31"/>
      <c r="CR208" s="27" t="s">
        <v>7</v>
      </c>
      <c r="CS208" s="27" t="s">
        <v>8</v>
      </c>
      <c r="CT208" s="27" t="s">
        <v>7</v>
      </c>
      <c r="CU208" s="27" t="s">
        <v>8</v>
      </c>
      <c r="CV208" s="27" t="s">
        <v>7</v>
      </c>
      <c r="CW208" s="27" t="s">
        <v>8</v>
      </c>
      <c r="CX208" s="27" t="s">
        <v>7</v>
      </c>
      <c r="CY208" s="27" t="s">
        <v>8</v>
      </c>
      <c r="CZ208" s="27" t="s">
        <v>7</v>
      </c>
      <c r="DA208" s="27" t="s">
        <v>8</v>
      </c>
      <c r="DB208" s="27" t="s">
        <v>7</v>
      </c>
      <c r="DD208" s="27" t="s">
        <v>7</v>
      </c>
      <c r="DF208" s="27" t="s">
        <v>7</v>
      </c>
      <c r="DG208" s="27" t="s">
        <v>8</v>
      </c>
      <c r="DH208" s="27" t="s">
        <v>7</v>
      </c>
      <c r="DJ208" s="27" t="s">
        <v>7</v>
      </c>
      <c r="DK208" s="27" t="s">
        <v>8</v>
      </c>
      <c r="DL208" s="27" t="s">
        <v>7</v>
      </c>
      <c r="DM208" s="27" t="s">
        <v>8</v>
      </c>
      <c r="DX208" s="27" t="s">
        <v>7</v>
      </c>
      <c r="DY208" s="27" t="s">
        <v>8</v>
      </c>
    </row>
    <row r="209" spans="1:129" x14ac:dyDescent="0.25">
      <c r="A209" s="30">
        <v>4.5380394939082018</v>
      </c>
      <c r="E209" t="s">
        <v>8</v>
      </c>
      <c r="J209" s="27" t="s">
        <v>7</v>
      </c>
      <c r="K209" s="27" t="s">
        <v>8</v>
      </c>
      <c r="L209" s="27" t="s">
        <v>7</v>
      </c>
      <c r="M209" s="27" t="s">
        <v>8</v>
      </c>
      <c r="N209" s="27" t="s">
        <v>7</v>
      </c>
      <c r="Y209" s="27" t="s">
        <v>8</v>
      </c>
      <c r="AG209" s="27" t="s">
        <v>8</v>
      </c>
      <c r="AH209" s="27" t="s">
        <v>7</v>
      </c>
      <c r="AK209" s="27" t="s">
        <v>8</v>
      </c>
      <c r="AP209" s="27" t="s">
        <v>7</v>
      </c>
      <c r="AQ209" s="27" t="s">
        <v>8</v>
      </c>
      <c r="AR209" s="27" t="s">
        <v>7</v>
      </c>
      <c r="AS209" s="27" t="s">
        <v>8</v>
      </c>
      <c r="AW209" s="31"/>
      <c r="BP209" s="27" t="s">
        <v>7</v>
      </c>
      <c r="BQ209" s="27" t="s">
        <v>8</v>
      </c>
      <c r="BR209" s="27" t="s">
        <v>7</v>
      </c>
      <c r="BU209" s="33" t="s">
        <v>8</v>
      </c>
      <c r="BV209" s="27" t="s">
        <v>7</v>
      </c>
      <c r="BW209" s="27" t="s">
        <v>8</v>
      </c>
      <c r="BX209" s="27" t="s">
        <v>7</v>
      </c>
      <c r="BY209" s="27" t="s">
        <v>8</v>
      </c>
      <c r="BZ209" s="27" t="s">
        <v>7</v>
      </c>
      <c r="CA209" s="27" t="s">
        <v>8</v>
      </c>
      <c r="CB209" s="27" t="s">
        <v>7</v>
      </c>
      <c r="CI209" s="31" t="s">
        <v>8</v>
      </c>
      <c r="CK209" s="27" t="s">
        <v>8</v>
      </c>
      <c r="CL209" s="27" t="s">
        <v>7</v>
      </c>
      <c r="CN209" s="27" t="s">
        <v>7</v>
      </c>
      <c r="CP209" s="31"/>
      <c r="CR209" s="27" t="s">
        <v>7</v>
      </c>
      <c r="CT209" s="27" t="s">
        <v>7</v>
      </c>
      <c r="CU209" s="27" t="s">
        <v>8</v>
      </c>
      <c r="CV209" s="27" t="s">
        <v>7</v>
      </c>
      <c r="CW209" s="27" t="s">
        <v>8</v>
      </c>
      <c r="CX209" s="27" t="s">
        <v>7</v>
      </c>
      <c r="CY209" s="27" t="s">
        <v>8</v>
      </c>
      <c r="CZ209" s="27" t="s">
        <v>7</v>
      </c>
      <c r="DA209" s="27" t="s">
        <v>8</v>
      </c>
      <c r="DF209" s="27" t="s">
        <v>7</v>
      </c>
      <c r="DG209" s="27" t="s">
        <v>8</v>
      </c>
      <c r="DJ209" s="27" t="s">
        <v>7</v>
      </c>
      <c r="DK209" s="27" t="s">
        <v>8</v>
      </c>
      <c r="DL209" s="27" t="s">
        <v>7</v>
      </c>
      <c r="DM209" s="27" t="s">
        <v>8</v>
      </c>
      <c r="DX209" s="27" t="s">
        <v>7</v>
      </c>
      <c r="DY209" s="27" t="s">
        <v>8</v>
      </c>
    </row>
    <row r="210" spans="1:129" x14ac:dyDescent="0.25">
      <c r="A210" s="30">
        <v>4.3219423751506678</v>
      </c>
      <c r="C210"/>
      <c r="E210" t="s">
        <v>8</v>
      </c>
      <c r="J210" s="27" t="s">
        <v>7</v>
      </c>
      <c r="K210" s="27" t="s">
        <v>8</v>
      </c>
      <c r="L210" s="27" t="s">
        <v>7</v>
      </c>
      <c r="M210" s="27" t="s">
        <v>8</v>
      </c>
      <c r="N210" s="27" t="s">
        <v>7</v>
      </c>
      <c r="Y210" s="27" t="s">
        <v>8</v>
      </c>
      <c r="Z210" s="27" t="s">
        <v>7</v>
      </c>
      <c r="AG210" s="27" t="s">
        <v>8</v>
      </c>
      <c r="AH210" s="27" t="s">
        <v>7</v>
      </c>
      <c r="AI210" s="27" t="s">
        <v>8</v>
      </c>
      <c r="AK210" s="27" t="s">
        <v>8</v>
      </c>
      <c r="AP210" s="27" t="s">
        <v>7</v>
      </c>
      <c r="AQ210" s="27" t="s">
        <v>8</v>
      </c>
      <c r="AR210" s="27" t="s">
        <v>7</v>
      </c>
      <c r="AS210" s="27" t="s">
        <v>8</v>
      </c>
      <c r="AV210" s="31"/>
      <c r="BP210" s="27" t="s">
        <v>7</v>
      </c>
      <c r="BQ210" s="27" t="s">
        <v>8</v>
      </c>
      <c r="BR210" s="27" t="s">
        <v>7</v>
      </c>
      <c r="BS210" s="27" t="s">
        <v>8</v>
      </c>
      <c r="BU210" s="27" t="s">
        <v>8</v>
      </c>
      <c r="BV210" s="27" t="s">
        <v>7</v>
      </c>
      <c r="BW210" s="27" t="s">
        <v>8</v>
      </c>
      <c r="BX210" s="27" t="s">
        <v>7</v>
      </c>
      <c r="BZ210" s="27" t="s">
        <v>7</v>
      </c>
      <c r="CA210" s="27" t="s">
        <v>8</v>
      </c>
      <c r="CB210" s="27" t="s">
        <v>7</v>
      </c>
      <c r="CI210" s="33" t="s">
        <v>8</v>
      </c>
      <c r="CJ210" s="31" t="s">
        <v>7</v>
      </c>
      <c r="CK210" s="27" t="s">
        <v>8</v>
      </c>
      <c r="CO210" s="31"/>
      <c r="CT210" s="27" t="s">
        <v>7</v>
      </c>
      <c r="CV210" s="27" t="s">
        <v>7</v>
      </c>
      <c r="CW210" s="27" t="s">
        <v>8</v>
      </c>
      <c r="CX210" s="27" t="s">
        <v>7</v>
      </c>
      <c r="CZ210" s="27" t="s">
        <v>7</v>
      </c>
      <c r="DF210" s="27" t="s">
        <v>7</v>
      </c>
      <c r="DJ210" s="27" t="s">
        <v>7</v>
      </c>
      <c r="DK210" s="27" t="s">
        <v>8</v>
      </c>
      <c r="DL210" s="27" t="s">
        <v>7</v>
      </c>
      <c r="DM210" s="27" t="s">
        <v>8</v>
      </c>
      <c r="DX210" s="27" t="s">
        <v>7</v>
      </c>
      <c r="DY210" s="27" t="s">
        <v>8</v>
      </c>
    </row>
    <row r="211" spans="1:129" x14ac:dyDescent="0.25">
      <c r="A211" s="30">
        <v>4.1161355953815884</v>
      </c>
      <c r="E211" t="s">
        <v>8</v>
      </c>
      <c r="J211" s="27" t="s">
        <v>7</v>
      </c>
      <c r="K211" s="27" t="s">
        <v>8</v>
      </c>
      <c r="L211" s="27" t="s">
        <v>7</v>
      </c>
      <c r="M211" s="27" t="s">
        <v>8</v>
      </c>
      <c r="N211" s="27" t="s">
        <v>7</v>
      </c>
      <c r="Y211" s="27" t="s">
        <v>8</v>
      </c>
      <c r="Z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AK211" s="27" t="s">
        <v>8</v>
      </c>
      <c r="AP211" s="27" t="s">
        <v>7</v>
      </c>
      <c r="AQ211" s="27" t="s">
        <v>8</v>
      </c>
      <c r="AR211" s="27" t="s">
        <v>7</v>
      </c>
      <c r="AS211" s="27" t="s">
        <v>8</v>
      </c>
      <c r="AU211" s="31"/>
      <c r="BP211" s="27" t="s">
        <v>7</v>
      </c>
      <c r="BQ211" s="27" t="s">
        <v>8</v>
      </c>
      <c r="BR211" s="27" t="s">
        <v>7</v>
      </c>
      <c r="BS211" s="27" t="s">
        <v>8</v>
      </c>
      <c r="BT211" s="27" t="s">
        <v>7</v>
      </c>
      <c r="BU211" s="27" t="s">
        <v>8</v>
      </c>
      <c r="BV211" s="27" t="s">
        <v>7</v>
      </c>
      <c r="BW211" s="27" t="s">
        <v>8</v>
      </c>
      <c r="BZ211" s="34" t="s">
        <v>7</v>
      </c>
      <c r="CA211" s="27" t="s">
        <v>8</v>
      </c>
      <c r="CB211" s="27" t="s">
        <v>7</v>
      </c>
      <c r="CG211" s="27" t="s">
        <v>8</v>
      </c>
      <c r="CI211" s="27" t="s">
        <v>8</v>
      </c>
      <c r="CJ211" s="27" t="s">
        <v>7</v>
      </c>
      <c r="CK211" s="27" t="s">
        <v>8</v>
      </c>
      <c r="CN211" s="31"/>
      <c r="CV211" s="27" t="s">
        <v>7</v>
      </c>
      <c r="DJ211" s="27" t="s">
        <v>7</v>
      </c>
      <c r="DK211" s="27" t="s">
        <v>8</v>
      </c>
      <c r="DL211" s="27" t="s">
        <v>7</v>
      </c>
      <c r="DX211" s="27" t="s">
        <v>7</v>
      </c>
    </row>
    <row r="212" spans="1:129" x14ac:dyDescent="0.25">
      <c r="A212" s="30">
        <v>3.9201291384586554</v>
      </c>
      <c r="E212" t="s">
        <v>8</v>
      </c>
      <c r="J212" s="27" t="s">
        <v>7</v>
      </c>
      <c r="L212" s="27" t="s">
        <v>7</v>
      </c>
      <c r="N212" s="27" t="s">
        <v>7</v>
      </c>
      <c r="Y212" s="27" t="s">
        <v>8</v>
      </c>
      <c r="Z212" s="27" t="s">
        <v>7</v>
      </c>
      <c r="AE212" s="27" t="s">
        <v>8</v>
      </c>
      <c r="AG212" s="27" t="s">
        <v>8</v>
      </c>
      <c r="AH212" s="27" t="s">
        <v>7</v>
      </c>
      <c r="AI212" s="27" t="s">
        <v>8</v>
      </c>
      <c r="AJ212" s="27" t="s">
        <v>7</v>
      </c>
      <c r="AK212" s="27" t="s">
        <v>8</v>
      </c>
      <c r="AP212" s="27" t="s">
        <v>7</v>
      </c>
      <c r="AR212" s="27" t="s">
        <v>7</v>
      </c>
      <c r="AS212" s="27" t="s">
        <v>8</v>
      </c>
      <c r="AT212" s="31"/>
      <c r="BP212" s="27" t="s">
        <v>7</v>
      </c>
      <c r="BQ212" s="27" t="s">
        <v>8</v>
      </c>
      <c r="BR212" s="27" t="s">
        <v>7</v>
      </c>
      <c r="BS212" s="27" t="s">
        <v>8</v>
      </c>
      <c r="BT212" s="27" t="s">
        <v>7</v>
      </c>
      <c r="BU212" s="27" t="s">
        <v>8</v>
      </c>
      <c r="BV212" s="27" t="s">
        <v>7</v>
      </c>
      <c r="BW212" s="27" t="s">
        <v>8</v>
      </c>
      <c r="BZ212" s="27" t="s">
        <v>7</v>
      </c>
      <c r="CB212" s="27" t="s">
        <v>7</v>
      </c>
      <c r="CE212" s="33" t="s">
        <v>8</v>
      </c>
      <c r="CG212" s="27" t="s">
        <v>8</v>
      </c>
      <c r="CH212" s="27" t="s">
        <v>7</v>
      </c>
      <c r="CI212" s="27" t="s">
        <v>8</v>
      </c>
      <c r="CJ212" s="27" t="s">
        <v>7</v>
      </c>
      <c r="CK212" s="27" t="s">
        <v>8</v>
      </c>
      <c r="CM212" s="31"/>
      <c r="DJ212" s="27" t="s">
        <v>7</v>
      </c>
      <c r="DK212" s="27" t="s">
        <v>8</v>
      </c>
    </row>
    <row r="213" spans="1:129" x14ac:dyDescent="0.25">
      <c r="A213" s="30">
        <v>3.7334563223415764</v>
      </c>
      <c r="E213" t="s">
        <v>8</v>
      </c>
      <c r="N213" s="27" t="s">
        <v>7</v>
      </c>
      <c r="O213" s="32" t="s">
        <v>8</v>
      </c>
      <c r="Q213" s="32" t="s">
        <v>8</v>
      </c>
      <c r="S213" s="32" t="s">
        <v>8</v>
      </c>
      <c r="U213" s="32" t="s">
        <v>8</v>
      </c>
      <c r="Y213" s="27" t="s">
        <v>8</v>
      </c>
      <c r="Z213" s="27" t="s">
        <v>7</v>
      </c>
      <c r="AC213" s="27" t="s">
        <v>8</v>
      </c>
      <c r="AE213" s="27" t="s">
        <v>8</v>
      </c>
      <c r="AF213" s="27" t="s">
        <v>7</v>
      </c>
      <c r="AG213" s="27" t="s">
        <v>8</v>
      </c>
      <c r="AH213" s="27" t="s">
        <v>7</v>
      </c>
      <c r="AI213" s="27" t="s">
        <v>8</v>
      </c>
      <c r="AJ213" s="27" t="s">
        <v>7</v>
      </c>
      <c r="AK213" s="27" t="s">
        <v>8</v>
      </c>
      <c r="AR213" s="27" t="s">
        <v>7</v>
      </c>
      <c r="AS213" s="31" t="s">
        <v>8</v>
      </c>
      <c r="BP213" s="27" t="s">
        <v>7</v>
      </c>
      <c r="BQ213" s="27" t="s">
        <v>8</v>
      </c>
      <c r="BR213" s="27" t="s">
        <v>7</v>
      </c>
      <c r="BS213" s="27" t="s">
        <v>8</v>
      </c>
      <c r="BT213" s="27" t="s">
        <v>7</v>
      </c>
      <c r="BU213" s="27" t="s">
        <v>8</v>
      </c>
      <c r="BV213" s="27" t="s">
        <v>7</v>
      </c>
      <c r="CB213" s="27" t="s">
        <v>7</v>
      </c>
      <c r="CC213" s="27" t="s">
        <v>8</v>
      </c>
      <c r="CE213" s="27" t="s">
        <v>8</v>
      </c>
      <c r="CF213" s="27" t="s">
        <v>7</v>
      </c>
      <c r="CG213" s="27" t="s">
        <v>8</v>
      </c>
      <c r="CH213" s="27" t="s">
        <v>7</v>
      </c>
      <c r="CI213" s="27" t="s">
        <v>8</v>
      </c>
      <c r="CJ213" s="27" t="s">
        <v>7</v>
      </c>
      <c r="CL213" s="31"/>
      <c r="DJ213" s="27" t="s">
        <v>7</v>
      </c>
      <c r="DK213" s="27" t="s">
        <v>8</v>
      </c>
    </row>
    <row r="214" spans="1:129" x14ac:dyDescent="0.25">
      <c r="A214" s="30">
        <v>3.5556726879443583</v>
      </c>
      <c r="E214" t="s">
        <v>8</v>
      </c>
      <c r="N214" s="27" t="s">
        <v>7</v>
      </c>
      <c r="O214" s="27" t="s">
        <v>8</v>
      </c>
      <c r="P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  <c r="U214" s="27" t="s">
        <v>8</v>
      </c>
      <c r="V214" s="27" t="s">
        <v>7</v>
      </c>
      <c r="W214" s="27" t="s">
        <v>8</v>
      </c>
      <c r="Y214" s="27" t="s">
        <v>8</v>
      </c>
      <c r="Z214" s="27" t="s">
        <v>7</v>
      </c>
      <c r="AA214" s="27" t="s">
        <v>8</v>
      </c>
      <c r="AC214" s="27" t="s">
        <v>8</v>
      </c>
      <c r="AD214" s="27" t="s">
        <v>7</v>
      </c>
      <c r="AE214" s="27" t="s">
        <v>8</v>
      </c>
      <c r="AF214" s="27" t="s">
        <v>7</v>
      </c>
      <c r="AG214" s="27" t="s">
        <v>8</v>
      </c>
      <c r="AH214" s="27" t="s">
        <v>7</v>
      </c>
      <c r="AI214" s="27" t="s">
        <v>8</v>
      </c>
      <c r="AJ214" s="27" t="s">
        <v>7</v>
      </c>
      <c r="AR214" s="31" t="s">
        <v>7</v>
      </c>
      <c r="BP214" s="27" t="s">
        <v>7</v>
      </c>
      <c r="BQ214" s="27" t="s">
        <v>8</v>
      </c>
      <c r="BR214" s="27" t="s">
        <v>7</v>
      </c>
      <c r="BT214" s="27" t="s">
        <v>7</v>
      </c>
      <c r="BU214" s="27" t="s">
        <v>8</v>
      </c>
      <c r="CB214" s="27" t="s">
        <v>7</v>
      </c>
      <c r="CC214" s="27" t="s">
        <v>8</v>
      </c>
      <c r="CD214" s="27" t="s">
        <v>7</v>
      </c>
      <c r="CE214" s="27" t="s">
        <v>8</v>
      </c>
      <c r="CF214" s="27" t="s">
        <v>7</v>
      </c>
      <c r="CG214" s="27" t="s">
        <v>8</v>
      </c>
      <c r="CH214" s="27" t="s">
        <v>7</v>
      </c>
      <c r="CI214" s="27" t="s">
        <v>8</v>
      </c>
      <c r="CK214" s="31"/>
      <c r="DJ214" s="27" t="s">
        <v>7</v>
      </c>
    </row>
    <row r="215" spans="1:129" x14ac:dyDescent="0.25">
      <c r="A215" s="30">
        <v>3.3863549408993889</v>
      </c>
      <c r="E215" t="s">
        <v>8</v>
      </c>
      <c r="N215" s="27" t="s">
        <v>7</v>
      </c>
      <c r="O215" s="27" t="s">
        <v>8</v>
      </c>
      <c r="P215" s="27" t="s">
        <v>7</v>
      </c>
      <c r="Q215" s="27" t="s">
        <v>8</v>
      </c>
      <c r="R215" s="27" t="s">
        <v>7</v>
      </c>
      <c r="S215" s="27" t="s">
        <v>8</v>
      </c>
      <c r="T215" s="27" t="s">
        <v>7</v>
      </c>
      <c r="U215" s="27" t="s">
        <v>8</v>
      </c>
      <c r="V215" s="27" t="s">
        <v>7</v>
      </c>
      <c r="W215" s="27" t="s">
        <v>8</v>
      </c>
      <c r="X215" s="27" t="s">
        <v>7</v>
      </c>
      <c r="Y215" s="27" t="s">
        <v>8</v>
      </c>
      <c r="Z215" s="27" t="s">
        <v>7</v>
      </c>
      <c r="AA215" s="27" t="s">
        <v>8</v>
      </c>
      <c r="AB215" s="27" t="s">
        <v>7</v>
      </c>
      <c r="AC215" s="27" t="s">
        <v>8</v>
      </c>
      <c r="AD215" s="27" t="s">
        <v>7</v>
      </c>
      <c r="AE215" s="27" t="s">
        <v>8</v>
      </c>
      <c r="AF215" s="27" t="s">
        <v>7</v>
      </c>
      <c r="AG215" s="27" t="s">
        <v>8</v>
      </c>
      <c r="AH215" s="27" t="s">
        <v>7</v>
      </c>
      <c r="AI215" s="27" t="s">
        <v>8</v>
      </c>
      <c r="BP215" s="27" t="s">
        <v>7</v>
      </c>
      <c r="BT215" s="27" t="s">
        <v>7</v>
      </c>
      <c r="BU215" s="27" t="s">
        <v>8</v>
      </c>
      <c r="CB215" s="27" t="s">
        <v>7</v>
      </c>
      <c r="CC215" s="27" t="s">
        <v>8</v>
      </c>
      <c r="CD215" s="27" t="s">
        <v>7</v>
      </c>
      <c r="CE215" s="27" t="s">
        <v>8</v>
      </c>
      <c r="CF215" s="27" t="s">
        <v>7</v>
      </c>
      <c r="CH215" s="18" t="s">
        <v>7</v>
      </c>
      <c r="CI215" s="27" t="s">
        <v>8</v>
      </c>
      <c r="CJ215" s="31"/>
    </row>
    <row r="216" spans="1:129" x14ac:dyDescent="0.25">
      <c r="A216" s="30">
        <v>3.2250999437137038</v>
      </c>
      <c r="E216" t="s">
        <v>8</v>
      </c>
      <c r="N216" s="27" t="s">
        <v>7</v>
      </c>
      <c r="O216" s="27" t="s">
        <v>8</v>
      </c>
      <c r="P216" s="32" t="s">
        <v>7</v>
      </c>
      <c r="R216" s="32" t="s">
        <v>7</v>
      </c>
      <c r="T216" s="27" t="s">
        <v>7</v>
      </c>
      <c r="U216" s="27" t="s">
        <v>8</v>
      </c>
      <c r="V216" s="27" t="s">
        <v>7</v>
      </c>
      <c r="W216" s="27" t="s">
        <v>8</v>
      </c>
      <c r="X216" s="27" t="s">
        <v>7</v>
      </c>
      <c r="Y216" s="27" t="s">
        <v>8</v>
      </c>
      <c r="Z216" s="27" t="s">
        <v>7</v>
      </c>
      <c r="AA216" s="27" t="s">
        <v>8</v>
      </c>
      <c r="AB216" s="27" t="s">
        <v>7</v>
      </c>
      <c r="AC216" s="27" t="s">
        <v>8</v>
      </c>
      <c r="AD216" s="27" t="s">
        <v>7</v>
      </c>
      <c r="AF216" s="27" t="s">
        <v>7</v>
      </c>
      <c r="AG216" s="27" t="s">
        <v>8</v>
      </c>
      <c r="AH216" s="27" t="s">
        <v>7</v>
      </c>
      <c r="AI216" s="27" t="s">
        <v>8</v>
      </c>
      <c r="BT216" s="27" t="s">
        <v>7</v>
      </c>
      <c r="BU216" s="27" t="s">
        <v>8</v>
      </c>
      <c r="CB216" s="27" t="s">
        <v>7</v>
      </c>
      <c r="CC216" s="27" t="s">
        <v>8</v>
      </c>
      <c r="CD216" s="27" t="s">
        <v>7</v>
      </c>
      <c r="CH216" s="34" t="s">
        <v>7</v>
      </c>
      <c r="CI216" s="31" t="s">
        <v>8</v>
      </c>
    </row>
    <row r="217" spans="1:129" x14ac:dyDescent="0.25">
      <c r="A217" s="30">
        <v>3.0715237559178128</v>
      </c>
      <c r="E217" t="s">
        <v>8</v>
      </c>
      <c r="N217" s="27" t="s">
        <v>7</v>
      </c>
      <c r="T217" s="27" t="s">
        <v>7</v>
      </c>
      <c r="U217" s="27" t="s">
        <v>8</v>
      </c>
      <c r="V217" s="27" t="s">
        <v>7</v>
      </c>
      <c r="W217" s="27" t="s">
        <v>8</v>
      </c>
      <c r="X217" s="27" t="s">
        <v>7</v>
      </c>
      <c r="Z217" s="27" t="s">
        <v>7</v>
      </c>
      <c r="AB217" s="27" t="s">
        <v>7</v>
      </c>
      <c r="AC217" s="27" t="s">
        <v>8</v>
      </c>
      <c r="AF217" s="32" t="s">
        <v>7</v>
      </c>
      <c r="AH217" s="32" t="s">
        <v>7</v>
      </c>
      <c r="BT217" s="27" t="s">
        <v>7</v>
      </c>
      <c r="BU217" s="27" t="s">
        <v>8</v>
      </c>
      <c r="CB217" s="27" t="s">
        <v>7</v>
      </c>
      <c r="CH217" s="31" t="s">
        <v>7</v>
      </c>
    </row>
    <row r="218" spans="1:129" x14ac:dyDescent="0.25">
      <c r="A218" s="30">
        <v>2.9252607199217264</v>
      </c>
      <c r="E218" t="s">
        <v>8</v>
      </c>
      <c r="T218" s="27" t="s">
        <v>7</v>
      </c>
      <c r="V218" s="27" t="s">
        <v>7</v>
      </c>
      <c r="W218" s="27" t="s">
        <v>8</v>
      </c>
      <c r="AB218" s="27" t="s">
        <v>7</v>
      </c>
      <c r="AC218" s="27" t="s">
        <v>8</v>
      </c>
      <c r="BT218" s="27" t="s">
        <v>7</v>
      </c>
      <c r="BU218" s="27" t="s">
        <v>8</v>
      </c>
    </row>
    <row r="219" spans="1:129" x14ac:dyDescent="0.25">
      <c r="A219" s="30">
        <v>2.7859625904016441</v>
      </c>
      <c r="E219" t="s">
        <v>8</v>
      </c>
      <c r="V219" s="27" t="s">
        <v>7</v>
      </c>
      <c r="AB219" s="27" t="s">
        <v>7</v>
      </c>
      <c r="AC219" s="27" t="s">
        <v>8</v>
      </c>
      <c r="BT219" s="27" t="s">
        <v>7</v>
      </c>
    </row>
    <row r="220" spans="1:129" x14ac:dyDescent="0.25">
      <c r="A220" s="30">
        <v>2.6532977051444226</v>
      </c>
      <c r="E220" t="s">
        <v>8</v>
      </c>
      <c r="AB220" s="27" t="s">
        <v>7</v>
      </c>
    </row>
    <row r="221" spans="1:129" x14ac:dyDescent="0.25">
      <c r="A221" s="30">
        <v>2.5269501953756404</v>
      </c>
      <c r="E221" t="s">
        <v>8</v>
      </c>
    </row>
    <row r="222" spans="1:129" x14ac:dyDescent="0.25">
      <c r="A222" s="30">
        <v>2.4066192336910861</v>
      </c>
      <c r="E222" t="s">
        <v>8</v>
      </c>
    </row>
    <row r="223" spans="1:129" x14ac:dyDescent="0.25">
      <c r="A223" s="30">
        <v>2.2920183178010345</v>
      </c>
      <c r="E223" t="s">
        <v>8</v>
      </c>
    </row>
    <row r="224" spans="1:129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3" operator="equal">
      <formula>$U$1</formula>
    </cfRule>
    <cfRule type="cellIs" dxfId="67" priority="954" operator="equal">
      <formula>$S$1</formula>
    </cfRule>
  </conditionalFormatting>
  <conditionalFormatting sqref="D136">
    <cfRule type="cellIs" dxfId="66" priority="951" operator="equal">
      <formula>$S$1</formula>
    </cfRule>
    <cfRule type="cellIs" dxfId="65" priority="952" operator="equal">
      <formula>$U$1</formula>
    </cfRule>
  </conditionalFormatting>
  <conditionalFormatting sqref="C162">
    <cfRule type="cellIs" dxfId="64" priority="949" operator="equal">
      <formula>$U$1</formula>
    </cfRule>
    <cfRule type="cellIs" dxfId="63" priority="950" operator="equal">
      <formula>$S$1</formula>
    </cfRule>
  </conditionalFormatting>
  <conditionalFormatting sqref="D162">
    <cfRule type="cellIs" dxfId="62" priority="947" operator="equal">
      <formula>$S$1</formula>
    </cfRule>
    <cfRule type="cellIs" dxfId="61" priority="948" operator="equal">
      <formula>$U$1</formula>
    </cfRule>
  </conditionalFormatting>
  <conditionalFormatting sqref="C187">
    <cfRule type="cellIs" dxfId="60" priority="945" operator="equal">
      <formula>$U$1</formula>
    </cfRule>
    <cfRule type="cellIs" dxfId="59" priority="946" operator="equal">
      <formula>$S$1</formula>
    </cfRule>
  </conditionalFormatting>
  <conditionalFormatting sqref="D187">
    <cfRule type="cellIs" dxfId="58" priority="943" operator="equal">
      <formula>$S$1</formula>
    </cfRule>
    <cfRule type="cellIs" dxfId="57" priority="944" operator="equal">
      <formula>$U$1</formula>
    </cfRule>
  </conditionalFormatting>
  <conditionalFormatting sqref="C212">
    <cfRule type="cellIs" dxfId="56" priority="941" operator="equal">
      <formula>$U$1</formula>
    </cfRule>
    <cfRule type="cellIs" dxfId="55" priority="942" operator="equal">
      <formula>$S$1</formula>
    </cfRule>
  </conditionalFormatting>
  <conditionalFormatting sqref="D212">
    <cfRule type="cellIs" dxfId="54" priority="939" operator="equal">
      <formula>$S$1</formula>
    </cfRule>
    <cfRule type="cellIs" dxfId="53" priority="940" operator="equal">
      <formula>$U$1</formula>
    </cfRule>
  </conditionalFormatting>
  <conditionalFormatting sqref="C237">
    <cfRule type="cellIs" dxfId="52" priority="937" operator="equal">
      <formula>$U$1</formula>
    </cfRule>
    <cfRule type="cellIs" dxfId="51" priority="938" operator="equal">
      <formula>$S$1</formula>
    </cfRule>
  </conditionalFormatting>
  <conditionalFormatting sqref="D237">
    <cfRule type="cellIs" dxfId="50" priority="935" operator="equal">
      <formula>$S$1</formula>
    </cfRule>
    <cfRule type="cellIs" dxfId="49" priority="936" operator="equal">
      <formula>$U$1</formula>
    </cfRule>
  </conditionalFormatting>
  <conditionalFormatting sqref="C106">
    <cfRule type="cellIs" dxfId="48" priority="933" operator="equal">
      <formula>$U$1</formula>
    </cfRule>
    <cfRule type="cellIs" dxfId="47" priority="934" operator="equal">
      <formula>$S$1</formula>
    </cfRule>
  </conditionalFormatting>
  <conditionalFormatting sqref="D106">
    <cfRule type="cellIs" dxfId="46" priority="931" operator="equal">
      <formula>$S$1</formula>
    </cfRule>
    <cfRule type="cellIs" dxfId="45" priority="932" operator="equal">
      <formula>$U$1</formula>
    </cfRule>
  </conditionalFormatting>
  <conditionalFormatting sqref="C81">
    <cfRule type="cellIs" dxfId="44" priority="929" operator="equal">
      <formula>$U$1</formula>
    </cfRule>
    <cfRule type="cellIs" dxfId="43" priority="930" operator="equal">
      <formula>$S$1</formula>
    </cfRule>
  </conditionalFormatting>
  <conditionalFormatting sqref="D81">
    <cfRule type="cellIs" dxfId="42" priority="927" operator="equal">
      <formula>$S$1</formula>
    </cfRule>
    <cfRule type="cellIs" dxfId="41" priority="928" operator="equal">
      <formula>$U$1</formula>
    </cfRule>
  </conditionalFormatting>
  <conditionalFormatting sqref="C56">
    <cfRule type="cellIs" dxfId="40" priority="925" operator="equal">
      <formula>$U$1</formula>
    </cfRule>
    <cfRule type="cellIs" dxfId="39" priority="926" operator="equal">
      <formula>$S$1</formula>
    </cfRule>
  </conditionalFormatting>
  <conditionalFormatting sqref="D56">
    <cfRule type="cellIs" dxfId="38" priority="923" operator="equal">
      <formula>$S$1</formula>
    </cfRule>
    <cfRule type="cellIs" dxfId="37" priority="924" operator="equal">
      <formula>$U$1</formula>
    </cfRule>
  </conditionalFormatting>
  <conditionalFormatting sqref="C31">
    <cfRule type="cellIs" dxfId="36" priority="921" operator="equal">
      <formula>$U$1</formula>
    </cfRule>
    <cfRule type="cellIs" dxfId="35" priority="922" operator="equal">
      <formula>$S$1</formula>
    </cfRule>
  </conditionalFormatting>
  <conditionalFormatting sqref="D31">
    <cfRule type="cellIs" dxfId="34" priority="919" operator="equal">
      <formula>$S$1</formula>
    </cfRule>
    <cfRule type="cellIs" dxfId="33" priority="92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V106" sqref="AV10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8" x14ac:dyDescent="0.25">
      <c r="A81" s="30">
        <v>45.259255568176073</v>
      </c>
      <c r="E81"/>
    </row>
    <row r="82" spans="1:48" x14ac:dyDescent="0.25">
      <c r="A82" s="30">
        <v>41.144777789250973</v>
      </c>
      <c r="E82"/>
    </row>
    <row r="83" spans="1:48" x14ac:dyDescent="0.25">
      <c r="A83" s="30">
        <v>37.404343444773609</v>
      </c>
      <c r="E83"/>
    </row>
    <row r="84" spans="1:48" x14ac:dyDescent="0.25">
      <c r="A84" s="30">
        <v>34.003948586157826</v>
      </c>
      <c r="E84"/>
    </row>
    <row r="85" spans="1:48" x14ac:dyDescent="0.25">
      <c r="A85" s="30">
        <v>30.912680532870748</v>
      </c>
      <c r="E85"/>
    </row>
    <row r="86" spans="1:48" x14ac:dyDescent="0.25">
      <c r="A86" s="30">
        <v>28.102436848064315</v>
      </c>
      <c r="E86"/>
    </row>
    <row r="87" spans="1:48" x14ac:dyDescent="0.25">
      <c r="A87" s="30">
        <v>25.547669861876649</v>
      </c>
      <c r="E87"/>
    </row>
    <row r="88" spans="1:48" x14ac:dyDescent="0.25">
      <c r="A88" s="30">
        <v>23.225154419887861</v>
      </c>
      <c r="E88"/>
    </row>
    <row r="89" spans="1:48" x14ac:dyDescent="0.25">
      <c r="A89" s="30">
        <v>21.113776745352599</v>
      </c>
      <c r="E89"/>
    </row>
    <row r="90" spans="1:48" x14ac:dyDescent="0.25">
      <c r="A90" s="30">
        <v>19.194342495775089</v>
      </c>
      <c r="E90"/>
    </row>
    <row r="91" spans="1:48" x14ac:dyDescent="0.25">
      <c r="A91" s="30">
        <v>17.449402268886445</v>
      </c>
      <c r="E91"/>
    </row>
    <row r="92" spans="1:48" x14ac:dyDescent="0.25">
      <c r="A92" s="30">
        <v>15.863092971714948</v>
      </c>
      <c r="C92" s="1" t="s">
        <v>15</v>
      </c>
      <c r="E92"/>
    </row>
    <row r="93" spans="1:48" x14ac:dyDescent="0.25">
      <c r="A93" s="30">
        <v>14.420993610649951</v>
      </c>
      <c r="C93" s="7">
        <v>0.11167815779424731</v>
      </c>
      <c r="D93"/>
      <c r="E93"/>
      <c r="U93" s="27" t="s">
        <v>8</v>
      </c>
    </row>
    <row r="94" spans="1:48" x14ac:dyDescent="0.25">
      <c r="A94" s="30">
        <v>13.109994191499954</v>
      </c>
      <c r="E94"/>
      <c r="S94" s="27" t="s">
        <v>8</v>
      </c>
      <c r="U94" s="27" t="s">
        <v>8</v>
      </c>
      <c r="V94" s="27" t="s">
        <v>7</v>
      </c>
      <c r="AU94" s="27" t="s">
        <v>8</v>
      </c>
    </row>
    <row r="95" spans="1:48" x14ac:dyDescent="0.25">
      <c r="A95" s="30">
        <v>11.918176537727231</v>
      </c>
      <c r="C95" s="1" t="s">
        <v>11</v>
      </c>
      <c r="D95" s="1" t="s">
        <v>12</v>
      </c>
      <c r="E95"/>
      <c r="S95" s="27" t="s">
        <v>8</v>
      </c>
      <c r="T95" s="27" t="s">
        <v>7</v>
      </c>
      <c r="U95" s="27" t="s">
        <v>8</v>
      </c>
      <c r="V95" s="27" t="s">
        <v>7</v>
      </c>
      <c r="Y95" s="27" t="s">
        <v>8</v>
      </c>
      <c r="AU95" s="27" t="s">
        <v>8</v>
      </c>
      <c r="AV95" s="27" t="s">
        <v>7</v>
      </c>
    </row>
    <row r="96" spans="1:48" x14ac:dyDescent="0.25">
      <c r="A96" s="30">
        <v>10.834705943388391</v>
      </c>
      <c r="C96"/>
      <c r="D96"/>
      <c r="E96"/>
      <c r="G96" s="27" t="s">
        <v>8</v>
      </c>
      <c r="S96" s="27" t="s">
        <v>8</v>
      </c>
      <c r="T96" s="27" t="s">
        <v>7</v>
      </c>
      <c r="U96" s="27" t="s">
        <v>8</v>
      </c>
      <c r="V96" s="27" t="s">
        <v>7</v>
      </c>
      <c r="Y96" s="27" t="s">
        <v>8</v>
      </c>
      <c r="Z96" s="27" t="s">
        <v>7</v>
      </c>
      <c r="AU96" s="27" t="s">
        <v>8</v>
      </c>
      <c r="AV96" s="27" t="s">
        <v>7</v>
      </c>
    </row>
    <row r="97" spans="1:48" x14ac:dyDescent="0.25">
      <c r="A97" s="30">
        <v>9.849732675807628</v>
      </c>
      <c r="E97"/>
      <c r="G97" s="27" t="s">
        <v>8</v>
      </c>
      <c r="H97" s="27" t="s">
        <v>7</v>
      </c>
      <c r="S97" s="27" t="s">
        <v>8</v>
      </c>
      <c r="T97" s="27" t="s">
        <v>7</v>
      </c>
      <c r="V97" s="27" t="s">
        <v>7</v>
      </c>
      <c r="W97" s="27" t="s">
        <v>8</v>
      </c>
      <c r="Y97" s="27" t="s">
        <v>8</v>
      </c>
      <c r="Z97" s="27" t="s">
        <v>7</v>
      </c>
      <c r="AU97" s="27" t="s">
        <v>8</v>
      </c>
      <c r="AV97" s="27" t="s">
        <v>7</v>
      </c>
    </row>
    <row r="98" spans="1:48" x14ac:dyDescent="0.25">
      <c r="A98" s="30">
        <v>8.9543024325523888</v>
      </c>
      <c r="C98" s="1" t="s">
        <v>13</v>
      </c>
      <c r="E98"/>
      <c r="G98" s="27" t="s">
        <v>8</v>
      </c>
      <c r="H98" s="27" t="s">
        <v>7</v>
      </c>
      <c r="S98" s="27" t="s">
        <v>8</v>
      </c>
      <c r="V98" s="27" t="s">
        <v>7</v>
      </c>
      <c r="W98" s="27" t="s">
        <v>8</v>
      </c>
      <c r="X98" s="27" t="s">
        <v>7</v>
      </c>
      <c r="Y98" s="27" t="s">
        <v>8</v>
      </c>
      <c r="Z98" s="27" t="s">
        <v>7</v>
      </c>
      <c r="AO98" s="27" t="s">
        <v>8</v>
      </c>
      <c r="AU98" s="27" t="s">
        <v>8</v>
      </c>
      <c r="AV98" s="27" t="s">
        <v>7</v>
      </c>
    </row>
    <row r="99" spans="1:48" x14ac:dyDescent="0.25">
      <c r="A99" s="30">
        <v>8.140274938683989</v>
      </c>
      <c r="C99" s="1">
        <f>C88</f>
        <v>0</v>
      </c>
      <c r="E99"/>
      <c r="G99" s="27" t="s">
        <v>8</v>
      </c>
      <c r="H99" s="27" t="s">
        <v>7</v>
      </c>
      <c r="S99" s="27" t="s">
        <v>8</v>
      </c>
      <c r="V99" s="27" t="s">
        <v>7</v>
      </c>
      <c r="W99" s="27" t="s">
        <v>8</v>
      </c>
      <c r="X99" s="27" t="s">
        <v>7</v>
      </c>
      <c r="Y99" s="27" t="s">
        <v>8</v>
      </c>
      <c r="Z99" s="27" t="s">
        <v>7</v>
      </c>
      <c r="AI99" s="27" t="s">
        <v>8</v>
      </c>
      <c r="AO99" s="27" t="s">
        <v>8</v>
      </c>
      <c r="AP99" s="27" t="s">
        <v>7</v>
      </c>
      <c r="AU99" s="27" t="s">
        <v>8</v>
      </c>
      <c r="AV99" s="27" t="s">
        <v>7</v>
      </c>
    </row>
    <row r="100" spans="1:48" x14ac:dyDescent="0.25">
      <c r="A100" s="30">
        <v>7.4002499442581717</v>
      </c>
      <c r="C100"/>
      <c r="D100"/>
      <c r="E100"/>
      <c r="G100" s="27" t="s">
        <v>8</v>
      </c>
      <c r="H100" s="27" t="s">
        <v>7</v>
      </c>
      <c r="O100" s="27" t="s">
        <v>8</v>
      </c>
      <c r="S100" s="27" t="s">
        <v>8</v>
      </c>
      <c r="V100" s="27" t="s">
        <v>7</v>
      </c>
      <c r="X100" s="27" t="s">
        <v>7</v>
      </c>
      <c r="Z100" s="27" t="s">
        <v>7</v>
      </c>
      <c r="AI100" s="27" t="s">
        <v>8</v>
      </c>
      <c r="AJ100" s="27" t="s">
        <v>7</v>
      </c>
      <c r="AO100" s="27" t="s">
        <v>8</v>
      </c>
      <c r="AP100" s="27" t="s">
        <v>7</v>
      </c>
      <c r="AS100" s="27" t="s">
        <v>8</v>
      </c>
      <c r="AU100" s="27" t="s">
        <v>8</v>
      </c>
      <c r="AV100" s="27" t="s">
        <v>7</v>
      </c>
    </row>
    <row r="101" spans="1:48" x14ac:dyDescent="0.25">
      <c r="A101" s="30">
        <v>6.72749994932561</v>
      </c>
      <c r="C101" s="1" t="s">
        <v>14</v>
      </c>
      <c r="E101" t="s">
        <v>8</v>
      </c>
      <c r="G101" s="27" t="s">
        <v>8</v>
      </c>
      <c r="H101" s="27" t="s">
        <v>7</v>
      </c>
      <c r="O101" s="27" t="s">
        <v>8</v>
      </c>
      <c r="P101" s="27" t="s">
        <v>7</v>
      </c>
      <c r="S101" s="27" t="s">
        <v>8</v>
      </c>
      <c r="Z101" s="27" t="s">
        <v>7</v>
      </c>
      <c r="AI101" s="27" t="s">
        <v>8</v>
      </c>
      <c r="AJ101" s="27" t="s">
        <v>7</v>
      </c>
      <c r="AK101" s="27" t="s">
        <v>8</v>
      </c>
      <c r="AO101" s="27" t="s">
        <v>8</v>
      </c>
      <c r="AP101" s="27" t="s">
        <v>7</v>
      </c>
      <c r="AS101" s="27" t="s">
        <v>8</v>
      </c>
      <c r="AT101" s="27" t="s">
        <v>7</v>
      </c>
      <c r="AU101" s="27" t="s">
        <v>8</v>
      </c>
      <c r="AV101" s="27" t="s">
        <v>7</v>
      </c>
    </row>
    <row r="102" spans="1:4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H102" s="27" t="s">
        <v>7</v>
      </c>
      <c r="O102" s="27" t="s">
        <v>8</v>
      </c>
      <c r="P102" s="27" t="s">
        <v>7</v>
      </c>
      <c r="Q102" s="27" t="s">
        <v>8</v>
      </c>
      <c r="S102" s="27" t="s">
        <v>8</v>
      </c>
      <c r="Z102" s="27" t="s">
        <v>7</v>
      </c>
      <c r="AE102" s="27" t="s">
        <v>8</v>
      </c>
      <c r="AI102" s="27" t="s">
        <v>8</v>
      </c>
      <c r="AJ102" s="27" t="s">
        <v>7</v>
      </c>
      <c r="AK102" s="27" t="s">
        <v>8</v>
      </c>
      <c r="AL102" s="27" t="s">
        <v>7</v>
      </c>
      <c r="AM102" s="27" t="s">
        <v>8</v>
      </c>
      <c r="AO102" s="27" t="s">
        <v>8</v>
      </c>
      <c r="AP102" s="27" t="s">
        <v>7</v>
      </c>
      <c r="AQ102" s="27" t="s">
        <v>8</v>
      </c>
      <c r="AS102" s="27" t="s">
        <v>8</v>
      </c>
      <c r="AT102" s="27" t="s">
        <v>7</v>
      </c>
      <c r="AU102" s="27" t="s">
        <v>8</v>
      </c>
      <c r="AV102" s="27" t="s">
        <v>7</v>
      </c>
    </row>
    <row r="103" spans="1:48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H103" s="27" t="s">
        <v>7</v>
      </c>
      <c r="I103" s="27" t="s">
        <v>8</v>
      </c>
      <c r="O103" s="27" t="s">
        <v>8</v>
      </c>
      <c r="P103" s="27" t="s">
        <v>7</v>
      </c>
      <c r="Q103" s="27" t="s">
        <v>8</v>
      </c>
      <c r="R103" s="27" t="s">
        <v>7</v>
      </c>
      <c r="S103" s="27" t="s">
        <v>8</v>
      </c>
      <c r="Z103" s="27" t="s">
        <v>7</v>
      </c>
      <c r="AC103" s="27" t="s">
        <v>8</v>
      </c>
      <c r="AE103" s="27" t="s">
        <v>8</v>
      </c>
      <c r="AF103" s="27" t="s">
        <v>7</v>
      </c>
      <c r="AI103" s="27" t="s">
        <v>8</v>
      </c>
      <c r="AJ103" s="27" t="s">
        <v>7</v>
      </c>
      <c r="AK103" s="27" t="s">
        <v>8</v>
      </c>
      <c r="AL103" s="27" t="s">
        <v>7</v>
      </c>
      <c r="AM103" s="27" t="s">
        <v>8</v>
      </c>
      <c r="AN103" s="27" t="s">
        <v>7</v>
      </c>
      <c r="AO103" s="27" t="s">
        <v>8</v>
      </c>
      <c r="AP103" s="27" t="s">
        <v>7</v>
      </c>
      <c r="AQ103" s="27" t="s">
        <v>8</v>
      </c>
      <c r="AR103" s="27" t="s">
        <v>7</v>
      </c>
      <c r="AS103" s="27" t="s">
        <v>8</v>
      </c>
      <c r="AT103" s="27" t="s">
        <v>7</v>
      </c>
      <c r="AV103" s="27" t="s">
        <v>7</v>
      </c>
    </row>
    <row r="104" spans="1:48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  <c r="J104" s="27" t="s">
        <v>7</v>
      </c>
      <c r="M104" s="27" t="s">
        <v>8</v>
      </c>
      <c r="O104" s="27" t="s">
        <v>8</v>
      </c>
      <c r="P104" s="27" t="s">
        <v>7</v>
      </c>
      <c r="Q104" s="27" t="s">
        <v>8</v>
      </c>
      <c r="R104" s="27" t="s">
        <v>7</v>
      </c>
      <c r="S104" s="27" t="s">
        <v>8</v>
      </c>
      <c r="Z104" s="27" t="s">
        <v>7</v>
      </c>
      <c r="AA104" s="27" t="s">
        <v>8</v>
      </c>
      <c r="AC104" s="27" t="s">
        <v>8</v>
      </c>
      <c r="AD104" s="27" t="s">
        <v>7</v>
      </c>
      <c r="AE104" s="27" t="s">
        <v>8</v>
      </c>
      <c r="AF104" s="27" t="s">
        <v>7</v>
      </c>
      <c r="AI104" s="27" t="s">
        <v>8</v>
      </c>
      <c r="AJ104" s="27" t="s">
        <v>7</v>
      </c>
      <c r="AL104" s="27" t="s">
        <v>7</v>
      </c>
      <c r="AM104" s="27" t="s">
        <v>8</v>
      </c>
      <c r="AN104" s="27" t="s">
        <v>7</v>
      </c>
      <c r="AO104" s="27" t="s">
        <v>8</v>
      </c>
      <c r="AP104" s="27" t="s">
        <v>7</v>
      </c>
      <c r="AQ104" s="27" t="s">
        <v>8</v>
      </c>
      <c r="AR104" s="27" t="s">
        <v>7</v>
      </c>
      <c r="AS104" s="27" t="s">
        <v>8</v>
      </c>
      <c r="AV104" s="27" t="s">
        <v>7</v>
      </c>
    </row>
    <row r="105" spans="1:48" x14ac:dyDescent="0.25">
      <c r="A105" s="30">
        <v>4.594972986357222</v>
      </c>
      <c r="E105" t="s">
        <v>8</v>
      </c>
      <c r="F105" s="27" t="s">
        <v>7</v>
      </c>
      <c r="H105" s="27" t="s">
        <v>7</v>
      </c>
      <c r="I105" s="27" t="s">
        <v>8</v>
      </c>
      <c r="J105" s="27" t="s">
        <v>7</v>
      </c>
      <c r="M105" s="27" t="s">
        <v>8</v>
      </c>
      <c r="N105" s="27" t="s">
        <v>7</v>
      </c>
      <c r="O105" s="27" t="s">
        <v>8</v>
      </c>
      <c r="P105" s="27" t="s">
        <v>7</v>
      </c>
      <c r="Q105" s="27" t="s">
        <v>8</v>
      </c>
      <c r="R105" s="27" t="s">
        <v>7</v>
      </c>
      <c r="Z105" s="27" t="s">
        <v>7</v>
      </c>
      <c r="AA105" s="27" t="s">
        <v>8</v>
      </c>
      <c r="AB105" s="27" t="s">
        <v>7</v>
      </c>
      <c r="AC105" s="27" t="s">
        <v>8</v>
      </c>
      <c r="AD105" s="27" t="s">
        <v>7</v>
      </c>
      <c r="AE105" s="27" t="s">
        <v>8</v>
      </c>
      <c r="AF105" s="27" t="s">
        <v>7</v>
      </c>
      <c r="AI105" s="27" t="s">
        <v>8</v>
      </c>
      <c r="AL105" s="27" t="s">
        <v>7</v>
      </c>
      <c r="AM105" s="27" t="s">
        <v>8</v>
      </c>
      <c r="AN105" s="27" t="s">
        <v>7</v>
      </c>
      <c r="AP105" s="27" t="s">
        <v>7</v>
      </c>
      <c r="AQ105" s="27" t="s">
        <v>8</v>
      </c>
      <c r="AR105" s="27" t="s">
        <v>7</v>
      </c>
      <c r="AS105" s="27" t="s">
        <v>8</v>
      </c>
      <c r="AV105" s="27" t="s">
        <v>7</v>
      </c>
    </row>
    <row r="106" spans="1:48" x14ac:dyDescent="0.25">
      <c r="A106" s="30">
        <v>4.1772481694156562</v>
      </c>
      <c r="E106" t="s">
        <v>8</v>
      </c>
      <c r="H106" s="27" t="s">
        <v>7</v>
      </c>
      <c r="I106" s="27" t="s">
        <v>8</v>
      </c>
      <c r="J106" s="27" t="s">
        <v>7</v>
      </c>
      <c r="K106" s="27" t="s">
        <v>8</v>
      </c>
      <c r="M106" s="27" t="s">
        <v>8</v>
      </c>
      <c r="N106" s="27" t="s">
        <v>7</v>
      </c>
      <c r="O106" s="27" t="s">
        <v>8</v>
      </c>
      <c r="P106" s="27" t="s">
        <v>7</v>
      </c>
      <c r="Q106" s="27" t="s">
        <v>8</v>
      </c>
      <c r="Z106" s="27" t="s">
        <v>7</v>
      </c>
      <c r="AA106" s="27" t="s">
        <v>8</v>
      </c>
      <c r="AB106" s="27" t="s">
        <v>7</v>
      </c>
      <c r="AC106" s="27" t="s">
        <v>8</v>
      </c>
      <c r="AD106" s="27" t="s">
        <v>7</v>
      </c>
      <c r="AE106" s="27" t="s">
        <v>8</v>
      </c>
      <c r="AF106" s="27" t="s">
        <v>7</v>
      </c>
      <c r="AG106" s="18" t="s">
        <v>8</v>
      </c>
      <c r="AI106" s="27" t="s">
        <v>8</v>
      </c>
      <c r="AL106" s="27" t="s">
        <v>7</v>
      </c>
      <c r="AP106" s="27" t="s">
        <v>7</v>
      </c>
      <c r="AQ106" s="27" t="s">
        <v>8</v>
      </c>
      <c r="AR106" s="27" t="s">
        <v>7</v>
      </c>
      <c r="AV106" s="27" t="s">
        <v>7</v>
      </c>
    </row>
    <row r="107" spans="1:48" x14ac:dyDescent="0.25">
      <c r="A107" s="30">
        <v>3.7974983358324148</v>
      </c>
      <c r="E107" t="s">
        <v>8</v>
      </c>
      <c r="H107" s="27" t="s">
        <v>7</v>
      </c>
      <c r="J107" s="27" t="s">
        <v>7</v>
      </c>
      <c r="K107" s="27" t="s">
        <v>8</v>
      </c>
      <c r="L107" s="27" t="s">
        <v>7</v>
      </c>
      <c r="M107" s="27" t="s">
        <v>8</v>
      </c>
      <c r="N107" s="27" t="s">
        <v>7</v>
      </c>
      <c r="O107" s="27" t="s">
        <v>8</v>
      </c>
      <c r="P107" s="27" t="s">
        <v>7</v>
      </c>
      <c r="Z107" s="27" t="s">
        <v>7</v>
      </c>
      <c r="AA107" s="27" t="s">
        <v>8</v>
      </c>
      <c r="AB107" s="27" t="s">
        <v>7</v>
      </c>
      <c r="AC107" s="27" t="s">
        <v>8</v>
      </c>
      <c r="AD107" s="27" t="s">
        <v>7</v>
      </c>
      <c r="AF107" s="27" t="s">
        <v>7</v>
      </c>
      <c r="AG107" s="27" t="s">
        <v>8</v>
      </c>
      <c r="AH107" s="27" t="s">
        <v>7</v>
      </c>
      <c r="AI107" s="27" t="s">
        <v>8</v>
      </c>
      <c r="AP107" s="27" t="s">
        <v>7</v>
      </c>
      <c r="AQ107" s="27" t="s">
        <v>8</v>
      </c>
    </row>
    <row r="108" spans="1:48" x14ac:dyDescent="0.25">
      <c r="A108" s="30">
        <v>3.4522712143931042</v>
      </c>
      <c r="E108" t="s">
        <v>8</v>
      </c>
      <c r="J108" s="27" t="s">
        <v>7</v>
      </c>
      <c r="K108" s="27" t="s">
        <v>8</v>
      </c>
      <c r="L108" s="27" t="s">
        <v>7</v>
      </c>
      <c r="M108" s="27" t="s">
        <v>8</v>
      </c>
      <c r="N108" s="27" t="s">
        <v>7</v>
      </c>
      <c r="O108" s="27" t="s">
        <v>8</v>
      </c>
      <c r="Z108" s="27" t="s">
        <v>7</v>
      </c>
      <c r="AB108" s="27" t="s">
        <v>7</v>
      </c>
      <c r="AC108" s="27" t="s">
        <v>8</v>
      </c>
      <c r="AF108" s="27" t="s">
        <v>7</v>
      </c>
      <c r="AG108" s="27" t="s">
        <v>8</v>
      </c>
      <c r="AH108" s="27" t="s">
        <v>7</v>
      </c>
      <c r="AI108" s="27" t="s">
        <v>8</v>
      </c>
      <c r="AP108" s="27" t="s">
        <v>7</v>
      </c>
    </row>
    <row r="109" spans="1:48" x14ac:dyDescent="0.25">
      <c r="A109" s="30">
        <v>3.1384283767210035</v>
      </c>
      <c r="E109" t="s">
        <v>8</v>
      </c>
      <c r="J109" s="27" t="s">
        <v>7</v>
      </c>
      <c r="K109" s="27" t="s">
        <v>8</v>
      </c>
      <c r="L109" s="27" t="s">
        <v>7</v>
      </c>
      <c r="M109" s="27" t="s">
        <v>8</v>
      </c>
      <c r="N109" s="27" t="s">
        <v>7</v>
      </c>
      <c r="AB109" s="27" t="s">
        <v>7</v>
      </c>
      <c r="AC109" s="27" t="s">
        <v>8</v>
      </c>
      <c r="AF109" s="27" t="s">
        <v>7</v>
      </c>
      <c r="AH109" s="27" t="s">
        <v>7</v>
      </c>
    </row>
    <row r="110" spans="1:48" x14ac:dyDescent="0.25">
      <c r="A110" s="30">
        <v>2.8531167061100029</v>
      </c>
      <c r="E110" t="s">
        <v>8</v>
      </c>
      <c r="J110" s="27" t="s">
        <v>7</v>
      </c>
      <c r="L110" s="27" t="s">
        <v>7</v>
      </c>
      <c r="AB110" s="27" t="s">
        <v>7</v>
      </c>
    </row>
    <row r="111" spans="1:48" x14ac:dyDescent="0.25">
      <c r="A111" s="30">
        <v>2.5937424601000023</v>
      </c>
      <c r="C111" s="1" t="str">
        <f>ADDRESS(C121-1,1,1,1)</f>
        <v>$A$105</v>
      </c>
      <c r="D111" s="1" t="str">
        <f>ADDRESS(C121-1,D121,1,1)</f>
        <v>$AV$105</v>
      </c>
      <c r="E111" t="s">
        <v>8</v>
      </c>
    </row>
    <row r="112" spans="1:48" x14ac:dyDescent="0.25">
      <c r="A112" s="30">
        <v>2.3579476910000019</v>
      </c>
      <c r="C112" s="1" t="str">
        <f>ADDRESS(C121,1,1,1)</f>
        <v>$A$106</v>
      </c>
      <c r="D112" s="1" t="str">
        <f>ADDRESS(C121,D121-1,1,1)</f>
        <v>$AU$106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$A$107</v>
      </c>
      <c r="D113" s="1" t="str">
        <f>ADDRESS(C121-1,D121+1,1,1)</f>
        <v>$AW$105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$AV$106</v>
      </c>
      <c r="D114" s="1" t="str">
        <f>ADDRESS(C121+1,D121+1,1,1)</f>
        <v>$AW$107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$AV$107</v>
      </c>
      <c r="E115" s="1" t="s">
        <v>8</v>
      </c>
    </row>
    <row r="116" spans="1:5" x14ac:dyDescent="0.25">
      <c r="A116" s="30">
        <v>1.6105100000000008</v>
      </c>
      <c r="C116" s="1">
        <f>C117-1</f>
        <v>105</v>
      </c>
      <c r="E116" s="1" t="s">
        <v>8</v>
      </c>
    </row>
    <row r="117" spans="1:5" x14ac:dyDescent="0.25">
      <c r="A117" s="30">
        <v>1.4641000000000006</v>
      </c>
      <c r="C117" s="1">
        <f>C121</f>
        <v>106</v>
      </c>
      <c r="D117" s="1">
        <f>D121</f>
        <v>48</v>
      </c>
      <c r="E117" s="1" t="s">
        <v>8</v>
      </c>
    </row>
    <row r="118" spans="1:5" x14ac:dyDescent="0.25">
      <c r="A118" s="30">
        <v>1.3310000000000004</v>
      </c>
      <c r="C118" s="1">
        <f>C117+1</f>
        <v>107</v>
      </c>
      <c r="D118" s="1">
        <f>D117+1</f>
        <v>49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106</v>
      </c>
      <c r="D121" s="19">
        <v>48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R106</v>
      </c>
      <c r="D123" s="1" t="str">
        <f>"C"&amp;D121</f>
        <v>C48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4.1772481694156562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7" operator="equal">
      <formula>$U$1</formula>
    </cfRule>
    <cfRule type="cellIs" dxfId="30" priority="938" operator="equal">
      <formula>$S$1</formula>
    </cfRule>
  </conditionalFormatting>
  <conditionalFormatting sqref="D136">
    <cfRule type="cellIs" dxfId="29" priority="935" operator="equal">
      <formula>$S$1</formula>
    </cfRule>
    <cfRule type="cellIs" dxfId="28" priority="936" operator="equal">
      <formula>$U$1</formula>
    </cfRule>
  </conditionalFormatting>
  <conditionalFormatting sqref="C102">
    <cfRule type="cellIs" dxfId="27" priority="933" operator="equal">
      <formula>$U$1</formula>
    </cfRule>
    <cfRule type="cellIs" dxfId="26" priority="934" operator="equal">
      <formula>$S$1</formula>
    </cfRule>
  </conditionalFormatting>
  <conditionalFormatting sqref="D102">
    <cfRule type="cellIs" dxfId="25" priority="931" operator="equal">
      <formula>$S$1</formula>
    </cfRule>
    <cfRule type="cellIs" dxfId="24" priority="932" operator="equal">
      <formula>$U$1</formula>
    </cfRule>
  </conditionalFormatting>
  <conditionalFormatting sqref="C77">
    <cfRule type="cellIs" dxfId="23" priority="929" operator="equal">
      <formula>$U$1</formula>
    </cfRule>
    <cfRule type="cellIs" dxfId="22" priority="930" operator="equal">
      <formula>$S$1</formula>
    </cfRule>
  </conditionalFormatting>
  <conditionalFormatting sqref="D77">
    <cfRule type="cellIs" dxfId="21" priority="927" operator="equal">
      <formula>$S$1</formula>
    </cfRule>
    <cfRule type="cellIs" dxfId="20" priority="928" operator="equal">
      <formula>$U$1</formula>
    </cfRule>
  </conditionalFormatting>
  <conditionalFormatting sqref="C52">
    <cfRule type="cellIs" dxfId="19" priority="925" operator="equal">
      <formula>$U$1</formula>
    </cfRule>
    <cfRule type="cellIs" dxfId="18" priority="926" operator="equal">
      <formula>$S$1</formula>
    </cfRule>
  </conditionalFormatting>
  <conditionalFormatting sqref="D52">
    <cfRule type="cellIs" dxfId="17" priority="923" operator="equal">
      <formula>$S$1</formula>
    </cfRule>
    <cfRule type="cellIs" dxfId="16" priority="924" operator="equal">
      <formula>$U$1</formula>
    </cfRule>
  </conditionalFormatting>
  <conditionalFormatting sqref="C26">
    <cfRule type="cellIs" dxfId="15" priority="921" operator="equal">
      <formula>$U$1</formula>
    </cfRule>
    <cfRule type="cellIs" dxfId="14" priority="922" operator="equal">
      <formula>$S$1</formula>
    </cfRule>
  </conditionalFormatting>
  <conditionalFormatting sqref="D26">
    <cfRule type="cellIs" dxfId="13" priority="919" operator="equal">
      <formula>$S$1</formula>
    </cfRule>
    <cfRule type="cellIs" dxfId="12" priority="92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2022-01-28T01:13:36Z</dcterms:modified>
</cp:coreProperties>
</file>